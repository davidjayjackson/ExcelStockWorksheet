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StockWorksheet\"/>
    </mc:Choice>
  </mc:AlternateContent>
  <xr:revisionPtr revIDLastSave="0" documentId="13_ncr:1_{D053A7D8-C69E-41C6-84EB-649F1E028C0E}" xr6:coauthVersionLast="47" xr6:coauthVersionMax="47" xr10:uidLastSave="{00000000-0000-0000-0000-000000000000}"/>
  <bookViews>
    <workbookView xWindow="-120" yWindow="-120" windowWidth="20730" windowHeight="11040" firstSheet="1" activeTab="1" xr2:uid="{92AFEA67-FCE1-458C-9A7E-ADF426D7B024}"/>
  </bookViews>
  <sheets>
    <sheet name="Intro" sheetId="10" r:id="rId1"/>
    <sheet name="Dashboard" sheetId="7" r:id="rId2"/>
    <sheet name="Data" sheetId="1" r:id="rId3"/>
    <sheet name="Forecast" sheetId="34" r:id="rId4"/>
    <sheet name="Weekly" sheetId="33" r:id="rId5"/>
    <sheet name="Dividends" sheetId="18" r:id="rId6"/>
  </sheets>
  <definedNames>
    <definedName name="data">Data!$1:$1048576</definedName>
    <definedName name="ExternalData_1" localSheetId="3" hidden="1">Forecast!$A$1:$B$54</definedName>
    <definedName name="FromArray_1">_xlfn.ANCHORARRAY(Data!$B$1)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52" i="1" l="1"/>
  <c r="G58" i="34"/>
  <c r="G56" i="34"/>
  <c r="G60" i="34"/>
  <c r="G57" i="34"/>
  <c r="G59" i="34"/>
  <c r="G55" i="34"/>
  <c r="B1" i="1" a="1"/>
  <c r="B1" i="1" l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185" i="1"/>
  <c r="E217" i="1"/>
  <c r="E34" i="1"/>
  <c r="E82" i="1"/>
  <c r="E130" i="1"/>
  <c r="E186" i="1"/>
  <c r="E226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169" i="1"/>
  <c r="E241" i="1"/>
  <c r="E50" i="1"/>
  <c r="E106" i="1"/>
  <c r="E178" i="1"/>
  <c r="E234" i="1"/>
  <c r="E5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136" i="1"/>
  <c r="E176" i="1"/>
  <c r="E200" i="1"/>
  <c r="E224" i="1"/>
  <c r="E240" i="1"/>
  <c r="E97" i="1"/>
  <c r="E129" i="1"/>
  <c r="E153" i="1"/>
  <c r="E193" i="1"/>
  <c r="E249" i="1"/>
  <c r="E18" i="1"/>
  <c r="E58" i="1"/>
  <c r="E90" i="1"/>
  <c r="E138" i="1"/>
  <c r="E162" i="1"/>
  <c r="E210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128" i="1"/>
  <c r="E168" i="1"/>
  <c r="E192" i="1"/>
  <c r="E208" i="1"/>
  <c r="E232" i="1"/>
  <c r="E89" i="1"/>
  <c r="E137" i="1"/>
  <c r="E177" i="1"/>
  <c r="E209" i="1"/>
  <c r="E10" i="1"/>
  <c r="E66" i="1"/>
  <c r="E98" i="1"/>
  <c r="E146" i="1"/>
  <c r="E194" i="1"/>
  <c r="E218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120" i="1"/>
  <c r="E8" i="1"/>
  <c r="E16" i="1"/>
  <c r="E24" i="1"/>
  <c r="E32" i="1"/>
  <c r="E40" i="1"/>
  <c r="E48" i="1"/>
  <c r="E56" i="1"/>
  <c r="E64" i="1"/>
  <c r="E72" i="1"/>
  <c r="E80" i="1"/>
  <c r="E88" i="1"/>
  <c r="E96" i="1"/>
  <c r="E104" i="1"/>
  <c r="E112" i="1"/>
  <c r="E144" i="1"/>
  <c r="E152" i="1"/>
  <c r="E160" i="1"/>
  <c r="E184" i="1"/>
  <c r="E216" i="1"/>
  <c r="E248" i="1"/>
  <c r="E113" i="1"/>
  <c r="E145" i="1"/>
  <c r="E201" i="1"/>
  <c r="E233" i="1"/>
  <c r="E26" i="1"/>
  <c r="E74" i="1"/>
  <c r="E122" i="1"/>
  <c r="E154" i="1"/>
  <c r="E202" i="1"/>
  <c r="E242" i="1"/>
  <c r="E9" i="1"/>
  <c r="E17" i="1"/>
  <c r="E25" i="1"/>
  <c r="E33" i="1"/>
  <c r="E41" i="1"/>
  <c r="E49" i="1"/>
  <c r="E57" i="1"/>
  <c r="E65" i="1"/>
  <c r="E73" i="1"/>
  <c r="E81" i="1"/>
  <c r="E105" i="1"/>
  <c r="E121" i="1"/>
  <c r="E161" i="1"/>
  <c r="E225" i="1"/>
  <c r="E42" i="1"/>
  <c r="E114" i="1"/>
  <c r="E170" i="1"/>
  <c r="E250" i="1"/>
  <c r="G3" i="1"/>
  <c r="G11" i="1"/>
  <c r="G19" i="1"/>
  <c r="G27" i="1"/>
  <c r="G35" i="1"/>
  <c r="G43" i="1"/>
  <c r="G51" i="1"/>
  <c r="G59" i="1"/>
  <c r="G67" i="1"/>
  <c r="G75" i="1"/>
  <c r="G83" i="1"/>
  <c r="G91" i="1"/>
  <c r="G99" i="1"/>
  <c r="G107" i="1"/>
  <c r="G115" i="1"/>
  <c r="G123" i="1"/>
  <c r="G131" i="1"/>
  <c r="G139" i="1"/>
  <c r="G147" i="1"/>
  <c r="G155" i="1"/>
  <c r="G163" i="1"/>
  <c r="G171" i="1"/>
  <c r="G179" i="1"/>
  <c r="G187" i="1"/>
  <c r="G195" i="1"/>
  <c r="G203" i="1"/>
  <c r="G211" i="1"/>
  <c r="G219" i="1"/>
  <c r="G227" i="1"/>
  <c r="G235" i="1"/>
  <c r="G243" i="1"/>
  <c r="G251" i="1"/>
  <c r="G20" i="1"/>
  <c r="G60" i="1"/>
  <c r="G76" i="1"/>
  <c r="G92" i="1"/>
  <c r="G100" i="1"/>
  <c r="G108" i="1"/>
  <c r="G116" i="1"/>
  <c r="G124" i="1"/>
  <c r="G132" i="1"/>
  <c r="G140" i="1"/>
  <c r="G156" i="1"/>
  <c r="G164" i="1"/>
  <c r="G180" i="1"/>
  <c r="G196" i="1"/>
  <c r="G228" i="1"/>
  <c r="G133" i="1"/>
  <c r="G173" i="1"/>
  <c r="G221" i="1"/>
  <c r="G4" i="1"/>
  <c r="G12" i="1"/>
  <c r="G28" i="1"/>
  <c r="G36" i="1"/>
  <c r="G44" i="1"/>
  <c r="G52" i="1"/>
  <c r="G68" i="1"/>
  <c r="G84" i="1"/>
  <c r="G148" i="1"/>
  <c r="G172" i="1"/>
  <c r="G188" i="1"/>
  <c r="G236" i="1"/>
  <c r="G149" i="1"/>
  <c r="G197" i="1"/>
  <c r="G5" i="1"/>
  <c r="G13" i="1"/>
  <c r="G21" i="1"/>
  <c r="G29" i="1"/>
  <c r="G37" i="1"/>
  <c r="G45" i="1"/>
  <c r="G53" i="1"/>
  <c r="G61" i="1"/>
  <c r="G69" i="1"/>
  <c r="G77" i="1"/>
  <c r="G85" i="1"/>
  <c r="G93" i="1"/>
  <c r="G101" i="1"/>
  <c r="G109" i="1"/>
  <c r="G141" i="1"/>
  <c r="G189" i="1"/>
  <c r="G6" i="1"/>
  <c r="G14" i="1"/>
  <c r="G22" i="1"/>
  <c r="G30" i="1"/>
  <c r="G38" i="1"/>
  <c r="G46" i="1"/>
  <c r="G54" i="1"/>
  <c r="G62" i="1"/>
  <c r="G70" i="1"/>
  <c r="G78" i="1"/>
  <c r="G86" i="1"/>
  <c r="G94" i="1"/>
  <c r="G102" i="1"/>
  <c r="G110" i="1"/>
  <c r="G118" i="1"/>
  <c r="G126" i="1"/>
  <c r="G134" i="1"/>
  <c r="G142" i="1"/>
  <c r="G150" i="1"/>
  <c r="G158" i="1"/>
  <c r="G166" i="1"/>
  <c r="G174" i="1"/>
  <c r="G182" i="1"/>
  <c r="G190" i="1"/>
  <c r="G198" i="1"/>
  <c r="G206" i="1"/>
  <c r="G214" i="1"/>
  <c r="G222" i="1"/>
  <c r="G230" i="1"/>
  <c r="G238" i="1"/>
  <c r="G246" i="1"/>
  <c r="G125" i="1"/>
  <c r="G7" i="1"/>
  <c r="G15" i="1"/>
  <c r="G23" i="1"/>
  <c r="G31" i="1"/>
  <c r="G39" i="1"/>
  <c r="G47" i="1"/>
  <c r="G55" i="1"/>
  <c r="G63" i="1"/>
  <c r="G71" i="1"/>
  <c r="G79" i="1"/>
  <c r="G87" i="1"/>
  <c r="G95" i="1"/>
  <c r="G103" i="1"/>
  <c r="G111" i="1"/>
  <c r="G119" i="1"/>
  <c r="G127" i="1"/>
  <c r="G135" i="1"/>
  <c r="G143" i="1"/>
  <c r="G151" i="1"/>
  <c r="G159" i="1"/>
  <c r="G167" i="1"/>
  <c r="G175" i="1"/>
  <c r="G183" i="1"/>
  <c r="G191" i="1"/>
  <c r="G199" i="1"/>
  <c r="G207" i="1"/>
  <c r="G215" i="1"/>
  <c r="G223" i="1"/>
  <c r="G231" i="1"/>
  <c r="G239" i="1"/>
  <c r="G247" i="1"/>
  <c r="G26" i="1"/>
  <c r="G42" i="1"/>
  <c r="G66" i="1"/>
  <c r="G90" i="1"/>
  <c r="G114" i="1"/>
  <c r="G138" i="1"/>
  <c r="G170" i="1"/>
  <c r="G202" i="1"/>
  <c r="G226" i="1"/>
  <c r="G250" i="1"/>
  <c r="G220" i="1"/>
  <c r="G117" i="1"/>
  <c r="G181" i="1"/>
  <c r="G229" i="1"/>
  <c r="G8" i="1"/>
  <c r="G16" i="1"/>
  <c r="G24" i="1"/>
  <c r="G32" i="1"/>
  <c r="G40" i="1"/>
  <c r="G48" i="1"/>
  <c r="G56" i="1"/>
  <c r="G64" i="1"/>
  <c r="G72" i="1"/>
  <c r="G80" i="1"/>
  <c r="G88" i="1"/>
  <c r="G96" i="1"/>
  <c r="G104" i="1"/>
  <c r="G112" i="1"/>
  <c r="G120" i="1"/>
  <c r="G128" i="1"/>
  <c r="G136" i="1"/>
  <c r="G144" i="1"/>
  <c r="G152" i="1"/>
  <c r="G160" i="1"/>
  <c r="G168" i="1"/>
  <c r="G176" i="1"/>
  <c r="G184" i="1"/>
  <c r="G192" i="1"/>
  <c r="G200" i="1"/>
  <c r="G208" i="1"/>
  <c r="G216" i="1"/>
  <c r="G224" i="1"/>
  <c r="G232" i="1"/>
  <c r="G240" i="1"/>
  <c r="G248" i="1"/>
  <c r="G18" i="1"/>
  <c r="G34" i="1"/>
  <c r="G58" i="1"/>
  <c r="G82" i="1"/>
  <c r="G106" i="1"/>
  <c r="G130" i="1"/>
  <c r="G154" i="1"/>
  <c r="G178" i="1"/>
  <c r="G194" i="1"/>
  <c r="G218" i="1"/>
  <c r="G242" i="1"/>
  <c r="G212" i="1"/>
  <c r="G244" i="1"/>
  <c r="G157" i="1"/>
  <c r="G213" i="1"/>
  <c r="G245" i="1"/>
  <c r="G9" i="1"/>
  <c r="G17" i="1"/>
  <c r="G25" i="1"/>
  <c r="G33" i="1"/>
  <c r="G41" i="1"/>
  <c r="G49" i="1"/>
  <c r="G57" i="1"/>
  <c r="G65" i="1"/>
  <c r="G73" i="1"/>
  <c r="G81" i="1"/>
  <c r="G89" i="1"/>
  <c r="G97" i="1"/>
  <c r="G105" i="1"/>
  <c r="G113" i="1"/>
  <c r="G121" i="1"/>
  <c r="G129" i="1"/>
  <c r="G137" i="1"/>
  <c r="G145" i="1"/>
  <c r="G153" i="1"/>
  <c r="G161" i="1"/>
  <c r="G169" i="1"/>
  <c r="G177" i="1"/>
  <c r="G185" i="1"/>
  <c r="G193" i="1"/>
  <c r="G201" i="1"/>
  <c r="G209" i="1"/>
  <c r="G217" i="1"/>
  <c r="G225" i="1"/>
  <c r="G233" i="1"/>
  <c r="G241" i="1"/>
  <c r="G249" i="1"/>
  <c r="G10" i="1"/>
  <c r="G50" i="1"/>
  <c r="G74" i="1"/>
  <c r="G98" i="1"/>
  <c r="G122" i="1"/>
  <c r="G146" i="1"/>
  <c r="G162" i="1"/>
  <c r="G186" i="1"/>
  <c r="G210" i="1"/>
  <c r="G234" i="1"/>
  <c r="G204" i="1"/>
  <c r="G252" i="1"/>
  <c r="G165" i="1"/>
  <c r="G205" i="1"/>
  <c r="G237" i="1"/>
  <c r="J22" i="1"/>
  <c r="J30" i="1"/>
  <c r="J38" i="1"/>
  <c r="J46" i="1"/>
  <c r="J54" i="1"/>
  <c r="J62" i="1"/>
  <c r="J70" i="1"/>
  <c r="J78" i="1"/>
  <c r="J86" i="1"/>
  <c r="J94" i="1"/>
  <c r="J102" i="1"/>
  <c r="J110" i="1"/>
  <c r="J118" i="1"/>
  <c r="J126" i="1"/>
  <c r="J134" i="1"/>
  <c r="J142" i="1"/>
  <c r="J150" i="1"/>
  <c r="J158" i="1"/>
  <c r="J166" i="1"/>
  <c r="J174" i="1"/>
  <c r="J182" i="1"/>
  <c r="J190" i="1"/>
  <c r="J198" i="1"/>
  <c r="J206" i="1"/>
  <c r="J214" i="1"/>
  <c r="J222" i="1"/>
  <c r="J230" i="1"/>
  <c r="J238" i="1"/>
  <c r="J246" i="1"/>
  <c r="J31" i="1"/>
  <c r="J39" i="1"/>
  <c r="J47" i="1"/>
  <c r="J55" i="1"/>
  <c r="J63" i="1"/>
  <c r="J71" i="1"/>
  <c r="J79" i="1"/>
  <c r="J87" i="1"/>
  <c r="J95" i="1"/>
  <c r="J103" i="1"/>
  <c r="J111" i="1"/>
  <c r="J119" i="1"/>
  <c r="J127" i="1"/>
  <c r="J135" i="1"/>
  <c r="J143" i="1"/>
  <c r="J151" i="1"/>
  <c r="J159" i="1"/>
  <c r="J167" i="1"/>
  <c r="J175" i="1"/>
  <c r="J183" i="1"/>
  <c r="J191" i="1"/>
  <c r="J199" i="1"/>
  <c r="J207" i="1"/>
  <c r="J215" i="1"/>
  <c r="J223" i="1"/>
  <c r="J231" i="1"/>
  <c r="J239" i="1"/>
  <c r="J247" i="1"/>
  <c r="J23" i="1"/>
  <c r="J24" i="1"/>
  <c r="J32" i="1"/>
  <c r="J40" i="1"/>
  <c r="J48" i="1"/>
  <c r="J56" i="1"/>
  <c r="J64" i="1"/>
  <c r="J72" i="1"/>
  <c r="J80" i="1"/>
  <c r="J88" i="1"/>
  <c r="J96" i="1"/>
  <c r="J104" i="1"/>
  <c r="J112" i="1"/>
  <c r="J120" i="1"/>
  <c r="J128" i="1"/>
  <c r="J136" i="1"/>
  <c r="J144" i="1"/>
  <c r="J152" i="1"/>
  <c r="J160" i="1"/>
  <c r="J168" i="1"/>
  <c r="J176" i="1"/>
  <c r="J184" i="1"/>
  <c r="J192" i="1"/>
  <c r="J200" i="1"/>
  <c r="J208" i="1"/>
  <c r="J216" i="1"/>
  <c r="J224" i="1"/>
  <c r="J232" i="1"/>
  <c r="J240" i="1"/>
  <c r="J248" i="1"/>
  <c r="J25" i="1"/>
  <c r="J33" i="1"/>
  <c r="J41" i="1"/>
  <c r="J49" i="1"/>
  <c r="J57" i="1"/>
  <c r="J65" i="1"/>
  <c r="J73" i="1"/>
  <c r="J81" i="1"/>
  <c r="J89" i="1"/>
  <c r="J97" i="1"/>
  <c r="J105" i="1"/>
  <c r="J113" i="1"/>
  <c r="J121" i="1"/>
  <c r="J129" i="1"/>
  <c r="J137" i="1"/>
  <c r="J145" i="1"/>
  <c r="J153" i="1"/>
  <c r="J161" i="1"/>
  <c r="J169" i="1"/>
  <c r="J177" i="1"/>
  <c r="J185" i="1"/>
  <c r="J193" i="1"/>
  <c r="J201" i="1"/>
  <c r="J209" i="1"/>
  <c r="J217" i="1"/>
  <c r="J225" i="1"/>
  <c r="J233" i="1"/>
  <c r="J241" i="1"/>
  <c r="J249" i="1"/>
  <c r="J234" i="1"/>
  <c r="J250" i="1"/>
  <c r="J83" i="1"/>
  <c r="J99" i="1"/>
  <c r="J123" i="1"/>
  <c r="J139" i="1"/>
  <c r="J163" i="1"/>
  <c r="J187" i="1"/>
  <c r="J203" i="1"/>
  <c r="J219" i="1"/>
  <c r="J235" i="1"/>
  <c r="J164" i="1"/>
  <c r="J204" i="1"/>
  <c r="J244" i="1"/>
  <c r="J37" i="1"/>
  <c r="J61" i="1"/>
  <c r="J77" i="1"/>
  <c r="J101" i="1"/>
  <c r="J133" i="1"/>
  <c r="J165" i="1"/>
  <c r="J197" i="1"/>
  <c r="J221" i="1"/>
  <c r="J245" i="1"/>
  <c r="J26" i="1"/>
  <c r="J34" i="1"/>
  <c r="J42" i="1"/>
  <c r="J50" i="1"/>
  <c r="J58" i="1"/>
  <c r="J66" i="1"/>
  <c r="J74" i="1"/>
  <c r="J82" i="1"/>
  <c r="J90" i="1"/>
  <c r="J98" i="1"/>
  <c r="J106" i="1"/>
  <c r="J114" i="1"/>
  <c r="J122" i="1"/>
  <c r="J130" i="1"/>
  <c r="J138" i="1"/>
  <c r="J146" i="1"/>
  <c r="J154" i="1"/>
  <c r="J162" i="1"/>
  <c r="J170" i="1"/>
  <c r="J178" i="1"/>
  <c r="J186" i="1"/>
  <c r="J194" i="1"/>
  <c r="J202" i="1"/>
  <c r="J210" i="1"/>
  <c r="J218" i="1"/>
  <c r="J226" i="1"/>
  <c r="J242" i="1"/>
  <c r="J67" i="1"/>
  <c r="J91" i="1"/>
  <c r="J107" i="1"/>
  <c r="J131" i="1"/>
  <c r="J147" i="1"/>
  <c r="J171" i="1"/>
  <c r="J179" i="1"/>
  <c r="J195" i="1"/>
  <c r="J227" i="1"/>
  <c r="J251" i="1"/>
  <c r="J180" i="1"/>
  <c r="J196" i="1"/>
  <c r="J228" i="1"/>
  <c r="J252" i="1"/>
  <c r="J53" i="1"/>
  <c r="J85" i="1"/>
  <c r="J109" i="1"/>
  <c r="J141" i="1"/>
  <c r="J157" i="1"/>
  <c r="J181" i="1"/>
  <c r="J213" i="1"/>
  <c r="J27" i="1"/>
  <c r="J35" i="1"/>
  <c r="J43" i="1"/>
  <c r="J51" i="1"/>
  <c r="J59" i="1"/>
  <c r="J75" i="1"/>
  <c r="J115" i="1"/>
  <c r="J155" i="1"/>
  <c r="J211" i="1"/>
  <c r="J243" i="1"/>
  <c r="J172" i="1"/>
  <c r="J212" i="1"/>
  <c r="J236" i="1"/>
  <c r="J45" i="1"/>
  <c r="J93" i="1"/>
  <c r="J125" i="1"/>
  <c r="J189" i="1"/>
  <c r="J229" i="1"/>
  <c r="J28" i="1"/>
  <c r="J36" i="1"/>
  <c r="J44" i="1"/>
  <c r="J52" i="1"/>
  <c r="J60" i="1"/>
  <c r="J68" i="1"/>
  <c r="J76" i="1"/>
  <c r="J84" i="1"/>
  <c r="J92" i="1"/>
  <c r="J100" i="1"/>
  <c r="J108" i="1"/>
  <c r="J116" i="1"/>
  <c r="J124" i="1"/>
  <c r="J132" i="1"/>
  <c r="J140" i="1"/>
  <c r="J148" i="1"/>
  <c r="J156" i="1"/>
  <c r="J188" i="1"/>
  <c r="J220" i="1"/>
  <c r="J29" i="1"/>
  <c r="J69" i="1"/>
  <c r="J117" i="1"/>
  <c r="J149" i="1"/>
  <c r="J173" i="1"/>
  <c r="J205" i="1"/>
  <c r="J237" i="1"/>
  <c r="K22" i="1"/>
  <c r="K30" i="1"/>
  <c r="K38" i="1"/>
  <c r="K46" i="1"/>
  <c r="K54" i="1"/>
  <c r="K62" i="1"/>
  <c r="K70" i="1"/>
  <c r="K78" i="1"/>
  <c r="K86" i="1"/>
  <c r="K94" i="1"/>
  <c r="K102" i="1"/>
  <c r="K110" i="1"/>
  <c r="K118" i="1"/>
  <c r="K126" i="1"/>
  <c r="K134" i="1"/>
  <c r="K142" i="1"/>
  <c r="K150" i="1"/>
  <c r="K158" i="1"/>
  <c r="K166" i="1"/>
  <c r="K174" i="1"/>
  <c r="K182" i="1"/>
  <c r="K190" i="1"/>
  <c r="K198" i="1"/>
  <c r="K206" i="1"/>
  <c r="K214" i="1"/>
  <c r="K222" i="1"/>
  <c r="K230" i="1"/>
  <c r="K238" i="1"/>
  <c r="K112" i="1"/>
  <c r="K144" i="1"/>
  <c r="K184" i="1"/>
  <c r="K224" i="1"/>
  <c r="K248" i="1"/>
  <c r="K195" i="1"/>
  <c r="K243" i="1"/>
  <c r="K68" i="1"/>
  <c r="K92" i="1"/>
  <c r="K148" i="1"/>
  <c r="K196" i="1"/>
  <c r="K252" i="1"/>
  <c r="K23" i="1"/>
  <c r="K31" i="1"/>
  <c r="K39" i="1"/>
  <c r="K47" i="1"/>
  <c r="K55" i="1"/>
  <c r="K63" i="1"/>
  <c r="K71" i="1"/>
  <c r="K79" i="1"/>
  <c r="K87" i="1"/>
  <c r="K95" i="1"/>
  <c r="K103" i="1"/>
  <c r="K111" i="1"/>
  <c r="K119" i="1"/>
  <c r="K127" i="1"/>
  <c r="K135" i="1"/>
  <c r="K143" i="1"/>
  <c r="K151" i="1"/>
  <c r="K159" i="1"/>
  <c r="K167" i="1"/>
  <c r="K175" i="1"/>
  <c r="K183" i="1"/>
  <c r="K191" i="1"/>
  <c r="K199" i="1"/>
  <c r="K207" i="1"/>
  <c r="K215" i="1"/>
  <c r="K223" i="1"/>
  <c r="K231" i="1"/>
  <c r="K239" i="1"/>
  <c r="K247" i="1"/>
  <c r="K128" i="1"/>
  <c r="K160" i="1"/>
  <c r="K176" i="1"/>
  <c r="K200" i="1"/>
  <c r="K232" i="1"/>
  <c r="K155" i="1"/>
  <c r="K219" i="1"/>
  <c r="K60" i="1"/>
  <c r="K84" i="1"/>
  <c r="K140" i="1"/>
  <c r="K188" i="1"/>
  <c r="K228" i="1"/>
  <c r="K244" i="1"/>
  <c r="K24" i="1"/>
  <c r="K32" i="1"/>
  <c r="K40" i="1"/>
  <c r="K48" i="1"/>
  <c r="K56" i="1"/>
  <c r="K64" i="1"/>
  <c r="K72" i="1"/>
  <c r="K80" i="1"/>
  <c r="K88" i="1"/>
  <c r="K96" i="1"/>
  <c r="K104" i="1"/>
  <c r="K120" i="1"/>
  <c r="K152" i="1"/>
  <c r="K208" i="1"/>
  <c r="K187" i="1"/>
  <c r="K28" i="1"/>
  <c r="K100" i="1"/>
  <c r="K172" i="1"/>
  <c r="K25" i="1"/>
  <c r="K33" i="1"/>
  <c r="K41" i="1"/>
  <c r="K49" i="1"/>
  <c r="K57" i="1"/>
  <c r="K65" i="1"/>
  <c r="K73" i="1"/>
  <c r="K81" i="1"/>
  <c r="K89" i="1"/>
  <c r="K97" i="1"/>
  <c r="K105" i="1"/>
  <c r="K113" i="1"/>
  <c r="K121" i="1"/>
  <c r="K129" i="1"/>
  <c r="K137" i="1"/>
  <c r="K145" i="1"/>
  <c r="K153" i="1"/>
  <c r="K161" i="1"/>
  <c r="K169" i="1"/>
  <c r="K177" i="1"/>
  <c r="K185" i="1"/>
  <c r="K193" i="1"/>
  <c r="K201" i="1"/>
  <c r="K209" i="1"/>
  <c r="K217" i="1"/>
  <c r="K225" i="1"/>
  <c r="K233" i="1"/>
  <c r="K241" i="1"/>
  <c r="K249" i="1"/>
  <c r="K123" i="1"/>
  <c r="K171" i="1"/>
  <c r="K227" i="1"/>
  <c r="K52" i="1"/>
  <c r="K108" i="1"/>
  <c r="K156" i="1"/>
  <c r="K212" i="1"/>
  <c r="K26" i="1"/>
  <c r="K34" i="1"/>
  <c r="K42" i="1"/>
  <c r="K50" i="1"/>
  <c r="K58" i="1"/>
  <c r="K66" i="1"/>
  <c r="K74" i="1"/>
  <c r="K82" i="1"/>
  <c r="K90" i="1"/>
  <c r="K98" i="1"/>
  <c r="K106" i="1"/>
  <c r="K114" i="1"/>
  <c r="K122" i="1"/>
  <c r="K130" i="1"/>
  <c r="K138" i="1"/>
  <c r="K146" i="1"/>
  <c r="K154" i="1"/>
  <c r="K162" i="1"/>
  <c r="K170" i="1"/>
  <c r="K178" i="1"/>
  <c r="K186" i="1"/>
  <c r="K194" i="1"/>
  <c r="K202" i="1"/>
  <c r="K210" i="1"/>
  <c r="K218" i="1"/>
  <c r="K226" i="1"/>
  <c r="K234" i="1"/>
  <c r="K242" i="1"/>
  <c r="K250" i="1"/>
  <c r="K75" i="1"/>
  <c r="K99" i="1"/>
  <c r="K115" i="1"/>
  <c r="K131" i="1"/>
  <c r="K147" i="1"/>
  <c r="K163" i="1"/>
  <c r="K203" i="1"/>
  <c r="K251" i="1"/>
  <c r="K36" i="1"/>
  <c r="K116" i="1"/>
  <c r="K164" i="1"/>
  <c r="K220" i="1"/>
  <c r="K27" i="1"/>
  <c r="K35" i="1"/>
  <c r="K43" i="1"/>
  <c r="K51" i="1"/>
  <c r="K59" i="1"/>
  <c r="K67" i="1"/>
  <c r="K83" i="1"/>
  <c r="K91" i="1"/>
  <c r="K107" i="1"/>
  <c r="K139" i="1"/>
  <c r="K211" i="1"/>
  <c r="K76" i="1"/>
  <c r="K132" i="1"/>
  <c r="K204" i="1"/>
  <c r="K29" i="1"/>
  <c r="K37" i="1"/>
  <c r="K45" i="1"/>
  <c r="K53" i="1"/>
  <c r="K61" i="1"/>
  <c r="K69" i="1"/>
  <c r="K77" i="1"/>
  <c r="K85" i="1"/>
  <c r="K93" i="1"/>
  <c r="K101" i="1"/>
  <c r="K109" i="1"/>
  <c r="K117" i="1"/>
  <c r="K125" i="1"/>
  <c r="K133" i="1"/>
  <c r="K141" i="1"/>
  <c r="K149" i="1"/>
  <c r="K157" i="1"/>
  <c r="K165" i="1"/>
  <c r="K173" i="1"/>
  <c r="K181" i="1"/>
  <c r="K189" i="1"/>
  <c r="K197" i="1"/>
  <c r="K205" i="1"/>
  <c r="K213" i="1"/>
  <c r="K221" i="1"/>
  <c r="K229" i="1"/>
  <c r="K237" i="1"/>
  <c r="K245" i="1"/>
  <c r="K246" i="1"/>
  <c r="K136" i="1"/>
  <c r="K168" i="1"/>
  <c r="K192" i="1"/>
  <c r="K216" i="1"/>
  <c r="K240" i="1"/>
  <c r="K179" i="1"/>
  <c r="K235" i="1"/>
  <c r="K44" i="1"/>
  <c r="K124" i="1"/>
  <c r="K180" i="1"/>
  <c r="K236" i="1"/>
  <c r="N4" i="1"/>
  <c r="N12" i="1"/>
  <c r="N20" i="1"/>
  <c r="N28" i="1"/>
  <c r="N36" i="1"/>
  <c r="N44" i="1"/>
  <c r="N52" i="1"/>
  <c r="N60" i="1"/>
  <c r="N68" i="1"/>
  <c r="N76" i="1"/>
  <c r="N84" i="1"/>
  <c r="N92" i="1"/>
  <c r="N100" i="1"/>
  <c r="N108" i="1"/>
  <c r="N116" i="1"/>
  <c r="N124" i="1"/>
  <c r="N132" i="1"/>
  <c r="N140" i="1"/>
  <c r="N148" i="1"/>
  <c r="N156" i="1"/>
  <c r="N164" i="1"/>
  <c r="N172" i="1"/>
  <c r="N180" i="1"/>
  <c r="N188" i="1"/>
  <c r="N204" i="1"/>
  <c r="N212" i="1"/>
  <c r="N228" i="1"/>
  <c r="N252" i="1"/>
  <c r="N221" i="1"/>
  <c r="N46" i="1"/>
  <c r="N94" i="1"/>
  <c r="N142" i="1"/>
  <c r="N114" i="1"/>
  <c r="N170" i="1"/>
  <c r="N226" i="1"/>
  <c r="N5" i="1"/>
  <c r="N13" i="1"/>
  <c r="N21" i="1"/>
  <c r="N29" i="1"/>
  <c r="N37" i="1"/>
  <c r="N45" i="1"/>
  <c r="N53" i="1"/>
  <c r="N61" i="1"/>
  <c r="N69" i="1"/>
  <c r="N77" i="1"/>
  <c r="N85" i="1"/>
  <c r="N93" i="1"/>
  <c r="N101" i="1"/>
  <c r="N109" i="1"/>
  <c r="N117" i="1"/>
  <c r="N125" i="1"/>
  <c r="N133" i="1"/>
  <c r="N141" i="1"/>
  <c r="N149" i="1"/>
  <c r="N157" i="1"/>
  <c r="N165" i="1"/>
  <c r="N173" i="1"/>
  <c r="N181" i="1"/>
  <c r="N189" i="1"/>
  <c r="N197" i="1"/>
  <c r="N205" i="1"/>
  <c r="N237" i="1"/>
  <c r="N70" i="1"/>
  <c r="N118" i="1"/>
  <c r="N150" i="1"/>
  <c r="N106" i="1"/>
  <c r="N202" i="1"/>
  <c r="N250" i="1"/>
  <c r="N6" i="1"/>
  <c r="N14" i="1"/>
  <c r="N22" i="1"/>
  <c r="N30" i="1"/>
  <c r="N38" i="1"/>
  <c r="N62" i="1"/>
  <c r="N78" i="1"/>
  <c r="N86" i="1"/>
  <c r="N110" i="1"/>
  <c r="N134" i="1"/>
  <c r="N166" i="1"/>
  <c r="N190" i="1"/>
  <c r="N214" i="1"/>
  <c r="N230" i="1"/>
  <c r="N34" i="1"/>
  <c r="N74" i="1"/>
  <c r="N138" i="1"/>
  <c r="N186" i="1"/>
  <c r="N234" i="1"/>
  <c r="N7" i="1"/>
  <c r="N15" i="1"/>
  <c r="N23" i="1"/>
  <c r="N31" i="1"/>
  <c r="N39" i="1"/>
  <c r="N47" i="1"/>
  <c r="N55" i="1"/>
  <c r="N63" i="1"/>
  <c r="N71" i="1"/>
  <c r="N79" i="1"/>
  <c r="N87" i="1"/>
  <c r="N95" i="1"/>
  <c r="N103" i="1"/>
  <c r="N111" i="1"/>
  <c r="N119" i="1"/>
  <c r="N127" i="1"/>
  <c r="N135" i="1"/>
  <c r="N143" i="1"/>
  <c r="N151" i="1"/>
  <c r="N159" i="1"/>
  <c r="N167" i="1"/>
  <c r="N175" i="1"/>
  <c r="N183" i="1"/>
  <c r="N191" i="1"/>
  <c r="N199" i="1"/>
  <c r="N207" i="1"/>
  <c r="N215" i="1"/>
  <c r="N223" i="1"/>
  <c r="N231" i="1"/>
  <c r="N239" i="1"/>
  <c r="N247" i="1"/>
  <c r="N25" i="1"/>
  <c r="N33" i="1"/>
  <c r="N49" i="1"/>
  <c r="N65" i="1"/>
  <c r="N81" i="1"/>
  <c r="N97" i="1"/>
  <c r="N113" i="1"/>
  <c r="N121" i="1"/>
  <c r="N137" i="1"/>
  <c r="N153" i="1"/>
  <c r="N169" i="1"/>
  <c r="N185" i="1"/>
  <c r="N201" i="1"/>
  <c r="N217" i="1"/>
  <c r="N233" i="1"/>
  <c r="N249" i="1"/>
  <c r="N18" i="1"/>
  <c r="N82" i="1"/>
  <c r="N146" i="1"/>
  <c r="N210" i="1"/>
  <c r="N8" i="1"/>
  <c r="N16" i="1"/>
  <c r="N24" i="1"/>
  <c r="N32" i="1"/>
  <c r="N40" i="1"/>
  <c r="N48" i="1"/>
  <c r="N56" i="1"/>
  <c r="N64" i="1"/>
  <c r="N72" i="1"/>
  <c r="N80" i="1"/>
  <c r="N88" i="1"/>
  <c r="N96" i="1"/>
  <c r="N104" i="1"/>
  <c r="N112" i="1"/>
  <c r="N120" i="1"/>
  <c r="N128" i="1"/>
  <c r="N136" i="1"/>
  <c r="N144" i="1"/>
  <c r="N152" i="1"/>
  <c r="N160" i="1"/>
  <c r="N168" i="1"/>
  <c r="N176" i="1"/>
  <c r="N184" i="1"/>
  <c r="N192" i="1"/>
  <c r="N200" i="1"/>
  <c r="N208" i="1"/>
  <c r="N216" i="1"/>
  <c r="N224" i="1"/>
  <c r="N232" i="1"/>
  <c r="N240" i="1"/>
  <c r="N248" i="1"/>
  <c r="N17" i="1"/>
  <c r="N41" i="1"/>
  <c r="N57" i="1"/>
  <c r="N73" i="1"/>
  <c r="N89" i="1"/>
  <c r="N105" i="1"/>
  <c r="N129" i="1"/>
  <c r="N145" i="1"/>
  <c r="N161" i="1"/>
  <c r="N177" i="1"/>
  <c r="N193" i="1"/>
  <c r="N209" i="1"/>
  <c r="N225" i="1"/>
  <c r="N241" i="1"/>
  <c r="N10" i="1"/>
  <c r="N50" i="1"/>
  <c r="N66" i="1"/>
  <c r="N90" i="1"/>
  <c r="N122" i="1"/>
  <c r="N154" i="1"/>
  <c r="N178" i="1"/>
  <c r="N218" i="1"/>
  <c r="N9" i="1"/>
  <c r="N11" i="1"/>
  <c r="N19" i="1"/>
  <c r="N27" i="1"/>
  <c r="N35" i="1"/>
  <c r="N43" i="1"/>
  <c r="N51" i="1"/>
  <c r="N59" i="1"/>
  <c r="N67" i="1"/>
  <c r="N75" i="1"/>
  <c r="N83" i="1"/>
  <c r="N91" i="1"/>
  <c r="N99" i="1"/>
  <c r="N107" i="1"/>
  <c r="N115" i="1"/>
  <c r="N123" i="1"/>
  <c r="N131" i="1"/>
  <c r="N139" i="1"/>
  <c r="N147" i="1"/>
  <c r="N155" i="1"/>
  <c r="N163" i="1"/>
  <c r="N171" i="1"/>
  <c r="N179" i="1"/>
  <c r="N187" i="1"/>
  <c r="N195" i="1"/>
  <c r="N203" i="1"/>
  <c r="N211" i="1"/>
  <c r="N219" i="1"/>
  <c r="N227" i="1"/>
  <c r="N235" i="1"/>
  <c r="N243" i="1"/>
  <c r="N251" i="1"/>
  <c r="N196" i="1"/>
  <c r="N220" i="1"/>
  <c r="N236" i="1"/>
  <c r="N244" i="1"/>
  <c r="N213" i="1"/>
  <c r="N229" i="1"/>
  <c r="N245" i="1"/>
  <c r="N54" i="1"/>
  <c r="N102" i="1"/>
  <c r="N126" i="1"/>
  <c r="N158" i="1"/>
  <c r="N174" i="1"/>
  <c r="N182" i="1"/>
  <c r="N198" i="1"/>
  <c r="N206" i="1"/>
  <c r="N222" i="1"/>
  <c r="N238" i="1"/>
  <c r="N246" i="1"/>
  <c r="N26" i="1"/>
  <c r="N42" i="1"/>
  <c r="N58" i="1"/>
  <c r="N98" i="1"/>
  <c r="N130" i="1"/>
  <c r="N162" i="1"/>
  <c r="N194" i="1"/>
  <c r="N242" i="1"/>
  <c r="AB102" i="1"/>
  <c r="AB110" i="1"/>
  <c r="AB118" i="1"/>
  <c r="AB126" i="1"/>
  <c r="AB134" i="1"/>
  <c r="AB142" i="1"/>
  <c r="AB150" i="1"/>
  <c r="AB158" i="1"/>
  <c r="AB166" i="1"/>
  <c r="AB174" i="1"/>
  <c r="AB182" i="1"/>
  <c r="AB190" i="1"/>
  <c r="AB198" i="1"/>
  <c r="AB206" i="1"/>
  <c r="AB214" i="1"/>
  <c r="AB222" i="1"/>
  <c r="AB230" i="1"/>
  <c r="AB238" i="1"/>
  <c r="AB246" i="1"/>
  <c r="AB111" i="1"/>
  <c r="AB119" i="1"/>
  <c r="AB127" i="1"/>
  <c r="AB159" i="1"/>
  <c r="AB199" i="1"/>
  <c r="AB239" i="1"/>
  <c r="AB225" i="1"/>
  <c r="AB103" i="1"/>
  <c r="AB104" i="1"/>
  <c r="AB112" i="1"/>
  <c r="AB120" i="1"/>
  <c r="AB128" i="1"/>
  <c r="AB136" i="1"/>
  <c r="AB144" i="1"/>
  <c r="AB152" i="1"/>
  <c r="AB160" i="1"/>
  <c r="AB168" i="1"/>
  <c r="AB176" i="1"/>
  <c r="AB184" i="1"/>
  <c r="AB192" i="1"/>
  <c r="AB200" i="1"/>
  <c r="AB208" i="1"/>
  <c r="AB216" i="1"/>
  <c r="AB224" i="1"/>
  <c r="AB232" i="1"/>
  <c r="AB240" i="1"/>
  <c r="AB248" i="1"/>
  <c r="AB105" i="1"/>
  <c r="AB113" i="1"/>
  <c r="AB121" i="1"/>
  <c r="AB129" i="1"/>
  <c r="AB137" i="1"/>
  <c r="AB153" i="1"/>
  <c r="AB161" i="1"/>
  <c r="AB169" i="1"/>
  <c r="AB177" i="1"/>
  <c r="AB201" i="1"/>
  <c r="AB145" i="1"/>
  <c r="AB106" i="1"/>
  <c r="AB114" i="1"/>
  <c r="AB122" i="1"/>
  <c r="AB130" i="1"/>
  <c r="AB138" i="1"/>
  <c r="AB146" i="1"/>
  <c r="AB154" i="1"/>
  <c r="AB162" i="1"/>
  <c r="AB170" i="1"/>
  <c r="AB178" i="1"/>
  <c r="AB186" i="1"/>
  <c r="AB194" i="1"/>
  <c r="AB202" i="1"/>
  <c r="AB210" i="1"/>
  <c r="AB218" i="1"/>
  <c r="AB226" i="1"/>
  <c r="AB234" i="1"/>
  <c r="AB242" i="1"/>
  <c r="AB250" i="1"/>
  <c r="AB109" i="1"/>
  <c r="AB133" i="1"/>
  <c r="AB157" i="1"/>
  <c r="AB181" i="1"/>
  <c r="AB205" i="1"/>
  <c r="AB229" i="1"/>
  <c r="AB151" i="1"/>
  <c r="AB183" i="1"/>
  <c r="AB215" i="1"/>
  <c r="AB247" i="1"/>
  <c r="AB217" i="1"/>
  <c r="AB241" i="1"/>
  <c r="AB107" i="1"/>
  <c r="AB115" i="1"/>
  <c r="AB123" i="1"/>
  <c r="AB131" i="1"/>
  <c r="AB139" i="1"/>
  <c r="AB147" i="1"/>
  <c r="AB155" i="1"/>
  <c r="AB163" i="1"/>
  <c r="AB171" i="1"/>
  <c r="AB179" i="1"/>
  <c r="AB187" i="1"/>
  <c r="AB195" i="1"/>
  <c r="AB203" i="1"/>
  <c r="AB211" i="1"/>
  <c r="AB219" i="1"/>
  <c r="AB227" i="1"/>
  <c r="AB235" i="1"/>
  <c r="AB243" i="1"/>
  <c r="AB251" i="1"/>
  <c r="AB252" i="1"/>
  <c r="AB125" i="1"/>
  <c r="AB141" i="1"/>
  <c r="AB173" i="1"/>
  <c r="AB197" i="1"/>
  <c r="AB213" i="1"/>
  <c r="AB237" i="1"/>
  <c r="AB143" i="1"/>
  <c r="AB175" i="1"/>
  <c r="AB191" i="1"/>
  <c r="AB223" i="1"/>
  <c r="AB185" i="1"/>
  <c r="AB209" i="1"/>
  <c r="AB249" i="1"/>
  <c r="AB108" i="1"/>
  <c r="AB116" i="1"/>
  <c r="AB124" i="1"/>
  <c r="AB132" i="1"/>
  <c r="AB140" i="1"/>
  <c r="AB148" i="1"/>
  <c r="AB156" i="1"/>
  <c r="AB164" i="1"/>
  <c r="AB172" i="1"/>
  <c r="AB180" i="1"/>
  <c r="AB188" i="1"/>
  <c r="AB196" i="1"/>
  <c r="AB204" i="1"/>
  <c r="AB212" i="1"/>
  <c r="AB220" i="1"/>
  <c r="AB228" i="1"/>
  <c r="AB236" i="1"/>
  <c r="AB244" i="1"/>
  <c r="AB117" i="1"/>
  <c r="AB149" i="1"/>
  <c r="AB165" i="1"/>
  <c r="AB189" i="1"/>
  <c r="AB221" i="1"/>
  <c r="AB245" i="1"/>
  <c r="AB135" i="1"/>
  <c r="AB167" i="1"/>
  <c r="AB207" i="1"/>
  <c r="AB231" i="1"/>
  <c r="AB193" i="1"/>
  <c r="AB233" i="1"/>
  <c r="A227" i="1"/>
  <c r="A6" i="1"/>
  <c r="A14" i="1"/>
  <c r="A22" i="1"/>
  <c r="A30" i="1"/>
  <c r="A38" i="1"/>
  <c r="A46" i="1"/>
  <c r="A54" i="1"/>
  <c r="A62" i="1"/>
  <c r="A70" i="1"/>
  <c r="A78" i="1"/>
  <c r="A86" i="1"/>
  <c r="A94" i="1"/>
  <c r="A102" i="1"/>
  <c r="A110" i="1"/>
  <c r="A118" i="1"/>
  <c r="A126" i="1"/>
  <c r="A134" i="1"/>
  <c r="A142" i="1"/>
  <c r="A150" i="1"/>
  <c r="A158" i="1"/>
  <c r="A166" i="1"/>
  <c r="A174" i="1"/>
  <c r="A182" i="1"/>
  <c r="A190" i="1"/>
  <c r="A198" i="1"/>
  <c r="A206" i="1"/>
  <c r="A214" i="1"/>
  <c r="A222" i="1"/>
  <c r="A230" i="1"/>
  <c r="A238" i="1"/>
  <c r="A246" i="1"/>
  <c r="A7" i="1"/>
  <c r="A15" i="1"/>
  <c r="A23" i="1"/>
  <c r="A31" i="1"/>
  <c r="A39" i="1"/>
  <c r="A47" i="1"/>
  <c r="A55" i="1"/>
  <c r="A63" i="1"/>
  <c r="A71" i="1"/>
  <c r="A79" i="1"/>
  <c r="A87" i="1"/>
  <c r="A95" i="1"/>
  <c r="A103" i="1"/>
  <c r="A111" i="1"/>
  <c r="A119" i="1"/>
  <c r="A127" i="1"/>
  <c r="A135" i="1"/>
  <c r="A143" i="1"/>
  <c r="A151" i="1"/>
  <c r="A159" i="1"/>
  <c r="A167" i="1"/>
  <c r="A175" i="1"/>
  <c r="A191" i="1"/>
  <c r="A199" i="1"/>
  <c r="A207" i="1"/>
  <c r="A215" i="1"/>
  <c r="A223" i="1"/>
  <c r="A231" i="1"/>
  <c r="A239" i="1"/>
  <c r="A247" i="1"/>
  <c r="A156" i="1"/>
  <c r="A196" i="1"/>
  <c r="A228" i="1"/>
  <c r="A5" i="1"/>
  <c r="A77" i="1"/>
  <c r="A183" i="1"/>
  <c r="A8" i="1"/>
  <c r="A16" i="1"/>
  <c r="A24" i="1"/>
  <c r="A32" i="1"/>
  <c r="A40" i="1"/>
  <c r="A48" i="1"/>
  <c r="A56" i="1"/>
  <c r="A64" i="1"/>
  <c r="A72" i="1"/>
  <c r="A80" i="1"/>
  <c r="A88" i="1"/>
  <c r="A96" i="1"/>
  <c r="A104" i="1"/>
  <c r="A112" i="1"/>
  <c r="A120" i="1"/>
  <c r="A128" i="1"/>
  <c r="A136" i="1"/>
  <c r="A144" i="1"/>
  <c r="A152" i="1"/>
  <c r="A160" i="1"/>
  <c r="A168" i="1"/>
  <c r="A176" i="1"/>
  <c r="A184" i="1"/>
  <c r="A192" i="1"/>
  <c r="A200" i="1"/>
  <c r="A208" i="1"/>
  <c r="A216" i="1"/>
  <c r="A224" i="1"/>
  <c r="A232" i="1"/>
  <c r="A240" i="1"/>
  <c r="A248" i="1"/>
  <c r="A233" i="1"/>
  <c r="A10" i="1"/>
  <c r="A34" i="1"/>
  <c r="A50" i="1"/>
  <c r="A66" i="1"/>
  <c r="A74" i="1"/>
  <c r="A90" i="1"/>
  <c r="A106" i="1"/>
  <c r="A122" i="1"/>
  <c r="A130" i="1"/>
  <c r="A154" i="1"/>
  <c r="A162" i="1"/>
  <c r="A178" i="1"/>
  <c r="A194" i="1"/>
  <c r="A218" i="1"/>
  <c r="A234" i="1"/>
  <c r="A250" i="1"/>
  <c r="A11" i="1"/>
  <c r="A19" i="1"/>
  <c r="A43" i="1"/>
  <c r="A59" i="1"/>
  <c r="A75" i="1"/>
  <c r="A91" i="1"/>
  <c r="A99" i="1"/>
  <c r="A115" i="1"/>
  <c r="A131" i="1"/>
  <c r="A147" i="1"/>
  <c r="A163" i="1"/>
  <c r="A179" i="1"/>
  <c r="A195" i="1"/>
  <c r="A211" i="1"/>
  <c r="A243" i="1"/>
  <c r="A4" i="1"/>
  <c r="A20" i="1"/>
  <c r="A28" i="1"/>
  <c r="A44" i="1"/>
  <c r="A52" i="1"/>
  <c r="A60" i="1"/>
  <c r="A76" i="1"/>
  <c r="A92" i="1"/>
  <c r="A108" i="1"/>
  <c r="A124" i="1"/>
  <c r="A140" i="1"/>
  <c r="A164" i="1"/>
  <c r="A180" i="1"/>
  <c r="A204" i="1"/>
  <c r="A220" i="1"/>
  <c r="A244" i="1"/>
  <c r="A252" i="1"/>
  <c r="A21" i="1"/>
  <c r="A29" i="1"/>
  <c r="A45" i="1"/>
  <c r="A61" i="1"/>
  <c r="A85" i="1"/>
  <c r="A9" i="1"/>
  <c r="A17" i="1"/>
  <c r="A25" i="1"/>
  <c r="A33" i="1"/>
  <c r="A41" i="1"/>
  <c r="A49" i="1"/>
  <c r="A57" i="1"/>
  <c r="A65" i="1"/>
  <c r="A73" i="1"/>
  <c r="A81" i="1"/>
  <c r="A89" i="1"/>
  <c r="A97" i="1"/>
  <c r="A105" i="1"/>
  <c r="A113" i="1"/>
  <c r="A121" i="1"/>
  <c r="A129" i="1"/>
  <c r="A137" i="1"/>
  <c r="A145" i="1"/>
  <c r="A153" i="1"/>
  <c r="A161" i="1"/>
  <c r="A169" i="1"/>
  <c r="A177" i="1"/>
  <c r="A185" i="1"/>
  <c r="A193" i="1"/>
  <c r="A201" i="1"/>
  <c r="A209" i="1"/>
  <c r="A217" i="1"/>
  <c r="A225" i="1"/>
  <c r="A241" i="1"/>
  <c r="A249" i="1"/>
  <c r="A18" i="1"/>
  <c r="A26" i="1"/>
  <c r="A42" i="1"/>
  <c r="A58" i="1"/>
  <c r="A82" i="1"/>
  <c r="A98" i="1"/>
  <c r="A114" i="1"/>
  <c r="A138" i="1"/>
  <c r="A146" i="1"/>
  <c r="A170" i="1"/>
  <c r="A186" i="1"/>
  <c r="A202" i="1"/>
  <c r="A210" i="1"/>
  <c r="A226" i="1"/>
  <c r="A242" i="1"/>
  <c r="A3" i="1"/>
  <c r="A27" i="1"/>
  <c r="A35" i="1"/>
  <c r="A51" i="1"/>
  <c r="A67" i="1"/>
  <c r="A83" i="1"/>
  <c r="A107" i="1"/>
  <c r="A123" i="1"/>
  <c r="A139" i="1"/>
  <c r="A155" i="1"/>
  <c r="A171" i="1"/>
  <c r="A187" i="1"/>
  <c r="A203" i="1"/>
  <c r="A219" i="1"/>
  <c r="A235" i="1"/>
  <c r="A251" i="1"/>
  <c r="A12" i="1"/>
  <c r="A36" i="1"/>
  <c r="A68" i="1"/>
  <c r="A84" i="1"/>
  <c r="A100" i="1"/>
  <c r="A116" i="1"/>
  <c r="A132" i="1"/>
  <c r="A148" i="1"/>
  <c r="A172" i="1"/>
  <c r="A188" i="1"/>
  <c r="A212" i="1"/>
  <c r="A236" i="1"/>
  <c r="A13" i="1"/>
  <c r="A37" i="1"/>
  <c r="A53" i="1"/>
  <c r="A69" i="1"/>
  <c r="A93" i="1"/>
  <c r="A109" i="1"/>
  <c r="A117" i="1"/>
  <c r="A125" i="1"/>
  <c r="A189" i="1"/>
  <c r="A141" i="1"/>
  <c r="A205" i="1"/>
  <c r="A213" i="1"/>
  <c r="A221" i="1"/>
  <c r="A165" i="1"/>
  <c r="A173" i="1"/>
  <c r="A101" i="1"/>
  <c r="A245" i="1"/>
  <c r="A133" i="1"/>
  <c r="A197" i="1"/>
  <c r="A149" i="1"/>
  <c r="A157" i="1"/>
  <c r="A229" i="1"/>
  <c r="A237" i="1"/>
  <c r="A181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15" i="1"/>
  <c r="A2" i="1" l="1"/>
  <c r="AE5" i="1"/>
  <c r="AE4" i="1"/>
  <c r="AE3" i="1"/>
  <c r="AE2" i="1"/>
  <c r="AD5" i="1"/>
  <c r="AD4" i="1"/>
  <c r="AD3" i="1"/>
  <c r="AD2" i="1"/>
  <c r="AB101" i="1"/>
  <c r="L150" i="1"/>
  <c r="X27" i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W13" i="1"/>
  <c r="W14" i="1" s="1"/>
  <c r="L188" i="1"/>
  <c r="L48" i="1"/>
  <c r="L103" i="1"/>
  <c r="L54" i="1"/>
  <c r="L206" i="1"/>
  <c r="K21" i="1"/>
  <c r="L210" i="1"/>
  <c r="L59" i="1"/>
  <c r="L220" i="1"/>
  <c r="L51" i="1"/>
  <c r="L235" i="1"/>
  <c r="L43" i="1"/>
  <c r="J21" i="1"/>
  <c r="N3" i="1"/>
  <c r="E2" i="1"/>
  <c r="G2" i="1"/>
  <c r="F3" i="1" l="1"/>
  <c r="F11" i="1"/>
  <c r="F19" i="1"/>
  <c r="F27" i="1"/>
  <c r="F35" i="1"/>
  <c r="F43" i="1"/>
  <c r="F51" i="1"/>
  <c r="F59" i="1"/>
  <c r="F67" i="1"/>
  <c r="F75" i="1"/>
  <c r="F83" i="1"/>
  <c r="F91" i="1"/>
  <c r="F99" i="1"/>
  <c r="F107" i="1"/>
  <c r="F115" i="1"/>
  <c r="F123" i="1"/>
  <c r="F131" i="1"/>
  <c r="F139" i="1"/>
  <c r="F147" i="1"/>
  <c r="F155" i="1"/>
  <c r="F163" i="1"/>
  <c r="F171" i="1"/>
  <c r="F179" i="1"/>
  <c r="F187" i="1"/>
  <c r="F195" i="1"/>
  <c r="F203" i="1"/>
  <c r="F211" i="1"/>
  <c r="F219" i="1"/>
  <c r="F227" i="1"/>
  <c r="F235" i="1"/>
  <c r="F243" i="1"/>
  <c r="F251" i="1"/>
  <c r="F125" i="1"/>
  <c r="F189" i="1"/>
  <c r="F221" i="1"/>
  <c r="F245" i="1"/>
  <c r="F142" i="1"/>
  <c r="F174" i="1"/>
  <c r="F214" i="1"/>
  <c r="F246" i="1"/>
  <c r="F224" i="1"/>
  <c r="F4" i="1"/>
  <c r="F12" i="1"/>
  <c r="F20" i="1"/>
  <c r="F28" i="1"/>
  <c r="F36" i="1"/>
  <c r="F44" i="1"/>
  <c r="F52" i="1"/>
  <c r="F60" i="1"/>
  <c r="F68" i="1"/>
  <c r="F76" i="1"/>
  <c r="F84" i="1"/>
  <c r="F92" i="1"/>
  <c r="F100" i="1"/>
  <c r="F108" i="1"/>
  <c r="F116" i="1"/>
  <c r="F124" i="1"/>
  <c r="F132" i="1"/>
  <c r="F140" i="1"/>
  <c r="F148" i="1"/>
  <c r="F156" i="1"/>
  <c r="F164" i="1"/>
  <c r="F172" i="1"/>
  <c r="F180" i="1"/>
  <c r="F188" i="1"/>
  <c r="F196" i="1"/>
  <c r="F204" i="1"/>
  <c r="F212" i="1"/>
  <c r="F220" i="1"/>
  <c r="F228" i="1"/>
  <c r="F236" i="1"/>
  <c r="F244" i="1"/>
  <c r="F252" i="1"/>
  <c r="F13" i="1"/>
  <c r="F21" i="1"/>
  <c r="F37" i="1"/>
  <c r="F45" i="1"/>
  <c r="F61" i="1"/>
  <c r="F69" i="1"/>
  <c r="F85" i="1"/>
  <c r="F101" i="1"/>
  <c r="F109" i="1"/>
  <c r="F133" i="1"/>
  <c r="F149" i="1"/>
  <c r="F165" i="1"/>
  <c r="F181" i="1"/>
  <c r="F197" i="1"/>
  <c r="F213" i="1"/>
  <c r="F237" i="1"/>
  <c r="F118" i="1"/>
  <c r="F158" i="1"/>
  <c r="F182" i="1"/>
  <c r="F206" i="1"/>
  <c r="F230" i="1"/>
  <c r="F200" i="1"/>
  <c r="F248" i="1"/>
  <c r="F5" i="1"/>
  <c r="F29" i="1"/>
  <c r="F53" i="1"/>
  <c r="F77" i="1"/>
  <c r="F93" i="1"/>
  <c r="F117" i="1"/>
  <c r="F141" i="1"/>
  <c r="F157" i="1"/>
  <c r="F173" i="1"/>
  <c r="F205" i="1"/>
  <c r="F229" i="1"/>
  <c r="F134" i="1"/>
  <c r="F190" i="1"/>
  <c r="F222" i="1"/>
  <c r="F192" i="1"/>
  <c r="F240" i="1"/>
  <c r="F6" i="1"/>
  <c r="F14" i="1"/>
  <c r="F22" i="1"/>
  <c r="F30" i="1"/>
  <c r="F38" i="1"/>
  <c r="F46" i="1"/>
  <c r="F54" i="1"/>
  <c r="F62" i="1"/>
  <c r="F70" i="1"/>
  <c r="F78" i="1"/>
  <c r="F86" i="1"/>
  <c r="F94" i="1"/>
  <c r="F102" i="1"/>
  <c r="F110" i="1"/>
  <c r="F126" i="1"/>
  <c r="F150" i="1"/>
  <c r="F166" i="1"/>
  <c r="F198" i="1"/>
  <c r="F238" i="1"/>
  <c r="F232" i="1"/>
  <c r="F7" i="1"/>
  <c r="F15" i="1"/>
  <c r="F23" i="1"/>
  <c r="F31" i="1"/>
  <c r="F39" i="1"/>
  <c r="F47" i="1"/>
  <c r="F55" i="1"/>
  <c r="F63" i="1"/>
  <c r="F71" i="1"/>
  <c r="F79" i="1"/>
  <c r="F87" i="1"/>
  <c r="F95" i="1"/>
  <c r="F103" i="1"/>
  <c r="F111" i="1"/>
  <c r="F119" i="1"/>
  <c r="F127" i="1"/>
  <c r="F135" i="1"/>
  <c r="F143" i="1"/>
  <c r="F151" i="1"/>
  <c r="F159" i="1"/>
  <c r="F167" i="1"/>
  <c r="F175" i="1"/>
  <c r="F183" i="1"/>
  <c r="F191" i="1"/>
  <c r="F199" i="1"/>
  <c r="F207" i="1"/>
  <c r="F215" i="1"/>
  <c r="F223" i="1"/>
  <c r="F231" i="1"/>
  <c r="F239" i="1"/>
  <c r="F247" i="1"/>
  <c r="F56" i="1"/>
  <c r="F104" i="1"/>
  <c r="F120" i="1"/>
  <c r="F136" i="1"/>
  <c r="F152" i="1"/>
  <c r="F168" i="1"/>
  <c r="F184" i="1"/>
  <c r="F216" i="1"/>
  <c r="F8" i="1"/>
  <c r="F16" i="1"/>
  <c r="F24" i="1"/>
  <c r="F32" i="1"/>
  <c r="F40" i="1"/>
  <c r="F48" i="1"/>
  <c r="F64" i="1"/>
  <c r="F72" i="1"/>
  <c r="F80" i="1"/>
  <c r="F88" i="1"/>
  <c r="F96" i="1"/>
  <c r="F112" i="1"/>
  <c r="F128" i="1"/>
  <c r="F144" i="1"/>
  <c r="F160" i="1"/>
  <c r="F176" i="1"/>
  <c r="F208" i="1"/>
  <c r="F9" i="1"/>
  <c r="F17" i="1"/>
  <c r="F25" i="1"/>
  <c r="F33" i="1"/>
  <c r="F41" i="1"/>
  <c r="F49" i="1"/>
  <c r="F57" i="1"/>
  <c r="F65" i="1"/>
  <c r="F73" i="1"/>
  <c r="F81" i="1"/>
  <c r="F89" i="1"/>
  <c r="F97" i="1"/>
  <c r="F105" i="1"/>
  <c r="F113" i="1"/>
  <c r="F121" i="1"/>
  <c r="F129" i="1"/>
  <c r="F137" i="1"/>
  <c r="F145" i="1"/>
  <c r="F153" i="1"/>
  <c r="F161" i="1"/>
  <c r="F169" i="1"/>
  <c r="F177" i="1"/>
  <c r="F185" i="1"/>
  <c r="F193" i="1"/>
  <c r="F201" i="1"/>
  <c r="F209" i="1"/>
  <c r="F217" i="1"/>
  <c r="F225" i="1"/>
  <c r="F233" i="1"/>
  <c r="F241" i="1"/>
  <c r="F249" i="1"/>
  <c r="F10" i="1"/>
  <c r="F18" i="1"/>
  <c r="F26" i="1"/>
  <c r="F34" i="1"/>
  <c r="F42" i="1"/>
  <c r="F50" i="1"/>
  <c r="F58" i="1"/>
  <c r="F66" i="1"/>
  <c r="F74" i="1"/>
  <c r="F82" i="1"/>
  <c r="F90" i="1"/>
  <c r="F98" i="1"/>
  <c r="F106" i="1"/>
  <c r="F114" i="1"/>
  <c r="F122" i="1"/>
  <c r="F130" i="1"/>
  <c r="F138" i="1"/>
  <c r="F146" i="1"/>
  <c r="F154" i="1"/>
  <c r="F162" i="1"/>
  <c r="F170" i="1"/>
  <c r="F178" i="1"/>
  <c r="F186" i="1"/>
  <c r="F194" i="1"/>
  <c r="F202" i="1"/>
  <c r="F210" i="1"/>
  <c r="F218" i="1"/>
  <c r="F226" i="1"/>
  <c r="F234" i="1"/>
  <c r="F242" i="1"/>
  <c r="F250" i="1"/>
  <c r="M223" i="1"/>
  <c r="L223" i="1"/>
  <c r="L155" i="1"/>
  <c r="L240" i="1"/>
  <c r="M191" i="1"/>
  <c r="L191" i="1"/>
  <c r="M100" i="1"/>
  <c r="L100" i="1"/>
  <c r="M55" i="1"/>
  <c r="L55" i="1"/>
  <c r="L136" i="1"/>
  <c r="M83" i="1"/>
  <c r="L83" i="1"/>
  <c r="L60" i="1"/>
  <c r="L209" i="1"/>
  <c r="L225" i="1"/>
  <c r="L58" i="1"/>
  <c r="L72" i="1"/>
  <c r="L86" i="1"/>
  <c r="M37" i="1"/>
  <c r="L37" i="1"/>
  <c r="L75" i="1"/>
  <c r="M250" i="1"/>
  <c r="L250" i="1"/>
  <c r="L38" i="1"/>
  <c r="M201" i="1"/>
  <c r="L201" i="1"/>
  <c r="L166" i="1"/>
  <c r="L73" i="1"/>
  <c r="L47" i="1"/>
  <c r="L41" i="1"/>
  <c r="L207" i="1"/>
  <c r="M135" i="1"/>
  <c r="L135" i="1"/>
  <c r="M184" i="1"/>
  <c r="L184" i="1"/>
  <c r="L246" i="1"/>
  <c r="L57" i="1"/>
  <c r="L238" i="1"/>
  <c r="L28" i="1"/>
  <c r="L82" i="1"/>
  <c r="L112" i="1"/>
  <c r="M99" i="1"/>
  <c r="L99" i="1"/>
  <c r="M114" i="1"/>
  <c r="L114" i="1"/>
  <c r="M152" i="1"/>
  <c r="L152" i="1"/>
  <c r="M162" i="1"/>
  <c r="L162" i="1"/>
  <c r="M23" i="1"/>
  <c r="L23" i="1"/>
  <c r="M146" i="1"/>
  <c r="L146" i="1"/>
  <c r="M228" i="1"/>
  <c r="L228" i="1"/>
  <c r="M149" i="1"/>
  <c r="L149" i="1"/>
  <c r="M144" i="1"/>
  <c r="L144" i="1"/>
  <c r="L106" i="1"/>
  <c r="M122" i="1"/>
  <c r="L122" i="1"/>
  <c r="M180" i="1"/>
  <c r="L180" i="1"/>
  <c r="M61" i="1"/>
  <c r="L61" i="1"/>
  <c r="M211" i="1"/>
  <c r="L211" i="1"/>
  <c r="M108" i="1"/>
  <c r="L108" i="1"/>
  <c r="M249" i="1"/>
  <c r="L249" i="1"/>
  <c r="M66" i="1"/>
  <c r="L66" i="1"/>
  <c r="M219" i="1"/>
  <c r="L219" i="1"/>
  <c r="M186" i="1"/>
  <c r="L186" i="1"/>
  <c r="M181" i="1"/>
  <c r="L181" i="1"/>
  <c r="M120" i="1"/>
  <c r="L120" i="1"/>
  <c r="M242" i="1"/>
  <c r="L242" i="1"/>
  <c r="M116" i="1"/>
  <c r="L116" i="1"/>
  <c r="M128" i="1"/>
  <c r="L128" i="1"/>
  <c r="M46" i="1"/>
  <c r="L46" i="1"/>
  <c r="M117" i="1"/>
  <c r="L117" i="1"/>
  <c r="M212" i="1"/>
  <c r="L212" i="1"/>
  <c r="M182" i="1"/>
  <c r="L182" i="1"/>
  <c r="M31" i="1"/>
  <c r="L31" i="1"/>
  <c r="M221" i="1"/>
  <c r="L221" i="1"/>
  <c r="M137" i="1"/>
  <c r="L137" i="1"/>
  <c r="M87" i="1"/>
  <c r="L87" i="1"/>
  <c r="M156" i="1"/>
  <c r="L156" i="1"/>
  <c r="M107" i="1"/>
  <c r="L107" i="1"/>
  <c r="L233" i="1"/>
  <c r="M145" i="1"/>
  <c r="L145" i="1"/>
  <c r="M77" i="1"/>
  <c r="L77" i="1"/>
  <c r="M178" i="1"/>
  <c r="L178" i="1"/>
  <c r="L204" i="1"/>
  <c r="M141" i="1"/>
  <c r="L141" i="1"/>
  <c r="M130" i="1"/>
  <c r="L130" i="1"/>
  <c r="M27" i="1"/>
  <c r="L27" i="1"/>
  <c r="L39" i="1"/>
  <c r="M129" i="1"/>
  <c r="L129" i="1"/>
  <c r="M89" i="1"/>
  <c r="L89" i="1"/>
  <c r="L193" i="1"/>
  <c r="M163" i="1"/>
  <c r="L163" i="1"/>
  <c r="M63" i="1"/>
  <c r="L63" i="1"/>
  <c r="M65" i="1"/>
  <c r="L65" i="1"/>
  <c r="M44" i="1"/>
  <c r="L44" i="1"/>
  <c r="M64" i="1"/>
  <c r="L64" i="1"/>
  <c r="L109" i="1"/>
  <c r="L198" i="1"/>
  <c r="L50" i="1"/>
  <c r="M154" i="1"/>
  <c r="L154" i="1"/>
  <c r="M159" i="1"/>
  <c r="L159" i="1"/>
  <c r="L71" i="1"/>
  <c r="L138" i="1"/>
  <c r="L93" i="1"/>
  <c r="L105" i="1"/>
  <c r="M22" i="1"/>
  <c r="L22" i="1"/>
  <c r="L244" i="1"/>
  <c r="M121" i="1"/>
  <c r="L121" i="1"/>
  <c r="M200" i="1"/>
  <c r="L200" i="1"/>
  <c r="M142" i="1"/>
  <c r="L142" i="1"/>
  <c r="M85" i="1"/>
  <c r="L85" i="1"/>
  <c r="M96" i="1"/>
  <c r="L96" i="1"/>
  <c r="M88" i="1"/>
  <c r="L88" i="1"/>
  <c r="M40" i="1"/>
  <c r="L40" i="1"/>
  <c r="M125" i="1"/>
  <c r="L125" i="1"/>
  <c r="M140" i="1"/>
  <c r="L140" i="1"/>
  <c r="M102" i="1"/>
  <c r="L102" i="1"/>
  <c r="M133" i="1"/>
  <c r="L133" i="1"/>
  <c r="L35" i="1"/>
  <c r="M171" i="1"/>
  <c r="L171" i="1"/>
  <c r="L111" i="1"/>
  <c r="M97" i="1"/>
  <c r="L97" i="1"/>
  <c r="L230" i="1"/>
  <c r="M226" i="1"/>
  <c r="L226" i="1"/>
  <c r="M80" i="1"/>
  <c r="L80" i="1"/>
  <c r="M139" i="1"/>
  <c r="L139" i="1"/>
  <c r="M164" i="1"/>
  <c r="L164" i="1"/>
  <c r="M205" i="1"/>
  <c r="L205" i="1"/>
  <c r="M158" i="1"/>
  <c r="L158" i="1"/>
  <c r="L95" i="1"/>
  <c r="M127" i="1"/>
  <c r="L127" i="1"/>
  <c r="M176" i="1"/>
  <c r="L176" i="1"/>
  <c r="M173" i="1"/>
  <c r="L173" i="1"/>
  <c r="M29" i="1"/>
  <c r="L29" i="1"/>
  <c r="M192" i="1"/>
  <c r="L192" i="1"/>
  <c r="M217" i="1"/>
  <c r="L217" i="1"/>
  <c r="M215" i="1"/>
  <c r="L215" i="1"/>
  <c r="M227" i="1"/>
  <c r="L227" i="1"/>
  <c r="M175" i="1"/>
  <c r="L175" i="1"/>
  <c r="M237" i="1"/>
  <c r="L237" i="1"/>
  <c r="M91" i="1"/>
  <c r="L91" i="1"/>
  <c r="M26" i="1"/>
  <c r="L26" i="1"/>
  <c r="L190" i="1"/>
  <c r="L202" i="1"/>
  <c r="M147" i="1"/>
  <c r="L147" i="1"/>
  <c r="M113" i="1"/>
  <c r="L113" i="1"/>
  <c r="M132" i="1"/>
  <c r="L132" i="1"/>
  <c r="M32" i="1"/>
  <c r="L32" i="1"/>
  <c r="M170" i="1"/>
  <c r="L170" i="1"/>
  <c r="L67" i="1"/>
  <c r="L36" i="1"/>
  <c r="M213" i="1"/>
  <c r="L213" i="1"/>
  <c r="M187" i="1"/>
  <c r="L187" i="1"/>
  <c r="M160" i="1"/>
  <c r="L160" i="1"/>
  <c r="M34" i="1"/>
  <c r="L34" i="1"/>
  <c r="L104" i="1"/>
  <c r="M179" i="1"/>
  <c r="L179" i="1"/>
  <c r="L151" i="1"/>
  <c r="L189" i="1"/>
  <c r="L165" i="1"/>
  <c r="L90" i="1"/>
  <c r="L218" i="1"/>
  <c r="M153" i="1"/>
  <c r="L153" i="1"/>
  <c r="L251" i="1"/>
  <c r="L148" i="1"/>
  <c r="L196" i="1"/>
  <c r="L252" i="1"/>
  <c r="L236" i="1"/>
  <c r="L134" i="1"/>
  <c r="L229" i="1"/>
  <c r="M216" i="1"/>
  <c r="L216" i="1"/>
  <c r="L183" i="1"/>
  <c r="L234" i="1"/>
  <c r="L56" i="1"/>
  <c r="L199" i="1"/>
  <c r="L161" i="1"/>
  <c r="L248" i="1"/>
  <c r="L197" i="1"/>
  <c r="M94" i="1"/>
  <c r="L94" i="1"/>
  <c r="L110" i="1"/>
  <c r="M42" i="1"/>
  <c r="L42" i="1"/>
  <c r="M208" i="1"/>
  <c r="L208" i="1"/>
  <c r="L231" i="1"/>
  <c r="M81" i="1"/>
  <c r="L81" i="1"/>
  <c r="M45" i="1"/>
  <c r="L45" i="1"/>
  <c r="M185" i="1"/>
  <c r="L185" i="1"/>
  <c r="M25" i="1"/>
  <c r="L25" i="1"/>
  <c r="M69" i="1"/>
  <c r="L69" i="1"/>
  <c r="M224" i="1"/>
  <c r="L224" i="1"/>
  <c r="M33" i="1"/>
  <c r="L33" i="1"/>
  <c r="L232" i="1"/>
  <c r="L241" i="1"/>
  <c r="L243" i="1"/>
  <c r="M119" i="1"/>
  <c r="L119" i="1"/>
  <c r="M118" i="1"/>
  <c r="L118" i="1"/>
  <c r="L169" i="1"/>
  <c r="L131" i="1"/>
  <c r="M52" i="1"/>
  <c r="L52" i="1"/>
  <c r="M62" i="1"/>
  <c r="L62" i="1"/>
  <c r="M98" i="1"/>
  <c r="L98" i="1"/>
  <c r="M157" i="1"/>
  <c r="L157" i="1"/>
  <c r="L174" i="1"/>
  <c r="M195" i="1"/>
  <c r="L195" i="1"/>
  <c r="M101" i="1"/>
  <c r="L101" i="1"/>
  <c r="M53" i="1"/>
  <c r="L53" i="1"/>
  <c r="L76" i="1"/>
  <c r="M247" i="1"/>
  <c r="L247" i="1"/>
  <c r="M143" i="1"/>
  <c r="L143" i="1"/>
  <c r="M49" i="1"/>
  <c r="L49" i="1"/>
  <c r="L194" i="1"/>
  <c r="M24" i="1"/>
  <c r="L24" i="1"/>
  <c r="M70" i="1"/>
  <c r="L70" i="1"/>
  <c r="M239" i="1"/>
  <c r="L239" i="1"/>
  <c r="M30" i="1"/>
  <c r="L30" i="1"/>
  <c r="L124" i="1"/>
  <c r="L74" i="1"/>
  <c r="M126" i="1"/>
  <c r="L126" i="1"/>
  <c r="M92" i="1"/>
  <c r="L92" i="1"/>
  <c r="L79" i="1"/>
  <c r="M123" i="1"/>
  <c r="L123" i="1"/>
  <c r="M84" i="1"/>
  <c r="L84" i="1"/>
  <c r="L115" i="1"/>
  <c r="L172" i="1"/>
  <c r="L167" i="1"/>
  <c r="L203" i="1"/>
  <c r="M222" i="1"/>
  <c r="L222" i="1"/>
  <c r="L168" i="1"/>
  <c r="L245" i="1"/>
  <c r="L68" i="1"/>
  <c r="L78" i="1"/>
  <c r="L177" i="1"/>
  <c r="M214" i="1"/>
  <c r="L214" i="1"/>
  <c r="M169" i="1"/>
  <c r="M202" i="1"/>
  <c r="M111" i="1"/>
  <c r="M76" i="1"/>
  <c r="M194" i="1"/>
  <c r="M112" i="1"/>
  <c r="M43" i="1"/>
  <c r="M235" i="1"/>
  <c r="M155" i="1"/>
  <c r="M220" i="1"/>
  <c r="M59" i="1"/>
  <c r="M210" i="1"/>
  <c r="M206" i="1"/>
  <c r="M54" i="1"/>
  <c r="M231" i="1"/>
  <c r="M103" i="1"/>
  <c r="M48" i="1"/>
  <c r="M188" i="1"/>
  <c r="M150" i="1"/>
  <c r="M240" i="1"/>
  <c r="M136" i="1"/>
  <c r="M60" i="1"/>
  <c r="M209" i="1"/>
  <c r="M225" i="1"/>
  <c r="M58" i="1"/>
  <c r="M72" i="1"/>
  <c r="M86" i="1"/>
  <c r="M75" i="1"/>
  <c r="M38" i="1"/>
  <c r="M166" i="1"/>
  <c r="M73" i="1"/>
  <c r="M47" i="1"/>
  <c r="M41" i="1"/>
  <c r="M207" i="1"/>
  <c r="M246" i="1"/>
  <c r="M57" i="1"/>
  <c r="M238" i="1"/>
  <c r="M28" i="1"/>
  <c r="M82" i="1"/>
  <c r="M106" i="1"/>
  <c r="M243" i="1"/>
  <c r="M233" i="1"/>
  <c r="M204" i="1"/>
  <c r="M39" i="1"/>
  <c r="M193" i="1"/>
  <c r="M109" i="1"/>
  <c r="M198" i="1"/>
  <c r="M50" i="1"/>
  <c r="M71" i="1"/>
  <c r="M138" i="1"/>
  <c r="M93" i="1"/>
  <c r="M105" i="1"/>
  <c r="M244" i="1"/>
  <c r="M131" i="1"/>
  <c r="M230" i="1"/>
  <c r="M174" i="1"/>
  <c r="M51" i="1"/>
  <c r="M95" i="1"/>
  <c r="M232" i="1"/>
  <c r="M241" i="1"/>
  <c r="M35" i="1"/>
  <c r="M67" i="1"/>
  <c r="M36" i="1"/>
  <c r="M104" i="1"/>
  <c r="M151" i="1"/>
  <c r="M189" i="1"/>
  <c r="M165" i="1"/>
  <c r="M90" i="1"/>
  <c r="M218" i="1"/>
  <c r="M251" i="1"/>
  <c r="M148" i="1"/>
  <c r="M196" i="1"/>
  <c r="M252" i="1"/>
  <c r="M236" i="1"/>
  <c r="M134" i="1"/>
  <c r="M229" i="1"/>
  <c r="M183" i="1"/>
  <c r="M234" i="1"/>
  <c r="M56" i="1"/>
  <c r="M199" i="1"/>
  <c r="M161" i="1"/>
  <c r="M248" i="1"/>
  <c r="M197" i="1"/>
  <c r="M110" i="1"/>
  <c r="M190" i="1"/>
  <c r="M124" i="1"/>
  <c r="M74" i="1"/>
  <c r="M79" i="1"/>
  <c r="M115" i="1"/>
  <c r="M172" i="1"/>
  <c r="M167" i="1"/>
  <c r="M203" i="1"/>
  <c r="M168" i="1"/>
  <c r="M245" i="1"/>
  <c r="M68" i="1"/>
  <c r="M78" i="1"/>
  <c r="M177" i="1"/>
  <c r="P156" i="1"/>
  <c r="O156" i="1"/>
  <c r="P204" i="1"/>
  <c r="O204" i="1"/>
  <c r="P227" i="1"/>
  <c r="O227" i="1"/>
  <c r="P16" i="1"/>
  <c r="O16" i="1"/>
  <c r="P71" i="1"/>
  <c r="O71" i="1"/>
  <c r="P9" i="1"/>
  <c r="O9" i="1"/>
  <c r="P43" i="1"/>
  <c r="O43" i="1"/>
  <c r="P189" i="1"/>
  <c r="O189" i="1"/>
  <c r="P252" i="1"/>
  <c r="O252" i="1"/>
  <c r="P22" i="1"/>
  <c r="O22" i="1"/>
  <c r="P31" i="1"/>
  <c r="O31" i="1"/>
  <c r="P101" i="1"/>
  <c r="O101" i="1"/>
  <c r="P159" i="1"/>
  <c r="O159" i="1"/>
  <c r="P94" i="1"/>
  <c r="O94" i="1"/>
  <c r="P39" i="1"/>
  <c r="O39" i="1"/>
  <c r="P193" i="1"/>
  <c r="O193" i="1"/>
  <c r="P146" i="1"/>
  <c r="O146" i="1"/>
  <c r="P20" i="1"/>
  <c r="O20" i="1"/>
  <c r="P164" i="1"/>
  <c r="O164" i="1"/>
  <c r="P30" i="1"/>
  <c r="O30" i="1"/>
  <c r="P188" i="1"/>
  <c r="O188" i="1"/>
  <c r="P89" i="1"/>
  <c r="O89" i="1"/>
  <c r="P249" i="1"/>
  <c r="O249" i="1"/>
  <c r="P127" i="1"/>
  <c r="O127" i="1"/>
  <c r="P38" i="1"/>
  <c r="O38" i="1"/>
  <c r="P160" i="1"/>
  <c r="O160" i="1"/>
  <c r="P230" i="1"/>
  <c r="O230" i="1"/>
  <c r="P107" i="1"/>
  <c r="O107" i="1"/>
  <c r="P78" i="1"/>
  <c r="O78" i="1"/>
  <c r="P220" i="1"/>
  <c r="O220" i="1"/>
  <c r="P182" i="1"/>
  <c r="O182" i="1"/>
  <c r="P175" i="1"/>
  <c r="O175" i="1"/>
  <c r="P126" i="1"/>
  <c r="O126" i="1"/>
  <c r="P53" i="1"/>
  <c r="O53" i="1"/>
  <c r="P167" i="1"/>
  <c r="O167" i="1"/>
  <c r="P142" i="1"/>
  <c r="O142" i="1"/>
  <c r="P133" i="1"/>
  <c r="O133" i="1"/>
  <c r="P231" i="1"/>
  <c r="O231" i="1"/>
  <c r="P14" i="1"/>
  <c r="O14" i="1"/>
  <c r="P15" i="1"/>
  <c r="O15" i="1"/>
  <c r="P171" i="1"/>
  <c r="O171" i="1"/>
  <c r="P212" i="1"/>
  <c r="O212" i="1"/>
  <c r="P82" i="1"/>
  <c r="O82" i="1"/>
  <c r="P244" i="1"/>
  <c r="O244" i="1"/>
  <c r="P235" i="1"/>
  <c r="O235" i="1"/>
  <c r="P97" i="1"/>
  <c r="O97" i="1"/>
  <c r="P120" i="1"/>
  <c r="O120" i="1"/>
  <c r="P67" i="1"/>
  <c r="O67" i="1"/>
  <c r="P73" i="1"/>
  <c r="O73" i="1"/>
  <c r="P41" i="1"/>
  <c r="O41" i="1"/>
  <c r="P110" i="1"/>
  <c r="O110" i="1"/>
  <c r="P28" i="1"/>
  <c r="O28" i="1"/>
  <c r="P117" i="1"/>
  <c r="O117" i="1"/>
  <c r="P33" i="1"/>
  <c r="O33" i="1"/>
  <c r="P103" i="1"/>
  <c r="O103" i="1"/>
  <c r="P214" i="1"/>
  <c r="O214" i="1"/>
  <c r="P17" i="1"/>
  <c r="O17" i="1"/>
  <c r="P6" i="1"/>
  <c r="O6" i="1"/>
  <c r="P100" i="1"/>
  <c r="O100" i="1"/>
  <c r="P90" i="1"/>
  <c r="O90" i="1"/>
  <c r="P150" i="1"/>
  <c r="O150" i="1"/>
  <c r="P121" i="1"/>
  <c r="O121" i="1"/>
  <c r="P108" i="1"/>
  <c r="O108" i="1"/>
  <c r="P25" i="1"/>
  <c r="O25" i="1"/>
  <c r="P232" i="1"/>
  <c r="O232" i="1"/>
  <c r="P181" i="1"/>
  <c r="O181" i="1"/>
  <c r="P111" i="1"/>
  <c r="O111" i="1"/>
  <c r="P240" i="1"/>
  <c r="O240" i="1"/>
  <c r="P86" i="1"/>
  <c r="O86" i="1"/>
  <c r="P173" i="1"/>
  <c r="O173" i="1"/>
  <c r="P92" i="1"/>
  <c r="O92" i="1"/>
  <c r="P119" i="1"/>
  <c r="O119" i="1"/>
  <c r="P184" i="1"/>
  <c r="O184" i="1"/>
  <c r="P49" i="1"/>
  <c r="O49" i="1"/>
  <c r="P236" i="1"/>
  <c r="O236" i="1"/>
  <c r="P209" i="1"/>
  <c r="O209" i="1"/>
  <c r="P79" i="1"/>
  <c r="O79" i="1"/>
  <c r="P69" i="1"/>
  <c r="O69" i="1"/>
  <c r="P7" i="1"/>
  <c r="O7" i="1"/>
  <c r="P203" i="1"/>
  <c r="O203" i="1"/>
  <c r="P162" i="1"/>
  <c r="O162" i="1"/>
  <c r="P29" i="1"/>
  <c r="O29" i="1"/>
  <c r="P68" i="1"/>
  <c r="O68" i="1"/>
  <c r="P35" i="1"/>
  <c r="O35" i="1"/>
  <c r="P51" i="1"/>
  <c r="O51" i="1"/>
  <c r="P132" i="1"/>
  <c r="O132" i="1"/>
  <c r="P34" i="1"/>
  <c r="O34" i="1"/>
  <c r="P225" i="1"/>
  <c r="O225" i="1"/>
  <c r="P226" i="1"/>
  <c r="O226" i="1"/>
  <c r="P138" i="1"/>
  <c r="O138" i="1"/>
  <c r="P134" i="1"/>
  <c r="O134" i="1"/>
  <c r="P88" i="1"/>
  <c r="O88" i="1"/>
  <c r="P54" i="1"/>
  <c r="O54" i="1"/>
  <c r="P155" i="1"/>
  <c r="O155" i="1"/>
  <c r="P19" i="1"/>
  <c r="O19" i="1"/>
  <c r="P63" i="1"/>
  <c r="O63" i="1"/>
  <c r="P40" i="1"/>
  <c r="O40" i="1"/>
  <c r="P46" i="1"/>
  <c r="O46" i="1"/>
  <c r="P170" i="1"/>
  <c r="O170" i="1"/>
  <c r="P197" i="1"/>
  <c r="O197" i="1"/>
  <c r="P141" i="1"/>
  <c r="O141" i="1"/>
  <c r="P210" i="1"/>
  <c r="O210" i="1"/>
  <c r="P246" i="1"/>
  <c r="O246" i="1"/>
  <c r="P36" i="1"/>
  <c r="O36" i="1"/>
  <c r="P147" i="1"/>
  <c r="O147" i="1"/>
  <c r="P185" i="1"/>
  <c r="O185" i="1"/>
  <c r="P105" i="1"/>
  <c r="O105" i="1"/>
  <c r="P21" i="1"/>
  <c r="O21" i="1"/>
  <c r="P140" i="1"/>
  <c r="O140" i="1"/>
  <c r="P198" i="1"/>
  <c r="O198" i="1"/>
  <c r="P84" i="1"/>
  <c r="O84" i="1"/>
  <c r="P93" i="1"/>
  <c r="O93" i="1"/>
  <c r="P206" i="1"/>
  <c r="O206" i="1"/>
  <c r="P98" i="1"/>
  <c r="O98" i="1"/>
  <c r="P207" i="1"/>
  <c r="O207" i="1"/>
  <c r="P115" i="1"/>
  <c r="O115" i="1"/>
  <c r="P222" i="1"/>
  <c r="O222" i="1"/>
  <c r="P196" i="1"/>
  <c r="O196" i="1"/>
  <c r="P123" i="1"/>
  <c r="O123" i="1"/>
  <c r="P238" i="1"/>
  <c r="O238" i="1"/>
  <c r="P217" i="1"/>
  <c r="O217" i="1"/>
  <c r="P165" i="1"/>
  <c r="O165" i="1"/>
  <c r="P168" i="1"/>
  <c r="O168" i="1"/>
  <c r="P114" i="1"/>
  <c r="O114" i="1"/>
  <c r="P233" i="1"/>
  <c r="O233" i="1"/>
  <c r="P251" i="1"/>
  <c r="O251" i="1"/>
  <c r="P137" i="1"/>
  <c r="O137" i="1"/>
  <c r="P152" i="1"/>
  <c r="O152" i="1"/>
  <c r="P186" i="1"/>
  <c r="O186" i="1"/>
  <c r="P32" i="1"/>
  <c r="O32" i="1"/>
  <c r="P218" i="1"/>
  <c r="O218" i="1"/>
  <c r="P179" i="1"/>
  <c r="O179" i="1"/>
  <c r="P112" i="1"/>
  <c r="O112" i="1"/>
  <c r="P81" i="1"/>
  <c r="O81" i="1"/>
  <c r="P131" i="1"/>
  <c r="O131" i="1"/>
  <c r="P223" i="1"/>
  <c r="O223" i="1"/>
  <c r="P57" i="1"/>
  <c r="O57" i="1"/>
  <c r="P48" i="1"/>
  <c r="O48" i="1"/>
  <c r="P166" i="1"/>
  <c r="O166" i="1"/>
  <c r="P191" i="1"/>
  <c r="O191" i="1"/>
  <c r="P199" i="1"/>
  <c r="O199" i="1"/>
  <c r="P4" i="1"/>
  <c r="O4" i="1"/>
  <c r="P205" i="1"/>
  <c r="O205" i="1"/>
  <c r="P228" i="1"/>
  <c r="O228" i="1"/>
  <c r="P58" i="1"/>
  <c r="O58" i="1"/>
  <c r="P47" i="1"/>
  <c r="O47" i="1"/>
  <c r="P116" i="1"/>
  <c r="O116" i="1"/>
  <c r="P178" i="1"/>
  <c r="O178" i="1"/>
  <c r="P216" i="1"/>
  <c r="O216" i="1"/>
  <c r="P61" i="1"/>
  <c r="O61" i="1"/>
  <c r="P213" i="1"/>
  <c r="O213" i="1"/>
  <c r="P208" i="1"/>
  <c r="O208" i="1"/>
  <c r="P50" i="1"/>
  <c r="O50" i="1"/>
  <c r="P194" i="1"/>
  <c r="O194" i="1"/>
  <c r="P157" i="1"/>
  <c r="O157" i="1"/>
  <c r="P128" i="1"/>
  <c r="O128" i="1"/>
  <c r="P85" i="1"/>
  <c r="O85" i="1"/>
  <c r="P144" i="1"/>
  <c r="O144" i="1"/>
  <c r="P27" i="1"/>
  <c r="O27" i="1"/>
  <c r="P242" i="1"/>
  <c r="O242" i="1"/>
  <c r="P202" i="1"/>
  <c r="O202" i="1"/>
  <c r="P234" i="1"/>
  <c r="O234" i="1"/>
  <c r="P104" i="1"/>
  <c r="O104" i="1"/>
  <c r="P163" i="1"/>
  <c r="O163" i="1"/>
  <c r="P45" i="1"/>
  <c r="O45" i="1"/>
  <c r="P91" i="1"/>
  <c r="O91" i="1"/>
  <c r="P74" i="1"/>
  <c r="O74" i="1"/>
  <c r="P219" i="1"/>
  <c r="O219" i="1"/>
  <c r="P143" i="1"/>
  <c r="O143" i="1"/>
  <c r="P77" i="1"/>
  <c r="O77" i="1"/>
  <c r="P145" i="1"/>
  <c r="O145" i="1"/>
  <c r="P192" i="1"/>
  <c r="O192" i="1"/>
  <c r="P60" i="1"/>
  <c r="O60" i="1"/>
  <c r="P113" i="1"/>
  <c r="O113" i="1"/>
  <c r="P172" i="1"/>
  <c r="O172" i="1"/>
  <c r="P190" i="1"/>
  <c r="O190" i="1"/>
  <c r="P65" i="1"/>
  <c r="O65" i="1"/>
  <c r="P52" i="1"/>
  <c r="O52" i="1"/>
  <c r="P149" i="1"/>
  <c r="O149" i="1"/>
  <c r="P13" i="1"/>
  <c r="O13" i="1"/>
  <c r="P201" i="1"/>
  <c r="O201" i="1"/>
  <c r="P12" i="1"/>
  <c r="O12" i="1"/>
  <c r="P23" i="1"/>
  <c r="O23" i="1"/>
  <c r="P239" i="1"/>
  <c r="O239" i="1"/>
  <c r="P183" i="1"/>
  <c r="O183" i="1"/>
  <c r="P247" i="1"/>
  <c r="O247" i="1"/>
  <c r="P154" i="1"/>
  <c r="O154" i="1"/>
  <c r="P161" i="1"/>
  <c r="O161" i="1"/>
  <c r="P44" i="1"/>
  <c r="O44" i="1"/>
  <c r="P215" i="1"/>
  <c r="O215" i="1"/>
  <c r="P109" i="1"/>
  <c r="O109" i="1"/>
  <c r="P72" i="1"/>
  <c r="O72" i="1"/>
  <c r="P248" i="1"/>
  <c r="O248" i="1"/>
  <c r="P250" i="1"/>
  <c r="O250" i="1"/>
  <c r="P37" i="1"/>
  <c r="O37" i="1"/>
  <c r="P8" i="1"/>
  <c r="O8" i="1"/>
  <c r="P106" i="1"/>
  <c r="O106" i="1"/>
  <c r="P24" i="1"/>
  <c r="O24" i="1"/>
  <c r="P148" i="1"/>
  <c r="O148" i="1"/>
  <c r="P66" i="1"/>
  <c r="O66" i="1"/>
  <c r="P241" i="1"/>
  <c r="O241" i="1"/>
  <c r="P64" i="1"/>
  <c r="O64" i="1"/>
  <c r="P76" i="1"/>
  <c r="O76" i="1"/>
  <c r="P122" i="1"/>
  <c r="O122" i="1"/>
  <c r="P229" i="1"/>
  <c r="O229" i="1"/>
  <c r="P169" i="1"/>
  <c r="O169" i="1"/>
  <c r="P224" i="1"/>
  <c r="O224" i="1"/>
  <c r="P195" i="1"/>
  <c r="O195" i="1"/>
  <c r="P5" i="1"/>
  <c r="O5" i="1"/>
  <c r="P56" i="1"/>
  <c r="O56" i="1"/>
  <c r="P139" i="1"/>
  <c r="O139" i="1"/>
  <c r="P96" i="1"/>
  <c r="O96" i="1"/>
  <c r="P99" i="1"/>
  <c r="O99" i="1"/>
  <c r="P237" i="1"/>
  <c r="O237" i="1"/>
  <c r="P18" i="1"/>
  <c r="O18" i="1"/>
  <c r="P200" i="1"/>
  <c r="O200" i="1"/>
  <c r="P221" i="1"/>
  <c r="O221" i="1"/>
  <c r="P102" i="1"/>
  <c r="O102" i="1"/>
  <c r="P129" i="1"/>
  <c r="O129" i="1"/>
  <c r="P211" i="1"/>
  <c r="O211" i="1"/>
  <c r="P83" i="1"/>
  <c r="O83" i="1"/>
  <c r="P136" i="1"/>
  <c r="O136" i="1"/>
  <c r="P62" i="1"/>
  <c r="O62" i="1"/>
  <c r="P11" i="1"/>
  <c r="O11" i="1"/>
  <c r="P42" i="1"/>
  <c r="O42" i="1"/>
  <c r="P153" i="1"/>
  <c r="O153" i="1"/>
  <c r="P177" i="1"/>
  <c r="O177" i="1"/>
  <c r="P130" i="1"/>
  <c r="O130" i="1"/>
  <c r="P174" i="1"/>
  <c r="O174" i="1"/>
  <c r="P124" i="1"/>
  <c r="O124" i="1"/>
  <c r="P158" i="1"/>
  <c r="O158" i="1"/>
  <c r="P187" i="1"/>
  <c r="O187" i="1"/>
  <c r="P151" i="1"/>
  <c r="O151" i="1"/>
  <c r="P70" i="1"/>
  <c r="O70" i="1"/>
  <c r="P180" i="1"/>
  <c r="O180" i="1"/>
  <c r="P245" i="1"/>
  <c r="O245" i="1"/>
  <c r="P135" i="1"/>
  <c r="O135" i="1"/>
  <c r="P118" i="1"/>
  <c r="O118" i="1"/>
  <c r="P10" i="1"/>
  <c r="O10" i="1"/>
  <c r="P176" i="1"/>
  <c r="O176" i="1"/>
  <c r="P26" i="1"/>
  <c r="O26" i="1"/>
  <c r="P95" i="1"/>
  <c r="O95" i="1"/>
  <c r="P75" i="1"/>
  <c r="O75" i="1"/>
  <c r="P87" i="1"/>
  <c r="O87" i="1"/>
  <c r="P243" i="1"/>
  <c r="O243" i="1"/>
  <c r="P55" i="1"/>
  <c r="O55" i="1"/>
  <c r="P125" i="1"/>
  <c r="O125" i="1"/>
  <c r="P80" i="1"/>
  <c r="O80" i="1"/>
  <c r="P59" i="1"/>
  <c r="O59" i="1"/>
  <c r="W15" i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W30" i="1" s="1"/>
  <c r="W31" i="1" s="1"/>
  <c r="W32" i="1" s="1"/>
  <c r="W33" i="1" s="1"/>
  <c r="W34" i="1" s="1"/>
  <c r="W35" i="1" s="1"/>
  <c r="W36" i="1" s="1"/>
  <c r="W37" i="1" s="1"/>
  <c r="W38" i="1" s="1"/>
  <c r="W39" i="1" s="1"/>
  <c r="W40" i="1" s="1"/>
  <c r="W41" i="1" s="1"/>
  <c r="W42" i="1" s="1"/>
  <c r="W43" i="1" s="1"/>
  <c r="W44" i="1" s="1"/>
  <c r="W45" i="1" s="1"/>
  <c r="W46" i="1" s="1"/>
  <c r="W47" i="1" s="1"/>
  <c r="W48" i="1" s="1"/>
  <c r="W49" i="1" s="1"/>
  <c r="W50" i="1" s="1"/>
  <c r="W51" i="1" s="1"/>
  <c r="W52" i="1" s="1"/>
  <c r="W53" i="1" s="1"/>
  <c r="W54" i="1" s="1"/>
  <c r="W55" i="1" s="1"/>
  <c r="W56" i="1" s="1"/>
  <c r="W57" i="1" s="1"/>
  <c r="W58" i="1" s="1"/>
  <c r="W59" i="1" s="1"/>
  <c r="W60" i="1" s="1"/>
  <c r="W61" i="1" s="1"/>
  <c r="W62" i="1" s="1"/>
  <c r="W63" i="1" s="1"/>
  <c r="W64" i="1" s="1"/>
  <c r="W65" i="1" s="1"/>
  <c r="W66" i="1" s="1"/>
  <c r="W67" i="1" s="1"/>
  <c r="W68" i="1" s="1"/>
  <c r="W69" i="1" s="1"/>
  <c r="W70" i="1" s="1"/>
  <c r="W71" i="1" s="1"/>
  <c r="W72" i="1" s="1"/>
  <c r="W73" i="1" s="1"/>
  <c r="W74" i="1" s="1"/>
  <c r="W75" i="1" s="1"/>
  <c r="W76" i="1" s="1"/>
  <c r="W77" i="1" s="1"/>
  <c r="W78" i="1" s="1"/>
  <c r="W79" i="1" s="1"/>
  <c r="W80" i="1" s="1"/>
  <c r="W81" i="1" s="1"/>
  <c r="W82" i="1" s="1"/>
  <c r="W83" i="1" s="1"/>
  <c r="W84" i="1" s="1"/>
  <c r="W85" i="1" s="1"/>
  <c r="W86" i="1" s="1"/>
  <c r="W87" i="1" s="1"/>
  <c r="W88" i="1" s="1"/>
  <c r="W89" i="1" s="1"/>
  <c r="W90" i="1" s="1"/>
  <c r="W91" i="1" s="1"/>
  <c r="W92" i="1" s="1"/>
  <c r="W93" i="1" s="1"/>
  <c r="W94" i="1" s="1"/>
  <c r="W95" i="1" s="1"/>
  <c r="W96" i="1" s="1"/>
  <c r="W97" i="1" s="1"/>
  <c r="W98" i="1" s="1"/>
  <c r="W99" i="1" s="1"/>
  <c r="W100" i="1" s="1"/>
  <c r="W101" i="1" s="1"/>
  <c r="W102" i="1" s="1"/>
  <c r="W103" i="1" s="1"/>
  <c r="W104" i="1" s="1"/>
  <c r="W105" i="1" s="1"/>
  <c r="W106" i="1" s="1"/>
  <c r="W107" i="1" s="1"/>
  <c r="W108" i="1" s="1"/>
  <c r="W109" i="1" s="1"/>
  <c r="W110" i="1" s="1"/>
  <c r="W111" i="1" s="1"/>
  <c r="W112" i="1" s="1"/>
  <c r="W113" i="1" s="1"/>
  <c r="W114" i="1" s="1"/>
  <c r="W115" i="1" s="1"/>
  <c r="W116" i="1" s="1"/>
  <c r="W117" i="1" s="1"/>
  <c r="W118" i="1" s="1"/>
  <c r="W119" i="1" s="1"/>
  <c r="W120" i="1" s="1"/>
  <c r="W121" i="1" s="1"/>
  <c r="W122" i="1" s="1"/>
  <c r="W123" i="1" s="1"/>
  <c r="W124" i="1" s="1"/>
  <c r="W125" i="1" s="1"/>
  <c r="W126" i="1" s="1"/>
  <c r="W127" i="1" s="1"/>
  <c r="W128" i="1" s="1"/>
  <c r="W129" i="1" s="1"/>
  <c r="W130" i="1" s="1"/>
  <c r="W131" i="1" s="1"/>
  <c r="W132" i="1" s="1"/>
  <c r="W133" i="1" s="1"/>
  <c r="W134" i="1" s="1"/>
  <c r="W135" i="1" s="1"/>
  <c r="W136" i="1" s="1"/>
  <c r="W137" i="1" s="1"/>
  <c r="W138" i="1" s="1"/>
  <c r="W139" i="1" s="1"/>
  <c r="W140" i="1" s="1"/>
  <c r="W141" i="1" s="1"/>
  <c r="W142" i="1" s="1"/>
  <c r="W143" i="1" s="1"/>
  <c r="W144" i="1" s="1"/>
  <c r="W145" i="1" s="1"/>
  <c r="W146" i="1" s="1"/>
  <c r="W147" i="1" s="1"/>
  <c r="W148" i="1" s="1"/>
  <c r="W149" i="1" s="1"/>
  <c r="W150" i="1" s="1"/>
  <c r="W151" i="1" s="1"/>
  <c r="W152" i="1" s="1"/>
  <c r="W153" i="1" s="1"/>
  <c r="W154" i="1" s="1"/>
  <c r="W155" i="1" s="1"/>
  <c r="W156" i="1" s="1"/>
  <c r="W157" i="1" s="1"/>
  <c r="W158" i="1" s="1"/>
  <c r="W159" i="1" s="1"/>
  <c r="W160" i="1" s="1"/>
  <c r="W161" i="1" s="1"/>
  <c r="W162" i="1" s="1"/>
  <c r="W163" i="1" s="1"/>
  <c r="W164" i="1" s="1"/>
  <c r="W165" i="1" s="1"/>
  <c r="W166" i="1" s="1"/>
  <c r="W167" i="1" s="1"/>
  <c r="W168" i="1" s="1"/>
  <c r="W169" i="1" s="1"/>
  <c r="W170" i="1" s="1"/>
  <c r="W171" i="1" s="1"/>
  <c r="W172" i="1" s="1"/>
  <c r="W173" i="1" s="1"/>
  <c r="W174" i="1" s="1"/>
  <c r="W175" i="1" s="1"/>
  <c r="W176" i="1" s="1"/>
  <c r="W177" i="1" s="1"/>
  <c r="W178" i="1" s="1"/>
  <c r="W179" i="1" s="1"/>
  <c r="W180" i="1" s="1"/>
  <c r="W181" i="1" s="1"/>
  <c r="W182" i="1" s="1"/>
  <c r="W183" i="1" s="1"/>
  <c r="W184" i="1" s="1"/>
  <c r="W185" i="1" s="1"/>
  <c r="W186" i="1" s="1"/>
  <c r="W187" i="1" s="1"/>
  <c r="W188" i="1" s="1"/>
  <c r="W189" i="1" s="1"/>
  <c r="W190" i="1" s="1"/>
  <c r="W191" i="1" s="1"/>
  <c r="W192" i="1" s="1"/>
  <c r="W193" i="1" s="1"/>
  <c r="W194" i="1" s="1"/>
  <c r="W195" i="1" s="1"/>
  <c r="W196" i="1" s="1"/>
  <c r="W197" i="1" s="1"/>
  <c r="W198" i="1" s="1"/>
  <c r="W199" i="1" s="1"/>
  <c r="W200" i="1" s="1"/>
  <c r="W201" i="1" s="1"/>
  <c r="W202" i="1" s="1"/>
  <c r="W203" i="1" s="1"/>
  <c r="W204" i="1" s="1"/>
  <c r="W205" i="1" s="1"/>
  <c r="W206" i="1" s="1"/>
  <c r="W207" i="1" s="1"/>
  <c r="W208" i="1" s="1"/>
  <c r="W209" i="1" s="1"/>
  <c r="W210" i="1" s="1"/>
  <c r="W211" i="1" s="1"/>
  <c r="W212" i="1" s="1"/>
  <c r="W213" i="1" s="1"/>
  <c r="W214" i="1" s="1"/>
  <c r="W215" i="1" s="1"/>
  <c r="W216" i="1" s="1"/>
  <c r="W217" i="1" s="1"/>
  <c r="W218" i="1" s="1"/>
  <c r="W219" i="1" s="1"/>
  <c r="W220" i="1" s="1"/>
  <c r="W221" i="1" s="1"/>
  <c r="W222" i="1" s="1"/>
  <c r="W223" i="1" s="1"/>
  <c r="W224" i="1" s="1"/>
  <c r="W225" i="1" s="1"/>
  <c r="W226" i="1" s="1"/>
  <c r="W227" i="1" s="1"/>
  <c r="W228" i="1" s="1"/>
  <c r="W229" i="1" s="1"/>
  <c r="W230" i="1" s="1"/>
  <c r="W231" i="1" s="1"/>
  <c r="W232" i="1" s="1"/>
  <c r="W233" i="1" s="1"/>
  <c r="W234" i="1" s="1"/>
  <c r="W235" i="1" s="1"/>
  <c r="W236" i="1" s="1"/>
  <c r="W237" i="1" s="1"/>
  <c r="W238" i="1" s="1"/>
  <c r="W239" i="1" s="1"/>
  <c r="W240" i="1" s="1"/>
  <c r="W241" i="1" s="1"/>
  <c r="W242" i="1" s="1"/>
  <c r="W243" i="1" s="1"/>
  <c r="W244" i="1" s="1"/>
  <c r="W245" i="1" s="1"/>
  <c r="W246" i="1" s="1"/>
  <c r="W247" i="1" s="1"/>
  <c r="W248" i="1" s="1"/>
  <c r="W249" i="1" s="1"/>
  <c r="W250" i="1" s="1"/>
  <c r="W251" i="1" s="1"/>
  <c r="W252" i="1" s="1"/>
  <c r="F2" i="1"/>
  <c r="P3" i="1"/>
  <c r="O3" i="1"/>
  <c r="L21" i="1"/>
  <c r="M21" i="1"/>
  <c r="Y27" i="1" l="1"/>
  <c r="I217" i="1"/>
  <c r="H217" i="1"/>
  <c r="I233" i="1"/>
  <c r="H233" i="1"/>
  <c r="I38" i="1"/>
  <c r="H38" i="1"/>
  <c r="I205" i="1"/>
  <c r="H205" i="1"/>
  <c r="I77" i="1"/>
  <c r="H77" i="1"/>
  <c r="I207" i="1"/>
  <c r="H207" i="1"/>
  <c r="I180" i="1"/>
  <c r="H180" i="1"/>
  <c r="I116" i="1"/>
  <c r="H116" i="1"/>
  <c r="I52" i="1"/>
  <c r="H52" i="1"/>
  <c r="I227" i="1"/>
  <c r="H227" i="1"/>
  <c r="I163" i="1"/>
  <c r="H163" i="1"/>
  <c r="I99" i="1"/>
  <c r="H99" i="1"/>
  <c r="I35" i="1"/>
  <c r="H35" i="1"/>
  <c r="I193" i="1"/>
  <c r="H193" i="1"/>
  <c r="I129" i="1"/>
  <c r="H129" i="1"/>
  <c r="I65" i="1"/>
  <c r="H65" i="1"/>
  <c r="I234" i="1"/>
  <c r="H234" i="1"/>
  <c r="I208" i="1"/>
  <c r="H208" i="1"/>
  <c r="I144" i="1"/>
  <c r="H144" i="1"/>
  <c r="I80" i="1"/>
  <c r="H80" i="1"/>
  <c r="I16" i="1"/>
  <c r="H16" i="1"/>
  <c r="I247" i="1"/>
  <c r="H247" i="1"/>
  <c r="I151" i="1"/>
  <c r="H151" i="1"/>
  <c r="I87" i="1"/>
  <c r="H87" i="1"/>
  <c r="I23" i="1"/>
  <c r="H23" i="1"/>
  <c r="I231" i="1"/>
  <c r="H231" i="1"/>
  <c r="I102" i="1"/>
  <c r="H102" i="1"/>
  <c r="I22" i="1"/>
  <c r="H22" i="1"/>
  <c r="I240" i="1"/>
  <c r="H240" i="1"/>
  <c r="I86" i="1"/>
  <c r="H86" i="1"/>
  <c r="I189" i="1"/>
  <c r="H189" i="1"/>
  <c r="I125" i="1"/>
  <c r="H125" i="1"/>
  <c r="I61" i="1"/>
  <c r="H61" i="1"/>
  <c r="I226" i="1"/>
  <c r="H226" i="1"/>
  <c r="I206" i="1"/>
  <c r="H206" i="1"/>
  <c r="I228" i="1"/>
  <c r="H228" i="1"/>
  <c r="I164" i="1"/>
  <c r="H164" i="1"/>
  <c r="I100" i="1"/>
  <c r="H100" i="1"/>
  <c r="I36" i="1"/>
  <c r="H36" i="1"/>
  <c r="I241" i="1"/>
  <c r="H241" i="1"/>
  <c r="I211" i="1"/>
  <c r="H211" i="1"/>
  <c r="I147" i="1"/>
  <c r="H147" i="1"/>
  <c r="I83" i="1"/>
  <c r="H83" i="1"/>
  <c r="I19" i="1"/>
  <c r="H19" i="1"/>
  <c r="I58" i="1"/>
  <c r="H58" i="1"/>
  <c r="I96" i="1"/>
  <c r="H96" i="1"/>
  <c r="I50" i="1"/>
  <c r="H50" i="1"/>
  <c r="I39" i="1"/>
  <c r="H39" i="1"/>
  <c r="I57" i="1"/>
  <c r="H57" i="1"/>
  <c r="I215" i="1"/>
  <c r="H215" i="1"/>
  <c r="I79" i="1"/>
  <c r="H79" i="1"/>
  <c r="I15" i="1"/>
  <c r="H15" i="1"/>
  <c r="I14" i="1"/>
  <c r="H14" i="1"/>
  <c r="I182" i="1"/>
  <c r="H182" i="1"/>
  <c r="I92" i="1"/>
  <c r="H92" i="1"/>
  <c r="I139" i="1"/>
  <c r="H139" i="1"/>
  <c r="I194" i="1"/>
  <c r="H194" i="1"/>
  <c r="I113" i="1"/>
  <c r="H113" i="1"/>
  <c r="I49" i="1"/>
  <c r="H49" i="1"/>
  <c r="I122" i="1"/>
  <c r="H122" i="1"/>
  <c r="I192" i="1"/>
  <c r="H192" i="1"/>
  <c r="I128" i="1"/>
  <c r="H128" i="1"/>
  <c r="I64" i="1"/>
  <c r="H64" i="1"/>
  <c r="I242" i="1"/>
  <c r="H242" i="1"/>
  <c r="I199" i="1"/>
  <c r="H199" i="1"/>
  <c r="I135" i="1"/>
  <c r="H135" i="1"/>
  <c r="I71" i="1"/>
  <c r="H71" i="1"/>
  <c r="I7" i="1"/>
  <c r="H7" i="1"/>
  <c r="I198" i="1"/>
  <c r="H198" i="1"/>
  <c r="I70" i="1"/>
  <c r="H70" i="1"/>
  <c r="I6" i="1"/>
  <c r="H6" i="1"/>
  <c r="I246" i="1"/>
  <c r="H246" i="1"/>
  <c r="I237" i="1"/>
  <c r="H237" i="1"/>
  <c r="I173" i="1"/>
  <c r="H173" i="1"/>
  <c r="I109" i="1"/>
  <c r="H109" i="1"/>
  <c r="I45" i="1"/>
  <c r="H45" i="1"/>
  <c r="I98" i="1"/>
  <c r="H98" i="1"/>
  <c r="I158" i="1"/>
  <c r="H158" i="1"/>
  <c r="I212" i="1"/>
  <c r="H212" i="1"/>
  <c r="I148" i="1"/>
  <c r="H148" i="1"/>
  <c r="I84" i="1"/>
  <c r="H84" i="1"/>
  <c r="I20" i="1"/>
  <c r="H20" i="1"/>
  <c r="I239" i="1"/>
  <c r="H239" i="1"/>
  <c r="I195" i="1"/>
  <c r="H195" i="1"/>
  <c r="I131" i="1"/>
  <c r="H131" i="1"/>
  <c r="I67" i="1"/>
  <c r="H67" i="1"/>
  <c r="I3" i="1"/>
  <c r="H3" i="1"/>
  <c r="I145" i="1"/>
  <c r="H145" i="1"/>
  <c r="I17" i="1"/>
  <c r="H17" i="1"/>
  <c r="I185" i="1"/>
  <c r="H185" i="1"/>
  <c r="I136" i="1"/>
  <c r="H136" i="1"/>
  <c r="I223" i="1"/>
  <c r="H223" i="1"/>
  <c r="I181" i="1"/>
  <c r="H181" i="1"/>
  <c r="I53" i="1"/>
  <c r="H53" i="1"/>
  <c r="I156" i="1"/>
  <c r="H156" i="1"/>
  <c r="I28" i="1"/>
  <c r="H28" i="1"/>
  <c r="I75" i="1"/>
  <c r="H75" i="1"/>
  <c r="I146" i="1"/>
  <c r="H146" i="1"/>
  <c r="I184" i="1"/>
  <c r="H184" i="1"/>
  <c r="I56" i="1"/>
  <c r="H56" i="1"/>
  <c r="I127" i="1"/>
  <c r="H127" i="1"/>
  <c r="I63" i="1"/>
  <c r="H63" i="1"/>
  <c r="I222" i="1"/>
  <c r="H222" i="1"/>
  <c r="I101" i="1"/>
  <c r="H101" i="1"/>
  <c r="I134" i="1"/>
  <c r="H134" i="1"/>
  <c r="I140" i="1"/>
  <c r="H140" i="1"/>
  <c r="I12" i="1"/>
  <c r="H12" i="1"/>
  <c r="I187" i="1"/>
  <c r="H187" i="1"/>
  <c r="I123" i="1"/>
  <c r="H123" i="1"/>
  <c r="I59" i="1"/>
  <c r="H59" i="1"/>
  <c r="I81" i="1"/>
  <c r="H81" i="1"/>
  <c r="I167" i="1"/>
  <c r="H167" i="1"/>
  <c r="I121" i="1"/>
  <c r="H121" i="1"/>
  <c r="I178" i="1"/>
  <c r="H178" i="1"/>
  <c r="I72" i="1"/>
  <c r="H72" i="1"/>
  <c r="I8" i="1"/>
  <c r="H8" i="1"/>
  <c r="I238" i="1"/>
  <c r="H238" i="1"/>
  <c r="I245" i="1"/>
  <c r="H245" i="1"/>
  <c r="I117" i="1"/>
  <c r="H117" i="1"/>
  <c r="I220" i="1"/>
  <c r="H220" i="1"/>
  <c r="I232" i="1"/>
  <c r="H232" i="1"/>
  <c r="I11" i="1"/>
  <c r="H11" i="1"/>
  <c r="I177" i="1"/>
  <c r="H177" i="1"/>
  <c r="I105" i="1"/>
  <c r="H105" i="1"/>
  <c r="I41" i="1"/>
  <c r="H41" i="1"/>
  <c r="I120" i="1"/>
  <c r="H120" i="1"/>
  <c r="I191" i="1"/>
  <c r="H191" i="1"/>
  <c r="I174" i="1"/>
  <c r="H174" i="1"/>
  <c r="I62" i="1"/>
  <c r="H62" i="1"/>
  <c r="I229" i="1"/>
  <c r="H229" i="1"/>
  <c r="I37" i="1"/>
  <c r="H37" i="1"/>
  <c r="I34" i="1"/>
  <c r="H34" i="1"/>
  <c r="I251" i="1"/>
  <c r="H251" i="1"/>
  <c r="I114" i="1"/>
  <c r="H114" i="1"/>
  <c r="I97" i="1"/>
  <c r="H97" i="1"/>
  <c r="I33" i="1"/>
  <c r="H33" i="1"/>
  <c r="I66" i="1"/>
  <c r="H66" i="1"/>
  <c r="I112" i="1"/>
  <c r="H112" i="1"/>
  <c r="I130" i="1"/>
  <c r="H130" i="1"/>
  <c r="I119" i="1"/>
  <c r="H119" i="1"/>
  <c r="I138" i="1"/>
  <c r="H138" i="1"/>
  <c r="I54" i="1"/>
  <c r="H54" i="1"/>
  <c r="I162" i="1"/>
  <c r="H162" i="1"/>
  <c r="I221" i="1"/>
  <c r="H221" i="1"/>
  <c r="I209" i="1"/>
  <c r="H209" i="1"/>
  <c r="I196" i="1"/>
  <c r="H196" i="1"/>
  <c r="I68" i="1"/>
  <c r="H68" i="1"/>
  <c r="I4" i="1"/>
  <c r="H4" i="1"/>
  <c r="I179" i="1"/>
  <c r="H179" i="1"/>
  <c r="I115" i="1"/>
  <c r="H115" i="1"/>
  <c r="I51" i="1"/>
  <c r="H51" i="1"/>
  <c r="I250" i="1"/>
  <c r="H250" i="1"/>
  <c r="I200" i="1"/>
  <c r="H200" i="1"/>
  <c r="I143" i="1"/>
  <c r="H143" i="1"/>
  <c r="I78" i="1"/>
  <c r="H78" i="1"/>
  <c r="I170" i="1"/>
  <c r="H170" i="1"/>
  <c r="I203" i="1"/>
  <c r="H203" i="1"/>
  <c r="I169" i="1"/>
  <c r="H169" i="1"/>
  <c r="I90" i="1"/>
  <c r="H90" i="1"/>
  <c r="I186" i="1"/>
  <c r="H186" i="1"/>
  <c r="I210" i="1"/>
  <c r="H210" i="1"/>
  <c r="I202" i="1"/>
  <c r="H202" i="1"/>
  <c r="I165" i="1"/>
  <c r="H165" i="1"/>
  <c r="I204" i="1"/>
  <c r="H204" i="1"/>
  <c r="I76" i="1"/>
  <c r="H76" i="1"/>
  <c r="I161" i="1"/>
  <c r="H161" i="1"/>
  <c r="I176" i="1"/>
  <c r="H176" i="1"/>
  <c r="I48" i="1"/>
  <c r="H48" i="1"/>
  <c r="I183" i="1"/>
  <c r="H183" i="1"/>
  <c r="I55" i="1"/>
  <c r="H55" i="1"/>
  <c r="I150" i="1"/>
  <c r="H150" i="1"/>
  <c r="I214" i="1"/>
  <c r="H214" i="1"/>
  <c r="I157" i="1"/>
  <c r="H157" i="1"/>
  <c r="I93" i="1"/>
  <c r="H93" i="1"/>
  <c r="I29" i="1"/>
  <c r="H29" i="1"/>
  <c r="I94" i="1"/>
  <c r="H94" i="1"/>
  <c r="I132" i="1"/>
  <c r="H132" i="1"/>
  <c r="I243" i="1"/>
  <c r="H243" i="1"/>
  <c r="I74" i="1"/>
  <c r="H74" i="1"/>
  <c r="I153" i="1"/>
  <c r="H153" i="1"/>
  <c r="I89" i="1"/>
  <c r="H89" i="1"/>
  <c r="I25" i="1"/>
  <c r="H25" i="1"/>
  <c r="I10" i="1"/>
  <c r="H10" i="1"/>
  <c r="I168" i="1"/>
  <c r="H168" i="1"/>
  <c r="I104" i="1"/>
  <c r="H104" i="1"/>
  <c r="I40" i="1"/>
  <c r="H40" i="1"/>
  <c r="I82" i="1"/>
  <c r="H82" i="1"/>
  <c r="I175" i="1"/>
  <c r="H175" i="1"/>
  <c r="I111" i="1"/>
  <c r="H111" i="1"/>
  <c r="I47" i="1"/>
  <c r="H47" i="1"/>
  <c r="I42" i="1"/>
  <c r="H42" i="1"/>
  <c r="I126" i="1"/>
  <c r="H126" i="1"/>
  <c r="I46" i="1"/>
  <c r="H46" i="1"/>
  <c r="I106" i="1"/>
  <c r="H106" i="1"/>
  <c r="I190" i="1"/>
  <c r="H190" i="1"/>
  <c r="I213" i="1"/>
  <c r="H213" i="1"/>
  <c r="I149" i="1"/>
  <c r="H149" i="1"/>
  <c r="I85" i="1"/>
  <c r="H85" i="1"/>
  <c r="I21" i="1"/>
  <c r="H21" i="1"/>
  <c r="I224" i="1"/>
  <c r="H224" i="1"/>
  <c r="I252" i="1"/>
  <c r="H252" i="1"/>
  <c r="I188" i="1"/>
  <c r="H188" i="1"/>
  <c r="I124" i="1"/>
  <c r="H124" i="1"/>
  <c r="I60" i="1"/>
  <c r="H60" i="1"/>
  <c r="I218" i="1"/>
  <c r="H218" i="1"/>
  <c r="I235" i="1"/>
  <c r="H235" i="1"/>
  <c r="I171" i="1"/>
  <c r="H171" i="1"/>
  <c r="I107" i="1"/>
  <c r="H107" i="1"/>
  <c r="I43" i="1"/>
  <c r="H43" i="1"/>
  <c r="I160" i="1"/>
  <c r="H160" i="1"/>
  <c r="I32" i="1"/>
  <c r="H32" i="1"/>
  <c r="I103" i="1"/>
  <c r="H103" i="1"/>
  <c r="I118" i="1"/>
  <c r="H118" i="1"/>
  <c r="I18" i="1"/>
  <c r="H18" i="1"/>
  <c r="I166" i="1"/>
  <c r="H166" i="1"/>
  <c r="I141" i="1"/>
  <c r="H141" i="1"/>
  <c r="I13" i="1"/>
  <c r="H13" i="1"/>
  <c r="I244" i="1"/>
  <c r="H244" i="1"/>
  <c r="I154" i="1"/>
  <c r="H154" i="1"/>
  <c r="I249" i="1"/>
  <c r="H249" i="1"/>
  <c r="I137" i="1"/>
  <c r="H137" i="1"/>
  <c r="I73" i="1"/>
  <c r="H73" i="1"/>
  <c r="I9" i="1"/>
  <c r="H9" i="1"/>
  <c r="I216" i="1"/>
  <c r="H216" i="1"/>
  <c r="I152" i="1"/>
  <c r="H152" i="1"/>
  <c r="I88" i="1"/>
  <c r="H88" i="1"/>
  <c r="I24" i="1"/>
  <c r="H24" i="1"/>
  <c r="I201" i="1"/>
  <c r="H201" i="1"/>
  <c r="I159" i="1"/>
  <c r="H159" i="1"/>
  <c r="I95" i="1"/>
  <c r="H95" i="1"/>
  <c r="I31" i="1"/>
  <c r="H31" i="1"/>
  <c r="I248" i="1"/>
  <c r="H248" i="1"/>
  <c r="I110" i="1"/>
  <c r="H110" i="1"/>
  <c r="I30" i="1"/>
  <c r="H30" i="1"/>
  <c r="I225" i="1"/>
  <c r="H225" i="1"/>
  <c r="I142" i="1"/>
  <c r="H142" i="1"/>
  <c r="I197" i="1"/>
  <c r="H197" i="1"/>
  <c r="I133" i="1"/>
  <c r="H133" i="1"/>
  <c r="I69" i="1"/>
  <c r="H69" i="1"/>
  <c r="I5" i="1"/>
  <c r="H5" i="1"/>
  <c r="I230" i="1"/>
  <c r="H230" i="1"/>
  <c r="I236" i="1"/>
  <c r="H236" i="1"/>
  <c r="I172" i="1"/>
  <c r="H172" i="1"/>
  <c r="I108" i="1"/>
  <c r="H108" i="1"/>
  <c r="I44" i="1"/>
  <c r="H44" i="1"/>
  <c r="I26" i="1"/>
  <c r="H26" i="1"/>
  <c r="I219" i="1"/>
  <c r="H219" i="1"/>
  <c r="I155" i="1"/>
  <c r="H155" i="1"/>
  <c r="I91" i="1"/>
  <c r="H91" i="1"/>
  <c r="I27" i="1"/>
  <c r="H27" i="1"/>
  <c r="Y29" i="1"/>
  <c r="Y28" i="1"/>
  <c r="R15" i="1"/>
  <c r="H2" i="1"/>
  <c r="I2" i="1"/>
  <c r="Y30" i="1"/>
  <c r="Q15" i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Y31" i="1" l="1"/>
  <c r="R16" i="1"/>
  <c r="S15" i="1"/>
  <c r="T15" i="1" s="1"/>
  <c r="S16" i="1" l="1"/>
  <c r="T16" i="1" s="1"/>
  <c r="R17" i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Y32" i="1"/>
  <c r="S17" i="1" l="1"/>
  <c r="T17" i="1" s="1"/>
  <c r="Y33" i="1"/>
  <c r="S18" i="1"/>
  <c r="Y34" i="1" l="1"/>
  <c r="S19" i="1"/>
  <c r="T18" i="1"/>
  <c r="S20" i="1" l="1"/>
  <c r="T19" i="1"/>
  <c r="Y35" i="1"/>
  <c r="Y36" i="1" l="1"/>
  <c r="S21" i="1"/>
  <c r="T20" i="1"/>
  <c r="S22" i="1" l="1"/>
  <c r="T21" i="1"/>
  <c r="Z36" i="1"/>
  <c r="Y37" i="1"/>
  <c r="Z37" i="1" l="1"/>
  <c r="AA37" i="1" s="1"/>
  <c r="Y38" i="1"/>
  <c r="S23" i="1"/>
  <c r="T22" i="1"/>
  <c r="S24" i="1" l="1"/>
  <c r="T23" i="1"/>
  <c r="Z38" i="1"/>
  <c r="Y39" i="1"/>
  <c r="AA38" i="1" l="1"/>
  <c r="Z39" i="1"/>
  <c r="Y40" i="1"/>
  <c r="S25" i="1"/>
  <c r="T24" i="1"/>
  <c r="AA39" i="1" l="1"/>
  <c r="Z40" i="1"/>
  <c r="Y41" i="1"/>
  <c r="S26" i="1"/>
  <c r="T25" i="1"/>
  <c r="AA40" i="1" l="1"/>
  <c r="S27" i="1"/>
  <c r="T26" i="1"/>
  <c r="Z41" i="1"/>
  <c r="Y42" i="1"/>
  <c r="AA41" i="1" l="1"/>
  <c r="Z42" i="1"/>
  <c r="Y43" i="1"/>
  <c r="S28" i="1"/>
  <c r="T27" i="1"/>
  <c r="AA42" i="1" l="1"/>
  <c r="Z43" i="1"/>
  <c r="Y44" i="1"/>
  <c r="S29" i="1"/>
  <c r="T28" i="1"/>
  <c r="AA43" i="1" l="1"/>
  <c r="S30" i="1"/>
  <c r="T29" i="1"/>
  <c r="Z44" i="1"/>
  <c r="Y45" i="1"/>
  <c r="AA44" i="1" l="1"/>
  <c r="Z45" i="1"/>
  <c r="Y46" i="1"/>
  <c r="S31" i="1"/>
  <c r="T30" i="1"/>
  <c r="AA45" i="1" l="1"/>
  <c r="S32" i="1"/>
  <c r="T31" i="1"/>
  <c r="Z46" i="1"/>
  <c r="Y47" i="1"/>
  <c r="AA46" i="1" l="1"/>
  <c r="Z47" i="1"/>
  <c r="Y48" i="1"/>
  <c r="T32" i="1"/>
  <c r="S33" i="1"/>
  <c r="AA47" i="1" l="1"/>
  <c r="S34" i="1"/>
  <c r="T33" i="1"/>
  <c r="Z48" i="1"/>
  <c r="Y49" i="1"/>
  <c r="AA48" i="1" l="1"/>
  <c r="Z49" i="1"/>
  <c r="Y50" i="1"/>
  <c r="S35" i="1"/>
  <c r="T34" i="1"/>
  <c r="AA49" i="1" l="1"/>
  <c r="S36" i="1"/>
  <c r="T35" i="1"/>
  <c r="Z50" i="1"/>
  <c r="Y51" i="1"/>
  <c r="AA50" i="1" l="1"/>
  <c r="Z51" i="1"/>
  <c r="Y52" i="1"/>
  <c r="S37" i="1"/>
  <c r="T36" i="1"/>
  <c r="AA51" i="1" l="1"/>
  <c r="Z52" i="1"/>
  <c r="Y53" i="1"/>
  <c r="S38" i="1"/>
  <c r="T37" i="1"/>
  <c r="AA52" i="1" l="1"/>
  <c r="Z53" i="1"/>
  <c r="Y54" i="1"/>
  <c r="S39" i="1"/>
  <c r="T38" i="1"/>
  <c r="AA53" i="1" l="1"/>
  <c r="Z54" i="1"/>
  <c r="Y55" i="1"/>
  <c r="S40" i="1"/>
  <c r="T39" i="1"/>
  <c r="AA54" i="1" l="1"/>
  <c r="S41" i="1"/>
  <c r="T40" i="1"/>
  <c r="Z55" i="1"/>
  <c r="Y56" i="1"/>
  <c r="AA55" i="1" l="1"/>
  <c r="Z56" i="1"/>
  <c r="Y57" i="1"/>
  <c r="S42" i="1"/>
  <c r="T41" i="1"/>
  <c r="AA56" i="1" l="1"/>
  <c r="S43" i="1"/>
  <c r="T42" i="1"/>
  <c r="Z57" i="1"/>
  <c r="Y58" i="1"/>
  <c r="AA57" i="1" l="1"/>
  <c r="Z58" i="1"/>
  <c r="Y59" i="1"/>
  <c r="S44" i="1"/>
  <c r="T43" i="1"/>
  <c r="AA58" i="1" l="1"/>
  <c r="S45" i="1"/>
  <c r="T44" i="1"/>
  <c r="Z59" i="1"/>
  <c r="Y60" i="1"/>
  <c r="AA59" i="1" l="1"/>
  <c r="Z60" i="1"/>
  <c r="Y61" i="1"/>
  <c r="S46" i="1"/>
  <c r="T45" i="1"/>
  <c r="AA60" i="1" l="1"/>
  <c r="S47" i="1"/>
  <c r="T46" i="1"/>
  <c r="Z61" i="1"/>
  <c r="Y62" i="1"/>
  <c r="AA61" i="1" l="1"/>
  <c r="Z62" i="1"/>
  <c r="Y63" i="1"/>
  <c r="S48" i="1"/>
  <c r="T47" i="1"/>
  <c r="AA62" i="1" l="1"/>
  <c r="S49" i="1"/>
  <c r="T48" i="1"/>
  <c r="Z63" i="1"/>
  <c r="Y64" i="1"/>
  <c r="AA63" i="1" l="1"/>
  <c r="Z64" i="1"/>
  <c r="Y65" i="1"/>
  <c r="S50" i="1"/>
  <c r="T49" i="1"/>
  <c r="AA64" i="1" l="1"/>
  <c r="S51" i="1"/>
  <c r="T50" i="1"/>
  <c r="Z65" i="1"/>
  <c r="Y66" i="1"/>
  <c r="AA65" i="1" l="1"/>
  <c r="Z66" i="1"/>
  <c r="Y67" i="1"/>
  <c r="S52" i="1"/>
  <c r="T51" i="1"/>
  <c r="AA66" i="1" l="1"/>
  <c r="S53" i="1"/>
  <c r="T52" i="1"/>
  <c r="Z67" i="1"/>
  <c r="Y68" i="1"/>
  <c r="AA67" i="1" l="1"/>
  <c r="Z68" i="1"/>
  <c r="Y69" i="1"/>
  <c r="S54" i="1"/>
  <c r="T53" i="1"/>
  <c r="AA68" i="1" l="1"/>
  <c r="T54" i="1"/>
  <c r="S55" i="1"/>
  <c r="Z69" i="1"/>
  <c r="Y70" i="1"/>
  <c r="AA69" i="1" l="1"/>
  <c r="Z70" i="1"/>
  <c r="Y71" i="1"/>
  <c r="T55" i="1"/>
  <c r="S56" i="1"/>
  <c r="AA70" i="1" l="1"/>
  <c r="T56" i="1"/>
  <c r="S57" i="1"/>
  <c r="Z71" i="1"/>
  <c r="Y72" i="1"/>
  <c r="AA71" i="1" l="1"/>
  <c r="Z72" i="1"/>
  <c r="Y73" i="1"/>
  <c r="S58" i="1"/>
  <c r="T57" i="1"/>
  <c r="AA72" i="1" l="1"/>
  <c r="S59" i="1"/>
  <c r="T58" i="1"/>
  <c r="Z73" i="1"/>
  <c r="Y74" i="1"/>
  <c r="AA73" i="1" l="1"/>
  <c r="Z74" i="1"/>
  <c r="Y75" i="1"/>
  <c r="S60" i="1"/>
  <c r="T59" i="1"/>
  <c r="AA74" i="1" l="1"/>
  <c r="S61" i="1"/>
  <c r="T60" i="1"/>
  <c r="Z75" i="1"/>
  <c r="Y76" i="1"/>
  <c r="AA75" i="1" l="1"/>
  <c r="Z76" i="1"/>
  <c r="Y77" i="1"/>
  <c r="S62" i="1"/>
  <c r="T61" i="1"/>
  <c r="AA76" i="1" l="1"/>
  <c r="S63" i="1"/>
  <c r="T62" i="1"/>
  <c r="Z77" i="1"/>
  <c r="Y78" i="1"/>
  <c r="AA77" i="1" l="1"/>
  <c r="Z78" i="1"/>
  <c r="Y79" i="1"/>
  <c r="S64" i="1"/>
  <c r="T63" i="1"/>
  <c r="AA78" i="1" l="1"/>
  <c r="S65" i="1"/>
  <c r="T64" i="1"/>
  <c r="Z79" i="1"/>
  <c r="Y80" i="1"/>
  <c r="AA79" i="1" l="1"/>
  <c r="Z80" i="1"/>
  <c r="Y81" i="1"/>
  <c r="S66" i="1"/>
  <c r="T65" i="1"/>
  <c r="AA80" i="1" l="1"/>
  <c r="S67" i="1"/>
  <c r="T66" i="1"/>
  <c r="Z81" i="1"/>
  <c r="Y82" i="1"/>
  <c r="AA81" i="1" l="1"/>
  <c r="Z82" i="1"/>
  <c r="Y83" i="1"/>
  <c r="S68" i="1"/>
  <c r="T67" i="1"/>
  <c r="AA82" i="1" l="1"/>
  <c r="T68" i="1"/>
  <c r="S69" i="1"/>
  <c r="Z83" i="1"/>
  <c r="Y84" i="1"/>
  <c r="AA83" i="1" l="1"/>
  <c r="Z84" i="1"/>
  <c r="Y85" i="1"/>
  <c r="S70" i="1"/>
  <c r="T69" i="1"/>
  <c r="AA84" i="1" l="1"/>
  <c r="S71" i="1"/>
  <c r="T70" i="1"/>
  <c r="Z85" i="1"/>
  <c r="Y86" i="1"/>
  <c r="AA85" i="1" l="1"/>
  <c r="Z86" i="1"/>
  <c r="Y87" i="1"/>
  <c r="S72" i="1"/>
  <c r="T71" i="1"/>
  <c r="AA86" i="1" l="1"/>
  <c r="S73" i="1"/>
  <c r="T72" i="1"/>
  <c r="Z87" i="1"/>
  <c r="Y88" i="1"/>
  <c r="AA87" i="1" l="1"/>
  <c r="Z88" i="1"/>
  <c r="Y89" i="1"/>
  <c r="S74" i="1"/>
  <c r="T73" i="1"/>
  <c r="S75" i="1" l="1"/>
  <c r="T74" i="1"/>
  <c r="Z89" i="1"/>
  <c r="Y90" i="1"/>
  <c r="AA88" i="1"/>
  <c r="Z90" i="1" l="1"/>
  <c r="Y91" i="1"/>
  <c r="AA89" i="1"/>
  <c r="S76" i="1"/>
  <c r="T75" i="1"/>
  <c r="S77" i="1" l="1"/>
  <c r="T76" i="1"/>
  <c r="Z91" i="1"/>
  <c r="Y92" i="1"/>
  <c r="AA90" i="1"/>
  <c r="Z92" i="1" l="1"/>
  <c r="Y93" i="1"/>
  <c r="AA91" i="1"/>
  <c r="S78" i="1"/>
  <c r="T77" i="1"/>
  <c r="T78" i="1" l="1"/>
  <c r="S79" i="1"/>
  <c r="Z93" i="1"/>
  <c r="Y94" i="1"/>
  <c r="AA92" i="1"/>
  <c r="Z94" i="1" l="1"/>
  <c r="Y95" i="1"/>
  <c r="AA93" i="1"/>
  <c r="S80" i="1"/>
  <c r="T79" i="1"/>
  <c r="S81" i="1" l="1"/>
  <c r="T80" i="1"/>
  <c r="Z95" i="1"/>
  <c r="Y96" i="1"/>
  <c r="AA94" i="1"/>
  <c r="Z96" i="1" l="1"/>
  <c r="Y97" i="1"/>
  <c r="AA95" i="1"/>
  <c r="S82" i="1"/>
  <c r="T81" i="1"/>
  <c r="S83" i="1" l="1"/>
  <c r="T82" i="1"/>
  <c r="Z97" i="1"/>
  <c r="Y98" i="1"/>
  <c r="AA96" i="1"/>
  <c r="Z98" i="1" l="1"/>
  <c r="Y99" i="1"/>
  <c r="AA97" i="1"/>
  <c r="S84" i="1"/>
  <c r="T83" i="1"/>
  <c r="S85" i="1" l="1"/>
  <c r="T84" i="1"/>
  <c r="Z99" i="1"/>
  <c r="Y100" i="1"/>
  <c r="AA98" i="1"/>
  <c r="Z100" i="1" l="1"/>
  <c r="Y101" i="1"/>
  <c r="AA99" i="1"/>
  <c r="S86" i="1"/>
  <c r="T85" i="1"/>
  <c r="S87" i="1" l="1"/>
  <c r="T86" i="1"/>
  <c r="Z101" i="1"/>
  <c r="Y102" i="1"/>
  <c r="AA100" i="1"/>
  <c r="Z102" i="1" l="1"/>
  <c r="Y103" i="1"/>
  <c r="AA101" i="1"/>
  <c r="S88" i="1"/>
  <c r="T87" i="1"/>
  <c r="S89" i="1" l="1"/>
  <c r="T88" i="1"/>
  <c r="Z103" i="1"/>
  <c r="Y104" i="1"/>
  <c r="AA102" i="1"/>
  <c r="Z104" i="1" l="1"/>
  <c r="Y105" i="1"/>
  <c r="AA103" i="1"/>
  <c r="S90" i="1"/>
  <c r="T89" i="1"/>
  <c r="S91" i="1" l="1"/>
  <c r="T90" i="1"/>
  <c r="Z105" i="1"/>
  <c r="Y106" i="1"/>
  <c r="AA104" i="1"/>
  <c r="Z106" i="1" l="1"/>
  <c r="Y107" i="1"/>
  <c r="AA105" i="1"/>
  <c r="S92" i="1"/>
  <c r="T91" i="1"/>
  <c r="S93" i="1" l="1"/>
  <c r="T92" i="1"/>
  <c r="Z107" i="1"/>
  <c r="Y108" i="1"/>
  <c r="AA106" i="1"/>
  <c r="AA107" i="1" l="1"/>
  <c r="Z108" i="1"/>
  <c r="Y109" i="1"/>
  <c r="S94" i="1"/>
  <c r="T93" i="1"/>
  <c r="AA108" i="1" l="1"/>
  <c r="T94" i="1"/>
  <c r="S95" i="1"/>
  <c r="Z109" i="1"/>
  <c r="Y110" i="1"/>
  <c r="AA109" i="1" l="1"/>
  <c r="Z110" i="1"/>
  <c r="Y111" i="1"/>
  <c r="S96" i="1"/>
  <c r="T95" i="1"/>
  <c r="AA110" i="1" l="1"/>
  <c r="S97" i="1"/>
  <c r="T96" i="1"/>
  <c r="Z111" i="1"/>
  <c r="Y112" i="1"/>
  <c r="AA111" i="1" l="1"/>
  <c r="Z112" i="1"/>
  <c r="Y113" i="1"/>
  <c r="T97" i="1"/>
  <c r="S98" i="1"/>
  <c r="AA112" i="1" l="1"/>
  <c r="S99" i="1"/>
  <c r="T98" i="1"/>
  <c r="Z113" i="1"/>
  <c r="Y114" i="1"/>
  <c r="AA113" i="1" l="1"/>
  <c r="Z114" i="1"/>
  <c r="Y115" i="1"/>
  <c r="S100" i="1"/>
  <c r="T99" i="1"/>
  <c r="AA114" i="1" l="1"/>
  <c r="Z115" i="1"/>
  <c r="Y116" i="1"/>
  <c r="S101" i="1"/>
  <c r="T100" i="1"/>
  <c r="AA115" i="1" l="1"/>
  <c r="Z116" i="1"/>
  <c r="Y117" i="1"/>
  <c r="S102" i="1"/>
  <c r="T101" i="1"/>
  <c r="AA116" i="1" l="1"/>
  <c r="S103" i="1"/>
  <c r="T102" i="1"/>
  <c r="Z117" i="1"/>
  <c r="Y118" i="1"/>
  <c r="AA117" i="1" l="1"/>
  <c r="Z118" i="1"/>
  <c r="Y119" i="1"/>
  <c r="S104" i="1"/>
  <c r="T103" i="1"/>
  <c r="AA118" i="1" l="1"/>
  <c r="S105" i="1"/>
  <c r="T104" i="1"/>
  <c r="Z119" i="1"/>
  <c r="Y120" i="1"/>
  <c r="AA119" i="1" l="1"/>
  <c r="Z120" i="1"/>
  <c r="Y121" i="1"/>
  <c r="S106" i="1"/>
  <c r="T105" i="1"/>
  <c r="AA120" i="1" l="1"/>
  <c r="S107" i="1"/>
  <c r="T106" i="1"/>
  <c r="Z121" i="1"/>
  <c r="Y122" i="1"/>
  <c r="AA121" i="1" l="1"/>
  <c r="Z122" i="1"/>
  <c r="Y123" i="1"/>
  <c r="T107" i="1"/>
  <c r="S108" i="1"/>
  <c r="S109" i="1" l="1"/>
  <c r="T108" i="1"/>
  <c r="Z123" i="1"/>
  <c r="Y124" i="1"/>
  <c r="AA122" i="1"/>
  <c r="Z124" i="1" l="1"/>
  <c r="Y125" i="1"/>
  <c r="AA123" i="1"/>
  <c r="S110" i="1"/>
  <c r="T109" i="1"/>
  <c r="S111" i="1" l="1"/>
  <c r="T110" i="1"/>
  <c r="Z125" i="1"/>
  <c r="Y126" i="1"/>
  <c r="AA124" i="1"/>
  <c r="Z126" i="1" l="1"/>
  <c r="Y127" i="1"/>
  <c r="AA125" i="1"/>
  <c r="S112" i="1"/>
  <c r="T111" i="1"/>
  <c r="S113" i="1" l="1"/>
  <c r="T112" i="1"/>
  <c r="Z127" i="1"/>
  <c r="Y128" i="1"/>
  <c r="AA126" i="1"/>
  <c r="Z128" i="1" l="1"/>
  <c r="Y129" i="1"/>
  <c r="AA127" i="1"/>
  <c r="S114" i="1"/>
  <c r="T113" i="1"/>
  <c r="S115" i="1" l="1"/>
  <c r="T114" i="1"/>
  <c r="Z129" i="1"/>
  <c r="Y130" i="1"/>
  <c r="AA128" i="1"/>
  <c r="Z130" i="1" l="1"/>
  <c r="Y131" i="1"/>
  <c r="AA129" i="1"/>
  <c r="S116" i="1"/>
  <c r="T115" i="1"/>
  <c r="S117" i="1" l="1"/>
  <c r="T116" i="1"/>
  <c r="Z131" i="1"/>
  <c r="Y132" i="1"/>
  <c r="AA130" i="1"/>
  <c r="Z132" i="1" l="1"/>
  <c r="Y133" i="1"/>
  <c r="AA131" i="1"/>
  <c r="S118" i="1"/>
  <c r="T117" i="1"/>
  <c r="S119" i="1" l="1"/>
  <c r="T118" i="1"/>
  <c r="Z133" i="1"/>
  <c r="Y134" i="1"/>
  <c r="AA132" i="1"/>
  <c r="Z134" i="1" l="1"/>
  <c r="Y135" i="1"/>
  <c r="AA133" i="1"/>
  <c r="S120" i="1"/>
  <c r="T119" i="1"/>
  <c r="T120" i="1" l="1"/>
  <c r="S121" i="1"/>
  <c r="Z135" i="1"/>
  <c r="Y136" i="1"/>
  <c r="AA134" i="1"/>
  <c r="Z136" i="1" l="1"/>
  <c r="Y137" i="1"/>
  <c r="AA135" i="1"/>
  <c r="S122" i="1"/>
  <c r="T121" i="1"/>
  <c r="S123" i="1" l="1"/>
  <c r="T122" i="1"/>
  <c r="Z137" i="1"/>
  <c r="Y138" i="1"/>
  <c r="AA136" i="1"/>
  <c r="Z138" i="1" l="1"/>
  <c r="Y139" i="1"/>
  <c r="AA137" i="1"/>
  <c r="S124" i="1"/>
  <c r="T123" i="1"/>
  <c r="S125" i="1" l="1"/>
  <c r="T124" i="1"/>
  <c r="Z139" i="1"/>
  <c r="Y140" i="1"/>
  <c r="AA138" i="1"/>
  <c r="Z140" i="1" l="1"/>
  <c r="Y141" i="1"/>
  <c r="AA139" i="1"/>
  <c r="S126" i="1"/>
  <c r="T125" i="1"/>
  <c r="T126" i="1" l="1"/>
  <c r="S127" i="1"/>
  <c r="Z141" i="1"/>
  <c r="Y142" i="1"/>
  <c r="AA140" i="1"/>
  <c r="Z142" i="1" l="1"/>
  <c r="Y143" i="1"/>
  <c r="AA141" i="1"/>
  <c r="S128" i="1"/>
  <c r="T127" i="1"/>
  <c r="S129" i="1" l="1"/>
  <c r="T128" i="1"/>
  <c r="Z143" i="1"/>
  <c r="Y144" i="1"/>
  <c r="AA142" i="1"/>
  <c r="Z144" i="1" l="1"/>
  <c r="Y145" i="1"/>
  <c r="AA143" i="1"/>
  <c r="S130" i="1"/>
  <c r="T129" i="1"/>
  <c r="S131" i="1" l="1"/>
  <c r="T130" i="1"/>
  <c r="Z145" i="1"/>
  <c r="Y146" i="1"/>
  <c r="AA144" i="1"/>
  <c r="Z146" i="1" l="1"/>
  <c r="Y147" i="1"/>
  <c r="AA145" i="1"/>
  <c r="S132" i="1"/>
  <c r="T131" i="1"/>
  <c r="S133" i="1" l="1"/>
  <c r="T132" i="1"/>
  <c r="Z147" i="1"/>
  <c r="Y148" i="1"/>
  <c r="AA146" i="1"/>
  <c r="AA147" i="1" l="1"/>
  <c r="Z148" i="1"/>
  <c r="Y149" i="1"/>
  <c r="S134" i="1"/>
  <c r="T133" i="1"/>
  <c r="AA148" i="1" l="1"/>
  <c r="S135" i="1"/>
  <c r="T134" i="1"/>
  <c r="Z149" i="1"/>
  <c r="Y150" i="1"/>
  <c r="AA149" i="1" l="1"/>
  <c r="Z150" i="1"/>
  <c r="Y151" i="1"/>
  <c r="S136" i="1"/>
  <c r="T135" i="1"/>
  <c r="AA150" i="1" l="1"/>
  <c r="Z151" i="1"/>
  <c r="Y152" i="1"/>
  <c r="S137" i="1"/>
  <c r="T136" i="1"/>
  <c r="AA151" i="1" l="1"/>
  <c r="S138" i="1"/>
  <c r="T137" i="1"/>
  <c r="Z152" i="1"/>
  <c r="Y153" i="1"/>
  <c r="AA152" i="1" l="1"/>
  <c r="Z153" i="1"/>
  <c r="Y154" i="1"/>
  <c r="S139" i="1"/>
  <c r="T138" i="1"/>
  <c r="AA153" i="1" l="1"/>
  <c r="S140" i="1"/>
  <c r="T139" i="1"/>
  <c r="Z154" i="1"/>
  <c r="Y155" i="1"/>
  <c r="AA154" i="1" l="1"/>
  <c r="Z155" i="1"/>
  <c r="Y156" i="1"/>
  <c r="S141" i="1"/>
  <c r="T140" i="1"/>
  <c r="AA155" i="1" l="1"/>
  <c r="T141" i="1"/>
  <c r="S142" i="1"/>
  <c r="Z156" i="1"/>
  <c r="Y157" i="1"/>
  <c r="Z157" i="1" l="1"/>
  <c r="Y158" i="1"/>
  <c r="AA156" i="1"/>
  <c r="S143" i="1"/>
  <c r="T142" i="1"/>
  <c r="S144" i="1" l="1"/>
  <c r="T143" i="1"/>
  <c r="Z158" i="1"/>
  <c r="Y159" i="1"/>
  <c r="AA157" i="1"/>
  <c r="Z159" i="1" l="1"/>
  <c r="Y160" i="1"/>
  <c r="AA158" i="1"/>
  <c r="S145" i="1"/>
  <c r="T144" i="1"/>
  <c r="S146" i="1" l="1"/>
  <c r="T145" i="1"/>
  <c r="Z160" i="1"/>
  <c r="Y161" i="1"/>
  <c r="AA159" i="1"/>
  <c r="Z161" i="1" l="1"/>
  <c r="Y162" i="1"/>
  <c r="AA160" i="1"/>
  <c r="S147" i="1"/>
  <c r="T146" i="1"/>
  <c r="S148" i="1" l="1"/>
  <c r="T147" i="1"/>
  <c r="Z162" i="1"/>
  <c r="Y163" i="1"/>
  <c r="AA161" i="1"/>
  <c r="Z163" i="1" l="1"/>
  <c r="Y164" i="1"/>
  <c r="AA162" i="1"/>
  <c r="S149" i="1"/>
  <c r="T148" i="1"/>
  <c r="T149" i="1" l="1"/>
  <c r="S150" i="1"/>
  <c r="Z164" i="1"/>
  <c r="Y165" i="1"/>
  <c r="AA163" i="1"/>
  <c r="Z165" i="1" l="1"/>
  <c r="Y166" i="1"/>
  <c r="AA164" i="1"/>
  <c r="S151" i="1"/>
  <c r="T150" i="1"/>
  <c r="S152" i="1" l="1"/>
  <c r="T151" i="1"/>
  <c r="Z166" i="1"/>
  <c r="Y167" i="1"/>
  <c r="AA165" i="1"/>
  <c r="Z167" i="1" l="1"/>
  <c r="Y168" i="1"/>
  <c r="AA166" i="1"/>
  <c r="T152" i="1"/>
  <c r="S153" i="1"/>
  <c r="S154" i="1" l="1"/>
  <c r="T153" i="1"/>
  <c r="Z168" i="1"/>
  <c r="Y169" i="1"/>
  <c r="AA167" i="1"/>
  <c r="Z169" i="1" l="1"/>
  <c r="Y170" i="1"/>
  <c r="AA168" i="1"/>
  <c r="S155" i="1"/>
  <c r="T154" i="1"/>
  <c r="S156" i="1" l="1"/>
  <c r="T155" i="1"/>
  <c r="Z170" i="1"/>
  <c r="Y171" i="1"/>
  <c r="AA169" i="1"/>
  <c r="Z171" i="1" l="1"/>
  <c r="Y172" i="1"/>
  <c r="AA170" i="1"/>
  <c r="S157" i="1"/>
  <c r="T156" i="1"/>
  <c r="S158" i="1" l="1"/>
  <c r="T157" i="1"/>
  <c r="Z172" i="1"/>
  <c r="Y173" i="1"/>
  <c r="AA171" i="1"/>
  <c r="Z173" i="1" l="1"/>
  <c r="Y174" i="1"/>
  <c r="AA172" i="1"/>
  <c r="S159" i="1"/>
  <c r="T158" i="1"/>
  <c r="S160" i="1" l="1"/>
  <c r="T159" i="1"/>
  <c r="Z174" i="1"/>
  <c r="Y175" i="1"/>
  <c r="AA173" i="1"/>
  <c r="Z175" i="1" l="1"/>
  <c r="Y176" i="1"/>
  <c r="AA174" i="1"/>
  <c r="S161" i="1"/>
  <c r="T160" i="1"/>
  <c r="S162" i="1" l="1"/>
  <c r="T161" i="1"/>
  <c r="Z176" i="1"/>
  <c r="Y177" i="1"/>
  <c r="AA175" i="1"/>
  <c r="Z177" i="1" l="1"/>
  <c r="Y178" i="1"/>
  <c r="AA176" i="1"/>
  <c r="S163" i="1"/>
  <c r="T162" i="1"/>
  <c r="T163" i="1" l="1"/>
  <c r="S164" i="1"/>
  <c r="Z178" i="1"/>
  <c r="Y179" i="1"/>
  <c r="AA177" i="1"/>
  <c r="Z179" i="1" l="1"/>
  <c r="Y180" i="1"/>
  <c r="AA178" i="1"/>
  <c r="S165" i="1"/>
  <c r="T164" i="1"/>
  <c r="S166" i="1" l="1"/>
  <c r="T165" i="1"/>
  <c r="Z180" i="1"/>
  <c r="Y181" i="1"/>
  <c r="AA179" i="1"/>
  <c r="Z181" i="1" l="1"/>
  <c r="Y182" i="1"/>
  <c r="AA180" i="1"/>
  <c r="S167" i="1"/>
  <c r="T166" i="1"/>
  <c r="S168" i="1" l="1"/>
  <c r="T167" i="1"/>
  <c r="Z182" i="1"/>
  <c r="Y183" i="1"/>
  <c r="AA181" i="1"/>
  <c r="Z183" i="1" l="1"/>
  <c r="Y184" i="1"/>
  <c r="AA182" i="1"/>
  <c r="S169" i="1"/>
  <c r="T168" i="1"/>
  <c r="S170" i="1" l="1"/>
  <c r="T169" i="1"/>
  <c r="Z184" i="1"/>
  <c r="Y185" i="1"/>
  <c r="AA183" i="1"/>
  <c r="Z185" i="1" l="1"/>
  <c r="Y186" i="1"/>
  <c r="AA184" i="1"/>
  <c r="S171" i="1"/>
  <c r="T170" i="1"/>
  <c r="S172" i="1" l="1"/>
  <c r="T171" i="1"/>
  <c r="Z186" i="1"/>
  <c r="Y187" i="1"/>
  <c r="AA185" i="1"/>
  <c r="Z187" i="1" l="1"/>
  <c r="Y188" i="1"/>
  <c r="AA186" i="1"/>
  <c r="S173" i="1"/>
  <c r="T172" i="1"/>
  <c r="S174" i="1" l="1"/>
  <c r="T173" i="1"/>
  <c r="Z188" i="1"/>
  <c r="Y189" i="1"/>
  <c r="AA187" i="1"/>
  <c r="Z189" i="1" l="1"/>
  <c r="Y190" i="1"/>
  <c r="AA188" i="1"/>
  <c r="S175" i="1"/>
  <c r="T174" i="1"/>
  <c r="S176" i="1" l="1"/>
  <c r="T175" i="1"/>
  <c r="Z190" i="1"/>
  <c r="Y191" i="1"/>
  <c r="AA189" i="1"/>
  <c r="Z191" i="1" l="1"/>
  <c r="Y192" i="1"/>
  <c r="AA190" i="1"/>
  <c r="S177" i="1"/>
  <c r="T176" i="1"/>
  <c r="S178" i="1" l="1"/>
  <c r="T177" i="1"/>
  <c r="Z192" i="1"/>
  <c r="Y193" i="1"/>
  <c r="AA191" i="1"/>
  <c r="Z193" i="1" l="1"/>
  <c r="Y194" i="1"/>
  <c r="AA192" i="1"/>
  <c r="S179" i="1"/>
  <c r="T178" i="1"/>
  <c r="S180" i="1" l="1"/>
  <c r="T179" i="1"/>
  <c r="Z194" i="1"/>
  <c r="Y195" i="1"/>
  <c r="AA193" i="1"/>
  <c r="Z195" i="1" l="1"/>
  <c r="Y196" i="1"/>
  <c r="AA194" i="1"/>
  <c r="S181" i="1"/>
  <c r="T180" i="1"/>
  <c r="S182" i="1" l="1"/>
  <c r="T181" i="1"/>
  <c r="Z196" i="1"/>
  <c r="Y197" i="1"/>
  <c r="AA195" i="1"/>
  <c r="Z197" i="1" l="1"/>
  <c r="Y198" i="1"/>
  <c r="AA196" i="1"/>
  <c r="S183" i="1"/>
  <c r="T182" i="1"/>
  <c r="S184" i="1" l="1"/>
  <c r="T183" i="1"/>
  <c r="Z198" i="1"/>
  <c r="Y199" i="1"/>
  <c r="AA197" i="1"/>
  <c r="Z199" i="1" l="1"/>
  <c r="Y200" i="1"/>
  <c r="AA198" i="1"/>
  <c r="S185" i="1"/>
  <c r="T184" i="1"/>
  <c r="T185" i="1" l="1"/>
  <c r="S186" i="1"/>
  <c r="Z200" i="1"/>
  <c r="Y201" i="1"/>
  <c r="AA199" i="1"/>
  <c r="Z201" i="1" l="1"/>
  <c r="Y202" i="1"/>
  <c r="AA200" i="1"/>
  <c r="S187" i="1"/>
  <c r="T186" i="1"/>
  <c r="S188" i="1" l="1"/>
  <c r="T187" i="1"/>
  <c r="Z202" i="1"/>
  <c r="Y203" i="1"/>
  <c r="AA201" i="1"/>
  <c r="Z203" i="1" l="1"/>
  <c r="Y204" i="1"/>
  <c r="AA202" i="1"/>
  <c r="S189" i="1"/>
  <c r="T188" i="1"/>
  <c r="S190" i="1" l="1"/>
  <c r="T189" i="1"/>
  <c r="Z204" i="1"/>
  <c r="Y205" i="1"/>
  <c r="AA203" i="1"/>
  <c r="Z205" i="1" l="1"/>
  <c r="Y206" i="1"/>
  <c r="AA204" i="1"/>
  <c r="S191" i="1"/>
  <c r="T190" i="1"/>
  <c r="S192" i="1" l="1"/>
  <c r="T191" i="1"/>
  <c r="Z206" i="1"/>
  <c r="Y207" i="1"/>
  <c r="AA205" i="1"/>
  <c r="Z207" i="1" l="1"/>
  <c r="Y208" i="1"/>
  <c r="AA206" i="1"/>
  <c r="S193" i="1"/>
  <c r="T192" i="1"/>
  <c r="AA207" i="1" l="1"/>
  <c r="S194" i="1"/>
  <c r="T193" i="1"/>
  <c r="Z208" i="1"/>
  <c r="Y209" i="1"/>
  <c r="AA208" i="1" l="1"/>
  <c r="Z209" i="1"/>
  <c r="Y210" i="1"/>
  <c r="S195" i="1"/>
  <c r="T194" i="1"/>
  <c r="AA209" i="1" l="1"/>
  <c r="S196" i="1"/>
  <c r="T195" i="1"/>
  <c r="Z210" i="1"/>
  <c r="Y211" i="1"/>
  <c r="AA210" i="1" l="1"/>
  <c r="Z211" i="1"/>
  <c r="Y212" i="1"/>
  <c r="S197" i="1"/>
  <c r="T196" i="1"/>
  <c r="AA211" i="1" l="1"/>
  <c r="S198" i="1"/>
  <c r="T197" i="1"/>
  <c r="Z212" i="1"/>
  <c r="Y213" i="1"/>
  <c r="AA212" i="1" l="1"/>
  <c r="Z213" i="1"/>
  <c r="Y214" i="1"/>
  <c r="S199" i="1"/>
  <c r="T198" i="1"/>
  <c r="AA213" i="1" l="1"/>
  <c r="Z214" i="1"/>
  <c r="Y215" i="1"/>
  <c r="S200" i="1"/>
  <c r="T199" i="1"/>
  <c r="AA214" i="1" l="1"/>
  <c r="T200" i="1"/>
  <c r="S201" i="1"/>
  <c r="Z215" i="1"/>
  <c r="Y216" i="1"/>
  <c r="AA215" i="1" l="1"/>
  <c r="Z216" i="1"/>
  <c r="Y217" i="1"/>
  <c r="S202" i="1"/>
  <c r="T201" i="1"/>
  <c r="AA216" i="1" l="1"/>
  <c r="S203" i="1"/>
  <c r="T202" i="1"/>
  <c r="Z217" i="1"/>
  <c r="Y218" i="1"/>
  <c r="AA217" i="1" l="1"/>
  <c r="Z218" i="1"/>
  <c r="Y219" i="1"/>
  <c r="S204" i="1"/>
  <c r="T203" i="1"/>
  <c r="AA218" i="1" l="1"/>
  <c r="Z219" i="1"/>
  <c r="Y220" i="1"/>
  <c r="S205" i="1"/>
  <c r="T204" i="1"/>
  <c r="S206" i="1" l="1"/>
  <c r="T205" i="1"/>
  <c r="Z220" i="1"/>
  <c r="Y221" i="1"/>
  <c r="AA219" i="1"/>
  <c r="AA220" i="1" l="1"/>
  <c r="Z221" i="1"/>
  <c r="Y222" i="1"/>
  <c r="S207" i="1"/>
  <c r="T206" i="1"/>
  <c r="AA221" i="1" l="1"/>
  <c r="S208" i="1"/>
  <c r="T207" i="1"/>
  <c r="Z222" i="1"/>
  <c r="Y223" i="1"/>
  <c r="AA222" i="1" l="1"/>
  <c r="Z223" i="1"/>
  <c r="Y224" i="1"/>
  <c r="S209" i="1"/>
  <c r="T208" i="1"/>
  <c r="AA223" i="1" l="1"/>
  <c r="S210" i="1"/>
  <c r="T209" i="1"/>
  <c r="Z224" i="1"/>
  <c r="Y225" i="1"/>
  <c r="AA224" i="1" l="1"/>
  <c r="Z225" i="1"/>
  <c r="Y226" i="1"/>
  <c r="S211" i="1"/>
  <c r="T210" i="1"/>
  <c r="AA225" i="1" l="1"/>
  <c r="S212" i="1"/>
  <c r="T211" i="1"/>
  <c r="Z226" i="1"/>
  <c r="Y227" i="1"/>
  <c r="AA226" i="1" l="1"/>
  <c r="Z227" i="1"/>
  <c r="Y228" i="1"/>
  <c r="S213" i="1"/>
  <c r="T212" i="1"/>
  <c r="AA227" i="1" l="1"/>
  <c r="S214" i="1"/>
  <c r="T213" i="1"/>
  <c r="Z228" i="1"/>
  <c r="Y229" i="1"/>
  <c r="AA228" i="1" l="1"/>
  <c r="Z229" i="1"/>
  <c r="Y230" i="1"/>
  <c r="S215" i="1"/>
  <c r="T214" i="1"/>
  <c r="AA229" i="1" l="1"/>
  <c r="S216" i="1"/>
  <c r="T215" i="1"/>
  <c r="Z230" i="1"/>
  <c r="Y231" i="1"/>
  <c r="AA230" i="1" l="1"/>
  <c r="Z231" i="1"/>
  <c r="Y232" i="1"/>
  <c r="S217" i="1"/>
  <c r="T216" i="1"/>
  <c r="AA231" i="1" l="1"/>
  <c r="S218" i="1"/>
  <c r="T217" i="1"/>
  <c r="Z232" i="1"/>
  <c r="Y233" i="1"/>
  <c r="AA232" i="1" l="1"/>
  <c r="Z233" i="1"/>
  <c r="Y234" i="1"/>
  <c r="S219" i="1"/>
  <c r="T218" i="1"/>
  <c r="AA233" i="1" l="1"/>
  <c r="S220" i="1"/>
  <c r="T219" i="1"/>
  <c r="Z234" i="1"/>
  <c r="Y235" i="1"/>
  <c r="AA234" i="1" l="1"/>
  <c r="Z235" i="1"/>
  <c r="Y236" i="1"/>
  <c r="S221" i="1"/>
  <c r="T220" i="1"/>
  <c r="AA235" i="1" l="1"/>
  <c r="Z236" i="1"/>
  <c r="Y237" i="1"/>
  <c r="S222" i="1"/>
  <c r="T221" i="1"/>
  <c r="AA236" i="1" l="1"/>
  <c r="S223" i="1"/>
  <c r="T222" i="1"/>
  <c r="Z237" i="1"/>
  <c r="Y238" i="1"/>
  <c r="AA237" i="1" l="1"/>
  <c r="Z238" i="1"/>
  <c r="Y239" i="1"/>
  <c r="S224" i="1"/>
  <c r="T223" i="1"/>
  <c r="AA238" i="1" l="1"/>
  <c r="T224" i="1"/>
  <c r="S225" i="1"/>
  <c r="Z239" i="1"/>
  <c r="Y240" i="1"/>
  <c r="AA239" i="1" l="1"/>
  <c r="Z240" i="1"/>
  <c r="Y241" i="1"/>
  <c r="S226" i="1"/>
  <c r="T225" i="1"/>
  <c r="AA240" i="1" l="1"/>
  <c r="S227" i="1"/>
  <c r="T226" i="1"/>
  <c r="Z241" i="1"/>
  <c r="Y242" i="1"/>
  <c r="AA241" i="1" l="1"/>
  <c r="Z242" i="1"/>
  <c r="Y243" i="1"/>
  <c r="S228" i="1"/>
  <c r="T227" i="1"/>
  <c r="AA242" i="1" l="1"/>
  <c r="S229" i="1"/>
  <c r="T228" i="1"/>
  <c r="Z243" i="1"/>
  <c r="Y244" i="1"/>
  <c r="AA243" i="1" l="1"/>
  <c r="Z244" i="1"/>
  <c r="Y245" i="1"/>
  <c r="S230" i="1"/>
  <c r="T229" i="1"/>
  <c r="AA244" i="1" l="1"/>
  <c r="S231" i="1"/>
  <c r="T230" i="1"/>
  <c r="Z245" i="1"/>
  <c r="Y246" i="1"/>
  <c r="AA245" i="1" l="1"/>
  <c r="Z246" i="1"/>
  <c r="Y247" i="1"/>
  <c r="S232" i="1"/>
  <c r="T231" i="1"/>
  <c r="AA246" i="1" l="1"/>
  <c r="S233" i="1"/>
  <c r="T232" i="1"/>
  <c r="Z247" i="1"/>
  <c r="Y248" i="1"/>
  <c r="AA247" i="1" l="1"/>
  <c r="Z248" i="1"/>
  <c r="Y249" i="1"/>
  <c r="S234" i="1"/>
  <c r="T233" i="1"/>
  <c r="AA248" i="1" l="1"/>
  <c r="S235" i="1"/>
  <c r="T234" i="1"/>
  <c r="Z249" i="1"/>
  <c r="Y250" i="1"/>
  <c r="AA249" i="1" l="1"/>
  <c r="Z250" i="1"/>
  <c r="Y251" i="1"/>
  <c r="S236" i="1"/>
  <c r="T235" i="1"/>
  <c r="AA250" i="1" l="1"/>
  <c r="S237" i="1"/>
  <c r="T236" i="1"/>
  <c r="Z251" i="1"/>
  <c r="Z252" i="1" s="1"/>
  <c r="AA251" i="1" l="1"/>
  <c r="AA252" i="1"/>
  <c r="S238" i="1"/>
  <c r="T237" i="1"/>
  <c r="S239" i="1" l="1"/>
  <c r="T238" i="1"/>
  <c r="S240" i="1" l="1"/>
  <c r="T239" i="1"/>
  <c r="S241" i="1" l="1"/>
  <c r="T240" i="1"/>
  <c r="S242" i="1" l="1"/>
  <c r="T241" i="1"/>
  <c r="S243" i="1" l="1"/>
  <c r="T242" i="1"/>
  <c r="S244" i="1" l="1"/>
  <c r="T243" i="1"/>
  <c r="S245" i="1" l="1"/>
  <c r="T244" i="1"/>
  <c r="S246" i="1" l="1"/>
  <c r="T245" i="1"/>
  <c r="S247" i="1" l="1"/>
  <c r="T246" i="1"/>
  <c r="S248" i="1" l="1"/>
  <c r="T247" i="1"/>
  <c r="S249" i="1" l="1"/>
  <c r="T248" i="1"/>
  <c r="S250" i="1" l="1"/>
  <c r="T249" i="1"/>
  <c r="S251" i="1" l="1"/>
  <c r="T250" i="1"/>
  <c r="S252" i="1" l="1"/>
  <c r="T251" i="1"/>
  <c r="T25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56ADE4-D7B8-4FEA-932F-858278A23C2E}" keepAlive="1" name="Query - Forecast" description="Connection to the 'Forecast' query in the workbook." type="5" refreshedVersion="8" background="1" saveData="1">
    <dbPr connection="Provider=Microsoft.Mashup.OleDb.1;Data Source=$Workbook$;Location=Forecast;Extended Properties=&quot;&quot;" command="SELECT * FROM [Forecas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74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</futureMetadata>
  <cellMetadata count="1">
    <bk>
      <rc t="1" v="0"/>
    </bk>
  </cellMetadata>
  <valueMetadata count="74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</valueMetadata>
</metadata>
</file>

<file path=xl/sharedStrings.xml><?xml version="1.0" encoding="utf-8"?>
<sst xmlns="http://schemas.openxmlformats.org/spreadsheetml/2006/main" count="61" uniqueCount="52">
  <si>
    <t>Pr x Vol</t>
  </si>
  <si>
    <t>VWAP</t>
  </si>
  <si>
    <t>StdDev</t>
  </si>
  <si>
    <t>Plus 1 Sd</t>
  </si>
  <si>
    <t>Minus 1 Sd</t>
  </si>
  <si>
    <t>Lower</t>
  </si>
  <si>
    <t>Upper</t>
  </si>
  <si>
    <t>20d SMA</t>
  </si>
  <si>
    <t>21d Sd</t>
  </si>
  <si>
    <t>Change</t>
  </si>
  <si>
    <t>Gain</t>
  </si>
  <si>
    <t>Loss</t>
  </si>
  <si>
    <t>AvgGain</t>
  </si>
  <si>
    <t>AvgLoss</t>
  </si>
  <si>
    <t>RS</t>
  </si>
  <si>
    <t>RSI</t>
  </si>
  <si>
    <t>RSI 70</t>
  </si>
  <si>
    <t>RSI 30</t>
  </si>
  <si>
    <t>EMA 12</t>
  </si>
  <si>
    <t>EMA 26</t>
  </si>
  <si>
    <t>MACD</t>
  </si>
  <si>
    <t>Signal</t>
  </si>
  <si>
    <t>Histogram</t>
  </si>
  <si>
    <t>100d SMA</t>
  </si>
  <si>
    <t>Chart</t>
  </si>
  <si>
    <t>Columns</t>
  </si>
  <si>
    <t>Stock Data</t>
  </si>
  <si>
    <t>A,B,C</t>
  </si>
  <si>
    <t>A,B,E,G,H</t>
  </si>
  <si>
    <t>Bollinger Bands</t>
  </si>
  <si>
    <t>A,B,I,k,L</t>
  </si>
  <si>
    <t>S,T,U</t>
  </si>
  <si>
    <t>X,Y,Z</t>
  </si>
  <si>
    <t>AA</t>
  </si>
  <si>
    <t>Weekly</t>
  </si>
  <si>
    <t>Weekly Average</t>
  </si>
  <si>
    <t>Forecast</t>
  </si>
  <si>
    <t>1 Qt 2026</t>
  </si>
  <si>
    <t>Stats</t>
  </si>
  <si>
    <t>Min</t>
  </si>
  <si>
    <t>Max</t>
  </si>
  <si>
    <t>Median</t>
  </si>
  <si>
    <t>Mean</t>
  </si>
  <si>
    <t>Close</t>
  </si>
  <si>
    <t>Volume</t>
  </si>
  <si>
    <t>Week</t>
  </si>
  <si>
    <t>Average</t>
  </si>
  <si>
    <t>XL Forecast</t>
  </si>
  <si>
    <t>Calc Forecast</t>
  </si>
  <si>
    <t>Date</t>
  </si>
  <si>
    <t>Dividends</t>
  </si>
  <si>
    <t>GSSimple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</si>
</sst>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4" fillId="2" borderId="0" xfId="0" applyFont="1" applyFill="1"/>
    <xf numFmtId="0" fontId="0" fillId="3" borderId="0" xfId="0" applyFill="1"/>
    <xf numFmtId="0" fontId="0" fillId="4" borderId="0" xfId="0" applyFill="1"/>
    <xf numFmtId="0" fontId="0" fillId="8" borderId="0" xfId="0" applyFill="1"/>
    <xf numFmtId="0" fontId="0" fillId="9" borderId="0" xfId="0" applyFill="1"/>
    <xf numFmtId="43" fontId="2" fillId="4" borderId="0" xfId="1" applyFont="1" applyFill="1" applyAlignment="1">
      <alignment horizontal="center"/>
    </xf>
    <xf numFmtId="43" fontId="0" fillId="0" borderId="0" xfId="1" applyFon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10" borderId="0" xfId="0" applyFill="1"/>
    <xf numFmtId="0" fontId="6" fillId="0" borderId="1" xfId="0" applyFont="1" applyBorder="1" applyAlignment="1">
      <alignment horizontal="center" wrapText="1"/>
    </xf>
    <xf numFmtId="14" fontId="0" fillId="0" borderId="0" xfId="0" applyNumberFormat="1"/>
    <xf numFmtId="8" fontId="7" fillId="0" borderId="1" xfId="0" applyNumberFormat="1" applyFont="1" applyBorder="1" applyAlignment="1">
      <alignment horizontal="right" wrapText="1"/>
    </xf>
    <xf numFmtId="0" fontId="8" fillId="0" borderId="1" xfId="0" applyFont="1" applyBorder="1" applyAlignment="1">
      <alignment wrapText="1"/>
    </xf>
    <xf numFmtId="164" fontId="6" fillId="0" borderId="1" xfId="0" applyNumberFormat="1" applyFont="1" applyBorder="1" applyAlignment="1">
      <alignment horizontal="center" wrapText="1"/>
    </xf>
    <xf numFmtId="164" fontId="7" fillId="0" borderId="1" xfId="0" applyNumberFormat="1" applyFont="1" applyBorder="1" applyAlignment="1">
      <alignment horizontal="right" wrapText="1"/>
    </xf>
    <xf numFmtId="164" fontId="8" fillId="0" borderId="1" xfId="0" applyNumberFormat="1" applyFont="1" applyBorder="1" applyAlignment="1">
      <alignment wrapText="1"/>
    </xf>
    <xf numFmtId="0" fontId="9" fillId="0" borderId="1" xfId="0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2">
    <dxf>
      <numFmt numFmtId="19" formatCode="m/d/yyyy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haredStrings" Target="sharedString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Array" Target="richData/rdarray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Data!$C$2:$C$252</c:f>
              <c:numCache>
                <c:formatCode>_([$$-409]* #,##0.00_);_([$$-409]* \(#,##0.00\);_([$$-409]* "-"??_);_(@_)</c:formatCode>
                <c:ptCount val="251"/>
                <c:pt idx="0">
                  <c:v>156.66999999999999</c:v>
                </c:pt>
                <c:pt idx="1">
                  <c:v>158.62</c:v>
                </c:pt>
                <c:pt idx="2">
                  <c:v>153.09</c:v>
                </c:pt>
                <c:pt idx="3">
                  <c:v>152</c:v>
                </c:pt>
                <c:pt idx="4">
                  <c:v>150.81</c:v>
                </c:pt>
                <c:pt idx="5">
                  <c:v>152.94999999999999</c:v>
                </c:pt>
                <c:pt idx="6">
                  <c:v>156.34</c:v>
                </c:pt>
                <c:pt idx="7">
                  <c:v>157.57</c:v>
                </c:pt>
                <c:pt idx="8">
                  <c:v>154.08000000000001</c:v>
                </c:pt>
                <c:pt idx="9">
                  <c:v>152.66999999999999</c:v>
                </c:pt>
                <c:pt idx="10">
                  <c:v>153.61000000000001</c:v>
                </c:pt>
                <c:pt idx="11">
                  <c:v>157.02000000000001</c:v>
                </c:pt>
                <c:pt idx="12">
                  <c:v>158.72</c:v>
                </c:pt>
                <c:pt idx="13">
                  <c:v>160.81</c:v>
                </c:pt>
                <c:pt idx="14">
                  <c:v>164.05</c:v>
                </c:pt>
                <c:pt idx="15">
                  <c:v>164.77</c:v>
                </c:pt>
                <c:pt idx="16">
                  <c:v>164.75</c:v>
                </c:pt>
                <c:pt idx="17">
                  <c:v>165.02</c:v>
                </c:pt>
                <c:pt idx="18">
                  <c:v>165.94</c:v>
                </c:pt>
                <c:pt idx="19">
                  <c:v>167.97</c:v>
                </c:pt>
                <c:pt idx="20">
                  <c:v>166.65</c:v>
                </c:pt>
                <c:pt idx="21">
                  <c:v>166.09</c:v>
                </c:pt>
                <c:pt idx="22">
                  <c:v>167.29</c:v>
                </c:pt>
                <c:pt idx="23">
                  <c:v>168.51</c:v>
                </c:pt>
                <c:pt idx="24">
                  <c:v>166.47</c:v>
                </c:pt>
                <c:pt idx="25">
                  <c:v>156.12</c:v>
                </c:pt>
                <c:pt idx="26">
                  <c:v>143.28</c:v>
                </c:pt>
                <c:pt idx="27">
                  <c:v>140.15</c:v>
                </c:pt>
                <c:pt idx="28">
                  <c:v>136.93</c:v>
                </c:pt>
                <c:pt idx="29">
                  <c:v>146.03</c:v>
                </c:pt>
                <c:pt idx="30">
                  <c:v>134.97999999999999</c:v>
                </c:pt>
                <c:pt idx="31">
                  <c:v>135.63</c:v>
                </c:pt>
                <c:pt idx="32">
                  <c:v>135.32</c:v>
                </c:pt>
                <c:pt idx="33">
                  <c:v>134.54</c:v>
                </c:pt>
                <c:pt idx="34">
                  <c:v>135.36000000000001</c:v>
                </c:pt>
                <c:pt idx="35">
                  <c:v>137.87</c:v>
                </c:pt>
                <c:pt idx="36">
                  <c:v>133.72999999999999</c:v>
                </c:pt>
                <c:pt idx="37">
                  <c:v>137.30000000000001</c:v>
                </c:pt>
                <c:pt idx="38">
                  <c:v>136.68</c:v>
                </c:pt>
                <c:pt idx="39">
                  <c:v>139.07</c:v>
                </c:pt>
                <c:pt idx="40">
                  <c:v>138.72999999999999</c:v>
                </c:pt>
                <c:pt idx="41">
                  <c:v>140.1</c:v>
                </c:pt>
                <c:pt idx="42">
                  <c:v>139.30000000000001</c:v>
                </c:pt>
                <c:pt idx="43">
                  <c:v>136.06</c:v>
                </c:pt>
                <c:pt idx="44">
                  <c:v>136.26</c:v>
                </c:pt>
                <c:pt idx="45">
                  <c:v>138.5</c:v>
                </c:pt>
                <c:pt idx="46">
                  <c:v>135.5</c:v>
                </c:pt>
                <c:pt idx="47">
                  <c:v>135.6</c:v>
                </c:pt>
                <c:pt idx="48">
                  <c:v>135.79</c:v>
                </c:pt>
                <c:pt idx="49">
                  <c:v>137.04</c:v>
                </c:pt>
                <c:pt idx="50">
                  <c:v>138.49</c:v>
                </c:pt>
                <c:pt idx="51">
                  <c:v>141.62</c:v>
                </c:pt>
                <c:pt idx="52">
                  <c:v>142.35</c:v>
                </c:pt>
                <c:pt idx="53">
                  <c:v>141.66999999999999</c:v>
                </c:pt>
                <c:pt idx="54">
                  <c:v>142.26</c:v>
                </c:pt>
                <c:pt idx="55">
                  <c:v>142.1</c:v>
                </c:pt>
                <c:pt idx="56">
                  <c:v>138.49</c:v>
                </c:pt>
                <c:pt idx="57">
                  <c:v>137.27000000000001</c:v>
                </c:pt>
                <c:pt idx="58">
                  <c:v>135.56</c:v>
                </c:pt>
                <c:pt idx="59">
                  <c:v>135.29</c:v>
                </c:pt>
                <c:pt idx="60">
                  <c:v>136.54</c:v>
                </c:pt>
                <c:pt idx="61">
                  <c:v>137.83000000000001</c:v>
                </c:pt>
                <c:pt idx="62">
                  <c:v>136.02000000000001</c:v>
                </c:pt>
                <c:pt idx="63">
                  <c:v>137.91</c:v>
                </c:pt>
                <c:pt idx="64">
                  <c:v>136.69999999999999</c:v>
                </c:pt>
                <c:pt idx="65">
                  <c:v>137.84</c:v>
                </c:pt>
                <c:pt idx="66">
                  <c:v>139.55000000000001</c:v>
                </c:pt>
                <c:pt idx="67">
                  <c:v>137.37</c:v>
                </c:pt>
                <c:pt idx="68">
                  <c:v>136.9</c:v>
                </c:pt>
                <c:pt idx="69">
                  <c:v>140.21</c:v>
                </c:pt>
                <c:pt idx="70">
                  <c:v>140.76</c:v>
                </c:pt>
                <c:pt idx="71">
                  <c:v>143.35</c:v>
                </c:pt>
                <c:pt idx="72">
                  <c:v>144.78</c:v>
                </c:pt>
                <c:pt idx="73">
                  <c:v>144.97</c:v>
                </c:pt>
                <c:pt idx="74">
                  <c:v>145.91</c:v>
                </c:pt>
                <c:pt idx="75">
                  <c:v>146.03</c:v>
                </c:pt>
                <c:pt idx="76">
                  <c:v>148.85</c:v>
                </c:pt>
                <c:pt idx="77">
                  <c:v>148.19</c:v>
                </c:pt>
                <c:pt idx="78">
                  <c:v>149.55000000000001</c:v>
                </c:pt>
                <c:pt idx="79">
                  <c:v>146.86000000000001</c:v>
                </c:pt>
                <c:pt idx="80">
                  <c:v>143.55000000000001</c:v>
                </c:pt>
                <c:pt idx="81">
                  <c:v>143.22999999999999</c:v>
                </c:pt>
                <c:pt idx="82">
                  <c:v>144.44</c:v>
                </c:pt>
                <c:pt idx="83">
                  <c:v>143.79</c:v>
                </c:pt>
                <c:pt idx="84">
                  <c:v>143.19</c:v>
                </c:pt>
                <c:pt idx="85">
                  <c:v>145.57</c:v>
                </c:pt>
                <c:pt idx="86">
                  <c:v>147.97999999999999</c:v>
                </c:pt>
                <c:pt idx="87">
                  <c:v>148.37</c:v>
                </c:pt>
                <c:pt idx="88">
                  <c:v>147.4</c:v>
                </c:pt>
                <c:pt idx="89">
                  <c:v>153.24</c:v>
                </c:pt>
                <c:pt idx="90">
                  <c:v>153.02000000000001</c:v>
                </c:pt>
                <c:pt idx="91">
                  <c:v>154.16999999999999</c:v>
                </c:pt>
                <c:pt idx="92">
                  <c:v>155.31</c:v>
                </c:pt>
                <c:pt idx="93">
                  <c:v>151.65</c:v>
                </c:pt>
                <c:pt idx="94">
                  <c:v>150.69</c:v>
                </c:pt>
                <c:pt idx="95">
                  <c:v>149.91999999999999</c:v>
                </c:pt>
                <c:pt idx="96">
                  <c:v>151.38</c:v>
                </c:pt>
                <c:pt idx="97">
                  <c:v>150.04</c:v>
                </c:pt>
                <c:pt idx="98">
                  <c:v>149.68</c:v>
                </c:pt>
                <c:pt idx="99">
                  <c:v>150.04</c:v>
                </c:pt>
                <c:pt idx="100">
                  <c:v>153.12</c:v>
                </c:pt>
                <c:pt idx="101">
                  <c:v>155.83000000000001</c:v>
                </c:pt>
                <c:pt idx="102">
                  <c:v>154.84</c:v>
                </c:pt>
                <c:pt idx="103">
                  <c:v>156.28</c:v>
                </c:pt>
                <c:pt idx="104">
                  <c:v>157.03</c:v>
                </c:pt>
                <c:pt idx="105">
                  <c:v>153.56</c:v>
                </c:pt>
                <c:pt idx="106">
                  <c:v>151.63999999999999</c:v>
                </c:pt>
                <c:pt idx="107">
                  <c:v>151.4</c:v>
                </c:pt>
                <c:pt idx="108">
                  <c:v>151.04</c:v>
                </c:pt>
                <c:pt idx="109">
                  <c:v>153.04</c:v>
                </c:pt>
                <c:pt idx="110">
                  <c:v>152.78</c:v>
                </c:pt>
                <c:pt idx="111">
                  <c:v>153.16</c:v>
                </c:pt>
                <c:pt idx="112">
                  <c:v>155.01</c:v>
                </c:pt>
                <c:pt idx="113">
                  <c:v>153.44999999999999</c:v>
                </c:pt>
                <c:pt idx="114">
                  <c:v>154.44</c:v>
                </c:pt>
                <c:pt idx="115">
                  <c:v>155.87</c:v>
                </c:pt>
                <c:pt idx="116">
                  <c:v>155.16</c:v>
                </c:pt>
                <c:pt idx="117">
                  <c:v>156.55000000000001</c:v>
                </c:pt>
                <c:pt idx="118">
                  <c:v>155.32</c:v>
                </c:pt>
                <c:pt idx="119">
                  <c:v>152</c:v>
                </c:pt>
                <c:pt idx="120">
                  <c:v>153.22</c:v>
                </c:pt>
                <c:pt idx="121">
                  <c:v>155.55000000000001</c:v>
                </c:pt>
                <c:pt idx="122">
                  <c:v>158.18</c:v>
                </c:pt>
                <c:pt idx="123">
                  <c:v>158.19999999999999</c:v>
                </c:pt>
                <c:pt idx="124">
                  <c:v>157.36000000000001</c:v>
                </c:pt>
                <c:pt idx="125">
                  <c:v>159.24</c:v>
                </c:pt>
                <c:pt idx="126">
                  <c:v>159.32</c:v>
                </c:pt>
                <c:pt idx="127">
                  <c:v>160.6</c:v>
                </c:pt>
                <c:pt idx="128">
                  <c:v>161.83000000000001</c:v>
                </c:pt>
                <c:pt idx="129">
                  <c:v>158.06</c:v>
                </c:pt>
                <c:pt idx="130">
                  <c:v>157.69</c:v>
                </c:pt>
                <c:pt idx="131">
                  <c:v>153.66</c:v>
                </c:pt>
                <c:pt idx="132">
                  <c:v>154</c:v>
                </c:pt>
                <c:pt idx="133">
                  <c:v>154.85</c:v>
                </c:pt>
                <c:pt idx="134">
                  <c:v>157.79</c:v>
                </c:pt>
                <c:pt idx="135">
                  <c:v>158.25</c:v>
                </c:pt>
                <c:pt idx="136">
                  <c:v>157.11000000000001</c:v>
                </c:pt>
                <c:pt idx="137">
                  <c:v>157.31</c:v>
                </c:pt>
                <c:pt idx="138">
                  <c:v>159.54</c:v>
                </c:pt>
                <c:pt idx="139">
                  <c:v>160.09</c:v>
                </c:pt>
                <c:pt idx="140">
                  <c:v>158.84</c:v>
                </c:pt>
                <c:pt idx="141">
                  <c:v>156.21</c:v>
                </c:pt>
                <c:pt idx="142">
                  <c:v>156.05000000000001</c:v>
                </c:pt>
                <c:pt idx="143">
                  <c:v>157.41999999999999</c:v>
                </c:pt>
                <c:pt idx="144">
                  <c:v>159.18</c:v>
                </c:pt>
                <c:pt idx="145">
                  <c:v>160.72</c:v>
                </c:pt>
                <c:pt idx="146">
                  <c:v>160.16</c:v>
                </c:pt>
                <c:pt idx="147">
                  <c:v>156.1</c:v>
                </c:pt>
                <c:pt idx="148">
                  <c:v>155.29</c:v>
                </c:pt>
                <c:pt idx="149">
                  <c:v>154.58000000000001</c:v>
                </c:pt>
                <c:pt idx="150">
                  <c:v>153.37</c:v>
                </c:pt>
                <c:pt idx="151">
                  <c:v>153.55000000000001</c:v>
                </c:pt>
                <c:pt idx="152">
                  <c:v>154.02000000000001</c:v>
                </c:pt>
                <c:pt idx="153">
                  <c:v>154.91</c:v>
                </c:pt>
                <c:pt idx="154">
                  <c:v>153.74</c:v>
                </c:pt>
                <c:pt idx="155">
                  <c:v>151.63999999999999</c:v>
                </c:pt>
                <c:pt idx="156">
                  <c:v>148.9</c:v>
                </c:pt>
                <c:pt idx="157">
                  <c:v>151.94</c:v>
                </c:pt>
                <c:pt idx="158">
                  <c:v>152.38999999999999</c:v>
                </c:pt>
                <c:pt idx="159">
                  <c:v>152.11000000000001</c:v>
                </c:pt>
                <c:pt idx="160">
                  <c:v>151.71</c:v>
                </c:pt>
                <c:pt idx="161">
                  <c:v>153.08000000000001</c:v>
                </c:pt>
                <c:pt idx="162">
                  <c:v>154.47999999999999</c:v>
                </c:pt>
                <c:pt idx="163">
                  <c:v>153.79</c:v>
                </c:pt>
                <c:pt idx="164">
                  <c:v>155.57</c:v>
                </c:pt>
                <c:pt idx="165">
                  <c:v>156.56</c:v>
                </c:pt>
                <c:pt idx="166">
                  <c:v>155.56</c:v>
                </c:pt>
                <c:pt idx="167">
                  <c:v>155.28</c:v>
                </c:pt>
                <c:pt idx="168">
                  <c:v>154.13</c:v>
                </c:pt>
                <c:pt idx="169">
                  <c:v>155.1</c:v>
                </c:pt>
                <c:pt idx="170">
                  <c:v>153.52000000000001</c:v>
                </c:pt>
                <c:pt idx="171">
                  <c:v>157.72</c:v>
                </c:pt>
                <c:pt idx="172">
                  <c:v>154.04</c:v>
                </c:pt>
                <c:pt idx="173">
                  <c:v>153.38999999999999</c:v>
                </c:pt>
                <c:pt idx="174">
                  <c:v>152.66</c:v>
                </c:pt>
                <c:pt idx="175">
                  <c:v>152.94</c:v>
                </c:pt>
                <c:pt idx="176">
                  <c:v>155.02000000000001</c:v>
                </c:pt>
                <c:pt idx="177">
                  <c:v>155.65</c:v>
                </c:pt>
                <c:pt idx="178">
                  <c:v>156.24</c:v>
                </c:pt>
                <c:pt idx="179">
                  <c:v>153.32</c:v>
                </c:pt>
                <c:pt idx="180">
                  <c:v>155.58000000000001</c:v>
                </c:pt>
                <c:pt idx="181">
                  <c:v>157.62</c:v>
                </c:pt>
                <c:pt idx="182">
                  <c:v>154.82</c:v>
                </c:pt>
                <c:pt idx="183">
                  <c:v>153.62</c:v>
                </c:pt>
                <c:pt idx="184">
                  <c:v>151.69999999999999</c:v>
                </c:pt>
                <c:pt idx="185">
                  <c:v>150.31</c:v>
                </c:pt>
                <c:pt idx="186">
                  <c:v>149.97999999999999</c:v>
                </c:pt>
                <c:pt idx="187">
                  <c:v>149.75</c:v>
                </c:pt>
                <c:pt idx="188">
                  <c:v>148.53</c:v>
                </c:pt>
                <c:pt idx="189">
                  <c:v>149.51</c:v>
                </c:pt>
                <c:pt idx="190">
                  <c:v>151.13</c:v>
                </c:pt>
                <c:pt idx="191">
                  <c:v>152.54</c:v>
                </c:pt>
                <c:pt idx="192">
                  <c:v>150.25</c:v>
                </c:pt>
                <c:pt idx="193">
                  <c:v>151.59</c:v>
                </c:pt>
                <c:pt idx="194">
                  <c:v>152.26</c:v>
                </c:pt>
                <c:pt idx="195">
                  <c:v>150</c:v>
                </c:pt>
                <c:pt idx="196">
                  <c:v>148.71</c:v>
                </c:pt>
                <c:pt idx="197">
                  <c:v>148.49</c:v>
                </c:pt>
                <c:pt idx="198">
                  <c:v>151.41</c:v>
                </c:pt>
                <c:pt idx="199">
                  <c:v>150.72</c:v>
                </c:pt>
                <c:pt idx="200">
                  <c:v>149.99</c:v>
                </c:pt>
                <c:pt idx="201">
                  <c:v>149.80000000000001</c:v>
                </c:pt>
                <c:pt idx="202">
                  <c:v>146.75</c:v>
                </c:pt>
                <c:pt idx="203">
                  <c:v>149.52000000000001</c:v>
                </c:pt>
                <c:pt idx="204">
                  <c:v>147.69</c:v>
                </c:pt>
                <c:pt idx="205">
                  <c:v>147.75</c:v>
                </c:pt>
                <c:pt idx="206">
                  <c:v>149.80000000000001</c:v>
                </c:pt>
                <c:pt idx="207">
                  <c:v>150.51</c:v>
                </c:pt>
                <c:pt idx="208">
                  <c:v>150.5</c:v>
                </c:pt>
                <c:pt idx="209">
                  <c:v>150.02000000000001</c:v>
                </c:pt>
                <c:pt idx="210">
                  <c:v>150.99</c:v>
                </c:pt>
                <c:pt idx="211">
                  <c:v>152.31</c:v>
                </c:pt>
                <c:pt idx="212">
                  <c:v>152.41</c:v>
                </c:pt>
                <c:pt idx="213">
                  <c:v>155.9</c:v>
                </c:pt>
                <c:pt idx="214">
                  <c:v>163.85</c:v>
                </c:pt>
                <c:pt idx="215">
                  <c:v>156.54</c:v>
                </c:pt>
                <c:pt idx="216">
                  <c:v>155.19999999999999</c:v>
                </c:pt>
                <c:pt idx="217">
                  <c:v>159.25</c:v>
                </c:pt>
                <c:pt idx="218">
                  <c:v>162.11000000000001</c:v>
                </c:pt>
                <c:pt idx="219">
                  <c:v>162.34</c:v>
                </c:pt>
                <c:pt idx="220">
                  <c:v>163.87</c:v>
                </c:pt>
                <c:pt idx="221">
                  <c:v>167.24</c:v>
                </c:pt>
                <c:pt idx="222">
                  <c:v>166.16</c:v>
                </c:pt>
                <c:pt idx="223">
                  <c:v>166.26</c:v>
                </c:pt>
                <c:pt idx="224">
                  <c:v>165.3</c:v>
                </c:pt>
                <c:pt idx="225">
                  <c:v>166.73</c:v>
                </c:pt>
                <c:pt idx="226">
                  <c:v>166.66</c:v>
                </c:pt>
                <c:pt idx="227">
                  <c:v>166.72</c:v>
                </c:pt>
                <c:pt idx="228">
                  <c:v>167.5</c:v>
                </c:pt>
                <c:pt idx="229">
                  <c:v>169.05</c:v>
                </c:pt>
                <c:pt idx="230">
                  <c:v>169.93</c:v>
                </c:pt>
                <c:pt idx="231">
                  <c:v>171.19</c:v>
                </c:pt>
                <c:pt idx="232">
                  <c:v>176.9</c:v>
                </c:pt>
                <c:pt idx="233">
                  <c:v>174.03</c:v>
                </c:pt>
                <c:pt idx="234">
                  <c:v>178.04</c:v>
                </c:pt>
                <c:pt idx="235">
                  <c:v>181.23</c:v>
                </c:pt>
                <c:pt idx="236">
                  <c:v>179.23</c:v>
                </c:pt>
                <c:pt idx="237">
                  <c:v>180.86</c:v>
                </c:pt>
                <c:pt idx="238">
                  <c:v>182.6</c:v>
                </c:pt>
                <c:pt idx="239">
                  <c:v>182.26</c:v>
                </c:pt>
                <c:pt idx="240">
                  <c:v>185.82</c:v>
                </c:pt>
                <c:pt idx="241">
                  <c:v>182.4</c:v>
                </c:pt>
                <c:pt idx="242">
                  <c:v>183.74</c:v>
                </c:pt>
                <c:pt idx="243">
                  <c:v>180.55</c:v>
                </c:pt>
                <c:pt idx="244">
                  <c:v>183.87</c:v>
                </c:pt>
                <c:pt idx="245">
                  <c:v>184.78</c:v>
                </c:pt>
                <c:pt idx="246">
                  <c:v>183.93</c:v>
                </c:pt>
                <c:pt idx="247">
                  <c:v>184.91</c:v>
                </c:pt>
                <c:pt idx="248">
                  <c:v>185.34</c:v>
                </c:pt>
                <c:pt idx="249">
                  <c:v>184.22</c:v>
                </c:pt>
                <c:pt idx="250">
                  <c:v>184.16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9-4E46-80F0-71265679BD5F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Data!$J$2:$J$252</c:f>
              <c:numCache>
                <c:formatCode>General</c:formatCode>
                <c:ptCount val="251"/>
                <c:pt idx="19">
                  <c:v>158.37299999999999</c:v>
                </c:pt>
                <c:pt idx="20">
                  <c:v>158.87200000000001</c:v>
                </c:pt>
                <c:pt idx="21">
                  <c:v>159.24549999999999</c:v>
                </c:pt>
                <c:pt idx="22">
                  <c:v>159.9555</c:v>
                </c:pt>
                <c:pt idx="23">
                  <c:v>160.78100000000001</c:v>
                </c:pt>
                <c:pt idx="24">
                  <c:v>161.56400000000002</c:v>
                </c:pt>
                <c:pt idx="25">
                  <c:v>161.72249999999997</c:v>
                </c:pt>
                <c:pt idx="26">
                  <c:v>161.06950000000001</c:v>
                </c:pt>
                <c:pt idx="27">
                  <c:v>160.1985</c:v>
                </c:pt>
                <c:pt idx="28">
                  <c:v>159.34099999999998</c:v>
                </c:pt>
                <c:pt idx="29">
                  <c:v>159.00899999999999</c:v>
                </c:pt>
                <c:pt idx="30">
                  <c:v>158.07750000000001</c:v>
                </c:pt>
                <c:pt idx="31">
                  <c:v>157.00800000000001</c:v>
                </c:pt>
                <c:pt idx="32">
                  <c:v>155.83800000000002</c:v>
                </c:pt>
                <c:pt idx="33">
                  <c:v>154.52450000000005</c:v>
                </c:pt>
                <c:pt idx="34">
                  <c:v>153.09</c:v>
                </c:pt>
                <c:pt idx="35">
                  <c:v>151.74500000000003</c:v>
                </c:pt>
                <c:pt idx="36">
                  <c:v>150.19400000000002</c:v>
                </c:pt>
                <c:pt idx="37">
                  <c:v>148.80800000000002</c:v>
                </c:pt>
                <c:pt idx="38">
                  <c:v>147.345</c:v>
                </c:pt>
                <c:pt idx="39">
                  <c:v>145.90000000000003</c:v>
                </c:pt>
                <c:pt idx="40">
                  <c:v>144.50399999999999</c:v>
                </c:pt>
                <c:pt idx="41">
                  <c:v>143.2045</c:v>
                </c:pt>
                <c:pt idx="42">
                  <c:v>141.80500000000001</c:v>
                </c:pt>
                <c:pt idx="43">
                  <c:v>140.1825</c:v>
                </c:pt>
                <c:pt idx="44">
                  <c:v>138.67200000000003</c:v>
                </c:pt>
                <c:pt idx="45">
                  <c:v>137.791</c:v>
                </c:pt>
                <c:pt idx="46">
                  <c:v>137.40199999999999</c:v>
                </c:pt>
                <c:pt idx="47">
                  <c:v>137.17450000000002</c:v>
                </c:pt>
                <c:pt idx="48">
                  <c:v>137.11750000000001</c:v>
                </c:pt>
                <c:pt idx="49">
                  <c:v>136.66799999999998</c:v>
                </c:pt>
                <c:pt idx="50">
                  <c:v>136.84350000000001</c:v>
                </c:pt>
                <c:pt idx="51">
                  <c:v>137.14299999999997</c:v>
                </c:pt>
                <c:pt idx="52">
                  <c:v>137.49449999999999</c:v>
                </c:pt>
                <c:pt idx="53">
                  <c:v>137.851</c:v>
                </c:pt>
                <c:pt idx="54">
                  <c:v>138.196</c:v>
                </c:pt>
                <c:pt idx="55">
                  <c:v>138.40749999999997</c:v>
                </c:pt>
                <c:pt idx="56">
                  <c:v>138.6455</c:v>
                </c:pt>
                <c:pt idx="57">
                  <c:v>138.64399999999998</c:v>
                </c:pt>
                <c:pt idx="58">
                  <c:v>138.58800000000002</c:v>
                </c:pt>
                <c:pt idx="59">
                  <c:v>138.39899999999997</c:v>
                </c:pt>
                <c:pt idx="60">
                  <c:v>138.2895</c:v>
                </c:pt>
                <c:pt idx="61">
                  <c:v>138.17599999999999</c:v>
                </c:pt>
                <c:pt idx="62">
                  <c:v>138.01199999999997</c:v>
                </c:pt>
                <c:pt idx="63">
                  <c:v>138.10449999999997</c:v>
                </c:pt>
                <c:pt idx="64">
                  <c:v>138.12649999999996</c:v>
                </c:pt>
                <c:pt idx="65">
                  <c:v>138.09349999999998</c:v>
                </c:pt>
                <c:pt idx="66">
                  <c:v>138.29599999999999</c:v>
                </c:pt>
                <c:pt idx="67">
                  <c:v>138.38449999999997</c:v>
                </c:pt>
                <c:pt idx="68">
                  <c:v>138.44</c:v>
                </c:pt>
                <c:pt idx="69">
                  <c:v>138.5985</c:v>
                </c:pt>
                <c:pt idx="70">
                  <c:v>138.71199999999999</c:v>
                </c:pt>
                <c:pt idx="71">
                  <c:v>138.79849999999999</c:v>
                </c:pt>
                <c:pt idx="72">
                  <c:v>138.91999999999999</c:v>
                </c:pt>
                <c:pt idx="73">
                  <c:v>139.08500000000001</c:v>
                </c:pt>
                <c:pt idx="74">
                  <c:v>139.26749999999998</c:v>
                </c:pt>
                <c:pt idx="75">
                  <c:v>139.464</c:v>
                </c:pt>
                <c:pt idx="76">
                  <c:v>139.982</c:v>
                </c:pt>
                <c:pt idx="77">
                  <c:v>140.52799999999996</c:v>
                </c:pt>
                <c:pt idx="78">
                  <c:v>141.22750000000002</c:v>
                </c:pt>
                <c:pt idx="79">
                  <c:v>141.80600000000004</c:v>
                </c:pt>
                <c:pt idx="80">
                  <c:v>142.15650000000002</c:v>
                </c:pt>
                <c:pt idx="81">
                  <c:v>142.42650000000003</c:v>
                </c:pt>
                <c:pt idx="82">
                  <c:v>142.84750000000003</c:v>
                </c:pt>
                <c:pt idx="83">
                  <c:v>143.14150000000001</c:v>
                </c:pt>
                <c:pt idx="84">
                  <c:v>143.46600000000001</c:v>
                </c:pt>
                <c:pt idx="85">
                  <c:v>143.85250000000002</c:v>
                </c:pt>
                <c:pt idx="86">
                  <c:v>144.274</c:v>
                </c:pt>
                <c:pt idx="87">
                  <c:v>144.82400000000001</c:v>
                </c:pt>
                <c:pt idx="88">
                  <c:v>145.34900000000002</c:v>
                </c:pt>
                <c:pt idx="89">
                  <c:v>146.00050000000002</c:v>
                </c:pt>
                <c:pt idx="90">
                  <c:v>146.61349999999999</c:v>
                </c:pt>
                <c:pt idx="91">
                  <c:v>147.15449999999998</c:v>
                </c:pt>
                <c:pt idx="92">
                  <c:v>147.68099999999998</c:v>
                </c:pt>
                <c:pt idx="93">
                  <c:v>148.01500000000004</c:v>
                </c:pt>
                <c:pt idx="94">
                  <c:v>148.25399999999999</c:v>
                </c:pt>
                <c:pt idx="95">
                  <c:v>148.44850000000002</c:v>
                </c:pt>
                <c:pt idx="96">
                  <c:v>148.57500000000005</c:v>
                </c:pt>
                <c:pt idx="97">
                  <c:v>148.66750000000002</c:v>
                </c:pt>
                <c:pt idx="98">
                  <c:v>148.67400000000004</c:v>
                </c:pt>
                <c:pt idx="99">
                  <c:v>148.833</c:v>
                </c:pt>
                <c:pt idx="100">
                  <c:v>149.31149999999997</c:v>
                </c:pt>
                <c:pt idx="101">
                  <c:v>149.94149999999999</c:v>
                </c:pt>
                <c:pt idx="102">
                  <c:v>150.4615</c:v>
                </c:pt>
                <c:pt idx="103">
                  <c:v>151.08600000000001</c:v>
                </c:pt>
                <c:pt idx="104">
                  <c:v>151.77800000000002</c:v>
                </c:pt>
                <c:pt idx="105">
                  <c:v>152.17750000000004</c:v>
                </c:pt>
                <c:pt idx="106">
                  <c:v>152.36050000000003</c:v>
                </c:pt>
                <c:pt idx="107">
                  <c:v>152.512</c:v>
                </c:pt>
                <c:pt idx="108">
                  <c:v>152.69400000000002</c:v>
                </c:pt>
                <c:pt idx="109">
                  <c:v>152.684</c:v>
                </c:pt>
                <c:pt idx="110">
                  <c:v>152.672</c:v>
                </c:pt>
                <c:pt idx="111">
                  <c:v>152.6215</c:v>
                </c:pt>
                <c:pt idx="112">
                  <c:v>152.60650000000001</c:v>
                </c:pt>
                <c:pt idx="113">
                  <c:v>152.69649999999996</c:v>
                </c:pt>
                <c:pt idx="114">
                  <c:v>152.88399999999999</c:v>
                </c:pt>
                <c:pt idx="115">
                  <c:v>153.18149999999997</c:v>
                </c:pt>
                <c:pt idx="116">
                  <c:v>153.37049999999996</c:v>
                </c:pt>
                <c:pt idx="117">
                  <c:v>153.69599999999997</c:v>
                </c:pt>
                <c:pt idx="118">
                  <c:v>153.97800000000001</c:v>
                </c:pt>
                <c:pt idx="119">
                  <c:v>154.07600000000002</c:v>
                </c:pt>
                <c:pt idx="120">
                  <c:v>154.08099999999999</c:v>
                </c:pt>
                <c:pt idx="121">
                  <c:v>154.06700000000001</c:v>
                </c:pt>
                <c:pt idx="122">
                  <c:v>154.23400000000001</c:v>
                </c:pt>
                <c:pt idx="123">
                  <c:v>154.32999999999998</c:v>
                </c:pt>
                <c:pt idx="124">
                  <c:v>154.34649999999999</c:v>
                </c:pt>
                <c:pt idx="125">
                  <c:v>154.63049999999998</c:v>
                </c:pt>
                <c:pt idx="126">
                  <c:v>155.01450000000003</c:v>
                </c:pt>
                <c:pt idx="127">
                  <c:v>155.47449999999998</c:v>
                </c:pt>
                <c:pt idx="128">
                  <c:v>156.01399999999998</c:v>
                </c:pt>
                <c:pt idx="129">
                  <c:v>156.26499999999999</c:v>
                </c:pt>
                <c:pt idx="130">
                  <c:v>156.51050000000001</c:v>
                </c:pt>
                <c:pt idx="131">
                  <c:v>156.53550000000001</c:v>
                </c:pt>
                <c:pt idx="132">
                  <c:v>156.48499999999999</c:v>
                </c:pt>
                <c:pt idx="133">
                  <c:v>156.55499999999998</c:v>
                </c:pt>
                <c:pt idx="134">
                  <c:v>156.7225</c:v>
                </c:pt>
                <c:pt idx="135">
                  <c:v>156.84149999999997</c:v>
                </c:pt>
                <c:pt idx="136">
                  <c:v>156.93899999999999</c:v>
                </c:pt>
                <c:pt idx="137">
                  <c:v>156.97699999999998</c:v>
                </c:pt>
                <c:pt idx="138">
                  <c:v>157.18799999999999</c:v>
                </c:pt>
                <c:pt idx="139">
                  <c:v>157.5925</c:v>
                </c:pt>
                <c:pt idx="140">
                  <c:v>157.87350000000001</c:v>
                </c:pt>
                <c:pt idx="141">
                  <c:v>157.90650000000002</c:v>
                </c:pt>
                <c:pt idx="142">
                  <c:v>157.80000000000004</c:v>
                </c:pt>
                <c:pt idx="143">
                  <c:v>157.76100000000002</c:v>
                </c:pt>
                <c:pt idx="144">
                  <c:v>157.85200000000003</c:v>
                </c:pt>
                <c:pt idx="145">
                  <c:v>157.92599999999999</c:v>
                </c:pt>
                <c:pt idx="146">
                  <c:v>157.96800000000002</c:v>
                </c:pt>
                <c:pt idx="147">
                  <c:v>157.74299999999999</c:v>
                </c:pt>
                <c:pt idx="148">
                  <c:v>157.41599999999997</c:v>
                </c:pt>
                <c:pt idx="149">
                  <c:v>157.24199999999993</c:v>
                </c:pt>
                <c:pt idx="150">
                  <c:v>157.02599999999995</c:v>
                </c:pt>
                <c:pt idx="151">
                  <c:v>157.02049999999997</c:v>
                </c:pt>
                <c:pt idx="152">
                  <c:v>157.02149999999997</c:v>
                </c:pt>
                <c:pt idx="153">
                  <c:v>157.02449999999999</c:v>
                </c:pt>
                <c:pt idx="154">
                  <c:v>156.82200000000003</c:v>
                </c:pt>
                <c:pt idx="155">
                  <c:v>156.49150000000003</c:v>
                </c:pt>
                <c:pt idx="156">
                  <c:v>156.08099999999999</c:v>
                </c:pt>
                <c:pt idx="157">
                  <c:v>155.81249999999997</c:v>
                </c:pt>
                <c:pt idx="158">
                  <c:v>155.45499999999998</c:v>
                </c:pt>
                <c:pt idx="159">
                  <c:v>155.05600000000001</c:v>
                </c:pt>
                <c:pt idx="160">
                  <c:v>154.6995</c:v>
                </c:pt>
                <c:pt idx="161">
                  <c:v>154.54300000000001</c:v>
                </c:pt>
                <c:pt idx="162">
                  <c:v>154.46450000000002</c:v>
                </c:pt>
                <c:pt idx="163">
                  <c:v>154.28300000000002</c:v>
                </c:pt>
                <c:pt idx="164">
                  <c:v>154.10250000000002</c:v>
                </c:pt>
                <c:pt idx="165">
                  <c:v>153.89450000000002</c:v>
                </c:pt>
                <c:pt idx="166">
                  <c:v>153.66450000000003</c:v>
                </c:pt>
                <c:pt idx="167">
                  <c:v>153.62350000000001</c:v>
                </c:pt>
                <c:pt idx="168">
                  <c:v>153.56550000000001</c:v>
                </c:pt>
                <c:pt idx="169">
                  <c:v>153.59150000000002</c:v>
                </c:pt>
                <c:pt idx="170">
                  <c:v>153.59900000000002</c:v>
                </c:pt>
                <c:pt idx="171">
                  <c:v>153.8075</c:v>
                </c:pt>
                <c:pt idx="172">
                  <c:v>153.80849999999998</c:v>
                </c:pt>
                <c:pt idx="173">
                  <c:v>153.73249999999999</c:v>
                </c:pt>
                <c:pt idx="174">
                  <c:v>153.67849999999996</c:v>
                </c:pt>
                <c:pt idx="175">
                  <c:v>153.74349999999998</c:v>
                </c:pt>
                <c:pt idx="176">
                  <c:v>154.04949999999997</c:v>
                </c:pt>
                <c:pt idx="177">
                  <c:v>154.23499999999996</c:v>
                </c:pt>
                <c:pt idx="178">
                  <c:v>154.42750000000001</c:v>
                </c:pt>
                <c:pt idx="179">
                  <c:v>154.488</c:v>
                </c:pt>
                <c:pt idx="180">
                  <c:v>154.68149999999997</c:v>
                </c:pt>
                <c:pt idx="181">
                  <c:v>154.90849999999998</c:v>
                </c:pt>
                <c:pt idx="182">
                  <c:v>154.9255</c:v>
                </c:pt>
                <c:pt idx="183">
                  <c:v>154.917</c:v>
                </c:pt>
                <c:pt idx="184">
                  <c:v>154.7235</c:v>
                </c:pt>
                <c:pt idx="185">
                  <c:v>154.411</c:v>
                </c:pt>
                <c:pt idx="186">
                  <c:v>154.13200000000001</c:v>
                </c:pt>
                <c:pt idx="187">
                  <c:v>153.85549999999998</c:v>
                </c:pt>
                <c:pt idx="188">
                  <c:v>153.57549999999998</c:v>
                </c:pt>
                <c:pt idx="189">
                  <c:v>153.29599999999999</c:v>
                </c:pt>
                <c:pt idx="190">
                  <c:v>153.17649999999998</c:v>
                </c:pt>
                <c:pt idx="191">
                  <c:v>152.91750000000002</c:v>
                </c:pt>
                <c:pt idx="192">
                  <c:v>152.72800000000001</c:v>
                </c:pt>
                <c:pt idx="193">
                  <c:v>152.63800000000001</c:v>
                </c:pt>
                <c:pt idx="194">
                  <c:v>152.61800000000002</c:v>
                </c:pt>
                <c:pt idx="195">
                  <c:v>152.471</c:v>
                </c:pt>
                <c:pt idx="196">
                  <c:v>152.15549999999999</c:v>
                </c:pt>
                <c:pt idx="197">
                  <c:v>151.79749999999999</c:v>
                </c:pt>
                <c:pt idx="198">
                  <c:v>151.55599999999998</c:v>
                </c:pt>
                <c:pt idx="199">
                  <c:v>151.42599999999999</c:v>
                </c:pt>
                <c:pt idx="200">
                  <c:v>151.14649999999997</c:v>
                </c:pt>
                <c:pt idx="201">
                  <c:v>150.75549999999998</c:v>
                </c:pt>
                <c:pt idx="202">
                  <c:v>150.352</c:v>
                </c:pt>
                <c:pt idx="203">
                  <c:v>150.14699999999999</c:v>
                </c:pt>
                <c:pt idx="204">
                  <c:v>149.94650000000001</c:v>
                </c:pt>
                <c:pt idx="205">
                  <c:v>149.8185</c:v>
                </c:pt>
                <c:pt idx="206">
                  <c:v>149.80950000000001</c:v>
                </c:pt>
                <c:pt idx="207">
                  <c:v>149.84750000000003</c:v>
                </c:pt>
                <c:pt idx="208">
                  <c:v>149.946</c:v>
                </c:pt>
                <c:pt idx="209">
                  <c:v>149.97150000000005</c:v>
                </c:pt>
                <c:pt idx="210">
                  <c:v>149.96450000000004</c:v>
                </c:pt>
                <c:pt idx="211">
                  <c:v>149.95300000000003</c:v>
                </c:pt>
                <c:pt idx="212">
                  <c:v>150.06099999999998</c:v>
                </c:pt>
                <c:pt idx="213">
                  <c:v>150.2765</c:v>
                </c:pt>
                <c:pt idx="214">
                  <c:v>150.85600000000002</c:v>
                </c:pt>
                <c:pt idx="215">
                  <c:v>151.18300000000002</c:v>
                </c:pt>
                <c:pt idx="216">
                  <c:v>151.50749999999999</c:v>
                </c:pt>
                <c:pt idx="217">
                  <c:v>152.0455</c:v>
                </c:pt>
                <c:pt idx="218">
                  <c:v>152.58049999999997</c:v>
                </c:pt>
                <c:pt idx="219">
                  <c:v>153.16149999999999</c:v>
                </c:pt>
                <c:pt idx="220">
                  <c:v>153.85550000000001</c:v>
                </c:pt>
                <c:pt idx="221">
                  <c:v>154.72750000000002</c:v>
                </c:pt>
                <c:pt idx="222">
                  <c:v>155.69800000000001</c:v>
                </c:pt>
                <c:pt idx="223">
                  <c:v>156.53500000000003</c:v>
                </c:pt>
                <c:pt idx="224">
                  <c:v>157.41550000000001</c:v>
                </c:pt>
                <c:pt idx="225">
                  <c:v>158.36450000000002</c:v>
                </c:pt>
                <c:pt idx="226">
                  <c:v>159.20750000000001</c:v>
                </c:pt>
                <c:pt idx="227">
                  <c:v>160.01799999999997</c:v>
                </c:pt>
                <c:pt idx="228">
                  <c:v>160.86799999999999</c:v>
                </c:pt>
                <c:pt idx="229">
                  <c:v>161.81950000000001</c:v>
                </c:pt>
                <c:pt idx="230">
                  <c:v>162.76650000000001</c:v>
                </c:pt>
                <c:pt idx="231">
                  <c:v>163.71049999999997</c:v>
                </c:pt>
                <c:pt idx="232">
                  <c:v>164.935</c:v>
                </c:pt>
                <c:pt idx="233">
                  <c:v>165.8415</c:v>
                </c:pt>
                <c:pt idx="234">
                  <c:v>166.55100000000002</c:v>
                </c:pt>
                <c:pt idx="235">
                  <c:v>167.78550000000001</c:v>
                </c:pt>
                <c:pt idx="236">
                  <c:v>168.98700000000002</c:v>
                </c:pt>
                <c:pt idx="237">
                  <c:v>170.06750000000002</c:v>
                </c:pt>
                <c:pt idx="238">
                  <c:v>171.09200000000004</c:v>
                </c:pt>
                <c:pt idx="239">
                  <c:v>172.08800000000002</c:v>
                </c:pt>
                <c:pt idx="240">
                  <c:v>173.18550000000002</c:v>
                </c:pt>
                <c:pt idx="241">
                  <c:v>173.94350000000003</c:v>
                </c:pt>
                <c:pt idx="242">
                  <c:v>174.82249999999999</c:v>
                </c:pt>
                <c:pt idx="243">
                  <c:v>175.53700000000003</c:v>
                </c:pt>
                <c:pt idx="244">
                  <c:v>176.46550000000002</c:v>
                </c:pt>
                <c:pt idx="245">
                  <c:v>177.36799999999999</c:v>
                </c:pt>
                <c:pt idx="246">
                  <c:v>178.23150000000001</c:v>
                </c:pt>
                <c:pt idx="247">
                  <c:v>179.14099999999999</c:v>
                </c:pt>
                <c:pt idx="248">
                  <c:v>180.03299999999999</c:v>
                </c:pt>
                <c:pt idx="249">
                  <c:v>180.79149999999998</c:v>
                </c:pt>
                <c:pt idx="250">
                  <c:v>181.50299999999999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C9-4E46-80F0-71265679BD5F}"/>
            </c:ext>
          </c:extLst>
        </c:ser>
        <c:ser>
          <c:idx val="2"/>
          <c:order val="2"/>
          <c:tx>
            <c:strRef>
              <c:f>Data!$AB$1</c:f>
              <c:strCache>
                <c:ptCount val="1"/>
                <c:pt idx="0">
                  <c:v>100d SMA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Data!$AB$2:$AB$252</c:f>
              <c:numCache>
                <c:formatCode>General</c:formatCode>
                <c:ptCount val="251"/>
                <c:pt idx="99">
                  <c:v>146.66220000000004</c:v>
                </c:pt>
                <c:pt idx="100">
                  <c:v>146.62670000000006</c:v>
                </c:pt>
                <c:pt idx="101">
                  <c:v>146.59880000000004</c:v>
                </c:pt>
                <c:pt idx="102">
                  <c:v>146.61630000000005</c:v>
                </c:pt>
                <c:pt idx="103">
                  <c:v>146.65910000000008</c:v>
                </c:pt>
                <c:pt idx="104">
                  <c:v>146.72130000000007</c:v>
                </c:pt>
                <c:pt idx="105">
                  <c:v>146.72740000000007</c:v>
                </c:pt>
                <c:pt idx="106">
                  <c:v>146.68040000000008</c:v>
                </c:pt>
                <c:pt idx="107">
                  <c:v>146.61870000000008</c:v>
                </c:pt>
                <c:pt idx="108">
                  <c:v>146.58830000000006</c:v>
                </c:pt>
                <c:pt idx="109">
                  <c:v>146.59200000000007</c:v>
                </c:pt>
                <c:pt idx="110">
                  <c:v>146.58370000000008</c:v>
                </c:pt>
                <c:pt idx="111">
                  <c:v>146.5451000000001</c:v>
                </c:pt>
                <c:pt idx="112">
                  <c:v>146.5080000000001</c:v>
                </c:pt>
                <c:pt idx="113">
                  <c:v>146.4344000000001</c:v>
                </c:pt>
                <c:pt idx="114">
                  <c:v>146.33830000000009</c:v>
                </c:pt>
                <c:pt idx="115">
                  <c:v>146.24930000000012</c:v>
                </c:pt>
                <c:pt idx="116">
                  <c:v>146.15340000000012</c:v>
                </c:pt>
                <c:pt idx="117">
                  <c:v>146.06870000000009</c:v>
                </c:pt>
                <c:pt idx="118">
                  <c:v>145.96250000000006</c:v>
                </c:pt>
                <c:pt idx="119">
                  <c:v>145.80280000000008</c:v>
                </c:pt>
                <c:pt idx="120">
                  <c:v>145.66850000000008</c:v>
                </c:pt>
                <c:pt idx="121">
                  <c:v>145.56310000000008</c:v>
                </c:pt>
                <c:pt idx="122">
                  <c:v>145.47200000000009</c:v>
                </c:pt>
                <c:pt idx="123">
                  <c:v>145.36890000000005</c:v>
                </c:pt>
                <c:pt idx="124">
                  <c:v>145.27780000000007</c:v>
                </c:pt>
                <c:pt idx="125">
                  <c:v>145.30900000000005</c:v>
                </c:pt>
                <c:pt idx="126">
                  <c:v>145.46940000000004</c:v>
                </c:pt>
                <c:pt idx="127">
                  <c:v>145.67390000000006</c:v>
                </c:pt>
                <c:pt idx="128">
                  <c:v>145.92290000000003</c:v>
                </c:pt>
                <c:pt idx="129">
                  <c:v>146.04320000000001</c:v>
                </c:pt>
                <c:pt idx="130">
                  <c:v>146.27030000000002</c:v>
                </c:pt>
                <c:pt idx="131">
                  <c:v>146.45060000000001</c:v>
                </c:pt>
                <c:pt idx="132">
                  <c:v>146.63740000000001</c:v>
                </c:pt>
                <c:pt idx="133">
                  <c:v>146.84050000000002</c:v>
                </c:pt>
                <c:pt idx="134">
                  <c:v>147.06480000000005</c:v>
                </c:pt>
                <c:pt idx="135">
                  <c:v>147.26860000000005</c:v>
                </c:pt>
                <c:pt idx="136">
                  <c:v>147.50240000000002</c:v>
                </c:pt>
                <c:pt idx="137">
                  <c:v>147.70250000000004</c:v>
                </c:pt>
                <c:pt idx="138">
                  <c:v>147.93110000000007</c:v>
                </c:pt>
                <c:pt idx="139">
                  <c:v>148.14130000000006</c:v>
                </c:pt>
                <c:pt idx="140">
                  <c:v>148.34240000000005</c:v>
                </c:pt>
                <c:pt idx="141">
                  <c:v>148.50350000000003</c:v>
                </c:pt>
                <c:pt idx="142">
                  <c:v>148.67100000000002</c:v>
                </c:pt>
                <c:pt idx="143">
                  <c:v>148.88460000000003</c:v>
                </c:pt>
                <c:pt idx="144">
                  <c:v>149.11380000000003</c:v>
                </c:pt>
                <c:pt idx="145">
                  <c:v>149.33600000000001</c:v>
                </c:pt>
                <c:pt idx="146">
                  <c:v>149.58260000000001</c:v>
                </c:pt>
                <c:pt idx="147">
                  <c:v>149.7876</c:v>
                </c:pt>
                <c:pt idx="148">
                  <c:v>149.98259999999999</c:v>
                </c:pt>
                <c:pt idx="149">
                  <c:v>150.15800000000002</c:v>
                </c:pt>
                <c:pt idx="150">
                  <c:v>150.30680000000004</c:v>
                </c:pt>
                <c:pt idx="151">
                  <c:v>150.42610000000002</c:v>
                </c:pt>
                <c:pt idx="152">
                  <c:v>150.54280000000003</c:v>
                </c:pt>
                <c:pt idx="153">
                  <c:v>150.67520000000002</c:v>
                </c:pt>
                <c:pt idx="154">
                  <c:v>150.79000000000002</c:v>
                </c:pt>
                <c:pt idx="155">
                  <c:v>150.8854</c:v>
                </c:pt>
                <c:pt idx="156">
                  <c:v>150.98950000000002</c:v>
                </c:pt>
                <c:pt idx="157">
                  <c:v>151.1362</c:v>
                </c:pt>
                <c:pt idx="158">
                  <c:v>151.30450000000002</c:v>
                </c:pt>
                <c:pt idx="159">
                  <c:v>151.4727</c:v>
                </c:pt>
                <c:pt idx="160">
                  <c:v>151.62440000000001</c:v>
                </c:pt>
                <c:pt idx="161">
                  <c:v>151.77690000000001</c:v>
                </c:pt>
                <c:pt idx="162">
                  <c:v>151.9615</c:v>
                </c:pt>
                <c:pt idx="163">
                  <c:v>152.12030000000001</c:v>
                </c:pt>
                <c:pt idx="164">
                  <c:v>152.309</c:v>
                </c:pt>
                <c:pt idx="165">
                  <c:v>152.49620000000002</c:v>
                </c:pt>
                <c:pt idx="166">
                  <c:v>152.65629999999999</c:v>
                </c:pt>
                <c:pt idx="167">
                  <c:v>152.83540000000002</c:v>
                </c:pt>
                <c:pt idx="168">
                  <c:v>153.0077</c:v>
                </c:pt>
                <c:pt idx="169">
                  <c:v>153.1566</c:v>
                </c:pt>
                <c:pt idx="170">
                  <c:v>153.2842</c:v>
                </c:pt>
                <c:pt idx="171">
                  <c:v>153.42789999999999</c:v>
                </c:pt>
                <c:pt idx="172">
                  <c:v>153.5205</c:v>
                </c:pt>
                <c:pt idx="173">
                  <c:v>153.60469999999998</c:v>
                </c:pt>
                <c:pt idx="174">
                  <c:v>153.67219999999998</c:v>
                </c:pt>
                <c:pt idx="175">
                  <c:v>153.7413</c:v>
                </c:pt>
                <c:pt idx="176">
                  <c:v>153.803</c:v>
                </c:pt>
                <c:pt idx="177">
                  <c:v>153.8776</c:v>
                </c:pt>
                <c:pt idx="178">
                  <c:v>153.94449999999998</c:v>
                </c:pt>
                <c:pt idx="179">
                  <c:v>154.00909999999999</c:v>
                </c:pt>
                <c:pt idx="180">
                  <c:v>154.12939999999998</c:v>
                </c:pt>
                <c:pt idx="181">
                  <c:v>154.27330000000001</c:v>
                </c:pt>
                <c:pt idx="182">
                  <c:v>154.37709999999998</c:v>
                </c:pt>
                <c:pt idx="183">
                  <c:v>154.47539999999998</c:v>
                </c:pt>
                <c:pt idx="184">
                  <c:v>154.56049999999999</c:v>
                </c:pt>
                <c:pt idx="185">
                  <c:v>154.6079</c:v>
                </c:pt>
                <c:pt idx="186">
                  <c:v>154.62789999999998</c:v>
                </c:pt>
                <c:pt idx="187">
                  <c:v>154.64169999999999</c:v>
                </c:pt>
                <c:pt idx="188">
                  <c:v>154.65300000000002</c:v>
                </c:pt>
                <c:pt idx="189">
                  <c:v>154.6157</c:v>
                </c:pt>
                <c:pt idx="190">
                  <c:v>154.59679999999997</c:v>
                </c:pt>
                <c:pt idx="191">
                  <c:v>154.5805</c:v>
                </c:pt>
                <c:pt idx="192">
                  <c:v>154.52990000000003</c:v>
                </c:pt>
                <c:pt idx="193">
                  <c:v>154.52930000000003</c:v>
                </c:pt>
                <c:pt idx="194">
                  <c:v>154.54500000000002</c:v>
                </c:pt>
                <c:pt idx="195">
                  <c:v>154.54580000000001</c:v>
                </c:pt>
                <c:pt idx="196">
                  <c:v>154.51910000000001</c:v>
                </c:pt>
                <c:pt idx="197">
                  <c:v>154.50359999999998</c:v>
                </c:pt>
                <c:pt idx="198">
                  <c:v>154.52090000000001</c:v>
                </c:pt>
                <c:pt idx="199">
                  <c:v>154.52770000000001</c:v>
                </c:pt>
                <c:pt idx="200">
                  <c:v>154.49639999999999</c:v>
                </c:pt>
                <c:pt idx="201">
                  <c:v>154.43609999999998</c:v>
                </c:pt>
                <c:pt idx="202">
                  <c:v>154.3552</c:v>
                </c:pt>
                <c:pt idx="203">
                  <c:v>154.2876</c:v>
                </c:pt>
                <c:pt idx="204">
                  <c:v>154.1942</c:v>
                </c:pt>
                <c:pt idx="205">
                  <c:v>154.1361</c:v>
                </c:pt>
                <c:pt idx="206">
                  <c:v>154.11770000000001</c:v>
                </c:pt>
                <c:pt idx="207">
                  <c:v>154.1088</c:v>
                </c:pt>
                <c:pt idx="208">
                  <c:v>154.10339999999999</c:v>
                </c:pt>
                <c:pt idx="209">
                  <c:v>154.07320000000001</c:v>
                </c:pt>
                <c:pt idx="210">
                  <c:v>154.05530000000002</c:v>
                </c:pt>
                <c:pt idx="211">
                  <c:v>154.04679999999999</c:v>
                </c:pt>
                <c:pt idx="212">
                  <c:v>154.02079999999998</c:v>
                </c:pt>
                <c:pt idx="213">
                  <c:v>154.0453</c:v>
                </c:pt>
                <c:pt idx="214">
                  <c:v>154.13939999999999</c:v>
                </c:pt>
                <c:pt idx="215">
                  <c:v>154.14610000000002</c:v>
                </c:pt>
                <c:pt idx="216">
                  <c:v>154.1465</c:v>
                </c:pt>
                <c:pt idx="217">
                  <c:v>154.17349999999999</c:v>
                </c:pt>
                <c:pt idx="218">
                  <c:v>154.24140000000003</c:v>
                </c:pt>
                <c:pt idx="219">
                  <c:v>154.34480000000002</c:v>
                </c:pt>
                <c:pt idx="220">
                  <c:v>154.45130000000003</c:v>
                </c:pt>
                <c:pt idx="221">
                  <c:v>154.56820000000005</c:v>
                </c:pt>
                <c:pt idx="222">
                  <c:v>154.64800000000002</c:v>
                </c:pt>
                <c:pt idx="223">
                  <c:v>154.72860000000003</c:v>
                </c:pt>
                <c:pt idx="224">
                  <c:v>154.80800000000002</c:v>
                </c:pt>
                <c:pt idx="225">
                  <c:v>154.88290000000001</c:v>
                </c:pt>
                <c:pt idx="226">
                  <c:v>154.9563</c:v>
                </c:pt>
                <c:pt idx="227">
                  <c:v>155.01750000000001</c:v>
                </c:pt>
                <c:pt idx="228">
                  <c:v>155.07419999999999</c:v>
                </c:pt>
                <c:pt idx="229">
                  <c:v>155.18409999999997</c:v>
                </c:pt>
                <c:pt idx="230">
                  <c:v>155.30649999999997</c:v>
                </c:pt>
                <c:pt idx="231">
                  <c:v>155.48179999999996</c:v>
                </c:pt>
                <c:pt idx="232">
                  <c:v>155.71079999999995</c:v>
                </c:pt>
                <c:pt idx="233">
                  <c:v>155.90259999999998</c:v>
                </c:pt>
                <c:pt idx="234">
                  <c:v>156.10510000000002</c:v>
                </c:pt>
                <c:pt idx="235">
                  <c:v>156.3349</c:v>
                </c:pt>
                <c:pt idx="236">
                  <c:v>156.55609999999999</c:v>
                </c:pt>
                <c:pt idx="237">
                  <c:v>156.79159999999999</c:v>
                </c:pt>
                <c:pt idx="238">
                  <c:v>157.0222</c:v>
                </c:pt>
                <c:pt idx="239">
                  <c:v>157.2439</c:v>
                </c:pt>
                <c:pt idx="240">
                  <c:v>157.5137</c:v>
                </c:pt>
                <c:pt idx="241">
                  <c:v>157.7756</c:v>
                </c:pt>
                <c:pt idx="242">
                  <c:v>158.05250000000001</c:v>
                </c:pt>
                <c:pt idx="243">
                  <c:v>158.28379999999999</c:v>
                </c:pt>
                <c:pt idx="244">
                  <c:v>158.5307</c:v>
                </c:pt>
                <c:pt idx="245">
                  <c:v>158.7713</c:v>
                </c:pt>
                <c:pt idx="246">
                  <c:v>159.00900000000001</c:v>
                </c:pt>
                <c:pt idx="247">
                  <c:v>159.2971</c:v>
                </c:pt>
                <c:pt idx="248">
                  <c:v>159.5976</c:v>
                </c:pt>
                <c:pt idx="249">
                  <c:v>159.89400000000001</c:v>
                </c:pt>
                <c:pt idx="250">
                  <c:v>160.20189999999999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C9-4E46-80F0-71265679B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9547840"/>
        <c:axId val="1479560320"/>
      </c:lineChart>
      <c:dateAx>
        <c:axId val="1479547840"/>
        <c:scaling>
          <c:orientation val="minMax"/>
          <c:min val="45957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0320"/>
        <c:crosses val="autoZero"/>
        <c:auto val="1"/>
        <c:lblOffset val="100"/>
        <c:baseTimeUnit val="days"/>
      </c:dateAx>
      <c:valAx>
        <c:axId val="1479560320"/>
        <c:scaling>
          <c:orientation val="minMax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4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Data!$C$2:$C$252</c:f>
              <c:numCache>
                <c:formatCode>_([$$-409]* #,##0.00_);_([$$-409]* \(#,##0.00\);_([$$-409]* "-"??_);_(@_)</c:formatCode>
                <c:ptCount val="251"/>
                <c:pt idx="0">
                  <c:v>156.66999999999999</c:v>
                </c:pt>
                <c:pt idx="1">
                  <c:v>158.62</c:v>
                </c:pt>
                <c:pt idx="2">
                  <c:v>153.09</c:v>
                </c:pt>
                <c:pt idx="3">
                  <c:v>152</c:v>
                </c:pt>
                <c:pt idx="4">
                  <c:v>150.81</c:v>
                </c:pt>
                <c:pt idx="5">
                  <c:v>152.94999999999999</c:v>
                </c:pt>
                <c:pt idx="6">
                  <c:v>156.34</c:v>
                </c:pt>
                <c:pt idx="7">
                  <c:v>157.57</c:v>
                </c:pt>
                <c:pt idx="8">
                  <c:v>154.08000000000001</c:v>
                </c:pt>
                <c:pt idx="9">
                  <c:v>152.66999999999999</c:v>
                </c:pt>
                <c:pt idx="10">
                  <c:v>153.61000000000001</c:v>
                </c:pt>
                <c:pt idx="11">
                  <c:v>157.02000000000001</c:v>
                </c:pt>
                <c:pt idx="12">
                  <c:v>158.72</c:v>
                </c:pt>
                <c:pt idx="13">
                  <c:v>160.81</c:v>
                </c:pt>
                <c:pt idx="14">
                  <c:v>164.05</c:v>
                </c:pt>
                <c:pt idx="15">
                  <c:v>164.77</c:v>
                </c:pt>
                <c:pt idx="16">
                  <c:v>164.75</c:v>
                </c:pt>
                <c:pt idx="17">
                  <c:v>165.02</c:v>
                </c:pt>
                <c:pt idx="18">
                  <c:v>165.94</c:v>
                </c:pt>
                <c:pt idx="19">
                  <c:v>167.97</c:v>
                </c:pt>
                <c:pt idx="20">
                  <c:v>166.65</c:v>
                </c:pt>
                <c:pt idx="21">
                  <c:v>166.09</c:v>
                </c:pt>
                <c:pt idx="22">
                  <c:v>167.29</c:v>
                </c:pt>
                <c:pt idx="23">
                  <c:v>168.51</c:v>
                </c:pt>
                <c:pt idx="24">
                  <c:v>166.47</c:v>
                </c:pt>
                <c:pt idx="25">
                  <c:v>156.12</c:v>
                </c:pt>
                <c:pt idx="26">
                  <c:v>143.28</c:v>
                </c:pt>
                <c:pt idx="27">
                  <c:v>140.15</c:v>
                </c:pt>
                <c:pt idx="28">
                  <c:v>136.93</c:v>
                </c:pt>
                <c:pt idx="29">
                  <c:v>146.03</c:v>
                </c:pt>
                <c:pt idx="30">
                  <c:v>134.97999999999999</c:v>
                </c:pt>
                <c:pt idx="31">
                  <c:v>135.63</c:v>
                </c:pt>
                <c:pt idx="32">
                  <c:v>135.32</c:v>
                </c:pt>
                <c:pt idx="33">
                  <c:v>134.54</c:v>
                </c:pt>
                <c:pt idx="34">
                  <c:v>135.36000000000001</c:v>
                </c:pt>
                <c:pt idx="35">
                  <c:v>137.87</c:v>
                </c:pt>
                <c:pt idx="36">
                  <c:v>133.72999999999999</c:v>
                </c:pt>
                <c:pt idx="37">
                  <c:v>137.30000000000001</c:v>
                </c:pt>
                <c:pt idx="38">
                  <c:v>136.68</c:v>
                </c:pt>
                <c:pt idx="39">
                  <c:v>139.07</c:v>
                </c:pt>
                <c:pt idx="40">
                  <c:v>138.72999999999999</c:v>
                </c:pt>
                <c:pt idx="41">
                  <c:v>140.1</c:v>
                </c:pt>
                <c:pt idx="42">
                  <c:v>139.30000000000001</c:v>
                </c:pt>
                <c:pt idx="43">
                  <c:v>136.06</c:v>
                </c:pt>
                <c:pt idx="44">
                  <c:v>136.26</c:v>
                </c:pt>
                <c:pt idx="45">
                  <c:v>138.5</c:v>
                </c:pt>
                <c:pt idx="46">
                  <c:v>135.5</c:v>
                </c:pt>
                <c:pt idx="47">
                  <c:v>135.6</c:v>
                </c:pt>
                <c:pt idx="48">
                  <c:v>135.79</c:v>
                </c:pt>
                <c:pt idx="49">
                  <c:v>137.04</c:v>
                </c:pt>
                <c:pt idx="50">
                  <c:v>138.49</c:v>
                </c:pt>
                <c:pt idx="51">
                  <c:v>141.62</c:v>
                </c:pt>
                <c:pt idx="52">
                  <c:v>142.35</c:v>
                </c:pt>
                <c:pt idx="53">
                  <c:v>141.66999999999999</c:v>
                </c:pt>
                <c:pt idx="54">
                  <c:v>142.26</c:v>
                </c:pt>
                <c:pt idx="55">
                  <c:v>142.1</c:v>
                </c:pt>
                <c:pt idx="56">
                  <c:v>138.49</c:v>
                </c:pt>
                <c:pt idx="57">
                  <c:v>137.27000000000001</c:v>
                </c:pt>
                <c:pt idx="58">
                  <c:v>135.56</c:v>
                </c:pt>
                <c:pt idx="59">
                  <c:v>135.29</c:v>
                </c:pt>
                <c:pt idx="60">
                  <c:v>136.54</c:v>
                </c:pt>
                <c:pt idx="61">
                  <c:v>137.83000000000001</c:v>
                </c:pt>
                <c:pt idx="62">
                  <c:v>136.02000000000001</c:v>
                </c:pt>
                <c:pt idx="63">
                  <c:v>137.91</c:v>
                </c:pt>
                <c:pt idx="64">
                  <c:v>136.69999999999999</c:v>
                </c:pt>
                <c:pt idx="65">
                  <c:v>137.84</c:v>
                </c:pt>
                <c:pt idx="66">
                  <c:v>139.55000000000001</c:v>
                </c:pt>
                <c:pt idx="67">
                  <c:v>137.37</c:v>
                </c:pt>
                <c:pt idx="68">
                  <c:v>136.9</c:v>
                </c:pt>
                <c:pt idx="69">
                  <c:v>140.21</c:v>
                </c:pt>
                <c:pt idx="70">
                  <c:v>140.76</c:v>
                </c:pt>
                <c:pt idx="71">
                  <c:v>143.35</c:v>
                </c:pt>
                <c:pt idx="72">
                  <c:v>144.78</c:v>
                </c:pt>
                <c:pt idx="73">
                  <c:v>144.97</c:v>
                </c:pt>
                <c:pt idx="74">
                  <c:v>145.91</c:v>
                </c:pt>
                <c:pt idx="75">
                  <c:v>146.03</c:v>
                </c:pt>
                <c:pt idx="76">
                  <c:v>148.85</c:v>
                </c:pt>
                <c:pt idx="77">
                  <c:v>148.19</c:v>
                </c:pt>
                <c:pt idx="78">
                  <c:v>149.55000000000001</c:v>
                </c:pt>
                <c:pt idx="79">
                  <c:v>146.86000000000001</c:v>
                </c:pt>
                <c:pt idx="80">
                  <c:v>143.55000000000001</c:v>
                </c:pt>
                <c:pt idx="81">
                  <c:v>143.22999999999999</c:v>
                </c:pt>
                <c:pt idx="82">
                  <c:v>144.44</c:v>
                </c:pt>
                <c:pt idx="83">
                  <c:v>143.79</c:v>
                </c:pt>
                <c:pt idx="84">
                  <c:v>143.19</c:v>
                </c:pt>
                <c:pt idx="85">
                  <c:v>145.57</c:v>
                </c:pt>
                <c:pt idx="86">
                  <c:v>147.97999999999999</c:v>
                </c:pt>
                <c:pt idx="87">
                  <c:v>148.37</c:v>
                </c:pt>
                <c:pt idx="88">
                  <c:v>147.4</c:v>
                </c:pt>
                <c:pt idx="89">
                  <c:v>153.24</c:v>
                </c:pt>
                <c:pt idx="90">
                  <c:v>153.02000000000001</c:v>
                </c:pt>
                <c:pt idx="91">
                  <c:v>154.16999999999999</c:v>
                </c:pt>
                <c:pt idx="92">
                  <c:v>155.31</c:v>
                </c:pt>
                <c:pt idx="93">
                  <c:v>151.65</c:v>
                </c:pt>
                <c:pt idx="94">
                  <c:v>150.69</c:v>
                </c:pt>
                <c:pt idx="95">
                  <c:v>149.91999999999999</c:v>
                </c:pt>
                <c:pt idx="96">
                  <c:v>151.38</c:v>
                </c:pt>
                <c:pt idx="97">
                  <c:v>150.04</c:v>
                </c:pt>
                <c:pt idx="98">
                  <c:v>149.68</c:v>
                </c:pt>
                <c:pt idx="99">
                  <c:v>150.04</c:v>
                </c:pt>
                <c:pt idx="100">
                  <c:v>153.12</c:v>
                </c:pt>
                <c:pt idx="101">
                  <c:v>155.83000000000001</c:v>
                </c:pt>
                <c:pt idx="102">
                  <c:v>154.84</c:v>
                </c:pt>
                <c:pt idx="103">
                  <c:v>156.28</c:v>
                </c:pt>
                <c:pt idx="104">
                  <c:v>157.03</c:v>
                </c:pt>
                <c:pt idx="105">
                  <c:v>153.56</c:v>
                </c:pt>
                <c:pt idx="106">
                  <c:v>151.63999999999999</c:v>
                </c:pt>
                <c:pt idx="107">
                  <c:v>151.4</c:v>
                </c:pt>
                <c:pt idx="108">
                  <c:v>151.04</c:v>
                </c:pt>
                <c:pt idx="109">
                  <c:v>153.04</c:v>
                </c:pt>
                <c:pt idx="110">
                  <c:v>152.78</c:v>
                </c:pt>
                <c:pt idx="111">
                  <c:v>153.16</c:v>
                </c:pt>
                <c:pt idx="112">
                  <c:v>155.01</c:v>
                </c:pt>
                <c:pt idx="113">
                  <c:v>153.44999999999999</c:v>
                </c:pt>
                <c:pt idx="114">
                  <c:v>154.44</c:v>
                </c:pt>
                <c:pt idx="115">
                  <c:v>155.87</c:v>
                </c:pt>
                <c:pt idx="116">
                  <c:v>155.16</c:v>
                </c:pt>
                <c:pt idx="117">
                  <c:v>156.55000000000001</c:v>
                </c:pt>
                <c:pt idx="118">
                  <c:v>155.32</c:v>
                </c:pt>
                <c:pt idx="119">
                  <c:v>152</c:v>
                </c:pt>
                <c:pt idx="120">
                  <c:v>153.22</c:v>
                </c:pt>
                <c:pt idx="121">
                  <c:v>155.55000000000001</c:v>
                </c:pt>
                <c:pt idx="122">
                  <c:v>158.18</c:v>
                </c:pt>
                <c:pt idx="123">
                  <c:v>158.19999999999999</c:v>
                </c:pt>
                <c:pt idx="124">
                  <c:v>157.36000000000001</c:v>
                </c:pt>
                <c:pt idx="125">
                  <c:v>159.24</c:v>
                </c:pt>
                <c:pt idx="126">
                  <c:v>159.32</c:v>
                </c:pt>
                <c:pt idx="127">
                  <c:v>160.6</c:v>
                </c:pt>
                <c:pt idx="128">
                  <c:v>161.83000000000001</c:v>
                </c:pt>
                <c:pt idx="129">
                  <c:v>158.06</c:v>
                </c:pt>
                <c:pt idx="130">
                  <c:v>157.69</c:v>
                </c:pt>
                <c:pt idx="131">
                  <c:v>153.66</c:v>
                </c:pt>
                <c:pt idx="132">
                  <c:v>154</c:v>
                </c:pt>
                <c:pt idx="133">
                  <c:v>154.85</c:v>
                </c:pt>
                <c:pt idx="134">
                  <c:v>157.79</c:v>
                </c:pt>
                <c:pt idx="135">
                  <c:v>158.25</c:v>
                </c:pt>
                <c:pt idx="136">
                  <c:v>157.11000000000001</c:v>
                </c:pt>
                <c:pt idx="137">
                  <c:v>157.31</c:v>
                </c:pt>
                <c:pt idx="138">
                  <c:v>159.54</c:v>
                </c:pt>
                <c:pt idx="139">
                  <c:v>160.09</c:v>
                </c:pt>
                <c:pt idx="140">
                  <c:v>158.84</c:v>
                </c:pt>
                <c:pt idx="141">
                  <c:v>156.21</c:v>
                </c:pt>
                <c:pt idx="142">
                  <c:v>156.05000000000001</c:v>
                </c:pt>
                <c:pt idx="143">
                  <c:v>157.41999999999999</c:v>
                </c:pt>
                <c:pt idx="144">
                  <c:v>159.18</c:v>
                </c:pt>
                <c:pt idx="145">
                  <c:v>160.72</c:v>
                </c:pt>
                <c:pt idx="146">
                  <c:v>160.16</c:v>
                </c:pt>
                <c:pt idx="147">
                  <c:v>156.1</c:v>
                </c:pt>
                <c:pt idx="148">
                  <c:v>155.29</c:v>
                </c:pt>
                <c:pt idx="149">
                  <c:v>154.58000000000001</c:v>
                </c:pt>
                <c:pt idx="150">
                  <c:v>153.37</c:v>
                </c:pt>
                <c:pt idx="151">
                  <c:v>153.55000000000001</c:v>
                </c:pt>
                <c:pt idx="152">
                  <c:v>154.02000000000001</c:v>
                </c:pt>
                <c:pt idx="153">
                  <c:v>154.91</c:v>
                </c:pt>
                <c:pt idx="154">
                  <c:v>153.74</c:v>
                </c:pt>
                <c:pt idx="155">
                  <c:v>151.63999999999999</c:v>
                </c:pt>
                <c:pt idx="156">
                  <c:v>148.9</c:v>
                </c:pt>
                <c:pt idx="157">
                  <c:v>151.94</c:v>
                </c:pt>
                <c:pt idx="158">
                  <c:v>152.38999999999999</c:v>
                </c:pt>
                <c:pt idx="159">
                  <c:v>152.11000000000001</c:v>
                </c:pt>
                <c:pt idx="160">
                  <c:v>151.71</c:v>
                </c:pt>
                <c:pt idx="161">
                  <c:v>153.08000000000001</c:v>
                </c:pt>
                <c:pt idx="162">
                  <c:v>154.47999999999999</c:v>
                </c:pt>
                <c:pt idx="163">
                  <c:v>153.79</c:v>
                </c:pt>
                <c:pt idx="164">
                  <c:v>155.57</c:v>
                </c:pt>
                <c:pt idx="165">
                  <c:v>156.56</c:v>
                </c:pt>
                <c:pt idx="166">
                  <c:v>155.56</c:v>
                </c:pt>
                <c:pt idx="167">
                  <c:v>155.28</c:v>
                </c:pt>
                <c:pt idx="168">
                  <c:v>154.13</c:v>
                </c:pt>
                <c:pt idx="169">
                  <c:v>155.1</c:v>
                </c:pt>
                <c:pt idx="170">
                  <c:v>153.52000000000001</c:v>
                </c:pt>
                <c:pt idx="171">
                  <c:v>157.72</c:v>
                </c:pt>
                <c:pt idx="172">
                  <c:v>154.04</c:v>
                </c:pt>
                <c:pt idx="173">
                  <c:v>153.38999999999999</c:v>
                </c:pt>
                <c:pt idx="174">
                  <c:v>152.66</c:v>
                </c:pt>
                <c:pt idx="175">
                  <c:v>152.94</c:v>
                </c:pt>
                <c:pt idx="176">
                  <c:v>155.02000000000001</c:v>
                </c:pt>
                <c:pt idx="177">
                  <c:v>155.65</c:v>
                </c:pt>
                <c:pt idx="178">
                  <c:v>156.24</c:v>
                </c:pt>
                <c:pt idx="179">
                  <c:v>153.32</c:v>
                </c:pt>
                <c:pt idx="180">
                  <c:v>155.58000000000001</c:v>
                </c:pt>
                <c:pt idx="181">
                  <c:v>157.62</c:v>
                </c:pt>
                <c:pt idx="182">
                  <c:v>154.82</c:v>
                </c:pt>
                <c:pt idx="183">
                  <c:v>153.62</c:v>
                </c:pt>
                <c:pt idx="184">
                  <c:v>151.69999999999999</c:v>
                </c:pt>
                <c:pt idx="185">
                  <c:v>150.31</c:v>
                </c:pt>
                <c:pt idx="186">
                  <c:v>149.97999999999999</c:v>
                </c:pt>
                <c:pt idx="187">
                  <c:v>149.75</c:v>
                </c:pt>
                <c:pt idx="188">
                  <c:v>148.53</c:v>
                </c:pt>
                <c:pt idx="189">
                  <c:v>149.51</c:v>
                </c:pt>
                <c:pt idx="190">
                  <c:v>151.13</c:v>
                </c:pt>
                <c:pt idx="191">
                  <c:v>152.54</c:v>
                </c:pt>
                <c:pt idx="192">
                  <c:v>150.25</c:v>
                </c:pt>
                <c:pt idx="193">
                  <c:v>151.59</c:v>
                </c:pt>
                <c:pt idx="194">
                  <c:v>152.26</c:v>
                </c:pt>
                <c:pt idx="195">
                  <c:v>150</c:v>
                </c:pt>
                <c:pt idx="196">
                  <c:v>148.71</c:v>
                </c:pt>
                <c:pt idx="197">
                  <c:v>148.49</c:v>
                </c:pt>
                <c:pt idx="198">
                  <c:v>151.41</c:v>
                </c:pt>
                <c:pt idx="199">
                  <c:v>150.72</c:v>
                </c:pt>
                <c:pt idx="200">
                  <c:v>149.99</c:v>
                </c:pt>
                <c:pt idx="201">
                  <c:v>149.80000000000001</c:v>
                </c:pt>
                <c:pt idx="202">
                  <c:v>146.75</c:v>
                </c:pt>
                <c:pt idx="203">
                  <c:v>149.52000000000001</c:v>
                </c:pt>
                <c:pt idx="204">
                  <c:v>147.69</c:v>
                </c:pt>
                <c:pt idx="205">
                  <c:v>147.75</c:v>
                </c:pt>
                <c:pt idx="206">
                  <c:v>149.80000000000001</c:v>
                </c:pt>
                <c:pt idx="207">
                  <c:v>150.51</c:v>
                </c:pt>
                <c:pt idx="208">
                  <c:v>150.5</c:v>
                </c:pt>
                <c:pt idx="209">
                  <c:v>150.02000000000001</c:v>
                </c:pt>
                <c:pt idx="210">
                  <c:v>150.99</c:v>
                </c:pt>
                <c:pt idx="211">
                  <c:v>152.31</c:v>
                </c:pt>
                <c:pt idx="212">
                  <c:v>152.41</c:v>
                </c:pt>
                <c:pt idx="213">
                  <c:v>155.9</c:v>
                </c:pt>
                <c:pt idx="214">
                  <c:v>163.85</c:v>
                </c:pt>
                <c:pt idx="215">
                  <c:v>156.54</c:v>
                </c:pt>
                <c:pt idx="216">
                  <c:v>155.19999999999999</c:v>
                </c:pt>
                <c:pt idx="217">
                  <c:v>159.25</c:v>
                </c:pt>
                <c:pt idx="218">
                  <c:v>162.11000000000001</c:v>
                </c:pt>
                <c:pt idx="219">
                  <c:v>162.34</c:v>
                </c:pt>
                <c:pt idx="220">
                  <c:v>163.87</c:v>
                </c:pt>
                <c:pt idx="221">
                  <c:v>167.24</c:v>
                </c:pt>
                <c:pt idx="222">
                  <c:v>166.16</c:v>
                </c:pt>
                <c:pt idx="223">
                  <c:v>166.26</c:v>
                </c:pt>
                <c:pt idx="224">
                  <c:v>165.3</c:v>
                </c:pt>
                <c:pt idx="225">
                  <c:v>166.73</c:v>
                </c:pt>
                <c:pt idx="226">
                  <c:v>166.66</c:v>
                </c:pt>
                <c:pt idx="227">
                  <c:v>166.72</c:v>
                </c:pt>
                <c:pt idx="228">
                  <c:v>167.5</c:v>
                </c:pt>
                <c:pt idx="229">
                  <c:v>169.05</c:v>
                </c:pt>
                <c:pt idx="230">
                  <c:v>169.93</c:v>
                </c:pt>
                <c:pt idx="231">
                  <c:v>171.19</c:v>
                </c:pt>
                <c:pt idx="232">
                  <c:v>176.9</c:v>
                </c:pt>
                <c:pt idx="233">
                  <c:v>174.03</c:v>
                </c:pt>
                <c:pt idx="234">
                  <c:v>178.04</c:v>
                </c:pt>
                <c:pt idx="235">
                  <c:v>181.23</c:v>
                </c:pt>
                <c:pt idx="236">
                  <c:v>179.23</c:v>
                </c:pt>
                <c:pt idx="237">
                  <c:v>180.86</c:v>
                </c:pt>
                <c:pt idx="238">
                  <c:v>182.6</c:v>
                </c:pt>
                <c:pt idx="239">
                  <c:v>182.26</c:v>
                </c:pt>
                <c:pt idx="240">
                  <c:v>185.82</c:v>
                </c:pt>
                <c:pt idx="241">
                  <c:v>182.4</c:v>
                </c:pt>
                <c:pt idx="242">
                  <c:v>183.74</c:v>
                </c:pt>
                <c:pt idx="243">
                  <c:v>180.55</c:v>
                </c:pt>
                <c:pt idx="244">
                  <c:v>183.87</c:v>
                </c:pt>
                <c:pt idx="245">
                  <c:v>184.78</c:v>
                </c:pt>
                <c:pt idx="246">
                  <c:v>183.93</c:v>
                </c:pt>
                <c:pt idx="247">
                  <c:v>184.91</c:v>
                </c:pt>
                <c:pt idx="248">
                  <c:v>185.34</c:v>
                </c:pt>
                <c:pt idx="249">
                  <c:v>184.22</c:v>
                </c:pt>
                <c:pt idx="250">
                  <c:v>184.16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B5-4026-A1B4-4FC8275FA84E}"/>
            </c:ext>
          </c:extLst>
        </c:ser>
        <c:ser>
          <c:idx val="1"/>
          <c:order val="1"/>
          <c:tx>
            <c:strRef>
              <c:f>Data!$F$1</c:f>
              <c:strCache>
                <c:ptCount val="1"/>
                <c:pt idx="0">
                  <c:v>VWAP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Data!$F$2:$F$252</c:f>
              <c:numCache>
                <c:formatCode>General</c:formatCode>
                <c:ptCount val="251"/>
                <c:pt idx="0">
                  <c:v>156.66999999999999</c:v>
                </c:pt>
                <c:pt idx="1">
                  <c:v>157.72321755444707</c:v>
                </c:pt>
                <c:pt idx="2">
                  <c:v>156.07097975768966</c:v>
                </c:pt>
                <c:pt idx="3">
                  <c:v>155.02132070654946</c:v>
                </c:pt>
                <c:pt idx="4">
                  <c:v>154.12250220976424</c:v>
                </c:pt>
                <c:pt idx="5">
                  <c:v>153.95379052497259</c:v>
                </c:pt>
                <c:pt idx="6">
                  <c:v>154.2977803710649</c:v>
                </c:pt>
                <c:pt idx="7">
                  <c:v>154.83819630190004</c:v>
                </c:pt>
                <c:pt idx="8">
                  <c:v>154.74096461729707</c:v>
                </c:pt>
                <c:pt idx="9">
                  <c:v>154.52076629576158</c:v>
                </c:pt>
                <c:pt idx="10">
                  <c:v>154.4388745317404</c:v>
                </c:pt>
                <c:pt idx="11">
                  <c:v>154.59978162881617</c:v>
                </c:pt>
                <c:pt idx="12">
                  <c:v>154.87348813054993</c:v>
                </c:pt>
                <c:pt idx="13">
                  <c:v>155.31849671027015</c:v>
                </c:pt>
                <c:pt idx="14">
                  <c:v>156.06019282219305</c:v>
                </c:pt>
                <c:pt idx="15">
                  <c:v>156.63369724865535</c:v>
                </c:pt>
                <c:pt idx="16">
                  <c:v>157.68723921838432</c:v>
                </c:pt>
                <c:pt idx="17">
                  <c:v>158.02594550495951</c:v>
                </c:pt>
                <c:pt idx="18">
                  <c:v>158.36712194037474</c:v>
                </c:pt>
                <c:pt idx="19">
                  <c:v>158.86955530235443</c:v>
                </c:pt>
                <c:pt idx="20">
                  <c:v>159.13723005267627</c:v>
                </c:pt>
                <c:pt idx="21">
                  <c:v>159.30468974649025</c:v>
                </c:pt>
                <c:pt idx="22">
                  <c:v>159.70105833363056</c:v>
                </c:pt>
                <c:pt idx="23">
                  <c:v>159.95478449510222</c:v>
                </c:pt>
                <c:pt idx="24">
                  <c:v>160.1556559365622</c:v>
                </c:pt>
                <c:pt idx="25">
                  <c:v>159.89927575528401</c:v>
                </c:pt>
                <c:pt idx="26">
                  <c:v>158.61846653785966</c:v>
                </c:pt>
                <c:pt idx="27">
                  <c:v>157.4524068912543</c:v>
                </c:pt>
                <c:pt idx="28">
                  <c:v>156.55496964823254</c:v>
                </c:pt>
                <c:pt idx="29">
                  <c:v>155.98655570377161</c:v>
                </c:pt>
                <c:pt idx="30">
                  <c:v>154.66210845885482</c:v>
                </c:pt>
                <c:pt idx="31">
                  <c:v>153.72591215011789</c:v>
                </c:pt>
                <c:pt idx="32">
                  <c:v>153.23335606555111</c:v>
                </c:pt>
                <c:pt idx="33">
                  <c:v>152.76061363335441</c:v>
                </c:pt>
                <c:pt idx="34">
                  <c:v>152.36275892219788</c:v>
                </c:pt>
                <c:pt idx="35">
                  <c:v>152.04623765993168</c:v>
                </c:pt>
                <c:pt idx="36">
                  <c:v>151.58539671490962</c:v>
                </c:pt>
                <c:pt idx="37">
                  <c:v>151.30316066804247</c:v>
                </c:pt>
                <c:pt idx="38">
                  <c:v>150.95000008393157</c:v>
                </c:pt>
                <c:pt idx="39">
                  <c:v>150.73188810579055</c:v>
                </c:pt>
                <c:pt idx="40">
                  <c:v>150.53934978191188</c:v>
                </c:pt>
                <c:pt idx="41">
                  <c:v>150.37836699708296</c:v>
                </c:pt>
                <c:pt idx="42">
                  <c:v>150.19464539088796</c:v>
                </c:pt>
                <c:pt idx="43">
                  <c:v>149.76573496621012</c:v>
                </c:pt>
                <c:pt idx="44">
                  <c:v>149.47068275094998</c:v>
                </c:pt>
                <c:pt idx="45">
                  <c:v>149.18700351321826</c:v>
                </c:pt>
                <c:pt idx="46">
                  <c:v>148.91645329236422</c:v>
                </c:pt>
                <c:pt idx="47">
                  <c:v>148.65175296842807</c:v>
                </c:pt>
                <c:pt idx="48">
                  <c:v>148.43818368019816</c:v>
                </c:pt>
                <c:pt idx="49">
                  <c:v>148.24666657760864</c:v>
                </c:pt>
                <c:pt idx="50">
                  <c:v>148.1351448552966</c:v>
                </c:pt>
                <c:pt idx="51">
                  <c:v>148.03644700027505</c:v>
                </c:pt>
                <c:pt idx="52">
                  <c:v>147.94629793322827</c:v>
                </c:pt>
                <c:pt idx="53">
                  <c:v>147.87196893781632</c:v>
                </c:pt>
                <c:pt idx="54">
                  <c:v>147.79532512045861</c:v>
                </c:pt>
                <c:pt idx="55">
                  <c:v>147.71203044263279</c:v>
                </c:pt>
                <c:pt idx="56">
                  <c:v>147.58688111326902</c:v>
                </c:pt>
                <c:pt idx="57">
                  <c:v>147.4701652919095</c:v>
                </c:pt>
                <c:pt idx="58">
                  <c:v>147.28511770391088</c:v>
                </c:pt>
                <c:pt idx="59">
                  <c:v>147.10549903105365</c:v>
                </c:pt>
                <c:pt idx="60">
                  <c:v>146.98175317787008</c:v>
                </c:pt>
                <c:pt idx="61">
                  <c:v>146.85613122564877</c:v>
                </c:pt>
                <c:pt idx="62">
                  <c:v>146.73499367870386</c:v>
                </c:pt>
                <c:pt idx="63">
                  <c:v>146.62789944624464</c:v>
                </c:pt>
                <c:pt idx="64">
                  <c:v>146.42702215901883</c:v>
                </c:pt>
                <c:pt idx="65">
                  <c:v>146.30610730396927</c:v>
                </c:pt>
                <c:pt idx="66">
                  <c:v>146.21306265794593</c:v>
                </c:pt>
                <c:pt idx="67">
                  <c:v>146.09643013451793</c:v>
                </c:pt>
                <c:pt idx="68">
                  <c:v>146.00909117117149</c:v>
                </c:pt>
                <c:pt idx="69">
                  <c:v>145.95272304329913</c:v>
                </c:pt>
                <c:pt idx="70">
                  <c:v>145.89824360533675</c:v>
                </c:pt>
                <c:pt idx="71">
                  <c:v>145.86201586764807</c:v>
                </c:pt>
                <c:pt idx="72">
                  <c:v>145.84773820243583</c:v>
                </c:pt>
                <c:pt idx="73">
                  <c:v>145.83906693720888</c:v>
                </c:pt>
                <c:pt idx="74">
                  <c:v>145.84045565778018</c:v>
                </c:pt>
                <c:pt idx="75">
                  <c:v>145.84306956443794</c:v>
                </c:pt>
                <c:pt idx="76">
                  <c:v>145.88885627914166</c:v>
                </c:pt>
                <c:pt idx="77">
                  <c:v>145.91889578595092</c:v>
                </c:pt>
                <c:pt idx="78">
                  <c:v>146.02958836875857</c:v>
                </c:pt>
                <c:pt idx="79">
                  <c:v>146.04069381272211</c:v>
                </c:pt>
                <c:pt idx="80">
                  <c:v>146.00709294144255</c:v>
                </c:pt>
                <c:pt idx="81">
                  <c:v>145.98165474868702</c:v>
                </c:pt>
                <c:pt idx="82">
                  <c:v>145.96760574210825</c:v>
                </c:pt>
                <c:pt idx="83">
                  <c:v>145.94322648666022</c:v>
                </c:pt>
                <c:pt idx="84">
                  <c:v>145.92007040372951</c:v>
                </c:pt>
                <c:pt idx="85">
                  <c:v>145.9165181092487</c:v>
                </c:pt>
                <c:pt idx="86">
                  <c:v>145.93657243235185</c:v>
                </c:pt>
                <c:pt idx="87">
                  <c:v>145.95135052435165</c:v>
                </c:pt>
                <c:pt idx="88">
                  <c:v>145.9672627387713</c:v>
                </c:pt>
                <c:pt idx="89">
                  <c:v>146.08425495150985</c:v>
                </c:pt>
                <c:pt idx="90">
                  <c:v>146.15868276587921</c:v>
                </c:pt>
                <c:pt idx="91">
                  <c:v>146.23400535278142</c:v>
                </c:pt>
                <c:pt idx="92">
                  <c:v>146.31788908230078</c:v>
                </c:pt>
                <c:pt idx="93">
                  <c:v>146.38046164724094</c:v>
                </c:pt>
                <c:pt idx="94">
                  <c:v>146.41488581566574</c:v>
                </c:pt>
                <c:pt idx="95">
                  <c:v>146.44482575902211</c:v>
                </c:pt>
                <c:pt idx="96">
                  <c:v>146.48890429820534</c:v>
                </c:pt>
                <c:pt idx="97">
                  <c:v>146.65450507672352</c:v>
                </c:pt>
                <c:pt idx="98">
                  <c:v>146.70892477253818</c:v>
                </c:pt>
                <c:pt idx="99">
                  <c:v>146.79398184983177</c:v>
                </c:pt>
                <c:pt idx="100">
                  <c:v>146.87411746021345</c:v>
                </c:pt>
                <c:pt idx="101">
                  <c:v>147.00742951406349</c:v>
                </c:pt>
                <c:pt idx="102">
                  <c:v>147.06547718788534</c:v>
                </c:pt>
                <c:pt idx="103">
                  <c:v>147.14077604600988</c:v>
                </c:pt>
                <c:pt idx="104">
                  <c:v>147.19991709122337</c:v>
                </c:pt>
                <c:pt idx="105">
                  <c:v>147.25369487499739</c:v>
                </c:pt>
                <c:pt idx="106">
                  <c:v>147.29461633830979</c:v>
                </c:pt>
                <c:pt idx="107">
                  <c:v>147.3342860921955</c:v>
                </c:pt>
                <c:pt idx="108">
                  <c:v>147.36781496432943</c:v>
                </c:pt>
                <c:pt idx="109">
                  <c:v>147.41112980988322</c:v>
                </c:pt>
                <c:pt idx="110">
                  <c:v>147.44823372900007</c:v>
                </c:pt>
                <c:pt idx="111">
                  <c:v>147.48082349485219</c:v>
                </c:pt>
                <c:pt idx="112">
                  <c:v>147.52237868310004</c:v>
                </c:pt>
                <c:pt idx="113">
                  <c:v>147.55408152291676</c:v>
                </c:pt>
                <c:pt idx="114">
                  <c:v>147.59352172566221</c:v>
                </c:pt>
                <c:pt idx="115">
                  <c:v>147.640210995346</c:v>
                </c:pt>
                <c:pt idx="116">
                  <c:v>147.68720235741901</c:v>
                </c:pt>
                <c:pt idx="117">
                  <c:v>147.77403226768152</c:v>
                </c:pt>
                <c:pt idx="118">
                  <c:v>147.82569574132239</c:v>
                </c:pt>
                <c:pt idx="119">
                  <c:v>147.85543641846505</c:v>
                </c:pt>
                <c:pt idx="120">
                  <c:v>147.89122561623824</c:v>
                </c:pt>
                <c:pt idx="121">
                  <c:v>147.93859260293539</c:v>
                </c:pt>
                <c:pt idx="122">
                  <c:v>148.01440476245304</c:v>
                </c:pt>
                <c:pt idx="123">
                  <c:v>148.07242033841527</c:v>
                </c:pt>
                <c:pt idx="124">
                  <c:v>148.14906470983635</c:v>
                </c:pt>
                <c:pt idx="125">
                  <c:v>148.21535412953835</c:v>
                </c:pt>
                <c:pt idx="126">
                  <c:v>148.27273066585556</c:v>
                </c:pt>
                <c:pt idx="127">
                  <c:v>148.34028753633032</c:v>
                </c:pt>
                <c:pt idx="128">
                  <c:v>148.43499867326059</c:v>
                </c:pt>
                <c:pt idx="129">
                  <c:v>148.50663675774584</c:v>
                </c:pt>
                <c:pt idx="130">
                  <c:v>148.55815218962528</c:v>
                </c:pt>
                <c:pt idx="131">
                  <c:v>148.60129526077895</c:v>
                </c:pt>
                <c:pt idx="132">
                  <c:v>148.64024076139449</c:v>
                </c:pt>
                <c:pt idx="133">
                  <c:v>148.67680622793398</c:v>
                </c:pt>
                <c:pt idx="134">
                  <c:v>148.72791199249207</c:v>
                </c:pt>
                <c:pt idx="135">
                  <c:v>148.7737446897348</c:v>
                </c:pt>
                <c:pt idx="136">
                  <c:v>148.8082795433842</c:v>
                </c:pt>
                <c:pt idx="137">
                  <c:v>148.84010440437069</c:v>
                </c:pt>
                <c:pt idx="138">
                  <c:v>148.9035116144677</c:v>
                </c:pt>
                <c:pt idx="139">
                  <c:v>148.95078245147351</c:v>
                </c:pt>
                <c:pt idx="140">
                  <c:v>148.99605960714123</c:v>
                </c:pt>
                <c:pt idx="141">
                  <c:v>149.083500444506</c:v>
                </c:pt>
                <c:pt idx="142">
                  <c:v>149.10986224986962</c:v>
                </c:pt>
                <c:pt idx="143">
                  <c:v>149.15270401517765</c:v>
                </c:pt>
                <c:pt idx="144">
                  <c:v>149.1977442632851</c:v>
                </c:pt>
                <c:pt idx="145">
                  <c:v>149.24947873162333</c:v>
                </c:pt>
                <c:pt idx="146">
                  <c:v>149.30366172453537</c:v>
                </c:pt>
                <c:pt idx="147">
                  <c:v>149.3434331865711</c:v>
                </c:pt>
                <c:pt idx="148">
                  <c:v>149.37571475797003</c:v>
                </c:pt>
                <c:pt idx="149">
                  <c:v>149.4002538373698</c:v>
                </c:pt>
                <c:pt idx="150">
                  <c:v>149.42105832254234</c:v>
                </c:pt>
                <c:pt idx="151">
                  <c:v>149.44169737688424</c:v>
                </c:pt>
                <c:pt idx="152">
                  <c:v>149.45673438331045</c:v>
                </c:pt>
                <c:pt idx="153">
                  <c:v>149.47719408315893</c:v>
                </c:pt>
                <c:pt idx="154">
                  <c:v>149.49370237980557</c:v>
                </c:pt>
                <c:pt idx="155">
                  <c:v>149.50270902339511</c:v>
                </c:pt>
                <c:pt idx="156">
                  <c:v>149.49953431855451</c:v>
                </c:pt>
                <c:pt idx="157">
                  <c:v>149.50935229558283</c:v>
                </c:pt>
                <c:pt idx="158">
                  <c:v>149.5217416271245</c:v>
                </c:pt>
                <c:pt idx="159">
                  <c:v>149.5318033764157</c:v>
                </c:pt>
                <c:pt idx="160">
                  <c:v>149.53944727760737</c:v>
                </c:pt>
                <c:pt idx="161">
                  <c:v>149.55756807079797</c:v>
                </c:pt>
                <c:pt idx="162">
                  <c:v>149.5759864988899</c:v>
                </c:pt>
                <c:pt idx="163">
                  <c:v>149.59342728057609</c:v>
                </c:pt>
                <c:pt idx="164">
                  <c:v>149.61701713362024</c:v>
                </c:pt>
                <c:pt idx="165">
                  <c:v>149.6612709516273</c:v>
                </c:pt>
                <c:pt idx="166">
                  <c:v>149.68029381507583</c:v>
                </c:pt>
                <c:pt idx="167">
                  <c:v>149.69795017606009</c:v>
                </c:pt>
                <c:pt idx="168">
                  <c:v>149.71239839004187</c:v>
                </c:pt>
                <c:pt idx="169">
                  <c:v>149.73773857755296</c:v>
                </c:pt>
                <c:pt idx="170">
                  <c:v>149.75934443429315</c:v>
                </c:pt>
                <c:pt idx="171">
                  <c:v>149.8153952303276</c:v>
                </c:pt>
                <c:pt idx="172">
                  <c:v>149.83801023835295</c:v>
                </c:pt>
                <c:pt idx="173">
                  <c:v>149.85352686765304</c:v>
                </c:pt>
                <c:pt idx="174">
                  <c:v>149.86384714110224</c:v>
                </c:pt>
                <c:pt idx="175">
                  <c:v>149.87620603430142</c:v>
                </c:pt>
                <c:pt idx="176">
                  <c:v>149.90745039373908</c:v>
                </c:pt>
                <c:pt idx="177">
                  <c:v>149.93721486452287</c:v>
                </c:pt>
                <c:pt idx="178">
                  <c:v>149.96175114996993</c:v>
                </c:pt>
                <c:pt idx="179">
                  <c:v>149.9855661200726</c:v>
                </c:pt>
                <c:pt idx="180">
                  <c:v>150.01262458511854</c:v>
                </c:pt>
                <c:pt idx="181">
                  <c:v>150.0514557135696</c:v>
                </c:pt>
                <c:pt idx="182">
                  <c:v>150.07641135747352</c:v>
                </c:pt>
                <c:pt idx="183">
                  <c:v>150.09919519890747</c:v>
                </c:pt>
                <c:pt idx="184">
                  <c:v>150.10633990483018</c:v>
                </c:pt>
                <c:pt idx="185">
                  <c:v>150.1072548226378</c:v>
                </c:pt>
                <c:pt idx="186">
                  <c:v>150.10656504803083</c:v>
                </c:pt>
                <c:pt idx="187">
                  <c:v>150.10362591537719</c:v>
                </c:pt>
                <c:pt idx="188">
                  <c:v>150.0932238841869</c:v>
                </c:pt>
                <c:pt idx="189">
                  <c:v>150.09068269807941</c:v>
                </c:pt>
                <c:pt idx="190">
                  <c:v>150.09297715709477</c:v>
                </c:pt>
                <c:pt idx="191">
                  <c:v>150.10444599779635</c:v>
                </c:pt>
                <c:pt idx="192">
                  <c:v>150.10520624738942</c:v>
                </c:pt>
                <c:pt idx="193">
                  <c:v>150.11197245615978</c:v>
                </c:pt>
                <c:pt idx="194">
                  <c:v>150.12074686492994</c:v>
                </c:pt>
                <c:pt idx="195">
                  <c:v>150.11989224355531</c:v>
                </c:pt>
                <c:pt idx="196">
                  <c:v>150.11186883474602</c:v>
                </c:pt>
                <c:pt idx="197">
                  <c:v>150.10386922707949</c:v>
                </c:pt>
                <c:pt idx="198">
                  <c:v>150.11175165423774</c:v>
                </c:pt>
                <c:pt idx="199">
                  <c:v>150.11455260012315</c:v>
                </c:pt>
                <c:pt idx="200">
                  <c:v>150.11415523556289</c:v>
                </c:pt>
                <c:pt idx="201">
                  <c:v>150.11287459378738</c:v>
                </c:pt>
                <c:pt idx="202">
                  <c:v>150.09237144319357</c:v>
                </c:pt>
                <c:pt idx="203">
                  <c:v>150.08966277559298</c:v>
                </c:pt>
                <c:pt idx="204">
                  <c:v>150.08067026191426</c:v>
                </c:pt>
                <c:pt idx="205">
                  <c:v>150.05389975029959</c:v>
                </c:pt>
                <c:pt idx="206">
                  <c:v>150.05281006988233</c:v>
                </c:pt>
                <c:pt idx="207">
                  <c:v>150.05393099701507</c:v>
                </c:pt>
                <c:pt idx="208">
                  <c:v>150.05445277540139</c:v>
                </c:pt>
                <c:pt idx="209">
                  <c:v>150.05438584285037</c:v>
                </c:pt>
                <c:pt idx="210">
                  <c:v>150.05711841414592</c:v>
                </c:pt>
                <c:pt idx="211">
                  <c:v>150.0631655804624</c:v>
                </c:pt>
                <c:pt idx="212">
                  <c:v>150.06920790143784</c:v>
                </c:pt>
                <c:pt idx="213">
                  <c:v>150.0899322752505</c:v>
                </c:pt>
                <c:pt idx="214">
                  <c:v>150.33559411671362</c:v>
                </c:pt>
                <c:pt idx="215">
                  <c:v>150.39983050218677</c:v>
                </c:pt>
                <c:pt idx="216">
                  <c:v>150.43232506202324</c:v>
                </c:pt>
                <c:pt idx="217">
                  <c:v>150.48896791940984</c:v>
                </c:pt>
                <c:pt idx="218">
                  <c:v>150.56097603700633</c:v>
                </c:pt>
                <c:pt idx="219">
                  <c:v>150.61767859253879</c:v>
                </c:pt>
                <c:pt idx="220">
                  <c:v>150.69580391124774</c:v>
                </c:pt>
                <c:pt idx="221">
                  <c:v>150.82740449817456</c:v>
                </c:pt>
                <c:pt idx="222">
                  <c:v>150.8873331085324</c:v>
                </c:pt>
                <c:pt idx="223">
                  <c:v>150.95931098930919</c:v>
                </c:pt>
                <c:pt idx="224">
                  <c:v>151.03567163265296</c:v>
                </c:pt>
                <c:pt idx="225">
                  <c:v>151.11713509796135</c:v>
                </c:pt>
                <c:pt idx="226">
                  <c:v>151.18304071037809</c:v>
                </c:pt>
                <c:pt idx="227">
                  <c:v>151.244348603975</c:v>
                </c:pt>
                <c:pt idx="228">
                  <c:v>151.31237550390469</c:v>
                </c:pt>
                <c:pt idx="229">
                  <c:v>151.39349606543715</c:v>
                </c:pt>
                <c:pt idx="230">
                  <c:v>151.47286394112447</c:v>
                </c:pt>
                <c:pt idx="231">
                  <c:v>151.62570667637732</c:v>
                </c:pt>
                <c:pt idx="232">
                  <c:v>151.89071359964115</c:v>
                </c:pt>
                <c:pt idx="233">
                  <c:v>152.03379265259437</c:v>
                </c:pt>
                <c:pt idx="234">
                  <c:v>152.24952791593037</c:v>
                </c:pt>
                <c:pt idx="235">
                  <c:v>152.45898961547874</c:v>
                </c:pt>
                <c:pt idx="236">
                  <c:v>152.58373689366113</c:v>
                </c:pt>
                <c:pt idx="237">
                  <c:v>152.70775234121939</c:v>
                </c:pt>
                <c:pt idx="238">
                  <c:v>152.86607463000325</c:v>
                </c:pt>
                <c:pt idx="239">
                  <c:v>152.96234603507361</c:v>
                </c:pt>
                <c:pt idx="240">
                  <c:v>153.11318828383159</c:v>
                </c:pt>
                <c:pt idx="241">
                  <c:v>153.23651077337723</c:v>
                </c:pt>
                <c:pt idx="242">
                  <c:v>153.3560016487551</c:v>
                </c:pt>
                <c:pt idx="243">
                  <c:v>153.47163655975518</c:v>
                </c:pt>
                <c:pt idx="244">
                  <c:v>153.60639179581389</c:v>
                </c:pt>
                <c:pt idx="245">
                  <c:v>153.75008070412028</c:v>
                </c:pt>
                <c:pt idx="246">
                  <c:v>153.87309901113056</c:v>
                </c:pt>
                <c:pt idx="247">
                  <c:v>153.96601828683663</c:v>
                </c:pt>
                <c:pt idx="248">
                  <c:v>154.06502570429174</c:v>
                </c:pt>
                <c:pt idx="249">
                  <c:v>154.18510504647793</c:v>
                </c:pt>
                <c:pt idx="250">
                  <c:v>154.27502913682949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B5-4026-A1B4-4FC8275FA84E}"/>
            </c:ext>
          </c:extLst>
        </c:ser>
        <c:ser>
          <c:idx val="2"/>
          <c:order val="2"/>
          <c:tx>
            <c:strRef>
              <c:f>Data!$H$1</c:f>
              <c:strCache>
                <c:ptCount val="1"/>
                <c:pt idx="0">
                  <c:v>Plus 1 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Data!$H$2:$H$252</c:f>
              <c:numCache>
                <c:formatCode>General</c:formatCode>
                <c:ptCount val="251"/>
                <c:pt idx="0">
                  <c:v>156.66999999999999</c:v>
                </c:pt>
                <c:pt idx="1">
                  <c:v>158.69821755444707</c:v>
                </c:pt>
                <c:pt idx="2">
                  <c:v>158.36105011080596</c:v>
                </c:pt>
                <c:pt idx="3">
                  <c:v>157.69083845325952</c:v>
                </c:pt>
                <c:pt idx="4">
                  <c:v>157.06169529631026</c:v>
                </c:pt>
                <c:pt idx="5">
                  <c:v>156.67949328858339</c:v>
                </c:pt>
                <c:pt idx="6">
                  <c:v>156.94830515545252</c:v>
                </c:pt>
                <c:pt idx="7">
                  <c:v>157.53600067536746</c:v>
                </c:pt>
                <c:pt idx="8">
                  <c:v>157.29334235163918</c:v>
                </c:pt>
                <c:pt idx="9">
                  <c:v>157.01619812211948</c:v>
                </c:pt>
                <c:pt idx="10">
                  <c:v>156.83128470691543</c:v>
                </c:pt>
                <c:pt idx="11">
                  <c:v>157.00200094413458</c:v>
                </c:pt>
                <c:pt idx="12">
                  <c:v>157.4270847355958</c:v>
                </c:pt>
                <c:pt idx="13">
                  <c:v>158.20721297059291</c:v>
                </c:pt>
                <c:pt idx="14">
                  <c:v>159.59478341611856</c:v>
                </c:pt>
                <c:pt idx="15">
                  <c:v>160.66943738368636</c:v>
                </c:pt>
                <c:pt idx="16">
                  <c:v>162.05872238224336</c:v>
                </c:pt>
                <c:pt idx="17">
                  <c:v>162.65696587755107</c:v>
                </c:pt>
                <c:pt idx="18">
                  <c:v>163.2597217002133</c:v>
                </c:pt>
                <c:pt idx="19">
                  <c:v>164.12199768661719</c:v>
                </c:pt>
                <c:pt idx="20">
                  <c:v>164.55769141316435</c:v>
                </c:pt>
                <c:pt idx="21">
                  <c:v>164.8158198071452</c:v>
                </c:pt>
                <c:pt idx="22">
                  <c:v>165.34389121694016</c:v>
                </c:pt>
                <c:pt idx="23">
                  <c:v>165.76753532601026</c:v>
                </c:pt>
                <c:pt idx="24">
                  <c:v>165.99756406319344</c:v>
                </c:pt>
                <c:pt idx="25">
                  <c:v>165.678613069622</c:v>
                </c:pt>
                <c:pt idx="26">
                  <c:v>165.10457745598691</c:v>
                </c:pt>
                <c:pt idx="27">
                  <c:v>164.74858848276685</c:v>
                </c:pt>
                <c:pt idx="28">
                  <c:v>164.74617755911106</c:v>
                </c:pt>
                <c:pt idx="29">
                  <c:v>164.31694662430402</c:v>
                </c:pt>
                <c:pt idx="30">
                  <c:v>163.77187641508957</c:v>
                </c:pt>
                <c:pt idx="31">
                  <c:v>163.41752731941983</c:v>
                </c:pt>
                <c:pt idx="32">
                  <c:v>163.42082839533714</c:v>
                </c:pt>
                <c:pt idx="33">
                  <c:v>163.40260151010273</c:v>
                </c:pt>
                <c:pt idx="34">
                  <c:v>163.34350122638753</c:v>
                </c:pt>
                <c:pt idx="35">
                  <c:v>163.20533213511973</c:v>
                </c:pt>
                <c:pt idx="36">
                  <c:v>163.06613793627528</c:v>
                </c:pt>
                <c:pt idx="37">
                  <c:v>162.91803178631937</c:v>
                </c:pt>
                <c:pt idx="38">
                  <c:v>162.69770461442178</c:v>
                </c:pt>
                <c:pt idx="39">
                  <c:v>162.51900513032203</c:v>
                </c:pt>
                <c:pt idx="40">
                  <c:v>162.36408160503902</c:v>
                </c:pt>
                <c:pt idx="41">
                  <c:v>162.19708064734706</c:v>
                </c:pt>
                <c:pt idx="42">
                  <c:v>162.01968308162012</c:v>
                </c:pt>
                <c:pt idx="43">
                  <c:v>161.67270088306068</c:v>
                </c:pt>
                <c:pt idx="44">
                  <c:v>161.44077148892774</c:v>
                </c:pt>
                <c:pt idx="45">
                  <c:v>161.15652132965656</c:v>
                </c:pt>
                <c:pt idx="46">
                  <c:v>160.94934644446104</c:v>
                </c:pt>
                <c:pt idx="47">
                  <c:v>160.73491991950959</c:v>
                </c:pt>
                <c:pt idx="48">
                  <c:v>160.55801782064071</c:v>
                </c:pt>
                <c:pt idx="49">
                  <c:v>160.36911607265708</c:v>
                </c:pt>
                <c:pt idx="50">
                  <c:v>160.22909729688334</c:v>
                </c:pt>
                <c:pt idx="51">
                  <c:v>160.05586302807808</c:v>
                </c:pt>
                <c:pt idx="52">
                  <c:v>159.88424717550063</c:v>
                </c:pt>
                <c:pt idx="53">
                  <c:v>159.73671840870102</c:v>
                </c:pt>
                <c:pt idx="54">
                  <c:v>159.58185378879801</c:v>
                </c:pt>
                <c:pt idx="55">
                  <c:v>159.42307690107475</c:v>
                </c:pt>
                <c:pt idx="56">
                  <c:v>159.26650041300499</c:v>
                </c:pt>
                <c:pt idx="57">
                  <c:v>159.13516778419665</c:v>
                </c:pt>
                <c:pt idx="58">
                  <c:v>158.96134958911506</c:v>
                </c:pt>
                <c:pt idx="59">
                  <c:v>158.79364628467013</c:v>
                </c:pt>
                <c:pt idx="60">
                  <c:v>158.65781734761936</c:v>
                </c:pt>
                <c:pt idx="61">
                  <c:v>158.49992289405617</c:v>
                </c:pt>
                <c:pt idx="62">
                  <c:v>158.3705564167839</c:v>
                </c:pt>
                <c:pt idx="63">
                  <c:v>158.22765772346077</c:v>
                </c:pt>
                <c:pt idx="64">
                  <c:v>158.00549317641105</c:v>
                </c:pt>
                <c:pt idx="65">
                  <c:v>157.84790617244266</c:v>
                </c:pt>
                <c:pt idx="66">
                  <c:v>157.7003495144142</c:v>
                </c:pt>
                <c:pt idx="67">
                  <c:v>157.55183572755732</c:v>
                </c:pt>
                <c:pt idx="68">
                  <c:v>157.43736892274674</c:v>
                </c:pt>
                <c:pt idx="69">
                  <c:v>157.32156767883438</c:v>
                </c:pt>
                <c:pt idx="70">
                  <c:v>157.20457864816888</c:v>
                </c:pt>
                <c:pt idx="71">
                  <c:v>157.09407641690166</c:v>
                </c:pt>
                <c:pt idx="72">
                  <c:v>157.00355324359268</c:v>
                </c:pt>
                <c:pt idx="73">
                  <c:v>156.91990717602204</c:v>
                </c:pt>
                <c:pt idx="74">
                  <c:v>156.84718082297906</c:v>
                </c:pt>
                <c:pt idx="75">
                  <c:v>156.77714278148065</c:v>
                </c:pt>
                <c:pt idx="76">
                  <c:v>156.75648341891701</c:v>
                </c:pt>
                <c:pt idx="77">
                  <c:v>156.7193465528668</c:v>
                </c:pt>
                <c:pt idx="78">
                  <c:v>156.76852963303821</c:v>
                </c:pt>
                <c:pt idx="79">
                  <c:v>156.71263083230764</c:v>
                </c:pt>
                <c:pt idx="80">
                  <c:v>156.61674380082641</c:v>
                </c:pt>
                <c:pt idx="81">
                  <c:v>156.53107809297865</c:v>
                </c:pt>
                <c:pt idx="82">
                  <c:v>156.45476225126524</c:v>
                </c:pt>
                <c:pt idx="83">
                  <c:v>156.37061192354324</c:v>
                </c:pt>
                <c:pt idx="84">
                  <c:v>156.29038537393726</c:v>
                </c:pt>
                <c:pt idx="85">
                  <c:v>156.22645506674772</c:v>
                </c:pt>
                <c:pt idx="86">
                  <c:v>156.18932682962853</c:v>
                </c:pt>
                <c:pt idx="87">
                  <c:v>156.14879947409614</c:v>
                </c:pt>
                <c:pt idx="88">
                  <c:v>156.10830539688405</c:v>
                </c:pt>
                <c:pt idx="89">
                  <c:v>156.19704511490636</c:v>
                </c:pt>
                <c:pt idx="90">
                  <c:v>156.24148657559093</c:v>
                </c:pt>
                <c:pt idx="91">
                  <c:v>156.29593663330832</c:v>
                </c:pt>
                <c:pt idx="92">
                  <c:v>156.36884479167259</c:v>
                </c:pt>
                <c:pt idx="93">
                  <c:v>156.39245173222142</c:v>
                </c:pt>
                <c:pt idx="94">
                  <c:v>156.38352451389554</c:v>
                </c:pt>
                <c:pt idx="95">
                  <c:v>156.36757364057354</c:v>
                </c:pt>
                <c:pt idx="96">
                  <c:v>156.37261431469631</c:v>
                </c:pt>
                <c:pt idx="97">
                  <c:v>156.49387107672402</c:v>
                </c:pt>
                <c:pt idx="98">
                  <c:v>156.50332398395804</c:v>
                </c:pt>
                <c:pt idx="99">
                  <c:v>156.54519721818457</c:v>
                </c:pt>
                <c:pt idx="100">
                  <c:v>156.59798337136289</c:v>
                </c:pt>
                <c:pt idx="101">
                  <c:v>156.72499907540683</c:v>
                </c:pt>
                <c:pt idx="102">
                  <c:v>156.76771758457937</c:v>
                </c:pt>
                <c:pt idx="103">
                  <c:v>156.83961131691001</c:v>
                </c:pt>
                <c:pt idx="104">
                  <c:v>156.90164984713456</c:v>
                </c:pt>
                <c:pt idx="105">
                  <c:v>156.92985892905295</c:v>
                </c:pt>
                <c:pt idx="106">
                  <c:v>156.93518548825142</c:v>
                </c:pt>
                <c:pt idx="107">
                  <c:v>156.93861794807205</c:v>
                </c:pt>
                <c:pt idx="108">
                  <c:v>156.93491832664466</c:v>
                </c:pt>
                <c:pt idx="109">
                  <c:v>156.95045345137848</c:v>
                </c:pt>
                <c:pt idx="110">
                  <c:v>156.95854946920824</c:v>
                </c:pt>
                <c:pt idx="111">
                  <c:v>156.96430349036308</c:v>
                </c:pt>
                <c:pt idx="112">
                  <c:v>156.99059386461502</c:v>
                </c:pt>
                <c:pt idx="113">
                  <c:v>156.99711515516375</c:v>
                </c:pt>
                <c:pt idx="114">
                  <c:v>157.01727344746482</c:v>
                </c:pt>
                <c:pt idx="115">
                  <c:v>157.05442663375709</c:v>
                </c:pt>
                <c:pt idx="116">
                  <c:v>157.08648170226766</c:v>
                </c:pt>
                <c:pt idx="117">
                  <c:v>157.16829160228843</c:v>
                </c:pt>
                <c:pt idx="118">
                  <c:v>157.20555143866889</c:v>
                </c:pt>
                <c:pt idx="119">
                  <c:v>157.20369411560958</c:v>
                </c:pt>
                <c:pt idx="120">
                  <c:v>157.21323458639426</c:v>
                </c:pt>
                <c:pt idx="121">
                  <c:v>157.24762750917108</c:v>
                </c:pt>
                <c:pt idx="122">
                  <c:v>157.33044453048117</c:v>
                </c:pt>
                <c:pt idx="123">
                  <c:v>157.39480374233105</c:v>
                </c:pt>
                <c:pt idx="124">
                  <c:v>157.47011855583466</c:v>
                </c:pt>
                <c:pt idx="125">
                  <c:v>157.55049495609799</c:v>
                </c:pt>
                <c:pt idx="126">
                  <c:v>157.62165215327141</c:v>
                </c:pt>
                <c:pt idx="127">
                  <c:v>157.71420020992912</c:v>
                </c:pt>
                <c:pt idx="128">
                  <c:v>157.84528940970898</c:v>
                </c:pt>
                <c:pt idx="129">
                  <c:v>157.91692015461905</c:v>
                </c:pt>
                <c:pt idx="130">
                  <c:v>157.96514285795004</c:v>
                </c:pt>
                <c:pt idx="131">
                  <c:v>157.98222912544958</c:v>
                </c:pt>
                <c:pt idx="132">
                  <c:v>157.99666049136485</c:v>
                </c:pt>
                <c:pt idx="133">
                  <c:v>158.01262678104374</c:v>
                </c:pt>
                <c:pt idx="134">
                  <c:v>158.06043837559744</c:v>
                </c:pt>
                <c:pt idx="135">
                  <c:v>158.10583352727804</c:v>
                </c:pt>
                <c:pt idx="136">
                  <c:v>158.13176913700499</c:v>
                </c:pt>
                <c:pt idx="137">
                  <c:v>158.15600175552569</c:v>
                </c:pt>
                <c:pt idx="138">
                  <c:v>158.22743677474165</c:v>
                </c:pt>
                <c:pt idx="139">
                  <c:v>158.28645972186686</c:v>
                </c:pt>
                <c:pt idx="140">
                  <c:v>158.33308054327352</c:v>
                </c:pt>
                <c:pt idx="141">
                  <c:v>158.40525102804332</c:v>
                </c:pt>
                <c:pt idx="142">
                  <c:v>158.4154823856162</c:v>
                </c:pt>
                <c:pt idx="143">
                  <c:v>158.44957319247638</c:v>
                </c:pt>
                <c:pt idx="144">
                  <c:v>158.49706470794456</c:v>
                </c:pt>
                <c:pt idx="145">
                  <c:v>158.56243305984657</c:v>
                </c:pt>
                <c:pt idx="146">
                  <c:v>158.62505079442377</c:v>
                </c:pt>
                <c:pt idx="147">
                  <c:v>158.64798975777154</c:v>
                </c:pt>
                <c:pt idx="148">
                  <c:v>158.65998653101448</c:v>
                </c:pt>
                <c:pt idx="149">
                  <c:v>158.66171323856571</c:v>
                </c:pt>
                <c:pt idx="150">
                  <c:v>158.65627024618507</c:v>
                </c:pt>
                <c:pt idx="151">
                  <c:v>158.65133626928352</c:v>
                </c:pt>
                <c:pt idx="152">
                  <c:v>158.64230051741353</c:v>
                </c:pt>
                <c:pt idx="153">
                  <c:v>158.64171844714977</c:v>
                </c:pt>
                <c:pt idx="154">
                  <c:v>158.63369414530871</c:v>
                </c:pt>
                <c:pt idx="155">
                  <c:v>158.61434587850096</c:v>
                </c:pt>
                <c:pt idx="156">
                  <c:v>158.58250598821752</c:v>
                </c:pt>
                <c:pt idx="157">
                  <c:v>158.56489140330498</c:v>
                </c:pt>
                <c:pt idx="158">
                  <c:v>158.55077630008424</c:v>
                </c:pt>
                <c:pt idx="159">
                  <c:v>158.5341268783564</c:v>
                </c:pt>
                <c:pt idx="160">
                  <c:v>158.5147700455002</c:v>
                </c:pt>
                <c:pt idx="161">
                  <c:v>158.50836618391386</c:v>
                </c:pt>
                <c:pt idx="162">
                  <c:v>158.50603694379075</c:v>
                </c:pt>
                <c:pt idx="163">
                  <c:v>158.50094141594698</c:v>
                </c:pt>
                <c:pt idx="164">
                  <c:v>158.50769959628724</c:v>
                </c:pt>
                <c:pt idx="165">
                  <c:v>158.5391431920626</c:v>
                </c:pt>
                <c:pt idx="166">
                  <c:v>158.54135924873555</c:v>
                </c:pt>
                <c:pt idx="167">
                  <c:v>158.54128116879423</c:v>
                </c:pt>
                <c:pt idx="168">
                  <c:v>158.534628357895</c:v>
                </c:pt>
                <c:pt idx="169">
                  <c:v>158.54182428389223</c:v>
                </c:pt>
                <c:pt idx="170">
                  <c:v>158.54114557283881</c:v>
                </c:pt>
                <c:pt idx="171">
                  <c:v>158.5898354903108</c:v>
                </c:pt>
                <c:pt idx="172">
                  <c:v>158.59156712652094</c:v>
                </c:pt>
                <c:pt idx="173">
                  <c:v>158.5849100879465</c:v>
                </c:pt>
                <c:pt idx="174">
                  <c:v>158.57195651204646</c:v>
                </c:pt>
                <c:pt idx="175">
                  <c:v>158.56166529577081</c:v>
                </c:pt>
                <c:pt idx="176">
                  <c:v>158.57526207975164</c:v>
                </c:pt>
                <c:pt idx="177">
                  <c:v>158.58946176826981</c:v>
                </c:pt>
                <c:pt idx="178">
                  <c:v>158.60056490312505</c:v>
                </c:pt>
                <c:pt idx="179">
                  <c:v>158.60292311136826</c:v>
                </c:pt>
                <c:pt idx="180">
                  <c:v>158.61438109353392</c:v>
                </c:pt>
                <c:pt idx="181">
                  <c:v>158.64554116794611</c:v>
                </c:pt>
                <c:pt idx="182">
                  <c:v>158.65270939920285</c:v>
                </c:pt>
                <c:pt idx="183">
                  <c:v>158.65505144660483</c:v>
                </c:pt>
                <c:pt idx="184">
                  <c:v>158.6394156528219</c:v>
                </c:pt>
                <c:pt idx="185">
                  <c:v>158.61739054362334</c:v>
                </c:pt>
                <c:pt idx="186">
                  <c:v>158.59404166552744</c:v>
                </c:pt>
                <c:pt idx="187">
                  <c:v>158.56873058088937</c:v>
                </c:pt>
                <c:pt idx="188">
                  <c:v>158.53724706558759</c:v>
                </c:pt>
                <c:pt idx="189">
                  <c:v>158.51282109009023</c:v>
                </c:pt>
                <c:pt idx="190">
                  <c:v>158.49312990123175</c:v>
                </c:pt>
                <c:pt idx="191">
                  <c:v>158.48386837651921</c:v>
                </c:pt>
                <c:pt idx="192">
                  <c:v>158.46293026619486</c:v>
                </c:pt>
                <c:pt idx="193">
                  <c:v>158.44842954107685</c:v>
                </c:pt>
                <c:pt idx="194">
                  <c:v>158.43664104256962</c:v>
                </c:pt>
                <c:pt idx="195">
                  <c:v>158.41466049540759</c:v>
                </c:pt>
                <c:pt idx="196">
                  <c:v>158.38665990616479</c:v>
                </c:pt>
                <c:pt idx="197">
                  <c:v>158.35909413879608</c:v>
                </c:pt>
                <c:pt idx="198">
                  <c:v>158.3464127055644</c:v>
                </c:pt>
                <c:pt idx="199">
                  <c:v>158.32860598426305</c:v>
                </c:pt>
                <c:pt idx="200">
                  <c:v>158.30786072624764</c:v>
                </c:pt>
                <c:pt idx="201">
                  <c:v>158.28646246283688</c:v>
                </c:pt>
                <c:pt idx="202">
                  <c:v>158.25022922258267</c:v>
                </c:pt>
                <c:pt idx="203">
                  <c:v>158.2278311041687</c:v>
                </c:pt>
                <c:pt idx="204">
                  <c:v>158.2014341631174</c:v>
                </c:pt>
                <c:pt idx="205">
                  <c:v>158.15726623560869</c:v>
                </c:pt>
                <c:pt idx="206">
                  <c:v>158.13674074402496</c:v>
                </c:pt>
                <c:pt idx="207">
                  <c:v>158.11840588701747</c:v>
                </c:pt>
                <c:pt idx="208">
                  <c:v>158.09961184644388</c:v>
                </c:pt>
                <c:pt idx="209">
                  <c:v>158.08044447294938</c:v>
                </c:pt>
                <c:pt idx="210">
                  <c:v>158.06419765989233</c:v>
                </c:pt>
                <c:pt idx="211">
                  <c:v>158.05226650147759</c:v>
                </c:pt>
                <c:pt idx="212">
                  <c:v>158.04055728220195</c:v>
                </c:pt>
                <c:pt idx="213">
                  <c:v>158.051002356282</c:v>
                </c:pt>
                <c:pt idx="214">
                  <c:v>158.32932685731595</c:v>
                </c:pt>
                <c:pt idx="215">
                  <c:v>158.38510129640937</c:v>
                </c:pt>
                <c:pt idx="216">
                  <c:v>158.40509772470804</c:v>
                </c:pt>
                <c:pt idx="217">
                  <c:v>158.46446367356953</c:v>
                </c:pt>
                <c:pt idx="218">
                  <c:v>158.55518500415798</c:v>
                </c:pt>
                <c:pt idx="219">
                  <c:v>158.63154173531046</c:v>
                </c:pt>
                <c:pt idx="220">
                  <c:v>158.73928236091862</c:v>
                </c:pt>
                <c:pt idx="221">
                  <c:v>158.92711094968757</c:v>
                </c:pt>
                <c:pt idx="222">
                  <c:v>159.0324132270668</c:v>
                </c:pt>
                <c:pt idx="223">
                  <c:v>159.14937580400544</c:v>
                </c:pt>
                <c:pt idx="224">
                  <c:v>159.26194663383436</c:v>
                </c:pt>
                <c:pt idx="225">
                  <c:v>159.38998637448034</c:v>
                </c:pt>
                <c:pt idx="226">
                  <c:v>159.50066667447786</c:v>
                </c:pt>
                <c:pt idx="227">
                  <c:v>159.60605682684621</c:v>
                </c:pt>
                <c:pt idx="228">
                  <c:v>159.7233662643763</c:v>
                </c:pt>
                <c:pt idx="229">
                  <c:v>159.86582534043853</c:v>
                </c:pt>
                <c:pt idx="230">
                  <c:v>160.01287564303789</c:v>
                </c:pt>
                <c:pt idx="231">
                  <c:v>160.24347370153677</c:v>
                </c:pt>
                <c:pt idx="232">
                  <c:v>160.64663390054145</c:v>
                </c:pt>
                <c:pt idx="233">
                  <c:v>160.89067208090799</c:v>
                </c:pt>
                <c:pt idx="234">
                  <c:v>161.25010435237712</c:v>
                </c:pt>
                <c:pt idx="235">
                  <c:v>161.63909800465294</c:v>
                </c:pt>
                <c:pt idx="236">
                  <c:v>161.91154619238969</c:v>
                </c:pt>
                <c:pt idx="237">
                  <c:v>162.19839241488347</c:v>
                </c:pt>
                <c:pt idx="238">
                  <c:v>162.53604164086795</c:v>
                </c:pt>
                <c:pt idx="239">
                  <c:v>162.80101887882591</c:v>
                </c:pt>
                <c:pt idx="240">
                  <c:v>163.16097262084639</c:v>
                </c:pt>
                <c:pt idx="241">
                  <c:v>163.44246503400649</c:v>
                </c:pt>
                <c:pt idx="242">
                  <c:v>163.73100989738421</c:v>
                </c:pt>
                <c:pt idx="243">
                  <c:v>163.97403606442796</c:v>
                </c:pt>
                <c:pt idx="244">
                  <c:v>164.2693550282504</c:v>
                </c:pt>
                <c:pt idx="245">
                  <c:v>164.57909405227534</c:v>
                </c:pt>
                <c:pt idx="246">
                  <c:v>164.85318870788285</c:v>
                </c:pt>
                <c:pt idx="247">
                  <c:v>165.10351872771201</c:v>
                </c:pt>
                <c:pt idx="248">
                  <c:v>165.35989998782787</c:v>
                </c:pt>
                <c:pt idx="249">
                  <c:v>165.62044666334273</c:v>
                </c:pt>
                <c:pt idx="250">
                  <c:v>165.84614034671395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B5-4026-A1B4-4FC8275FA84E}"/>
            </c:ext>
          </c:extLst>
        </c:ser>
        <c:ser>
          <c:idx val="3"/>
          <c:order val="3"/>
          <c:tx>
            <c:strRef>
              <c:f>Data!$I$1</c:f>
              <c:strCache>
                <c:ptCount val="1"/>
                <c:pt idx="0">
                  <c:v>Minus 1 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Data!$I$2:$I$252</c:f>
              <c:numCache>
                <c:formatCode>General</c:formatCode>
                <c:ptCount val="251"/>
                <c:pt idx="0">
                  <c:v>156.66999999999999</c:v>
                </c:pt>
                <c:pt idx="1">
                  <c:v>156.74821755444708</c:v>
                </c:pt>
                <c:pt idx="2">
                  <c:v>153.78090940457335</c:v>
                </c:pt>
                <c:pt idx="3">
                  <c:v>152.3518029598394</c:v>
                </c:pt>
                <c:pt idx="4">
                  <c:v>151.18330912321821</c:v>
                </c:pt>
                <c:pt idx="5">
                  <c:v>151.22808776136179</c:v>
                </c:pt>
                <c:pt idx="6">
                  <c:v>151.64725558667729</c:v>
                </c:pt>
                <c:pt idx="7">
                  <c:v>152.14039192843262</c:v>
                </c:pt>
                <c:pt idx="8">
                  <c:v>152.18858688295495</c:v>
                </c:pt>
                <c:pt idx="9">
                  <c:v>152.02533446940367</c:v>
                </c:pt>
                <c:pt idx="10">
                  <c:v>152.04646435656537</c:v>
                </c:pt>
                <c:pt idx="11">
                  <c:v>152.19756231349777</c:v>
                </c:pt>
                <c:pt idx="12">
                  <c:v>152.31989152550406</c:v>
                </c:pt>
                <c:pt idx="13">
                  <c:v>152.4297804499474</c:v>
                </c:pt>
                <c:pt idx="14">
                  <c:v>152.52560222826753</c:v>
                </c:pt>
                <c:pt idx="15">
                  <c:v>152.59795711362435</c:v>
                </c:pt>
                <c:pt idx="16">
                  <c:v>153.31575605452528</c:v>
                </c:pt>
                <c:pt idx="17">
                  <c:v>153.39492513236794</c:v>
                </c:pt>
                <c:pt idx="18">
                  <c:v>153.47452218053618</c:v>
                </c:pt>
                <c:pt idx="19">
                  <c:v>153.61711291809166</c:v>
                </c:pt>
                <c:pt idx="20">
                  <c:v>153.7167686921882</c:v>
                </c:pt>
                <c:pt idx="21">
                  <c:v>153.79355968583531</c:v>
                </c:pt>
                <c:pt idx="22">
                  <c:v>154.05822545032095</c:v>
                </c:pt>
                <c:pt idx="23">
                  <c:v>154.14203366419417</c:v>
                </c:pt>
                <c:pt idx="24">
                  <c:v>154.31374780993096</c:v>
                </c:pt>
                <c:pt idx="25">
                  <c:v>154.11993844094602</c:v>
                </c:pt>
                <c:pt idx="26">
                  <c:v>152.13235561973241</c:v>
                </c:pt>
                <c:pt idx="27">
                  <c:v>150.15622529974175</c:v>
                </c:pt>
                <c:pt idx="28">
                  <c:v>148.36376173735403</c:v>
                </c:pt>
                <c:pt idx="29">
                  <c:v>147.65616478323921</c:v>
                </c:pt>
                <c:pt idx="30">
                  <c:v>145.55234050262007</c:v>
                </c:pt>
                <c:pt idx="31">
                  <c:v>144.03429698081595</c:v>
                </c:pt>
                <c:pt idx="32">
                  <c:v>143.04588373576507</c:v>
                </c:pt>
                <c:pt idx="33">
                  <c:v>142.11862575660609</c:v>
                </c:pt>
                <c:pt idx="34">
                  <c:v>141.38201661800824</c:v>
                </c:pt>
                <c:pt idx="35">
                  <c:v>140.88714318474362</c:v>
                </c:pt>
                <c:pt idx="36">
                  <c:v>140.10465549354396</c:v>
                </c:pt>
                <c:pt idx="37">
                  <c:v>139.68828954976556</c:v>
                </c:pt>
                <c:pt idx="38">
                  <c:v>139.20229555344136</c:v>
                </c:pt>
                <c:pt idx="39">
                  <c:v>138.94477108125906</c:v>
                </c:pt>
                <c:pt idx="40">
                  <c:v>138.71461795878474</c:v>
                </c:pt>
                <c:pt idx="41">
                  <c:v>138.55965334681886</c:v>
                </c:pt>
                <c:pt idx="42">
                  <c:v>138.3696077001558</c:v>
                </c:pt>
                <c:pt idx="43">
                  <c:v>137.85876904935955</c:v>
                </c:pt>
                <c:pt idx="44">
                  <c:v>137.50059401297221</c:v>
                </c:pt>
                <c:pt idx="45">
                  <c:v>137.21748569677996</c:v>
                </c:pt>
                <c:pt idx="46">
                  <c:v>136.88356014026741</c:v>
                </c:pt>
                <c:pt idx="47">
                  <c:v>136.56858601734655</c:v>
                </c:pt>
                <c:pt idx="48">
                  <c:v>136.31834953975562</c:v>
                </c:pt>
                <c:pt idx="49">
                  <c:v>136.12421708256019</c:v>
                </c:pt>
                <c:pt idx="50">
                  <c:v>136.04119241370987</c:v>
                </c:pt>
                <c:pt idx="51">
                  <c:v>136.01703097247201</c:v>
                </c:pt>
                <c:pt idx="52">
                  <c:v>136.0083486909559</c:v>
                </c:pt>
                <c:pt idx="53">
                  <c:v>136.00721946693162</c:v>
                </c:pt>
                <c:pt idx="54">
                  <c:v>136.00879645211921</c:v>
                </c:pt>
                <c:pt idx="55">
                  <c:v>136.00098398419084</c:v>
                </c:pt>
                <c:pt idx="56">
                  <c:v>135.90726181353304</c:v>
                </c:pt>
                <c:pt idx="57">
                  <c:v>135.80516279962234</c:v>
                </c:pt>
                <c:pt idx="58">
                  <c:v>135.60888581870671</c:v>
                </c:pt>
                <c:pt idx="59">
                  <c:v>135.41735177743718</c:v>
                </c:pt>
                <c:pt idx="60">
                  <c:v>135.30568900812079</c:v>
                </c:pt>
                <c:pt idx="61">
                  <c:v>135.21233955724136</c:v>
                </c:pt>
                <c:pt idx="62">
                  <c:v>135.09943094062382</c:v>
                </c:pt>
                <c:pt idx="63">
                  <c:v>135.02814116902852</c:v>
                </c:pt>
                <c:pt idx="64">
                  <c:v>134.84855114162661</c:v>
                </c:pt>
                <c:pt idx="65">
                  <c:v>134.76430843549588</c:v>
                </c:pt>
                <c:pt idx="66">
                  <c:v>134.72577580147765</c:v>
                </c:pt>
                <c:pt idx="67">
                  <c:v>134.64102454147854</c:v>
                </c:pt>
                <c:pt idx="68">
                  <c:v>134.58081341959624</c:v>
                </c:pt>
                <c:pt idx="69">
                  <c:v>134.58387840776388</c:v>
                </c:pt>
                <c:pt idx="70">
                  <c:v>134.59190856250461</c:v>
                </c:pt>
                <c:pt idx="71">
                  <c:v>134.62995531839448</c:v>
                </c:pt>
                <c:pt idx="72">
                  <c:v>134.69192316127899</c:v>
                </c:pt>
                <c:pt idx="73">
                  <c:v>134.75822669839573</c:v>
                </c:pt>
                <c:pt idx="74">
                  <c:v>134.83373049258131</c:v>
                </c:pt>
                <c:pt idx="75">
                  <c:v>134.90899634739523</c:v>
                </c:pt>
                <c:pt idx="76">
                  <c:v>135.02122913936631</c:v>
                </c:pt>
                <c:pt idx="77">
                  <c:v>135.11844501903505</c:v>
                </c:pt>
                <c:pt idx="78">
                  <c:v>135.29064710447892</c:v>
                </c:pt>
                <c:pt idx="79">
                  <c:v>135.36875679313658</c:v>
                </c:pt>
                <c:pt idx="80">
                  <c:v>135.39744208205869</c:v>
                </c:pt>
                <c:pt idx="81">
                  <c:v>135.4322314043954</c:v>
                </c:pt>
                <c:pt idx="82">
                  <c:v>135.48044923295126</c:v>
                </c:pt>
                <c:pt idx="83">
                  <c:v>135.51584104977721</c:v>
                </c:pt>
                <c:pt idx="84">
                  <c:v>135.54975543352177</c:v>
                </c:pt>
                <c:pt idx="85">
                  <c:v>135.60658115174968</c:v>
                </c:pt>
                <c:pt idx="86">
                  <c:v>135.68381803507518</c:v>
                </c:pt>
                <c:pt idx="87">
                  <c:v>135.75390157460717</c:v>
                </c:pt>
                <c:pt idx="88">
                  <c:v>135.82622008065854</c:v>
                </c:pt>
                <c:pt idx="89">
                  <c:v>135.97146478811334</c:v>
                </c:pt>
                <c:pt idx="90">
                  <c:v>136.07587895616749</c:v>
                </c:pt>
                <c:pt idx="91">
                  <c:v>136.17207407225453</c:v>
                </c:pt>
                <c:pt idx="92">
                  <c:v>136.26693337292897</c:v>
                </c:pt>
                <c:pt idx="93">
                  <c:v>136.36847156226045</c:v>
                </c:pt>
                <c:pt idx="94">
                  <c:v>136.44624711743595</c:v>
                </c:pt>
                <c:pt idx="95">
                  <c:v>136.52207787747068</c:v>
                </c:pt>
                <c:pt idx="96">
                  <c:v>136.60519428171438</c:v>
                </c:pt>
                <c:pt idx="97">
                  <c:v>136.81513907672303</c:v>
                </c:pt>
                <c:pt idx="98">
                  <c:v>136.91452556111832</c:v>
                </c:pt>
                <c:pt idx="99">
                  <c:v>137.04276648147896</c:v>
                </c:pt>
                <c:pt idx="100">
                  <c:v>137.15025154906402</c:v>
                </c:pt>
                <c:pt idx="101">
                  <c:v>137.28985995272015</c:v>
                </c:pt>
                <c:pt idx="102">
                  <c:v>137.3632367911913</c:v>
                </c:pt>
                <c:pt idx="103">
                  <c:v>137.44194077510974</c:v>
                </c:pt>
                <c:pt idx="104">
                  <c:v>137.49818433531217</c:v>
                </c:pt>
                <c:pt idx="105">
                  <c:v>137.57753082094183</c:v>
                </c:pt>
                <c:pt idx="106">
                  <c:v>137.65404718836817</c:v>
                </c:pt>
                <c:pt idx="107">
                  <c:v>137.72995423631895</c:v>
                </c:pt>
                <c:pt idx="108">
                  <c:v>137.80071160201419</c:v>
                </c:pt>
                <c:pt idx="109">
                  <c:v>137.87180616838796</c:v>
                </c:pt>
                <c:pt idx="110">
                  <c:v>137.9379179887919</c:v>
                </c:pt>
                <c:pt idx="111">
                  <c:v>137.9973434993413</c:v>
                </c:pt>
                <c:pt idx="112">
                  <c:v>138.05416350158507</c:v>
                </c:pt>
                <c:pt idx="113">
                  <c:v>138.11104789066977</c:v>
                </c:pt>
                <c:pt idx="114">
                  <c:v>138.16977000385961</c:v>
                </c:pt>
                <c:pt idx="115">
                  <c:v>138.2259953569349</c:v>
                </c:pt>
                <c:pt idx="116">
                  <c:v>138.28792301257036</c:v>
                </c:pt>
                <c:pt idx="117">
                  <c:v>138.37977293307461</c:v>
                </c:pt>
                <c:pt idx="118">
                  <c:v>138.44584004397589</c:v>
                </c:pt>
                <c:pt idx="119">
                  <c:v>138.50717872132051</c:v>
                </c:pt>
                <c:pt idx="120">
                  <c:v>138.56921664608222</c:v>
                </c:pt>
                <c:pt idx="121">
                  <c:v>138.62955769669969</c:v>
                </c:pt>
                <c:pt idx="122">
                  <c:v>138.69836499442491</c:v>
                </c:pt>
                <c:pt idx="123">
                  <c:v>138.75003693449949</c:v>
                </c:pt>
                <c:pt idx="124">
                  <c:v>138.82801086383805</c:v>
                </c:pt>
                <c:pt idx="125">
                  <c:v>138.88021330297872</c:v>
                </c:pt>
                <c:pt idx="126">
                  <c:v>138.92380917843971</c:v>
                </c:pt>
                <c:pt idx="127">
                  <c:v>138.96637486273153</c:v>
                </c:pt>
                <c:pt idx="128">
                  <c:v>139.02470793681221</c:v>
                </c:pt>
                <c:pt idx="129">
                  <c:v>139.09635336087263</c:v>
                </c:pt>
                <c:pt idx="130">
                  <c:v>139.15116152130051</c:v>
                </c:pt>
                <c:pt idx="131">
                  <c:v>139.22036139610833</c:v>
                </c:pt>
                <c:pt idx="132">
                  <c:v>139.28382103142414</c:v>
                </c:pt>
                <c:pt idx="133">
                  <c:v>139.34098567482422</c:v>
                </c:pt>
                <c:pt idx="134">
                  <c:v>139.39538560938669</c:v>
                </c:pt>
                <c:pt idx="135">
                  <c:v>139.44165585219156</c:v>
                </c:pt>
                <c:pt idx="136">
                  <c:v>139.48478994976341</c:v>
                </c:pt>
                <c:pt idx="137">
                  <c:v>139.52420705321569</c:v>
                </c:pt>
                <c:pt idx="138">
                  <c:v>139.57958645419376</c:v>
                </c:pt>
                <c:pt idx="139">
                  <c:v>139.61510518108017</c:v>
                </c:pt>
                <c:pt idx="140">
                  <c:v>139.65903867100894</c:v>
                </c:pt>
                <c:pt idx="141">
                  <c:v>139.76174986096868</c:v>
                </c:pt>
                <c:pt idx="142">
                  <c:v>139.80424211412304</c:v>
                </c:pt>
                <c:pt idx="143">
                  <c:v>139.85583483787892</c:v>
                </c:pt>
                <c:pt idx="144">
                  <c:v>139.89842381862564</c:v>
                </c:pt>
                <c:pt idx="145">
                  <c:v>139.93652440340009</c:v>
                </c:pt>
                <c:pt idx="146">
                  <c:v>139.98227265464698</c:v>
                </c:pt>
                <c:pt idx="147">
                  <c:v>140.03887661537067</c:v>
                </c:pt>
                <c:pt idx="148">
                  <c:v>140.09144298492558</c:v>
                </c:pt>
                <c:pt idx="149">
                  <c:v>140.1387944361739</c:v>
                </c:pt>
                <c:pt idx="150">
                  <c:v>140.1858463988996</c:v>
                </c:pt>
                <c:pt idx="151">
                  <c:v>140.23205848448495</c:v>
                </c:pt>
                <c:pt idx="152">
                  <c:v>140.27116824920736</c:v>
                </c:pt>
                <c:pt idx="153">
                  <c:v>140.3126697191681</c:v>
                </c:pt>
                <c:pt idx="154">
                  <c:v>140.35371061430243</c:v>
                </c:pt>
                <c:pt idx="155">
                  <c:v>140.39107216828927</c:v>
                </c:pt>
                <c:pt idx="156">
                  <c:v>140.4165626488915</c:v>
                </c:pt>
                <c:pt idx="157">
                  <c:v>140.45381318786067</c:v>
                </c:pt>
                <c:pt idx="158">
                  <c:v>140.49270695416476</c:v>
                </c:pt>
                <c:pt idx="159">
                  <c:v>140.52947987447499</c:v>
                </c:pt>
                <c:pt idx="160">
                  <c:v>140.56412450971453</c:v>
                </c:pt>
                <c:pt idx="161">
                  <c:v>140.60676995768208</c:v>
                </c:pt>
                <c:pt idx="162">
                  <c:v>140.64593605398906</c:v>
                </c:pt>
                <c:pt idx="163">
                  <c:v>140.68591314520521</c:v>
                </c:pt>
                <c:pt idx="164">
                  <c:v>140.72633467095324</c:v>
                </c:pt>
                <c:pt idx="165">
                  <c:v>140.78339871119201</c:v>
                </c:pt>
                <c:pt idx="166">
                  <c:v>140.81922838141611</c:v>
                </c:pt>
                <c:pt idx="167">
                  <c:v>140.85461918332595</c:v>
                </c:pt>
                <c:pt idx="168">
                  <c:v>140.89016842218874</c:v>
                </c:pt>
                <c:pt idx="169">
                  <c:v>140.9336528712137</c:v>
                </c:pt>
                <c:pt idx="170">
                  <c:v>140.97754329574749</c:v>
                </c:pt>
                <c:pt idx="171">
                  <c:v>141.04095497034439</c:v>
                </c:pt>
                <c:pt idx="172">
                  <c:v>141.08445335018496</c:v>
                </c:pt>
                <c:pt idx="173">
                  <c:v>141.12214364735959</c:v>
                </c:pt>
                <c:pt idx="174">
                  <c:v>141.15573777015803</c:v>
                </c:pt>
                <c:pt idx="175">
                  <c:v>141.19074677283203</c:v>
                </c:pt>
                <c:pt idx="176">
                  <c:v>141.23963870772653</c:v>
                </c:pt>
                <c:pt idx="177">
                  <c:v>141.28496796077593</c:v>
                </c:pt>
                <c:pt idx="178">
                  <c:v>141.32293739681481</c:v>
                </c:pt>
                <c:pt idx="179">
                  <c:v>141.36820912877695</c:v>
                </c:pt>
                <c:pt idx="180">
                  <c:v>141.41086807670317</c:v>
                </c:pt>
                <c:pt idx="181">
                  <c:v>141.45737025919308</c:v>
                </c:pt>
                <c:pt idx="182">
                  <c:v>141.50011331574419</c:v>
                </c:pt>
                <c:pt idx="183">
                  <c:v>141.5433389512101</c:v>
                </c:pt>
                <c:pt idx="184">
                  <c:v>141.57326415683846</c:v>
                </c:pt>
                <c:pt idx="185">
                  <c:v>141.59711910165225</c:v>
                </c:pt>
                <c:pt idx="186">
                  <c:v>141.61908843053422</c:v>
                </c:pt>
                <c:pt idx="187">
                  <c:v>141.63852124986502</c:v>
                </c:pt>
                <c:pt idx="188">
                  <c:v>141.6492007027862</c:v>
                </c:pt>
                <c:pt idx="189">
                  <c:v>141.66854430606858</c:v>
                </c:pt>
                <c:pt idx="190">
                  <c:v>141.69282441295778</c:v>
                </c:pt>
                <c:pt idx="191">
                  <c:v>141.72502361907348</c:v>
                </c:pt>
                <c:pt idx="192">
                  <c:v>141.74748222858398</c:v>
                </c:pt>
                <c:pt idx="193">
                  <c:v>141.7755153712427</c:v>
                </c:pt>
                <c:pt idx="194">
                  <c:v>141.80485268729026</c:v>
                </c:pt>
                <c:pt idx="195">
                  <c:v>141.82512399170304</c:v>
                </c:pt>
                <c:pt idx="196">
                  <c:v>141.83707776332724</c:v>
                </c:pt>
                <c:pt idx="197">
                  <c:v>141.84864431536289</c:v>
                </c:pt>
                <c:pt idx="198">
                  <c:v>141.87709060291107</c:v>
                </c:pt>
                <c:pt idx="199">
                  <c:v>141.90049921598325</c:v>
                </c:pt>
                <c:pt idx="200">
                  <c:v>141.92044974487814</c:v>
                </c:pt>
                <c:pt idx="201">
                  <c:v>141.93928672473788</c:v>
                </c:pt>
                <c:pt idx="202">
                  <c:v>141.93451366380447</c:v>
                </c:pt>
                <c:pt idx="203">
                  <c:v>141.95149444701727</c:v>
                </c:pt>
                <c:pt idx="204">
                  <c:v>141.95990636071113</c:v>
                </c:pt>
                <c:pt idx="205">
                  <c:v>141.9505332649905</c:v>
                </c:pt>
                <c:pt idx="206">
                  <c:v>141.96887939573969</c:v>
                </c:pt>
                <c:pt idx="207">
                  <c:v>141.98945610701267</c:v>
                </c:pt>
                <c:pt idx="208">
                  <c:v>142.0092937043589</c:v>
                </c:pt>
                <c:pt idx="209">
                  <c:v>142.02832721275135</c:v>
                </c:pt>
                <c:pt idx="210">
                  <c:v>142.05003916839951</c:v>
                </c:pt>
                <c:pt idx="211">
                  <c:v>142.0740646594472</c:v>
                </c:pt>
                <c:pt idx="212">
                  <c:v>142.09785852067373</c:v>
                </c:pt>
                <c:pt idx="213">
                  <c:v>142.12886219421901</c:v>
                </c:pt>
                <c:pt idx="214">
                  <c:v>142.3418613761113</c:v>
                </c:pt>
                <c:pt idx="215">
                  <c:v>142.41455970796417</c:v>
                </c:pt>
                <c:pt idx="216">
                  <c:v>142.45955239933843</c:v>
                </c:pt>
                <c:pt idx="217">
                  <c:v>142.51347216525016</c:v>
                </c:pt>
                <c:pt idx="218">
                  <c:v>142.56676706985468</c:v>
                </c:pt>
                <c:pt idx="219">
                  <c:v>142.60381544976713</c:v>
                </c:pt>
                <c:pt idx="220">
                  <c:v>142.65232546157685</c:v>
                </c:pt>
                <c:pt idx="221">
                  <c:v>142.72769804666154</c:v>
                </c:pt>
                <c:pt idx="222">
                  <c:v>142.74225298999801</c:v>
                </c:pt>
                <c:pt idx="223">
                  <c:v>142.76924617461293</c:v>
                </c:pt>
                <c:pt idx="224">
                  <c:v>142.80939663147157</c:v>
                </c:pt>
                <c:pt idx="225">
                  <c:v>142.84428382144236</c:v>
                </c:pt>
                <c:pt idx="226">
                  <c:v>142.86541474627833</c:v>
                </c:pt>
                <c:pt idx="227">
                  <c:v>142.88264038110378</c:v>
                </c:pt>
                <c:pt idx="228">
                  <c:v>142.90138474343308</c:v>
                </c:pt>
                <c:pt idx="229">
                  <c:v>142.92116679043576</c:v>
                </c:pt>
                <c:pt idx="230">
                  <c:v>142.93285223921106</c:v>
                </c:pt>
                <c:pt idx="231">
                  <c:v>143.00793965121787</c:v>
                </c:pt>
                <c:pt idx="232">
                  <c:v>143.13479329874085</c:v>
                </c:pt>
                <c:pt idx="233">
                  <c:v>143.17691322428075</c:v>
                </c:pt>
                <c:pt idx="234">
                  <c:v>143.24895147948362</c:v>
                </c:pt>
                <c:pt idx="235">
                  <c:v>143.27888122630455</c:v>
                </c:pt>
                <c:pt idx="236">
                  <c:v>143.25592759493256</c:v>
                </c:pt>
                <c:pt idx="237">
                  <c:v>143.21711226755531</c:v>
                </c:pt>
                <c:pt idx="238">
                  <c:v>143.19610761913856</c:v>
                </c:pt>
                <c:pt idx="239">
                  <c:v>143.1236731913213</c:v>
                </c:pt>
                <c:pt idx="240">
                  <c:v>143.06540394681679</c:v>
                </c:pt>
                <c:pt idx="241">
                  <c:v>143.03055651274798</c:v>
                </c:pt>
                <c:pt idx="242">
                  <c:v>142.98099340012598</c:v>
                </c:pt>
                <c:pt idx="243">
                  <c:v>142.9692370550824</c:v>
                </c:pt>
                <c:pt idx="244">
                  <c:v>142.94342856337738</c:v>
                </c:pt>
                <c:pt idx="245">
                  <c:v>142.92106735596522</c:v>
                </c:pt>
                <c:pt idx="246">
                  <c:v>142.89300931437828</c:v>
                </c:pt>
                <c:pt idx="247">
                  <c:v>142.82851784596124</c:v>
                </c:pt>
                <c:pt idx="248">
                  <c:v>142.77015142075561</c:v>
                </c:pt>
                <c:pt idx="249">
                  <c:v>142.74976342961313</c:v>
                </c:pt>
                <c:pt idx="250">
                  <c:v>142.70391792694502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B5-4026-A1B4-4FC8275FA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249232"/>
        <c:axId val="236187792"/>
      </c:lineChart>
      <c:dateAx>
        <c:axId val="236249232"/>
        <c:scaling>
          <c:orientation val="minMax"/>
          <c:min val="45957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187792"/>
        <c:crosses val="autoZero"/>
        <c:auto val="1"/>
        <c:lblOffset val="100"/>
        <c:baseTimeUnit val="days"/>
      </c:dateAx>
      <c:valAx>
        <c:axId val="236187792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24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Data!$C$2:$C$252</c:f>
              <c:numCache>
                <c:formatCode>_([$$-409]* #,##0.00_);_([$$-409]* \(#,##0.00\);_([$$-409]* "-"??_);_(@_)</c:formatCode>
                <c:ptCount val="251"/>
                <c:pt idx="0">
                  <c:v>156.66999999999999</c:v>
                </c:pt>
                <c:pt idx="1">
                  <c:v>158.62</c:v>
                </c:pt>
                <c:pt idx="2">
                  <c:v>153.09</c:v>
                </c:pt>
                <c:pt idx="3">
                  <c:v>152</c:v>
                </c:pt>
                <c:pt idx="4">
                  <c:v>150.81</c:v>
                </c:pt>
                <c:pt idx="5">
                  <c:v>152.94999999999999</c:v>
                </c:pt>
                <c:pt idx="6">
                  <c:v>156.34</c:v>
                </c:pt>
                <c:pt idx="7">
                  <c:v>157.57</c:v>
                </c:pt>
                <c:pt idx="8">
                  <c:v>154.08000000000001</c:v>
                </c:pt>
                <c:pt idx="9">
                  <c:v>152.66999999999999</c:v>
                </c:pt>
                <c:pt idx="10">
                  <c:v>153.61000000000001</c:v>
                </c:pt>
                <c:pt idx="11">
                  <c:v>157.02000000000001</c:v>
                </c:pt>
                <c:pt idx="12">
                  <c:v>158.72</c:v>
                </c:pt>
                <c:pt idx="13">
                  <c:v>160.81</c:v>
                </c:pt>
                <c:pt idx="14">
                  <c:v>164.05</c:v>
                </c:pt>
                <c:pt idx="15">
                  <c:v>164.77</c:v>
                </c:pt>
                <c:pt idx="16">
                  <c:v>164.75</c:v>
                </c:pt>
                <c:pt idx="17">
                  <c:v>165.02</c:v>
                </c:pt>
                <c:pt idx="18">
                  <c:v>165.94</c:v>
                </c:pt>
                <c:pt idx="19">
                  <c:v>167.97</c:v>
                </c:pt>
                <c:pt idx="20">
                  <c:v>166.65</c:v>
                </c:pt>
                <c:pt idx="21">
                  <c:v>166.09</c:v>
                </c:pt>
                <c:pt idx="22">
                  <c:v>167.29</c:v>
                </c:pt>
                <c:pt idx="23">
                  <c:v>168.51</c:v>
                </c:pt>
                <c:pt idx="24">
                  <c:v>166.47</c:v>
                </c:pt>
                <c:pt idx="25">
                  <c:v>156.12</c:v>
                </c:pt>
                <c:pt idx="26">
                  <c:v>143.28</c:v>
                </c:pt>
                <c:pt idx="27">
                  <c:v>140.15</c:v>
                </c:pt>
                <c:pt idx="28">
                  <c:v>136.93</c:v>
                </c:pt>
                <c:pt idx="29">
                  <c:v>146.03</c:v>
                </c:pt>
                <c:pt idx="30">
                  <c:v>134.97999999999999</c:v>
                </c:pt>
                <c:pt idx="31">
                  <c:v>135.63</c:v>
                </c:pt>
                <c:pt idx="32">
                  <c:v>135.32</c:v>
                </c:pt>
                <c:pt idx="33">
                  <c:v>134.54</c:v>
                </c:pt>
                <c:pt idx="34">
                  <c:v>135.36000000000001</c:v>
                </c:pt>
                <c:pt idx="35">
                  <c:v>137.87</c:v>
                </c:pt>
                <c:pt idx="36">
                  <c:v>133.72999999999999</c:v>
                </c:pt>
                <c:pt idx="37">
                  <c:v>137.30000000000001</c:v>
                </c:pt>
                <c:pt idx="38">
                  <c:v>136.68</c:v>
                </c:pt>
                <c:pt idx="39">
                  <c:v>139.07</c:v>
                </c:pt>
                <c:pt idx="40">
                  <c:v>138.72999999999999</c:v>
                </c:pt>
                <c:pt idx="41">
                  <c:v>140.1</c:v>
                </c:pt>
                <c:pt idx="42">
                  <c:v>139.30000000000001</c:v>
                </c:pt>
                <c:pt idx="43">
                  <c:v>136.06</c:v>
                </c:pt>
                <c:pt idx="44">
                  <c:v>136.26</c:v>
                </c:pt>
                <c:pt idx="45">
                  <c:v>138.5</c:v>
                </c:pt>
                <c:pt idx="46">
                  <c:v>135.5</c:v>
                </c:pt>
                <c:pt idx="47">
                  <c:v>135.6</c:v>
                </c:pt>
                <c:pt idx="48">
                  <c:v>135.79</c:v>
                </c:pt>
                <c:pt idx="49">
                  <c:v>137.04</c:v>
                </c:pt>
                <c:pt idx="50">
                  <c:v>138.49</c:v>
                </c:pt>
                <c:pt idx="51">
                  <c:v>141.62</c:v>
                </c:pt>
                <c:pt idx="52">
                  <c:v>142.35</c:v>
                </c:pt>
                <c:pt idx="53">
                  <c:v>141.66999999999999</c:v>
                </c:pt>
                <c:pt idx="54">
                  <c:v>142.26</c:v>
                </c:pt>
                <c:pt idx="55">
                  <c:v>142.1</c:v>
                </c:pt>
                <c:pt idx="56">
                  <c:v>138.49</c:v>
                </c:pt>
                <c:pt idx="57">
                  <c:v>137.27000000000001</c:v>
                </c:pt>
                <c:pt idx="58">
                  <c:v>135.56</c:v>
                </c:pt>
                <c:pt idx="59">
                  <c:v>135.29</c:v>
                </c:pt>
                <c:pt idx="60">
                  <c:v>136.54</c:v>
                </c:pt>
                <c:pt idx="61">
                  <c:v>137.83000000000001</c:v>
                </c:pt>
                <c:pt idx="62">
                  <c:v>136.02000000000001</c:v>
                </c:pt>
                <c:pt idx="63">
                  <c:v>137.91</c:v>
                </c:pt>
                <c:pt idx="64">
                  <c:v>136.69999999999999</c:v>
                </c:pt>
                <c:pt idx="65">
                  <c:v>137.84</c:v>
                </c:pt>
                <c:pt idx="66">
                  <c:v>139.55000000000001</c:v>
                </c:pt>
                <c:pt idx="67">
                  <c:v>137.37</c:v>
                </c:pt>
                <c:pt idx="68">
                  <c:v>136.9</c:v>
                </c:pt>
                <c:pt idx="69">
                  <c:v>140.21</c:v>
                </c:pt>
                <c:pt idx="70">
                  <c:v>140.76</c:v>
                </c:pt>
                <c:pt idx="71">
                  <c:v>143.35</c:v>
                </c:pt>
                <c:pt idx="72">
                  <c:v>144.78</c:v>
                </c:pt>
                <c:pt idx="73">
                  <c:v>144.97</c:v>
                </c:pt>
                <c:pt idx="74">
                  <c:v>145.91</c:v>
                </c:pt>
                <c:pt idx="75">
                  <c:v>146.03</c:v>
                </c:pt>
                <c:pt idx="76">
                  <c:v>148.85</c:v>
                </c:pt>
                <c:pt idx="77">
                  <c:v>148.19</c:v>
                </c:pt>
                <c:pt idx="78">
                  <c:v>149.55000000000001</c:v>
                </c:pt>
                <c:pt idx="79">
                  <c:v>146.86000000000001</c:v>
                </c:pt>
                <c:pt idx="80">
                  <c:v>143.55000000000001</c:v>
                </c:pt>
                <c:pt idx="81">
                  <c:v>143.22999999999999</c:v>
                </c:pt>
                <c:pt idx="82">
                  <c:v>144.44</c:v>
                </c:pt>
                <c:pt idx="83">
                  <c:v>143.79</c:v>
                </c:pt>
                <c:pt idx="84">
                  <c:v>143.19</c:v>
                </c:pt>
                <c:pt idx="85">
                  <c:v>145.57</c:v>
                </c:pt>
                <c:pt idx="86">
                  <c:v>147.97999999999999</c:v>
                </c:pt>
                <c:pt idx="87">
                  <c:v>148.37</c:v>
                </c:pt>
                <c:pt idx="88">
                  <c:v>147.4</c:v>
                </c:pt>
                <c:pt idx="89">
                  <c:v>153.24</c:v>
                </c:pt>
                <c:pt idx="90">
                  <c:v>153.02000000000001</c:v>
                </c:pt>
                <c:pt idx="91">
                  <c:v>154.16999999999999</c:v>
                </c:pt>
                <c:pt idx="92">
                  <c:v>155.31</c:v>
                </c:pt>
                <c:pt idx="93">
                  <c:v>151.65</c:v>
                </c:pt>
                <c:pt idx="94">
                  <c:v>150.69</c:v>
                </c:pt>
                <c:pt idx="95">
                  <c:v>149.91999999999999</c:v>
                </c:pt>
                <c:pt idx="96">
                  <c:v>151.38</c:v>
                </c:pt>
                <c:pt idx="97">
                  <c:v>150.04</c:v>
                </c:pt>
                <c:pt idx="98">
                  <c:v>149.68</c:v>
                </c:pt>
                <c:pt idx="99">
                  <c:v>150.04</c:v>
                </c:pt>
                <c:pt idx="100">
                  <c:v>153.12</c:v>
                </c:pt>
                <c:pt idx="101">
                  <c:v>155.83000000000001</c:v>
                </c:pt>
                <c:pt idx="102">
                  <c:v>154.84</c:v>
                </c:pt>
                <c:pt idx="103">
                  <c:v>156.28</c:v>
                </c:pt>
                <c:pt idx="104">
                  <c:v>157.03</c:v>
                </c:pt>
                <c:pt idx="105">
                  <c:v>153.56</c:v>
                </c:pt>
                <c:pt idx="106">
                  <c:v>151.63999999999999</c:v>
                </c:pt>
                <c:pt idx="107">
                  <c:v>151.4</c:v>
                </c:pt>
                <c:pt idx="108">
                  <c:v>151.04</c:v>
                </c:pt>
                <c:pt idx="109">
                  <c:v>153.04</c:v>
                </c:pt>
                <c:pt idx="110">
                  <c:v>152.78</c:v>
                </c:pt>
                <c:pt idx="111">
                  <c:v>153.16</c:v>
                </c:pt>
                <c:pt idx="112">
                  <c:v>155.01</c:v>
                </c:pt>
                <c:pt idx="113">
                  <c:v>153.44999999999999</c:v>
                </c:pt>
                <c:pt idx="114">
                  <c:v>154.44</c:v>
                </c:pt>
                <c:pt idx="115">
                  <c:v>155.87</c:v>
                </c:pt>
                <c:pt idx="116">
                  <c:v>155.16</c:v>
                </c:pt>
                <c:pt idx="117">
                  <c:v>156.55000000000001</c:v>
                </c:pt>
                <c:pt idx="118">
                  <c:v>155.32</c:v>
                </c:pt>
                <c:pt idx="119">
                  <c:v>152</c:v>
                </c:pt>
                <c:pt idx="120">
                  <c:v>153.22</c:v>
                </c:pt>
                <c:pt idx="121">
                  <c:v>155.55000000000001</c:v>
                </c:pt>
                <c:pt idx="122">
                  <c:v>158.18</c:v>
                </c:pt>
                <c:pt idx="123">
                  <c:v>158.19999999999999</c:v>
                </c:pt>
                <c:pt idx="124">
                  <c:v>157.36000000000001</c:v>
                </c:pt>
                <c:pt idx="125">
                  <c:v>159.24</c:v>
                </c:pt>
                <c:pt idx="126">
                  <c:v>159.32</c:v>
                </c:pt>
                <c:pt idx="127">
                  <c:v>160.6</c:v>
                </c:pt>
                <c:pt idx="128">
                  <c:v>161.83000000000001</c:v>
                </c:pt>
                <c:pt idx="129">
                  <c:v>158.06</c:v>
                </c:pt>
                <c:pt idx="130">
                  <c:v>157.69</c:v>
                </c:pt>
                <c:pt idx="131">
                  <c:v>153.66</c:v>
                </c:pt>
                <c:pt idx="132">
                  <c:v>154</c:v>
                </c:pt>
                <c:pt idx="133">
                  <c:v>154.85</c:v>
                </c:pt>
                <c:pt idx="134">
                  <c:v>157.79</c:v>
                </c:pt>
                <c:pt idx="135">
                  <c:v>158.25</c:v>
                </c:pt>
                <c:pt idx="136">
                  <c:v>157.11000000000001</c:v>
                </c:pt>
                <c:pt idx="137">
                  <c:v>157.31</c:v>
                </c:pt>
                <c:pt idx="138">
                  <c:v>159.54</c:v>
                </c:pt>
                <c:pt idx="139">
                  <c:v>160.09</c:v>
                </c:pt>
                <c:pt idx="140">
                  <c:v>158.84</c:v>
                </c:pt>
                <c:pt idx="141">
                  <c:v>156.21</c:v>
                </c:pt>
                <c:pt idx="142">
                  <c:v>156.05000000000001</c:v>
                </c:pt>
                <c:pt idx="143">
                  <c:v>157.41999999999999</c:v>
                </c:pt>
                <c:pt idx="144">
                  <c:v>159.18</c:v>
                </c:pt>
                <c:pt idx="145">
                  <c:v>160.72</c:v>
                </c:pt>
                <c:pt idx="146">
                  <c:v>160.16</c:v>
                </c:pt>
                <c:pt idx="147">
                  <c:v>156.1</c:v>
                </c:pt>
                <c:pt idx="148">
                  <c:v>155.29</c:v>
                </c:pt>
                <c:pt idx="149">
                  <c:v>154.58000000000001</c:v>
                </c:pt>
                <c:pt idx="150">
                  <c:v>153.37</c:v>
                </c:pt>
                <c:pt idx="151">
                  <c:v>153.55000000000001</c:v>
                </c:pt>
                <c:pt idx="152">
                  <c:v>154.02000000000001</c:v>
                </c:pt>
                <c:pt idx="153">
                  <c:v>154.91</c:v>
                </c:pt>
                <c:pt idx="154">
                  <c:v>153.74</c:v>
                </c:pt>
                <c:pt idx="155">
                  <c:v>151.63999999999999</c:v>
                </c:pt>
                <c:pt idx="156">
                  <c:v>148.9</c:v>
                </c:pt>
                <c:pt idx="157">
                  <c:v>151.94</c:v>
                </c:pt>
                <c:pt idx="158">
                  <c:v>152.38999999999999</c:v>
                </c:pt>
                <c:pt idx="159">
                  <c:v>152.11000000000001</c:v>
                </c:pt>
                <c:pt idx="160">
                  <c:v>151.71</c:v>
                </c:pt>
                <c:pt idx="161">
                  <c:v>153.08000000000001</c:v>
                </c:pt>
                <c:pt idx="162">
                  <c:v>154.47999999999999</c:v>
                </c:pt>
                <c:pt idx="163">
                  <c:v>153.79</c:v>
                </c:pt>
                <c:pt idx="164">
                  <c:v>155.57</c:v>
                </c:pt>
                <c:pt idx="165">
                  <c:v>156.56</c:v>
                </c:pt>
                <c:pt idx="166">
                  <c:v>155.56</c:v>
                </c:pt>
                <c:pt idx="167">
                  <c:v>155.28</c:v>
                </c:pt>
                <c:pt idx="168">
                  <c:v>154.13</c:v>
                </c:pt>
                <c:pt idx="169">
                  <c:v>155.1</c:v>
                </c:pt>
                <c:pt idx="170">
                  <c:v>153.52000000000001</c:v>
                </c:pt>
                <c:pt idx="171">
                  <c:v>157.72</c:v>
                </c:pt>
                <c:pt idx="172">
                  <c:v>154.04</c:v>
                </c:pt>
                <c:pt idx="173">
                  <c:v>153.38999999999999</c:v>
                </c:pt>
                <c:pt idx="174">
                  <c:v>152.66</c:v>
                </c:pt>
                <c:pt idx="175">
                  <c:v>152.94</c:v>
                </c:pt>
                <c:pt idx="176">
                  <c:v>155.02000000000001</c:v>
                </c:pt>
                <c:pt idx="177">
                  <c:v>155.65</c:v>
                </c:pt>
                <c:pt idx="178">
                  <c:v>156.24</c:v>
                </c:pt>
                <c:pt idx="179">
                  <c:v>153.32</c:v>
                </c:pt>
                <c:pt idx="180">
                  <c:v>155.58000000000001</c:v>
                </c:pt>
                <c:pt idx="181">
                  <c:v>157.62</c:v>
                </c:pt>
                <c:pt idx="182">
                  <c:v>154.82</c:v>
                </c:pt>
                <c:pt idx="183">
                  <c:v>153.62</c:v>
                </c:pt>
                <c:pt idx="184">
                  <c:v>151.69999999999999</c:v>
                </c:pt>
                <c:pt idx="185">
                  <c:v>150.31</c:v>
                </c:pt>
                <c:pt idx="186">
                  <c:v>149.97999999999999</c:v>
                </c:pt>
                <c:pt idx="187">
                  <c:v>149.75</c:v>
                </c:pt>
                <c:pt idx="188">
                  <c:v>148.53</c:v>
                </c:pt>
                <c:pt idx="189">
                  <c:v>149.51</c:v>
                </c:pt>
                <c:pt idx="190">
                  <c:v>151.13</c:v>
                </c:pt>
                <c:pt idx="191">
                  <c:v>152.54</c:v>
                </c:pt>
                <c:pt idx="192">
                  <c:v>150.25</c:v>
                </c:pt>
                <c:pt idx="193">
                  <c:v>151.59</c:v>
                </c:pt>
                <c:pt idx="194">
                  <c:v>152.26</c:v>
                </c:pt>
                <c:pt idx="195">
                  <c:v>150</c:v>
                </c:pt>
                <c:pt idx="196">
                  <c:v>148.71</c:v>
                </c:pt>
                <c:pt idx="197">
                  <c:v>148.49</c:v>
                </c:pt>
                <c:pt idx="198">
                  <c:v>151.41</c:v>
                </c:pt>
                <c:pt idx="199">
                  <c:v>150.72</c:v>
                </c:pt>
                <c:pt idx="200">
                  <c:v>149.99</c:v>
                </c:pt>
                <c:pt idx="201">
                  <c:v>149.80000000000001</c:v>
                </c:pt>
                <c:pt idx="202">
                  <c:v>146.75</c:v>
                </c:pt>
                <c:pt idx="203">
                  <c:v>149.52000000000001</c:v>
                </c:pt>
                <c:pt idx="204">
                  <c:v>147.69</c:v>
                </c:pt>
                <c:pt idx="205">
                  <c:v>147.75</c:v>
                </c:pt>
                <c:pt idx="206">
                  <c:v>149.80000000000001</c:v>
                </c:pt>
                <c:pt idx="207">
                  <c:v>150.51</c:v>
                </c:pt>
                <c:pt idx="208">
                  <c:v>150.5</c:v>
                </c:pt>
                <c:pt idx="209">
                  <c:v>150.02000000000001</c:v>
                </c:pt>
                <c:pt idx="210">
                  <c:v>150.99</c:v>
                </c:pt>
                <c:pt idx="211">
                  <c:v>152.31</c:v>
                </c:pt>
                <c:pt idx="212">
                  <c:v>152.41</c:v>
                </c:pt>
                <c:pt idx="213">
                  <c:v>155.9</c:v>
                </c:pt>
                <c:pt idx="214">
                  <c:v>163.85</c:v>
                </c:pt>
                <c:pt idx="215">
                  <c:v>156.54</c:v>
                </c:pt>
                <c:pt idx="216">
                  <c:v>155.19999999999999</c:v>
                </c:pt>
                <c:pt idx="217">
                  <c:v>159.25</c:v>
                </c:pt>
                <c:pt idx="218">
                  <c:v>162.11000000000001</c:v>
                </c:pt>
                <c:pt idx="219">
                  <c:v>162.34</c:v>
                </c:pt>
                <c:pt idx="220">
                  <c:v>163.87</c:v>
                </c:pt>
                <c:pt idx="221">
                  <c:v>167.24</c:v>
                </c:pt>
                <c:pt idx="222">
                  <c:v>166.16</c:v>
                </c:pt>
                <c:pt idx="223">
                  <c:v>166.26</c:v>
                </c:pt>
                <c:pt idx="224">
                  <c:v>165.3</c:v>
                </c:pt>
                <c:pt idx="225">
                  <c:v>166.73</c:v>
                </c:pt>
                <c:pt idx="226">
                  <c:v>166.66</c:v>
                </c:pt>
                <c:pt idx="227">
                  <c:v>166.72</c:v>
                </c:pt>
                <c:pt idx="228">
                  <c:v>167.5</c:v>
                </c:pt>
                <c:pt idx="229">
                  <c:v>169.05</c:v>
                </c:pt>
                <c:pt idx="230">
                  <c:v>169.93</c:v>
                </c:pt>
                <c:pt idx="231">
                  <c:v>171.19</c:v>
                </c:pt>
                <c:pt idx="232">
                  <c:v>176.9</c:v>
                </c:pt>
                <c:pt idx="233">
                  <c:v>174.03</c:v>
                </c:pt>
                <c:pt idx="234">
                  <c:v>178.04</c:v>
                </c:pt>
                <c:pt idx="235">
                  <c:v>181.23</c:v>
                </c:pt>
                <c:pt idx="236">
                  <c:v>179.23</c:v>
                </c:pt>
                <c:pt idx="237">
                  <c:v>180.86</c:v>
                </c:pt>
                <c:pt idx="238">
                  <c:v>182.6</c:v>
                </c:pt>
                <c:pt idx="239">
                  <c:v>182.26</c:v>
                </c:pt>
                <c:pt idx="240">
                  <c:v>185.82</c:v>
                </c:pt>
                <c:pt idx="241">
                  <c:v>182.4</c:v>
                </c:pt>
                <c:pt idx="242">
                  <c:v>183.74</c:v>
                </c:pt>
                <c:pt idx="243">
                  <c:v>180.55</c:v>
                </c:pt>
                <c:pt idx="244">
                  <c:v>183.87</c:v>
                </c:pt>
                <c:pt idx="245">
                  <c:v>184.78</c:v>
                </c:pt>
                <c:pt idx="246">
                  <c:v>183.93</c:v>
                </c:pt>
                <c:pt idx="247">
                  <c:v>184.91</c:v>
                </c:pt>
                <c:pt idx="248">
                  <c:v>185.34</c:v>
                </c:pt>
                <c:pt idx="249">
                  <c:v>184.22</c:v>
                </c:pt>
                <c:pt idx="250">
                  <c:v>184.16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70-4A0D-ACB1-CD71747B606C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Data!$J$2:$J$252</c:f>
              <c:numCache>
                <c:formatCode>General</c:formatCode>
                <c:ptCount val="251"/>
                <c:pt idx="19">
                  <c:v>158.37299999999999</c:v>
                </c:pt>
                <c:pt idx="20">
                  <c:v>158.87200000000001</c:v>
                </c:pt>
                <c:pt idx="21">
                  <c:v>159.24549999999999</c:v>
                </c:pt>
                <c:pt idx="22">
                  <c:v>159.9555</c:v>
                </c:pt>
                <c:pt idx="23">
                  <c:v>160.78100000000001</c:v>
                </c:pt>
                <c:pt idx="24">
                  <c:v>161.56400000000002</c:v>
                </c:pt>
                <c:pt idx="25">
                  <c:v>161.72249999999997</c:v>
                </c:pt>
                <c:pt idx="26">
                  <c:v>161.06950000000001</c:v>
                </c:pt>
                <c:pt idx="27">
                  <c:v>160.1985</c:v>
                </c:pt>
                <c:pt idx="28">
                  <c:v>159.34099999999998</c:v>
                </c:pt>
                <c:pt idx="29">
                  <c:v>159.00899999999999</c:v>
                </c:pt>
                <c:pt idx="30">
                  <c:v>158.07750000000001</c:v>
                </c:pt>
                <c:pt idx="31">
                  <c:v>157.00800000000001</c:v>
                </c:pt>
                <c:pt idx="32">
                  <c:v>155.83800000000002</c:v>
                </c:pt>
                <c:pt idx="33">
                  <c:v>154.52450000000005</c:v>
                </c:pt>
                <c:pt idx="34">
                  <c:v>153.09</c:v>
                </c:pt>
                <c:pt idx="35">
                  <c:v>151.74500000000003</c:v>
                </c:pt>
                <c:pt idx="36">
                  <c:v>150.19400000000002</c:v>
                </c:pt>
                <c:pt idx="37">
                  <c:v>148.80800000000002</c:v>
                </c:pt>
                <c:pt idx="38">
                  <c:v>147.345</c:v>
                </c:pt>
                <c:pt idx="39">
                  <c:v>145.90000000000003</c:v>
                </c:pt>
                <c:pt idx="40">
                  <c:v>144.50399999999999</c:v>
                </c:pt>
                <c:pt idx="41">
                  <c:v>143.2045</c:v>
                </c:pt>
                <c:pt idx="42">
                  <c:v>141.80500000000001</c:v>
                </c:pt>
                <c:pt idx="43">
                  <c:v>140.1825</c:v>
                </c:pt>
                <c:pt idx="44">
                  <c:v>138.67200000000003</c:v>
                </c:pt>
                <c:pt idx="45">
                  <c:v>137.791</c:v>
                </c:pt>
                <c:pt idx="46">
                  <c:v>137.40199999999999</c:v>
                </c:pt>
                <c:pt idx="47">
                  <c:v>137.17450000000002</c:v>
                </c:pt>
                <c:pt idx="48">
                  <c:v>137.11750000000001</c:v>
                </c:pt>
                <c:pt idx="49">
                  <c:v>136.66799999999998</c:v>
                </c:pt>
                <c:pt idx="50">
                  <c:v>136.84350000000001</c:v>
                </c:pt>
                <c:pt idx="51">
                  <c:v>137.14299999999997</c:v>
                </c:pt>
                <c:pt idx="52">
                  <c:v>137.49449999999999</c:v>
                </c:pt>
                <c:pt idx="53">
                  <c:v>137.851</c:v>
                </c:pt>
                <c:pt idx="54">
                  <c:v>138.196</c:v>
                </c:pt>
                <c:pt idx="55">
                  <c:v>138.40749999999997</c:v>
                </c:pt>
                <c:pt idx="56">
                  <c:v>138.6455</c:v>
                </c:pt>
                <c:pt idx="57">
                  <c:v>138.64399999999998</c:v>
                </c:pt>
                <c:pt idx="58">
                  <c:v>138.58800000000002</c:v>
                </c:pt>
                <c:pt idx="59">
                  <c:v>138.39899999999997</c:v>
                </c:pt>
                <c:pt idx="60">
                  <c:v>138.2895</c:v>
                </c:pt>
                <c:pt idx="61">
                  <c:v>138.17599999999999</c:v>
                </c:pt>
                <c:pt idx="62">
                  <c:v>138.01199999999997</c:v>
                </c:pt>
                <c:pt idx="63">
                  <c:v>138.10449999999997</c:v>
                </c:pt>
                <c:pt idx="64">
                  <c:v>138.12649999999996</c:v>
                </c:pt>
                <c:pt idx="65">
                  <c:v>138.09349999999998</c:v>
                </c:pt>
                <c:pt idx="66">
                  <c:v>138.29599999999999</c:v>
                </c:pt>
                <c:pt idx="67">
                  <c:v>138.38449999999997</c:v>
                </c:pt>
                <c:pt idx="68">
                  <c:v>138.44</c:v>
                </c:pt>
                <c:pt idx="69">
                  <c:v>138.5985</c:v>
                </c:pt>
                <c:pt idx="70">
                  <c:v>138.71199999999999</c:v>
                </c:pt>
                <c:pt idx="71">
                  <c:v>138.79849999999999</c:v>
                </c:pt>
                <c:pt idx="72">
                  <c:v>138.91999999999999</c:v>
                </c:pt>
                <c:pt idx="73">
                  <c:v>139.08500000000001</c:v>
                </c:pt>
                <c:pt idx="74">
                  <c:v>139.26749999999998</c:v>
                </c:pt>
                <c:pt idx="75">
                  <c:v>139.464</c:v>
                </c:pt>
                <c:pt idx="76">
                  <c:v>139.982</c:v>
                </c:pt>
                <c:pt idx="77">
                  <c:v>140.52799999999996</c:v>
                </c:pt>
                <c:pt idx="78">
                  <c:v>141.22750000000002</c:v>
                </c:pt>
                <c:pt idx="79">
                  <c:v>141.80600000000004</c:v>
                </c:pt>
                <c:pt idx="80">
                  <c:v>142.15650000000002</c:v>
                </c:pt>
                <c:pt idx="81">
                  <c:v>142.42650000000003</c:v>
                </c:pt>
                <c:pt idx="82">
                  <c:v>142.84750000000003</c:v>
                </c:pt>
                <c:pt idx="83">
                  <c:v>143.14150000000001</c:v>
                </c:pt>
                <c:pt idx="84">
                  <c:v>143.46600000000001</c:v>
                </c:pt>
                <c:pt idx="85">
                  <c:v>143.85250000000002</c:v>
                </c:pt>
                <c:pt idx="86">
                  <c:v>144.274</c:v>
                </c:pt>
                <c:pt idx="87">
                  <c:v>144.82400000000001</c:v>
                </c:pt>
                <c:pt idx="88">
                  <c:v>145.34900000000002</c:v>
                </c:pt>
                <c:pt idx="89">
                  <c:v>146.00050000000002</c:v>
                </c:pt>
                <c:pt idx="90">
                  <c:v>146.61349999999999</c:v>
                </c:pt>
                <c:pt idx="91">
                  <c:v>147.15449999999998</c:v>
                </c:pt>
                <c:pt idx="92">
                  <c:v>147.68099999999998</c:v>
                </c:pt>
                <c:pt idx="93">
                  <c:v>148.01500000000004</c:v>
                </c:pt>
                <c:pt idx="94">
                  <c:v>148.25399999999999</c:v>
                </c:pt>
                <c:pt idx="95">
                  <c:v>148.44850000000002</c:v>
                </c:pt>
                <c:pt idx="96">
                  <c:v>148.57500000000005</c:v>
                </c:pt>
                <c:pt idx="97">
                  <c:v>148.66750000000002</c:v>
                </c:pt>
                <c:pt idx="98">
                  <c:v>148.67400000000004</c:v>
                </c:pt>
                <c:pt idx="99">
                  <c:v>148.833</c:v>
                </c:pt>
                <c:pt idx="100">
                  <c:v>149.31149999999997</c:v>
                </c:pt>
                <c:pt idx="101">
                  <c:v>149.94149999999999</c:v>
                </c:pt>
                <c:pt idx="102">
                  <c:v>150.4615</c:v>
                </c:pt>
                <c:pt idx="103">
                  <c:v>151.08600000000001</c:v>
                </c:pt>
                <c:pt idx="104">
                  <c:v>151.77800000000002</c:v>
                </c:pt>
                <c:pt idx="105">
                  <c:v>152.17750000000004</c:v>
                </c:pt>
                <c:pt idx="106">
                  <c:v>152.36050000000003</c:v>
                </c:pt>
                <c:pt idx="107">
                  <c:v>152.512</c:v>
                </c:pt>
                <c:pt idx="108">
                  <c:v>152.69400000000002</c:v>
                </c:pt>
                <c:pt idx="109">
                  <c:v>152.684</c:v>
                </c:pt>
                <c:pt idx="110">
                  <c:v>152.672</c:v>
                </c:pt>
                <c:pt idx="111">
                  <c:v>152.6215</c:v>
                </c:pt>
                <c:pt idx="112">
                  <c:v>152.60650000000001</c:v>
                </c:pt>
                <c:pt idx="113">
                  <c:v>152.69649999999996</c:v>
                </c:pt>
                <c:pt idx="114">
                  <c:v>152.88399999999999</c:v>
                </c:pt>
                <c:pt idx="115">
                  <c:v>153.18149999999997</c:v>
                </c:pt>
                <c:pt idx="116">
                  <c:v>153.37049999999996</c:v>
                </c:pt>
                <c:pt idx="117">
                  <c:v>153.69599999999997</c:v>
                </c:pt>
                <c:pt idx="118">
                  <c:v>153.97800000000001</c:v>
                </c:pt>
                <c:pt idx="119">
                  <c:v>154.07600000000002</c:v>
                </c:pt>
                <c:pt idx="120">
                  <c:v>154.08099999999999</c:v>
                </c:pt>
                <c:pt idx="121">
                  <c:v>154.06700000000001</c:v>
                </c:pt>
                <c:pt idx="122">
                  <c:v>154.23400000000001</c:v>
                </c:pt>
                <c:pt idx="123">
                  <c:v>154.32999999999998</c:v>
                </c:pt>
                <c:pt idx="124">
                  <c:v>154.34649999999999</c:v>
                </c:pt>
                <c:pt idx="125">
                  <c:v>154.63049999999998</c:v>
                </c:pt>
                <c:pt idx="126">
                  <c:v>155.01450000000003</c:v>
                </c:pt>
                <c:pt idx="127">
                  <c:v>155.47449999999998</c:v>
                </c:pt>
                <c:pt idx="128">
                  <c:v>156.01399999999998</c:v>
                </c:pt>
                <c:pt idx="129">
                  <c:v>156.26499999999999</c:v>
                </c:pt>
                <c:pt idx="130">
                  <c:v>156.51050000000001</c:v>
                </c:pt>
                <c:pt idx="131">
                  <c:v>156.53550000000001</c:v>
                </c:pt>
                <c:pt idx="132">
                  <c:v>156.48499999999999</c:v>
                </c:pt>
                <c:pt idx="133">
                  <c:v>156.55499999999998</c:v>
                </c:pt>
                <c:pt idx="134">
                  <c:v>156.7225</c:v>
                </c:pt>
                <c:pt idx="135">
                  <c:v>156.84149999999997</c:v>
                </c:pt>
                <c:pt idx="136">
                  <c:v>156.93899999999999</c:v>
                </c:pt>
                <c:pt idx="137">
                  <c:v>156.97699999999998</c:v>
                </c:pt>
                <c:pt idx="138">
                  <c:v>157.18799999999999</c:v>
                </c:pt>
                <c:pt idx="139">
                  <c:v>157.5925</c:v>
                </c:pt>
                <c:pt idx="140">
                  <c:v>157.87350000000001</c:v>
                </c:pt>
                <c:pt idx="141">
                  <c:v>157.90650000000002</c:v>
                </c:pt>
                <c:pt idx="142">
                  <c:v>157.80000000000004</c:v>
                </c:pt>
                <c:pt idx="143">
                  <c:v>157.76100000000002</c:v>
                </c:pt>
                <c:pt idx="144">
                  <c:v>157.85200000000003</c:v>
                </c:pt>
                <c:pt idx="145">
                  <c:v>157.92599999999999</c:v>
                </c:pt>
                <c:pt idx="146">
                  <c:v>157.96800000000002</c:v>
                </c:pt>
                <c:pt idx="147">
                  <c:v>157.74299999999999</c:v>
                </c:pt>
                <c:pt idx="148">
                  <c:v>157.41599999999997</c:v>
                </c:pt>
                <c:pt idx="149">
                  <c:v>157.24199999999993</c:v>
                </c:pt>
                <c:pt idx="150">
                  <c:v>157.02599999999995</c:v>
                </c:pt>
                <c:pt idx="151">
                  <c:v>157.02049999999997</c:v>
                </c:pt>
                <c:pt idx="152">
                  <c:v>157.02149999999997</c:v>
                </c:pt>
                <c:pt idx="153">
                  <c:v>157.02449999999999</c:v>
                </c:pt>
                <c:pt idx="154">
                  <c:v>156.82200000000003</c:v>
                </c:pt>
                <c:pt idx="155">
                  <c:v>156.49150000000003</c:v>
                </c:pt>
                <c:pt idx="156">
                  <c:v>156.08099999999999</c:v>
                </c:pt>
                <c:pt idx="157">
                  <c:v>155.81249999999997</c:v>
                </c:pt>
                <c:pt idx="158">
                  <c:v>155.45499999999998</c:v>
                </c:pt>
                <c:pt idx="159">
                  <c:v>155.05600000000001</c:v>
                </c:pt>
                <c:pt idx="160">
                  <c:v>154.6995</c:v>
                </c:pt>
                <c:pt idx="161">
                  <c:v>154.54300000000001</c:v>
                </c:pt>
                <c:pt idx="162">
                  <c:v>154.46450000000002</c:v>
                </c:pt>
                <c:pt idx="163">
                  <c:v>154.28300000000002</c:v>
                </c:pt>
                <c:pt idx="164">
                  <c:v>154.10250000000002</c:v>
                </c:pt>
                <c:pt idx="165">
                  <c:v>153.89450000000002</c:v>
                </c:pt>
                <c:pt idx="166">
                  <c:v>153.66450000000003</c:v>
                </c:pt>
                <c:pt idx="167">
                  <c:v>153.62350000000001</c:v>
                </c:pt>
                <c:pt idx="168">
                  <c:v>153.56550000000001</c:v>
                </c:pt>
                <c:pt idx="169">
                  <c:v>153.59150000000002</c:v>
                </c:pt>
                <c:pt idx="170">
                  <c:v>153.59900000000002</c:v>
                </c:pt>
                <c:pt idx="171">
                  <c:v>153.8075</c:v>
                </c:pt>
                <c:pt idx="172">
                  <c:v>153.80849999999998</c:v>
                </c:pt>
                <c:pt idx="173">
                  <c:v>153.73249999999999</c:v>
                </c:pt>
                <c:pt idx="174">
                  <c:v>153.67849999999996</c:v>
                </c:pt>
                <c:pt idx="175">
                  <c:v>153.74349999999998</c:v>
                </c:pt>
                <c:pt idx="176">
                  <c:v>154.04949999999997</c:v>
                </c:pt>
                <c:pt idx="177">
                  <c:v>154.23499999999996</c:v>
                </c:pt>
                <c:pt idx="178">
                  <c:v>154.42750000000001</c:v>
                </c:pt>
                <c:pt idx="179">
                  <c:v>154.488</c:v>
                </c:pt>
                <c:pt idx="180">
                  <c:v>154.68149999999997</c:v>
                </c:pt>
                <c:pt idx="181">
                  <c:v>154.90849999999998</c:v>
                </c:pt>
                <c:pt idx="182">
                  <c:v>154.9255</c:v>
                </c:pt>
                <c:pt idx="183">
                  <c:v>154.917</c:v>
                </c:pt>
                <c:pt idx="184">
                  <c:v>154.7235</c:v>
                </c:pt>
                <c:pt idx="185">
                  <c:v>154.411</c:v>
                </c:pt>
                <c:pt idx="186">
                  <c:v>154.13200000000001</c:v>
                </c:pt>
                <c:pt idx="187">
                  <c:v>153.85549999999998</c:v>
                </c:pt>
                <c:pt idx="188">
                  <c:v>153.57549999999998</c:v>
                </c:pt>
                <c:pt idx="189">
                  <c:v>153.29599999999999</c:v>
                </c:pt>
                <c:pt idx="190">
                  <c:v>153.17649999999998</c:v>
                </c:pt>
                <c:pt idx="191">
                  <c:v>152.91750000000002</c:v>
                </c:pt>
                <c:pt idx="192">
                  <c:v>152.72800000000001</c:v>
                </c:pt>
                <c:pt idx="193">
                  <c:v>152.63800000000001</c:v>
                </c:pt>
                <c:pt idx="194">
                  <c:v>152.61800000000002</c:v>
                </c:pt>
                <c:pt idx="195">
                  <c:v>152.471</c:v>
                </c:pt>
                <c:pt idx="196">
                  <c:v>152.15549999999999</c:v>
                </c:pt>
                <c:pt idx="197">
                  <c:v>151.79749999999999</c:v>
                </c:pt>
                <c:pt idx="198">
                  <c:v>151.55599999999998</c:v>
                </c:pt>
                <c:pt idx="199">
                  <c:v>151.42599999999999</c:v>
                </c:pt>
                <c:pt idx="200">
                  <c:v>151.14649999999997</c:v>
                </c:pt>
                <c:pt idx="201">
                  <c:v>150.75549999999998</c:v>
                </c:pt>
                <c:pt idx="202">
                  <c:v>150.352</c:v>
                </c:pt>
                <c:pt idx="203">
                  <c:v>150.14699999999999</c:v>
                </c:pt>
                <c:pt idx="204">
                  <c:v>149.94650000000001</c:v>
                </c:pt>
                <c:pt idx="205">
                  <c:v>149.8185</c:v>
                </c:pt>
                <c:pt idx="206">
                  <c:v>149.80950000000001</c:v>
                </c:pt>
                <c:pt idx="207">
                  <c:v>149.84750000000003</c:v>
                </c:pt>
                <c:pt idx="208">
                  <c:v>149.946</c:v>
                </c:pt>
                <c:pt idx="209">
                  <c:v>149.97150000000005</c:v>
                </c:pt>
                <c:pt idx="210">
                  <c:v>149.96450000000004</c:v>
                </c:pt>
                <c:pt idx="211">
                  <c:v>149.95300000000003</c:v>
                </c:pt>
                <c:pt idx="212">
                  <c:v>150.06099999999998</c:v>
                </c:pt>
                <c:pt idx="213">
                  <c:v>150.2765</c:v>
                </c:pt>
                <c:pt idx="214">
                  <c:v>150.85600000000002</c:v>
                </c:pt>
                <c:pt idx="215">
                  <c:v>151.18300000000002</c:v>
                </c:pt>
                <c:pt idx="216">
                  <c:v>151.50749999999999</c:v>
                </c:pt>
                <c:pt idx="217">
                  <c:v>152.0455</c:v>
                </c:pt>
                <c:pt idx="218">
                  <c:v>152.58049999999997</c:v>
                </c:pt>
                <c:pt idx="219">
                  <c:v>153.16149999999999</c:v>
                </c:pt>
                <c:pt idx="220">
                  <c:v>153.85550000000001</c:v>
                </c:pt>
                <c:pt idx="221">
                  <c:v>154.72750000000002</c:v>
                </c:pt>
                <c:pt idx="222">
                  <c:v>155.69800000000001</c:v>
                </c:pt>
                <c:pt idx="223">
                  <c:v>156.53500000000003</c:v>
                </c:pt>
                <c:pt idx="224">
                  <c:v>157.41550000000001</c:v>
                </c:pt>
                <c:pt idx="225">
                  <c:v>158.36450000000002</c:v>
                </c:pt>
                <c:pt idx="226">
                  <c:v>159.20750000000001</c:v>
                </c:pt>
                <c:pt idx="227">
                  <c:v>160.01799999999997</c:v>
                </c:pt>
                <c:pt idx="228">
                  <c:v>160.86799999999999</c:v>
                </c:pt>
                <c:pt idx="229">
                  <c:v>161.81950000000001</c:v>
                </c:pt>
                <c:pt idx="230">
                  <c:v>162.76650000000001</c:v>
                </c:pt>
                <c:pt idx="231">
                  <c:v>163.71049999999997</c:v>
                </c:pt>
                <c:pt idx="232">
                  <c:v>164.935</c:v>
                </c:pt>
                <c:pt idx="233">
                  <c:v>165.8415</c:v>
                </c:pt>
                <c:pt idx="234">
                  <c:v>166.55100000000002</c:v>
                </c:pt>
                <c:pt idx="235">
                  <c:v>167.78550000000001</c:v>
                </c:pt>
                <c:pt idx="236">
                  <c:v>168.98700000000002</c:v>
                </c:pt>
                <c:pt idx="237">
                  <c:v>170.06750000000002</c:v>
                </c:pt>
                <c:pt idx="238">
                  <c:v>171.09200000000004</c:v>
                </c:pt>
                <c:pt idx="239">
                  <c:v>172.08800000000002</c:v>
                </c:pt>
                <c:pt idx="240">
                  <c:v>173.18550000000002</c:v>
                </c:pt>
                <c:pt idx="241">
                  <c:v>173.94350000000003</c:v>
                </c:pt>
                <c:pt idx="242">
                  <c:v>174.82249999999999</c:v>
                </c:pt>
                <c:pt idx="243">
                  <c:v>175.53700000000003</c:v>
                </c:pt>
                <c:pt idx="244">
                  <c:v>176.46550000000002</c:v>
                </c:pt>
                <c:pt idx="245">
                  <c:v>177.36799999999999</c:v>
                </c:pt>
                <c:pt idx="246">
                  <c:v>178.23150000000001</c:v>
                </c:pt>
                <c:pt idx="247">
                  <c:v>179.14099999999999</c:v>
                </c:pt>
                <c:pt idx="248">
                  <c:v>180.03299999999999</c:v>
                </c:pt>
                <c:pt idx="249">
                  <c:v>180.79149999999998</c:v>
                </c:pt>
                <c:pt idx="250">
                  <c:v>181.50299999999999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70-4A0D-ACB1-CD71747B606C}"/>
            </c:ext>
          </c:extLst>
        </c:ser>
        <c:ser>
          <c:idx val="2"/>
          <c:order val="2"/>
          <c:tx>
            <c:strRef>
              <c:f>Data!$L$1</c:f>
              <c:strCache>
                <c:ptCount val="1"/>
                <c:pt idx="0">
                  <c:v>Upper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Data!$L$2:$L$252</c:f>
              <c:numCache>
                <c:formatCode>General</c:formatCode>
                <c:ptCount val="251"/>
                <c:pt idx="19">
                  <c:v>169.15078436365627</c:v>
                </c:pt>
                <c:pt idx="20">
                  <c:v>170.22649384720941</c:v>
                </c:pt>
                <c:pt idx="21">
                  <c:v>171.04770759902681</c:v>
                </c:pt>
                <c:pt idx="22">
                  <c:v>171.90609386324422</c:v>
                </c:pt>
                <c:pt idx="23">
                  <c:v>172.69860996879916</c:v>
                </c:pt>
                <c:pt idx="24">
                  <c:v>172.75912939207331</c:v>
                </c:pt>
                <c:pt idx="25">
                  <c:v>172.48555156298008</c:v>
                </c:pt>
                <c:pt idx="26">
                  <c:v>174.46927922049071</c:v>
                </c:pt>
                <c:pt idx="27">
                  <c:v>176.50534748002636</c:v>
                </c:pt>
                <c:pt idx="28">
                  <c:v>178.54828469261486</c:v>
                </c:pt>
                <c:pt idx="29">
                  <c:v>178.91850569055154</c:v>
                </c:pt>
                <c:pt idx="30">
                  <c:v>180.6197866957566</c:v>
                </c:pt>
                <c:pt idx="31">
                  <c:v>181.68967920586144</c:v>
                </c:pt>
                <c:pt idx="32">
                  <c:v>182.33006641917342</c:v>
                </c:pt>
                <c:pt idx="33">
                  <c:v>182.53979242170581</c:v>
                </c:pt>
                <c:pt idx="34">
                  <c:v>181.97618682820016</c:v>
                </c:pt>
                <c:pt idx="35">
                  <c:v>180.84555705742818</c:v>
                </c:pt>
                <c:pt idx="36">
                  <c:v>179.68012405147459</c:v>
                </c:pt>
                <c:pt idx="37">
                  <c:v>177.96393185108761</c:v>
                </c:pt>
                <c:pt idx="38">
                  <c:v>175.80956818757775</c:v>
                </c:pt>
                <c:pt idx="39">
                  <c:v>172.8499528365958</c:v>
                </c:pt>
                <c:pt idx="40">
                  <c:v>169.76805759801439</c:v>
                </c:pt>
                <c:pt idx="41">
                  <c:v>166.38098851746096</c:v>
                </c:pt>
                <c:pt idx="42">
                  <c:v>162.05305383760441</c:v>
                </c:pt>
                <c:pt idx="43">
                  <c:v>156.17342094382244</c:v>
                </c:pt>
                <c:pt idx="44">
                  <c:v>148.86323999479845</c:v>
                </c:pt>
                <c:pt idx="45">
                  <c:v>143.83322301370683</c:v>
                </c:pt>
                <c:pt idx="46">
                  <c:v>142.93673852375301</c:v>
                </c:pt>
                <c:pt idx="47">
                  <c:v>142.60674088683777</c:v>
                </c:pt>
                <c:pt idx="48">
                  <c:v>142.58435659704293</c:v>
                </c:pt>
                <c:pt idx="49">
                  <c:v>140.17718554053425</c:v>
                </c:pt>
                <c:pt idx="50">
                  <c:v>140.34831338192282</c:v>
                </c:pt>
                <c:pt idx="51">
                  <c:v>141.1925878932631</c:v>
                </c:pt>
                <c:pt idx="52">
                  <c:v>142.06475842871748</c:v>
                </c:pt>
                <c:pt idx="53">
                  <c:v>142.56108727151241</c:v>
                </c:pt>
                <c:pt idx="54">
                  <c:v>143.14270714505594</c:v>
                </c:pt>
                <c:pt idx="55">
                  <c:v>143.64847971958034</c:v>
                </c:pt>
                <c:pt idx="56">
                  <c:v>143.40204219830019</c:v>
                </c:pt>
                <c:pt idx="57">
                  <c:v>143.40234734689304</c:v>
                </c:pt>
                <c:pt idx="58">
                  <c:v>143.4684641711948</c:v>
                </c:pt>
                <c:pt idx="59">
                  <c:v>143.48913452412447</c:v>
                </c:pt>
                <c:pt idx="60">
                  <c:v>143.44347639028149</c:v>
                </c:pt>
                <c:pt idx="61">
                  <c:v>143.26162639106272</c:v>
                </c:pt>
                <c:pt idx="62">
                  <c:v>143.15621739738697</c:v>
                </c:pt>
                <c:pt idx="63">
                  <c:v>143.16680850190116</c:v>
                </c:pt>
                <c:pt idx="64">
                  <c:v>143.15879266574231</c:v>
                </c:pt>
                <c:pt idx="65">
                  <c:v>143.12413572418768</c:v>
                </c:pt>
                <c:pt idx="66">
                  <c:v>143.21181079675301</c:v>
                </c:pt>
                <c:pt idx="67">
                  <c:v>143.15760656866041</c:v>
                </c:pt>
                <c:pt idx="68">
                  <c:v>143.1108006751914</c:v>
                </c:pt>
                <c:pt idx="69">
                  <c:v>143.28438597475665</c:v>
                </c:pt>
                <c:pt idx="70">
                  <c:v>143.49576464832106</c:v>
                </c:pt>
                <c:pt idx="71">
                  <c:v>143.85826606490645</c:v>
                </c:pt>
                <c:pt idx="72">
                  <c:v>144.43506644517876</c:v>
                </c:pt>
                <c:pt idx="73">
                  <c:v>145.1194851086332</c:v>
                </c:pt>
                <c:pt idx="74">
                  <c:v>145.89765717841789</c:v>
                </c:pt>
                <c:pt idx="75">
                  <c:v>146.65670507638046</c:v>
                </c:pt>
                <c:pt idx="76">
                  <c:v>148.28574829757463</c:v>
                </c:pt>
                <c:pt idx="77">
                  <c:v>149.49081346805551</c:v>
                </c:pt>
                <c:pt idx="78">
                  <c:v>150.72549507929523</c:v>
                </c:pt>
                <c:pt idx="79">
                  <c:v>151.1900231524819</c:v>
                </c:pt>
                <c:pt idx="80">
                  <c:v>151.23090883966961</c:v>
                </c:pt>
                <c:pt idx="81">
                  <c:v>151.27747740662758</c:v>
                </c:pt>
                <c:pt idx="82">
                  <c:v>151.20251960689376</c:v>
                </c:pt>
                <c:pt idx="83">
                  <c:v>151.17250380433626</c:v>
                </c:pt>
                <c:pt idx="84">
                  <c:v>150.90366063957435</c:v>
                </c:pt>
                <c:pt idx="85">
                  <c:v>150.84951552919455</c:v>
                </c:pt>
                <c:pt idx="86">
                  <c:v>151.19495338732128</c:v>
                </c:pt>
                <c:pt idx="87">
                  <c:v>151.15828565324</c:v>
                </c:pt>
                <c:pt idx="88">
                  <c:v>150.55867884655194</c:v>
                </c:pt>
                <c:pt idx="89">
                  <c:v>151.73659247154416</c:v>
                </c:pt>
                <c:pt idx="90">
                  <c:v>152.60618422416252</c:v>
                </c:pt>
                <c:pt idx="91">
                  <c:v>153.82225263961988</c:v>
                </c:pt>
                <c:pt idx="92">
                  <c:v>155.17148210099077</c:v>
                </c:pt>
                <c:pt idx="93">
                  <c:v>155.59172474719369</c:v>
                </c:pt>
                <c:pt idx="94">
                  <c:v>155.85267412257247</c:v>
                </c:pt>
                <c:pt idx="95">
                  <c:v>156.00651498584887</c:v>
                </c:pt>
                <c:pt idx="96">
                  <c:v>156.24516777418924</c:v>
                </c:pt>
                <c:pt idx="97">
                  <c:v>156.36269843456742</c:v>
                </c:pt>
                <c:pt idx="98">
                  <c:v>156.3725559821649</c:v>
                </c:pt>
                <c:pt idx="99">
                  <c:v>156.50511793993095</c:v>
                </c:pt>
                <c:pt idx="100">
                  <c:v>156.78750589957806</c:v>
                </c:pt>
                <c:pt idx="101">
                  <c:v>157.38318706112997</c:v>
                </c:pt>
                <c:pt idx="102">
                  <c:v>157.73610839966119</c:v>
                </c:pt>
                <c:pt idx="103">
                  <c:v>158.0884909853566</c:v>
                </c:pt>
                <c:pt idx="104">
                  <c:v>158.20692673370669</c:v>
                </c:pt>
                <c:pt idx="105">
                  <c:v>157.94066753183529</c:v>
                </c:pt>
                <c:pt idx="106">
                  <c:v>157.78494942634254</c:v>
                </c:pt>
                <c:pt idx="107">
                  <c:v>157.62764205982108</c:v>
                </c:pt>
                <c:pt idx="108">
                  <c:v>157.27492796850504</c:v>
                </c:pt>
                <c:pt idx="109">
                  <c:v>157.26078075783221</c:v>
                </c:pt>
                <c:pt idx="110">
                  <c:v>157.24632928646952</c:v>
                </c:pt>
                <c:pt idx="111">
                  <c:v>157.14824985066841</c:v>
                </c:pt>
                <c:pt idx="112">
                  <c:v>157.09758719694091</c:v>
                </c:pt>
                <c:pt idx="113">
                  <c:v>157.17901468427451</c:v>
                </c:pt>
                <c:pt idx="114">
                  <c:v>157.32666586634645</c:v>
                </c:pt>
                <c:pt idx="115">
                  <c:v>157.58515529986167</c:v>
                </c:pt>
                <c:pt idx="116">
                  <c:v>157.77307089963529</c:v>
                </c:pt>
                <c:pt idx="117">
                  <c:v>158.02376787002746</c:v>
                </c:pt>
                <c:pt idx="118">
                  <c:v>157.92192590941406</c:v>
                </c:pt>
                <c:pt idx="119">
                  <c:v>157.69165834436248</c:v>
                </c:pt>
                <c:pt idx="120">
                  <c:v>157.69136461199957</c:v>
                </c:pt>
                <c:pt idx="121">
                  <c:v>157.65088263435652</c:v>
                </c:pt>
                <c:pt idx="122">
                  <c:v>158.25425084318198</c:v>
                </c:pt>
                <c:pt idx="123">
                  <c:v>158.63740366297256</c:v>
                </c:pt>
                <c:pt idx="124">
                  <c:v>158.69973606188847</c:v>
                </c:pt>
                <c:pt idx="125">
                  <c:v>159.48046570796339</c:v>
                </c:pt>
                <c:pt idx="126">
                  <c:v>160.07891652481729</c:v>
                </c:pt>
                <c:pt idx="127">
                  <c:v>160.82004797545534</c:v>
                </c:pt>
                <c:pt idx="128">
                  <c:v>161.64543582700577</c:v>
                </c:pt>
                <c:pt idx="129">
                  <c:v>161.78469678801099</c:v>
                </c:pt>
                <c:pt idx="130">
                  <c:v>161.80992390116234</c:v>
                </c:pt>
                <c:pt idx="131">
                  <c:v>161.77272495823485</c:v>
                </c:pt>
                <c:pt idx="132">
                  <c:v>161.80301506302175</c:v>
                </c:pt>
                <c:pt idx="133">
                  <c:v>161.74000063442111</c:v>
                </c:pt>
                <c:pt idx="134">
                  <c:v>161.8357639694282</c:v>
                </c:pt>
                <c:pt idx="135">
                  <c:v>161.98193321950691</c:v>
                </c:pt>
                <c:pt idx="136">
                  <c:v>162.01875921518044</c:v>
                </c:pt>
                <c:pt idx="137">
                  <c:v>162.05587720704196</c:v>
                </c:pt>
                <c:pt idx="138">
                  <c:v>162.32730406920911</c:v>
                </c:pt>
                <c:pt idx="139">
                  <c:v>162.26476925593977</c:v>
                </c:pt>
                <c:pt idx="140">
                  <c:v>162.09253593377994</c:v>
                </c:pt>
                <c:pt idx="141">
                  <c:v>162.05881210164577</c:v>
                </c:pt>
                <c:pt idx="142">
                  <c:v>162.0312869760493</c:v>
                </c:pt>
                <c:pt idx="143">
                  <c:v>161.99114196601388</c:v>
                </c:pt>
                <c:pt idx="144">
                  <c:v>162.12391858783064</c:v>
                </c:pt>
                <c:pt idx="145">
                  <c:v>162.34779958602232</c:v>
                </c:pt>
                <c:pt idx="146">
                  <c:v>162.46093527311726</c:v>
                </c:pt>
                <c:pt idx="147">
                  <c:v>162.13042749227836</c:v>
                </c:pt>
                <c:pt idx="148">
                  <c:v>161.48411167884791</c:v>
                </c:pt>
                <c:pt idx="149">
                  <c:v>161.48793725317441</c:v>
                </c:pt>
                <c:pt idx="150">
                  <c:v>161.60263355937983</c:v>
                </c:pt>
                <c:pt idx="151">
                  <c:v>161.61439743945272</c:v>
                </c:pt>
                <c:pt idx="152">
                  <c:v>161.61263688477447</c:v>
                </c:pt>
                <c:pt idx="153">
                  <c:v>161.60973706555814</c:v>
                </c:pt>
                <c:pt idx="154">
                  <c:v>161.61778147959228</c:v>
                </c:pt>
                <c:pt idx="155">
                  <c:v>161.76061667419845</c:v>
                </c:pt>
                <c:pt idx="156">
                  <c:v>162.3345073106386</c:v>
                </c:pt>
                <c:pt idx="157">
                  <c:v>162.30055826114406</c:v>
                </c:pt>
                <c:pt idx="158">
                  <c:v>161.86574591275419</c:v>
                </c:pt>
                <c:pt idx="159">
                  <c:v>161.24147840978327</c:v>
                </c:pt>
                <c:pt idx="160">
                  <c:v>160.78781313600945</c:v>
                </c:pt>
                <c:pt idx="161">
                  <c:v>160.62874209460978</c:v>
                </c:pt>
                <c:pt idx="162">
                  <c:v>160.50875599443935</c:v>
                </c:pt>
                <c:pt idx="163">
                  <c:v>160.16952377089086</c:v>
                </c:pt>
                <c:pt idx="164">
                  <c:v>159.56273278855977</c:v>
                </c:pt>
                <c:pt idx="165">
                  <c:v>158.55112843923078</c:v>
                </c:pt>
                <c:pt idx="166">
                  <c:v>157.37676402758837</c:v>
                </c:pt>
                <c:pt idx="167">
                  <c:v>157.23936722508913</c:v>
                </c:pt>
                <c:pt idx="168">
                  <c:v>157.10522627547149</c:v>
                </c:pt>
                <c:pt idx="169">
                  <c:v>157.17002821848962</c:v>
                </c:pt>
                <c:pt idx="170">
                  <c:v>157.17620208219248</c:v>
                </c:pt>
                <c:pt idx="171">
                  <c:v>157.83094641478317</c:v>
                </c:pt>
                <c:pt idx="172">
                  <c:v>157.83217873050467</c:v>
                </c:pt>
                <c:pt idx="173">
                  <c:v>157.72588334327116</c:v>
                </c:pt>
                <c:pt idx="174">
                  <c:v>157.70056166039254</c:v>
                </c:pt>
                <c:pt idx="175">
                  <c:v>157.66767755379189</c:v>
                </c:pt>
                <c:pt idx="176">
                  <c:v>157.2758159697776</c:v>
                </c:pt>
                <c:pt idx="177">
                  <c:v>157.37612618088008</c:v>
                </c:pt>
                <c:pt idx="178">
                  <c:v>157.56443027958025</c:v>
                </c:pt>
                <c:pt idx="179">
                  <c:v>157.48006388898858</c:v>
                </c:pt>
                <c:pt idx="180">
                  <c:v>157.40567848553513</c:v>
                </c:pt>
                <c:pt idx="181">
                  <c:v>157.82090016770394</c:v>
                </c:pt>
                <c:pt idx="182">
                  <c:v>157.83133061773177</c:v>
                </c:pt>
                <c:pt idx="183">
                  <c:v>157.83777206808136</c:v>
                </c:pt>
                <c:pt idx="184">
                  <c:v>157.95803909512543</c:v>
                </c:pt>
                <c:pt idx="185">
                  <c:v>158.07731264638639</c:v>
                </c:pt>
                <c:pt idx="186">
                  <c:v>158.25141539030659</c:v>
                </c:pt>
                <c:pt idx="187">
                  <c:v>158.37354557186774</c:v>
                </c:pt>
                <c:pt idx="188">
                  <c:v>158.67819474730857</c:v>
                </c:pt>
                <c:pt idx="189">
                  <c:v>158.65313749172662</c:v>
                </c:pt>
                <c:pt idx="190">
                  <c:v>158.61855176090975</c:v>
                </c:pt>
                <c:pt idx="191">
                  <c:v>157.92477418231141</c:v>
                </c:pt>
                <c:pt idx="192">
                  <c:v>157.84213150521492</c:v>
                </c:pt>
                <c:pt idx="193">
                  <c:v>157.76641249675203</c:v>
                </c:pt>
                <c:pt idx="194">
                  <c:v>157.74917038049648</c:v>
                </c:pt>
                <c:pt idx="195">
                  <c:v>157.73018504793481</c:v>
                </c:pt>
                <c:pt idx="196">
                  <c:v>157.52671558328328</c:v>
                </c:pt>
                <c:pt idx="197">
                  <c:v>157.14241150042434</c:v>
                </c:pt>
                <c:pt idx="198">
                  <c:v>156.47526995011506</c:v>
                </c:pt>
                <c:pt idx="199">
                  <c:v>156.28605154835125</c:v>
                </c:pt>
                <c:pt idx="200">
                  <c:v>155.62896771790997</c:v>
                </c:pt>
                <c:pt idx="201">
                  <c:v>154.07335266637764</c:v>
                </c:pt>
                <c:pt idx="202">
                  <c:v>153.54924618349835</c:v>
                </c:pt>
                <c:pt idx="203">
                  <c:v>152.96529437034081</c:v>
                </c:pt>
                <c:pt idx="204">
                  <c:v>152.86826064439884</c:v>
                </c:pt>
                <c:pt idx="205">
                  <c:v>152.89349439451777</c:v>
                </c:pt>
                <c:pt idx="206">
                  <c:v>152.88355766476749</c:v>
                </c:pt>
                <c:pt idx="207">
                  <c:v>152.93721042758312</c:v>
                </c:pt>
                <c:pt idx="208">
                  <c:v>152.98403537625362</c:v>
                </c:pt>
                <c:pt idx="209">
                  <c:v>153.00268024607755</c:v>
                </c:pt>
                <c:pt idx="210">
                  <c:v>152.98504352027825</c:v>
                </c:pt>
                <c:pt idx="211">
                  <c:v>152.93374593278085</c:v>
                </c:pt>
                <c:pt idx="212">
                  <c:v>153.23717379877107</c:v>
                </c:pt>
                <c:pt idx="213">
                  <c:v>154.34811302576497</c:v>
                </c:pt>
                <c:pt idx="214">
                  <c:v>158.14456176701407</c:v>
                </c:pt>
                <c:pt idx="215">
                  <c:v>158.88496721282092</c:v>
                </c:pt>
                <c:pt idx="216">
                  <c:v>159.31688672705042</c:v>
                </c:pt>
                <c:pt idx="217">
                  <c:v>160.44021130502634</c:v>
                </c:pt>
                <c:pt idx="218">
                  <c:v>162.0939685135283</c:v>
                </c:pt>
                <c:pt idx="219">
                  <c:v>163.57342691605464</c:v>
                </c:pt>
                <c:pt idx="220">
                  <c:v>165.18705719312456</c:v>
                </c:pt>
                <c:pt idx="221">
                  <c:v>167.35503861918261</c:v>
                </c:pt>
                <c:pt idx="222">
                  <c:v>168.72133226013585</c:v>
                </c:pt>
                <c:pt idx="223">
                  <c:v>170.02972333524247</c:v>
                </c:pt>
                <c:pt idx="224">
                  <c:v>170.77763420551958</c:v>
                </c:pt>
                <c:pt idx="225">
                  <c:v>171.53082462802459</c:v>
                </c:pt>
                <c:pt idx="226">
                  <c:v>172.2230710390933</c:v>
                </c:pt>
                <c:pt idx="227">
                  <c:v>172.76928162805191</c:v>
                </c:pt>
                <c:pt idx="228">
                  <c:v>173.20762483435504</c:v>
                </c:pt>
                <c:pt idx="229">
                  <c:v>173.55719541623102</c:v>
                </c:pt>
                <c:pt idx="230">
                  <c:v>173.86405833742865</c:v>
                </c:pt>
                <c:pt idx="231">
                  <c:v>174.26147196819721</c:v>
                </c:pt>
                <c:pt idx="232">
                  <c:v>175.64709744069515</c:v>
                </c:pt>
                <c:pt idx="233">
                  <c:v>176.40171186988414</c:v>
                </c:pt>
                <c:pt idx="234">
                  <c:v>178.37853593593314</c:v>
                </c:pt>
                <c:pt idx="235">
                  <c:v>180.34486216114246</c:v>
                </c:pt>
                <c:pt idx="236">
                  <c:v>181.06536883375446</c:v>
                </c:pt>
                <c:pt idx="237">
                  <c:v>182.34304329379745</c:v>
                </c:pt>
                <c:pt idx="238">
                  <c:v>183.97628107995823</c:v>
                </c:pt>
                <c:pt idx="239">
                  <c:v>185.20134169944168</c:v>
                </c:pt>
                <c:pt idx="240">
                  <c:v>187.0552011313757</c:v>
                </c:pt>
                <c:pt idx="241">
                  <c:v>188.09915838138681</c:v>
                </c:pt>
                <c:pt idx="242">
                  <c:v>189.12563454787923</c:v>
                </c:pt>
                <c:pt idx="243">
                  <c:v>189.46184353120069</c:v>
                </c:pt>
                <c:pt idx="244">
                  <c:v>189.98687874471</c:v>
                </c:pt>
                <c:pt idx="245">
                  <c:v>190.55884467188869</c:v>
                </c:pt>
                <c:pt idx="246">
                  <c:v>190.71288196633185</c:v>
                </c:pt>
                <c:pt idx="247">
                  <c:v>190.70794182391762</c:v>
                </c:pt>
                <c:pt idx="248">
                  <c:v>190.52132553993147</c:v>
                </c:pt>
                <c:pt idx="249">
                  <c:v>190.05855375311688</c:v>
                </c:pt>
                <c:pt idx="250">
                  <c:v>189.33238889865075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70-4A0D-ACB1-CD71747B606C}"/>
            </c:ext>
          </c:extLst>
        </c:ser>
        <c:ser>
          <c:idx val="3"/>
          <c:order val="3"/>
          <c:tx>
            <c:strRef>
              <c:f>Data!$M$1</c:f>
              <c:strCache>
                <c:ptCount val="1"/>
                <c:pt idx="0">
                  <c:v>Lower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Data!$M$2:$M$252</c:f>
              <c:numCache>
                <c:formatCode>General</c:formatCode>
                <c:ptCount val="251"/>
                <c:pt idx="19">
                  <c:v>147.59521563634371</c:v>
                </c:pt>
                <c:pt idx="20">
                  <c:v>147.51750615279062</c:v>
                </c:pt>
                <c:pt idx="21">
                  <c:v>147.44329240097318</c:v>
                </c:pt>
                <c:pt idx="22">
                  <c:v>148.00490613675578</c:v>
                </c:pt>
                <c:pt idx="23">
                  <c:v>148.86339003120085</c:v>
                </c:pt>
                <c:pt idx="24">
                  <c:v>150.36887060792674</c:v>
                </c:pt>
                <c:pt idx="25">
                  <c:v>150.95944843701986</c:v>
                </c:pt>
                <c:pt idx="26">
                  <c:v>147.6697207795093</c:v>
                </c:pt>
                <c:pt idx="27">
                  <c:v>143.89165251997363</c:v>
                </c:pt>
                <c:pt idx="28">
                  <c:v>140.1337153073851</c:v>
                </c:pt>
                <c:pt idx="29">
                  <c:v>139.09949430944843</c:v>
                </c:pt>
                <c:pt idx="30">
                  <c:v>135.53521330424343</c:v>
                </c:pt>
                <c:pt idx="31">
                  <c:v>132.32632079413858</c:v>
                </c:pt>
                <c:pt idx="32">
                  <c:v>129.34593358082662</c:v>
                </c:pt>
                <c:pt idx="33">
                  <c:v>126.50920757829428</c:v>
                </c:pt>
                <c:pt idx="34">
                  <c:v>124.20381317179985</c:v>
                </c:pt>
                <c:pt idx="35">
                  <c:v>122.64444294257189</c:v>
                </c:pt>
                <c:pt idx="36">
                  <c:v>120.70787594852544</c:v>
                </c:pt>
                <c:pt idx="37">
                  <c:v>119.65206814891243</c:v>
                </c:pt>
                <c:pt idx="38">
                  <c:v>118.88043181242224</c:v>
                </c:pt>
                <c:pt idx="39">
                  <c:v>118.95004716340425</c:v>
                </c:pt>
                <c:pt idx="40">
                  <c:v>119.23994240198559</c:v>
                </c:pt>
                <c:pt idx="41">
                  <c:v>120.02801148253903</c:v>
                </c:pt>
                <c:pt idx="42">
                  <c:v>121.5569461623956</c:v>
                </c:pt>
                <c:pt idx="43">
                  <c:v>124.19157905617757</c:v>
                </c:pt>
                <c:pt idx="44">
                  <c:v>128.4807600052016</c:v>
                </c:pt>
                <c:pt idx="45">
                  <c:v>131.74877698629317</c:v>
                </c:pt>
                <c:pt idx="46">
                  <c:v>131.86726147624697</c:v>
                </c:pt>
                <c:pt idx="47">
                  <c:v>131.74225911316228</c:v>
                </c:pt>
                <c:pt idx="48">
                  <c:v>131.65064340295709</c:v>
                </c:pt>
                <c:pt idx="49">
                  <c:v>133.1588144594657</c:v>
                </c:pt>
                <c:pt idx="50">
                  <c:v>133.33868661807719</c:v>
                </c:pt>
                <c:pt idx="51">
                  <c:v>133.09341210673685</c:v>
                </c:pt>
                <c:pt idx="52">
                  <c:v>132.92424157128249</c:v>
                </c:pt>
                <c:pt idx="53">
                  <c:v>133.14091272848759</c:v>
                </c:pt>
                <c:pt idx="54">
                  <c:v>133.24929285494406</c:v>
                </c:pt>
                <c:pt idx="55">
                  <c:v>133.1665202804196</c:v>
                </c:pt>
                <c:pt idx="56">
                  <c:v>133.8889578016998</c:v>
                </c:pt>
                <c:pt idx="57">
                  <c:v>133.88565265310692</c:v>
                </c:pt>
                <c:pt idx="58">
                  <c:v>133.70753582880525</c:v>
                </c:pt>
                <c:pt idx="59">
                  <c:v>133.30886547587548</c:v>
                </c:pt>
                <c:pt idx="60">
                  <c:v>133.13552360971852</c:v>
                </c:pt>
                <c:pt idx="61">
                  <c:v>133.09037360893726</c:v>
                </c:pt>
                <c:pt idx="62">
                  <c:v>132.86778260261298</c:v>
                </c:pt>
                <c:pt idx="63">
                  <c:v>133.04219149809879</c:v>
                </c:pt>
                <c:pt idx="64">
                  <c:v>133.09420733425762</c:v>
                </c:pt>
                <c:pt idx="65">
                  <c:v>133.06286427581227</c:v>
                </c:pt>
                <c:pt idx="66">
                  <c:v>133.38018920324697</c:v>
                </c:pt>
                <c:pt idx="67">
                  <c:v>133.61139343133954</c:v>
                </c:pt>
                <c:pt idx="68">
                  <c:v>133.7691993248086</c:v>
                </c:pt>
                <c:pt idx="69">
                  <c:v>133.91261402524336</c:v>
                </c:pt>
                <c:pt idx="70">
                  <c:v>133.92823535167892</c:v>
                </c:pt>
                <c:pt idx="71">
                  <c:v>133.73873393509353</c:v>
                </c:pt>
                <c:pt idx="72">
                  <c:v>133.40493355482121</c:v>
                </c:pt>
                <c:pt idx="73">
                  <c:v>133.05051489136682</c:v>
                </c:pt>
                <c:pt idx="74">
                  <c:v>132.63734282158208</c:v>
                </c:pt>
                <c:pt idx="75">
                  <c:v>132.27129492361954</c:v>
                </c:pt>
                <c:pt idx="76">
                  <c:v>131.67825170242537</c:v>
                </c:pt>
                <c:pt idx="77">
                  <c:v>131.56518653194442</c:v>
                </c:pt>
                <c:pt idx="78">
                  <c:v>131.72950492070481</c:v>
                </c:pt>
                <c:pt idx="79">
                  <c:v>132.42197684751818</c:v>
                </c:pt>
                <c:pt idx="80">
                  <c:v>133.08209116033044</c:v>
                </c:pt>
                <c:pt idx="81">
                  <c:v>133.57552259337248</c:v>
                </c:pt>
                <c:pt idx="82">
                  <c:v>134.49248039310629</c:v>
                </c:pt>
                <c:pt idx="83">
                  <c:v>135.11049619566376</c:v>
                </c:pt>
                <c:pt idx="84">
                  <c:v>136.02833936042566</c:v>
                </c:pt>
                <c:pt idx="85">
                  <c:v>136.85548447080549</c:v>
                </c:pt>
                <c:pt idx="86">
                  <c:v>137.35304661267872</c:v>
                </c:pt>
                <c:pt idx="87">
                  <c:v>138.48971434676002</c:v>
                </c:pt>
                <c:pt idx="88">
                  <c:v>140.13932115344809</c:v>
                </c:pt>
                <c:pt idx="89">
                  <c:v>140.26440752845588</c:v>
                </c:pt>
                <c:pt idx="90">
                  <c:v>140.62081577583746</c:v>
                </c:pt>
                <c:pt idx="91">
                  <c:v>140.48674736038009</c:v>
                </c:pt>
                <c:pt idx="92">
                  <c:v>140.19051789900919</c:v>
                </c:pt>
                <c:pt idx="93">
                  <c:v>140.43827525280639</c:v>
                </c:pt>
                <c:pt idx="94">
                  <c:v>140.65532587742752</c:v>
                </c:pt>
                <c:pt idx="95">
                  <c:v>140.89048501415118</c:v>
                </c:pt>
                <c:pt idx="96">
                  <c:v>140.90483222581085</c:v>
                </c:pt>
                <c:pt idx="97">
                  <c:v>140.97230156543262</c:v>
                </c:pt>
                <c:pt idx="98">
                  <c:v>140.97544401783517</c:v>
                </c:pt>
                <c:pt idx="99">
                  <c:v>141.16088206006904</c:v>
                </c:pt>
                <c:pt idx="100">
                  <c:v>141.83549410042187</c:v>
                </c:pt>
                <c:pt idx="101">
                  <c:v>142.49981293887001</c:v>
                </c:pt>
                <c:pt idx="102">
                  <c:v>143.18689160033881</c:v>
                </c:pt>
                <c:pt idx="103">
                  <c:v>144.08350901464343</c:v>
                </c:pt>
                <c:pt idx="104">
                  <c:v>145.34907326629335</c:v>
                </c:pt>
                <c:pt idx="105">
                  <c:v>146.41433246816479</c:v>
                </c:pt>
                <c:pt idx="106">
                  <c:v>146.93605057365752</c:v>
                </c:pt>
                <c:pt idx="107">
                  <c:v>147.39635794017892</c:v>
                </c:pt>
                <c:pt idx="108">
                  <c:v>148.11307203149499</c:v>
                </c:pt>
                <c:pt idx="109">
                  <c:v>148.10721924216779</c:v>
                </c:pt>
                <c:pt idx="110">
                  <c:v>148.09767071353048</c:v>
                </c:pt>
                <c:pt idx="111">
                  <c:v>148.09475014933159</c:v>
                </c:pt>
                <c:pt idx="112">
                  <c:v>148.11541280305912</c:v>
                </c:pt>
                <c:pt idx="113">
                  <c:v>148.21398531572541</c:v>
                </c:pt>
                <c:pt idx="114">
                  <c:v>148.44133413365353</c:v>
                </c:pt>
                <c:pt idx="115">
                  <c:v>148.77784470013827</c:v>
                </c:pt>
                <c:pt idx="116">
                  <c:v>148.96792910036464</c:v>
                </c:pt>
                <c:pt idx="117">
                  <c:v>149.36823212997248</c:v>
                </c:pt>
                <c:pt idx="118">
                  <c:v>150.03407409058596</c:v>
                </c:pt>
                <c:pt idx="119">
                  <c:v>150.46034165563756</c:v>
                </c:pt>
                <c:pt idx="120">
                  <c:v>150.4706353880004</c:v>
                </c:pt>
                <c:pt idx="121">
                  <c:v>150.48311736564349</c:v>
                </c:pt>
                <c:pt idx="122">
                  <c:v>150.21374915681804</c:v>
                </c:pt>
                <c:pt idx="123">
                  <c:v>150.02259633702741</c:v>
                </c:pt>
                <c:pt idx="124">
                  <c:v>149.99326393811151</c:v>
                </c:pt>
                <c:pt idx="125">
                  <c:v>149.78053429203658</c:v>
                </c:pt>
                <c:pt idx="126">
                  <c:v>149.95008347518277</c:v>
                </c:pt>
                <c:pt idx="127">
                  <c:v>150.12895202454462</c:v>
                </c:pt>
                <c:pt idx="128">
                  <c:v>150.38256417299419</c:v>
                </c:pt>
                <c:pt idx="129">
                  <c:v>150.74530321198898</c:v>
                </c:pt>
                <c:pt idx="130">
                  <c:v>151.21107609883768</c:v>
                </c:pt>
                <c:pt idx="131">
                  <c:v>151.29827504176518</c:v>
                </c:pt>
                <c:pt idx="132">
                  <c:v>151.16698493697822</c:v>
                </c:pt>
                <c:pt idx="133">
                  <c:v>151.36999936557885</c:v>
                </c:pt>
                <c:pt idx="134">
                  <c:v>151.60923603057179</c:v>
                </c:pt>
                <c:pt idx="135">
                  <c:v>151.70106678049302</c:v>
                </c:pt>
                <c:pt idx="136">
                  <c:v>151.85924078481955</c:v>
                </c:pt>
                <c:pt idx="137">
                  <c:v>151.89812279295799</c:v>
                </c:pt>
                <c:pt idx="138">
                  <c:v>152.04869593079087</c:v>
                </c:pt>
                <c:pt idx="139">
                  <c:v>152.92023074406023</c:v>
                </c:pt>
                <c:pt idx="140">
                  <c:v>153.65446406622007</c:v>
                </c:pt>
                <c:pt idx="141">
                  <c:v>153.75418789835427</c:v>
                </c:pt>
                <c:pt idx="142">
                  <c:v>153.56871302395078</c:v>
                </c:pt>
                <c:pt idx="143">
                  <c:v>153.53085803398616</c:v>
                </c:pt>
                <c:pt idx="144">
                  <c:v>153.58008141216942</c:v>
                </c:pt>
                <c:pt idx="145">
                  <c:v>153.50420041397766</c:v>
                </c:pt>
                <c:pt idx="146">
                  <c:v>153.47506472688278</c:v>
                </c:pt>
                <c:pt idx="147">
                  <c:v>153.35557250772163</c:v>
                </c:pt>
                <c:pt idx="148">
                  <c:v>153.34788832115203</c:v>
                </c:pt>
                <c:pt idx="149">
                  <c:v>152.99606274682546</c:v>
                </c:pt>
                <c:pt idx="150">
                  <c:v>152.44936644062008</c:v>
                </c:pt>
                <c:pt idx="151">
                  <c:v>152.42660256054722</c:v>
                </c:pt>
                <c:pt idx="152">
                  <c:v>152.43036311522548</c:v>
                </c:pt>
                <c:pt idx="153">
                  <c:v>152.43926293444184</c:v>
                </c:pt>
                <c:pt idx="154">
                  <c:v>152.02621852040778</c:v>
                </c:pt>
                <c:pt idx="155">
                  <c:v>151.22238332580162</c:v>
                </c:pt>
                <c:pt idx="156">
                  <c:v>149.82749268936138</c:v>
                </c:pt>
                <c:pt idx="157">
                  <c:v>149.32444173885588</c:v>
                </c:pt>
                <c:pt idx="158">
                  <c:v>149.04425408724578</c:v>
                </c:pt>
                <c:pt idx="159">
                  <c:v>148.87052159021675</c:v>
                </c:pt>
                <c:pt idx="160">
                  <c:v>148.61118686399055</c:v>
                </c:pt>
                <c:pt idx="161">
                  <c:v>148.45725790539024</c:v>
                </c:pt>
                <c:pt idx="162">
                  <c:v>148.42024400556068</c:v>
                </c:pt>
                <c:pt idx="163">
                  <c:v>148.39647622910917</c:v>
                </c:pt>
                <c:pt idx="164">
                  <c:v>148.64226721144027</c:v>
                </c:pt>
                <c:pt idx="165">
                  <c:v>149.23787156076926</c:v>
                </c:pt>
                <c:pt idx="166">
                  <c:v>149.9522359724117</c:v>
                </c:pt>
                <c:pt idx="167">
                  <c:v>150.00763277491089</c:v>
                </c:pt>
                <c:pt idx="168">
                  <c:v>150.02577372452853</c:v>
                </c:pt>
                <c:pt idx="169">
                  <c:v>150.01297178151043</c:v>
                </c:pt>
                <c:pt idx="170">
                  <c:v>150.02179791780756</c:v>
                </c:pt>
                <c:pt idx="171">
                  <c:v>149.78405358521684</c:v>
                </c:pt>
                <c:pt idx="172">
                  <c:v>149.7848212694953</c:v>
                </c:pt>
                <c:pt idx="173">
                  <c:v>149.73911665672881</c:v>
                </c:pt>
                <c:pt idx="174">
                  <c:v>149.65643833960738</c:v>
                </c:pt>
                <c:pt idx="175">
                  <c:v>149.81932244620808</c:v>
                </c:pt>
                <c:pt idx="176">
                  <c:v>150.82318403022234</c:v>
                </c:pt>
                <c:pt idx="177">
                  <c:v>151.09387381911984</c:v>
                </c:pt>
                <c:pt idx="178">
                  <c:v>151.29056972041977</c:v>
                </c:pt>
                <c:pt idx="179">
                  <c:v>151.49593611101142</c:v>
                </c:pt>
                <c:pt idx="180">
                  <c:v>151.95732151446481</c:v>
                </c:pt>
                <c:pt idx="181">
                  <c:v>151.99609983229601</c:v>
                </c:pt>
                <c:pt idx="182">
                  <c:v>152.01966938226823</c:v>
                </c:pt>
                <c:pt idx="183">
                  <c:v>151.99622793191864</c:v>
                </c:pt>
                <c:pt idx="184">
                  <c:v>151.48896090487457</c:v>
                </c:pt>
                <c:pt idx="185">
                  <c:v>150.74468735361361</c:v>
                </c:pt>
                <c:pt idx="186">
                  <c:v>150.01258460969342</c:v>
                </c:pt>
                <c:pt idx="187">
                  <c:v>149.33745442813222</c:v>
                </c:pt>
                <c:pt idx="188">
                  <c:v>148.47280525269139</c:v>
                </c:pt>
                <c:pt idx="189">
                  <c:v>147.93886250827336</c:v>
                </c:pt>
                <c:pt idx="190">
                  <c:v>147.7344482390902</c:v>
                </c:pt>
                <c:pt idx="191">
                  <c:v>147.91022581768863</c:v>
                </c:pt>
                <c:pt idx="192">
                  <c:v>147.61386849478509</c:v>
                </c:pt>
                <c:pt idx="193">
                  <c:v>147.50958750324799</c:v>
                </c:pt>
                <c:pt idx="194">
                  <c:v>147.48682961950357</c:v>
                </c:pt>
                <c:pt idx="195">
                  <c:v>147.2118149520652</c:v>
                </c:pt>
                <c:pt idx="196">
                  <c:v>146.7842844167167</c:v>
                </c:pt>
                <c:pt idx="197">
                  <c:v>146.45258849957563</c:v>
                </c:pt>
                <c:pt idx="198">
                  <c:v>146.6367300498849</c:v>
                </c:pt>
                <c:pt idx="199">
                  <c:v>146.56594845164872</c:v>
                </c:pt>
                <c:pt idx="200">
                  <c:v>146.66403228208998</c:v>
                </c:pt>
                <c:pt idx="201">
                  <c:v>147.43764733362232</c:v>
                </c:pt>
                <c:pt idx="202">
                  <c:v>147.15475381650165</c:v>
                </c:pt>
                <c:pt idx="203">
                  <c:v>147.32870562965917</c:v>
                </c:pt>
                <c:pt idx="204">
                  <c:v>147.02473935560118</c:v>
                </c:pt>
                <c:pt idx="205">
                  <c:v>146.74350560548223</c:v>
                </c:pt>
                <c:pt idx="206">
                  <c:v>146.73544233523253</c:v>
                </c:pt>
                <c:pt idx="207">
                  <c:v>146.75778957241693</c:v>
                </c:pt>
                <c:pt idx="208">
                  <c:v>146.90796462374638</c:v>
                </c:pt>
                <c:pt idx="209">
                  <c:v>146.94031975392255</c:v>
                </c:pt>
                <c:pt idx="210">
                  <c:v>146.94395647972183</c:v>
                </c:pt>
                <c:pt idx="211">
                  <c:v>146.97225406721921</c:v>
                </c:pt>
                <c:pt idx="212">
                  <c:v>146.88482620122889</c:v>
                </c:pt>
                <c:pt idx="213">
                  <c:v>146.20488697423502</c:v>
                </c:pt>
                <c:pt idx="214">
                  <c:v>143.56743823298598</c:v>
                </c:pt>
                <c:pt idx="215">
                  <c:v>143.48103278717912</c:v>
                </c:pt>
                <c:pt idx="216">
                  <c:v>143.69811327294957</c:v>
                </c:pt>
                <c:pt idx="217">
                  <c:v>143.65078869497367</c:v>
                </c:pt>
                <c:pt idx="218">
                  <c:v>143.06703148647165</c:v>
                </c:pt>
                <c:pt idx="219">
                  <c:v>142.74957308394534</c:v>
                </c:pt>
                <c:pt idx="220">
                  <c:v>142.52394280687545</c:v>
                </c:pt>
                <c:pt idx="221">
                  <c:v>142.09996138081743</c:v>
                </c:pt>
                <c:pt idx="222">
                  <c:v>142.67466773986416</c:v>
                </c:pt>
                <c:pt idx="223">
                  <c:v>143.04027666475758</c:v>
                </c:pt>
                <c:pt idx="224">
                  <c:v>144.05336579448044</c:v>
                </c:pt>
                <c:pt idx="225">
                  <c:v>145.19817537197545</c:v>
                </c:pt>
                <c:pt idx="226">
                  <c:v>146.19192896090672</c:v>
                </c:pt>
                <c:pt idx="227">
                  <c:v>147.26671837194803</c:v>
                </c:pt>
                <c:pt idx="228">
                  <c:v>148.52837516564495</c:v>
                </c:pt>
                <c:pt idx="229">
                  <c:v>150.08180458376899</c:v>
                </c:pt>
                <c:pt idx="230">
                  <c:v>151.66894166257137</c:v>
                </c:pt>
                <c:pt idx="231">
                  <c:v>153.15952803180272</c:v>
                </c:pt>
                <c:pt idx="232">
                  <c:v>154.22290255930486</c:v>
                </c:pt>
                <c:pt idx="233">
                  <c:v>155.28128813011585</c:v>
                </c:pt>
                <c:pt idx="234">
                  <c:v>154.72346406406689</c:v>
                </c:pt>
                <c:pt idx="235">
                  <c:v>155.22613783885757</c:v>
                </c:pt>
                <c:pt idx="236">
                  <c:v>156.90863116624558</c:v>
                </c:pt>
                <c:pt idx="237">
                  <c:v>157.7919567062026</c:v>
                </c:pt>
                <c:pt idx="238">
                  <c:v>158.20771892004186</c:v>
                </c:pt>
                <c:pt idx="239">
                  <c:v>158.97465830055836</c:v>
                </c:pt>
                <c:pt idx="240">
                  <c:v>159.31579886862434</c:v>
                </c:pt>
                <c:pt idx="241">
                  <c:v>159.78784161861324</c:v>
                </c:pt>
                <c:pt idx="242">
                  <c:v>160.51936545212075</c:v>
                </c:pt>
                <c:pt idx="243">
                  <c:v>161.61215646879938</c:v>
                </c:pt>
                <c:pt idx="244">
                  <c:v>162.94412125529004</c:v>
                </c:pt>
                <c:pt idx="245">
                  <c:v>164.1771553281113</c:v>
                </c:pt>
                <c:pt idx="246">
                  <c:v>165.75011803366817</c:v>
                </c:pt>
                <c:pt idx="247">
                  <c:v>167.57405817608236</c:v>
                </c:pt>
                <c:pt idx="248">
                  <c:v>169.54467446006851</c:v>
                </c:pt>
                <c:pt idx="249">
                  <c:v>171.52444624688309</c:v>
                </c:pt>
                <c:pt idx="250">
                  <c:v>173.67361110134922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70-4A0D-ACB1-CD71747B6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9518560"/>
        <c:axId val="1479519040"/>
      </c:lineChart>
      <c:dateAx>
        <c:axId val="1479518560"/>
        <c:scaling>
          <c:orientation val="minMax"/>
          <c:min val="45957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19040"/>
        <c:crosses val="autoZero"/>
        <c:auto val="1"/>
        <c:lblOffset val="100"/>
        <c:baseTimeUnit val="days"/>
      </c:dateAx>
      <c:valAx>
        <c:axId val="1479519040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1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Data!$AA$1</c:f>
              <c:strCache>
                <c:ptCount val="1"/>
                <c:pt idx="0">
                  <c:v>Histogram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Data!$AA$2:$AA$252</c:f>
              <c:numCache>
                <c:formatCode>General</c:formatCode>
                <c:ptCount val="251"/>
                <c:pt idx="35">
                  <c:v>-1.8447954048555149</c:v>
                </c:pt>
                <c:pt idx="36">
                  <c:v>-1.3410506489441083</c:v>
                </c:pt>
                <c:pt idx="37">
                  <c:v>-0.95309692902294785</c:v>
                </c:pt>
                <c:pt idx="38">
                  <c:v>-0.46379249349264384</c:v>
                </c:pt>
                <c:pt idx="39">
                  <c:v>-0.10977868526986967</c:v>
                </c:pt>
                <c:pt idx="40">
                  <c:v>0.25025800292233136</c:v>
                </c:pt>
                <c:pt idx="41">
                  <c:v>0.45614127837430551</c:v>
                </c:pt>
                <c:pt idx="42">
                  <c:v>0.39785670170702048</c:v>
                </c:pt>
                <c:pt idx="43">
                  <c:v>0.3956781745641651</c:v>
                </c:pt>
                <c:pt idx="44">
                  <c:v>0.55806623789183973</c:v>
                </c:pt>
                <c:pt idx="45">
                  <c:v>0.47941229708269795</c:v>
                </c:pt>
                <c:pt idx="46">
                  <c:v>0.45054314762144987</c:v>
                </c:pt>
                <c:pt idx="47">
                  <c:v>0.45910822017880637</c:v>
                </c:pt>
                <c:pt idx="48">
                  <c:v>0.55728766576438682</c:v>
                </c:pt>
                <c:pt idx="49">
                  <c:v>0.71798229691923643</c:v>
                </c:pt>
                <c:pt idx="50">
                  <c:v>1.0150136054942021</c:v>
                </c:pt>
                <c:pt idx="51">
                  <c:v>1.2264514156937811</c:v>
                </c:pt>
                <c:pt idx="52">
                  <c:v>1.2803787230933446</c:v>
                </c:pt>
                <c:pt idx="53">
                  <c:v>1.3108847312033465</c:v>
                </c:pt>
                <c:pt idx="54">
                  <c:v>1.2742605279803469</c:v>
                </c:pt>
                <c:pt idx="55">
                  <c:v>0.97440507240310237</c:v>
                </c:pt>
                <c:pt idx="56">
                  <c:v>0.67558363621831274</c:v>
                </c:pt>
                <c:pt idx="57">
                  <c:v>0.36026456978618704</c:v>
                </c:pt>
                <c:pt idx="58">
                  <c:v>0.14221097489849388</c:v>
                </c:pt>
                <c:pt idx="59">
                  <c:v>9.3230944414771422E-2</c:v>
                </c:pt>
                <c:pt idx="60">
                  <c:v>0.15513077710551304</c:v>
                </c:pt>
                <c:pt idx="61">
                  <c:v>8.5094736164342821E-2</c:v>
                </c:pt>
                <c:pt idx="62">
                  <c:v>0.17196665865722549</c:v>
                </c:pt>
                <c:pt idx="63">
                  <c:v>0.15440477845695555</c:v>
                </c:pt>
                <c:pt idx="64">
                  <c:v>0.22192602697582986</c:v>
                </c:pt>
                <c:pt idx="65">
                  <c:v>0.37510641089040209</c:v>
                </c:pt>
                <c:pt idx="66">
                  <c:v>0.32484065689707697</c:v>
                </c:pt>
                <c:pt idx="67">
                  <c:v>0.25808164651685672</c:v>
                </c:pt>
                <c:pt idx="68">
                  <c:v>0.42512714915279748</c:v>
                </c:pt>
                <c:pt idx="69">
                  <c:v>0.55285428681930637</c:v>
                </c:pt>
                <c:pt idx="70">
                  <c:v>0.77816973486815921</c:v>
                </c:pt>
                <c:pt idx="71">
                  <c:v>0.97703814090030072</c:v>
                </c:pt>
                <c:pt idx="72">
                  <c:v>1.0675442722105311</c:v>
                </c:pt>
                <c:pt idx="73">
                  <c:v>1.1308166466184431</c:v>
                </c:pt>
                <c:pt idx="74">
                  <c:v>1.1187947431776717</c:v>
                </c:pt>
                <c:pt idx="75">
                  <c:v>1.229967785896575</c:v>
                </c:pt>
                <c:pt idx="76">
                  <c:v>1.1876403441151511</c:v>
                </c:pt>
                <c:pt idx="77">
                  <c:v>1.177525455220938</c:v>
                </c:pt>
                <c:pt idx="78">
                  <c:v>0.92698565244260767</c:v>
                </c:pt>
                <c:pt idx="79">
                  <c:v>0.49720614252654305</c:v>
                </c:pt>
                <c:pt idx="80">
                  <c:v>0.16729399015497881</c:v>
                </c:pt>
                <c:pt idx="81">
                  <c:v>1.4531031718801657E-2</c:v>
                </c:pt>
                <c:pt idx="82">
                  <c:v>-0.13792413106032364</c:v>
                </c:pt>
                <c:pt idx="83">
                  <c:v>-0.27868918174672808</c:v>
                </c:pt>
                <c:pt idx="84">
                  <c:v>-0.21393613289346858</c:v>
                </c:pt>
                <c:pt idx="85">
                  <c:v>-2.1360648979989794E-2</c:v>
                </c:pt>
                <c:pt idx="86">
                  <c:v>0.11237334014267852</c:v>
                </c:pt>
                <c:pt idx="87">
                  <c:v>0.11516791921992264</c:v>
                </c:pt>
                <c:pt idx="88">
                  <c:v>0.47008151595983483</c:v>
                </c:pt>
                <c:pt idx="89">
                  <c:v>0.63928488048611687</c:v>
                </c:pt>
                <c:pt idx="90">
                  <c:v>0.76919188917572745</c:v>
                </c:pt>
                <c:pt idx="91">
                  <c:v>0.86526744272203837</c:v>
                </c:pt>
                <c:pt idx="92">
                  <c:v>0.62680475048214968</c:v>
                </c:pt>
                <c:pt idx="93">
                  <c:v>0.362039652726172</c:v>
                </c:pt>
                <c:pt idx="94">
                  <c:v>0.10596833520669779</c:v>
                </c:pt>
                <c:pt idx="95">
                  <c:v>1.0841659357323064E-2</c:v>
                </c:pt>
                <c:pt idx="96">
                  <c:v>-0.15713550459583026</c:v>
                </c:pt>
                <c:pt idx="97">
                  <c:v>-0.29906884849890636</c:v>
                </c:pt>
                <c:pt idx="98">
                  <c:v>-0.37060769377622016</c:v>
                </c:pt>
                <c:pt idx="99">
                  <c:v>-0.21984571111685103</c:v>
                </c:pt>
                <c:pt idx="100">
                  <c:v>3.9235468790498995E-2</c:v>
                </c:pt>
                <c:pt idx="101">
                  <c:v>0.11641277778398162</c:v>
                </c:pt>
                <c:pt idx="102">
                  <c:v>0.23034209729380839</c:v>
                </c:pt>
                <c:pt idx="103">
                  <c:v>0.31677531753519572</c:v>
                </c:pt>
                <c:pt idx="104">
                  <c:v>0.11141100687767036</c:v>
                </c:pt>
                <c:pt idx="105">
                  <c:v>-0.16741735588008488</c:v>
                </c:pt>
                <c:pt idx="106">
                  <c:v>-0.37007966650845248</c:v>
                </c:pt>
                <c:pt idx="107">
                  <c:v>-0.52119331127581203</c:v>
                </c:pt>
                <c:pt idx="108">
                  <c:v>-0.48027803239023381</c:v>
                </c:pt>
                <c:pt idx="109">
                  <c:v>-0.46428086034780103</c:v>
                </c:pt>
                <c:pt idx="110">
                  <c:v>-0.42283897828485983</c:v>
                </c:pt>
                <c:pt idx="111">
                  <c:v>-0.27284559548918574</c:v>
                </c:pt>
                <c:pt idx="112">
                  <c:v>-0.2796734993198573</c:v>
                </c:pt>
                <c:pt idx="113">
                  <c:v>-0.22106354226124436</c:v>
                </c:pt>
                <c:pt idx="114">
                  <c:v>-9.5927211927479661E-2</c:v>
                </c:pt>
                <c:pt idx="115">
                  <c:v>-7.200445591867477E-2</c:v>
                </c:pt>
                <c:pt idx="116">
                  <c:v>2.1406728872680914E-2</c:v>
                </c:pt>
                <c:pt idx="117">
                  <c:v>-1.3775923518570821E-2</c:v>
                </c:pt>
                <c:pt idx="118">
                  <c:v>-0.26106188826699261</c:v>
                </c:pt>
                <c:pt idx="119">
                  <c:v>-0.33799975460110443</c:v>
                </c:pt>
                <c:pt idx="120">
                  <c:v>-0.23252554630453615</c:v>
                </c:pt>
                <c:pt idx="121">
                  <c:v>1.4271560749934409E-3</c:v>
                </c:pt>
                <c:pt idx="122">
                  <c:v>0.13707614691498748</c:v>
                </c:pt>
                <c:pt idx="123">
                  <c:v>0.14880371642255619</c:v>
                </c:pt>
                <c:pt idx="124">
                  <c:v>0.25548985303776717</c:v>
                </c:pt>
                <c:pt idx="125">
                  <c:v>0.30064740836389325</c:v>
                </c:pt>
                <c:pt idx="126">
                  <c:v>0.38076876759801581</c:v>
                </c:pt>
                <c:pt idx="127">
                  <c:v>0.47454593548110502</c:v>
                </c:pt>
                <c:pt idx="128">
                  <c:v>0.25179644030242931</c:v>
                </c:pt>
                <c:pt idx="129">
                  <c:v>5.8737223429921936E-2</c:v>
                </c:pt>
                <c:pt idx="130">
                  <c:v>-0.33929874261904791</c:v>
                </c:pt>
                <c:pt idx="131">
                  <c:v>-0.56528793957805723</c:v>
                </c:pt>
                <c:pt idx="132">
                  <c:v>-0.63775941352993293</c:v>
                </c:pt>
                <c:pt idx="133">
                  <c:v>-0.47537737832764004</c:v>
                </c:pt>
                <c:pt idx="134">
                  <c:v>-0.33149037312860297</c:v>
                </c:pt>
                <c:pt idx="135">
                  <c:v>-0.30809121749617896</c:v>
                </c:pt>
                <c:pt idx="136">
                  <c:v>-0.27522026241728859</c:v>
                </c:pt>
                <c:pt idx="137">
                  <c:v>-0.10795857652728658</c:v>
                </c:pt>
                <c:pt idx="138">
                  <c:v>2.780086611281396E-2</c:v>
                </c:pt>
                <c:pt idx="139">
                  <c:v>2.1763419999525579E-2</c:v>
                </c:pt>
                <c:pt idx="140">
                  <c:v>-0.16095105532533971</c:v>
                </c:pt>
                <c:pt idx="141">
                  <c:v>-0.28682860539749844</c:v>
                </c:pt>
                <c:pt idx="142">
                  <c:v>-0.27218839660577832</c:v>
                </c:pt>
                <c:pt idx="143">
                  <c:v>-0.14473258147334678</c:v>
                </c:pt>
                <c:pt idx="144">
                  <c:v>3.3042414461614822E-2</c:v>
                </c:pt>
                <c:pt idx="145">
                  <c:v>9.8944834669529413E-2</c:v>
                </c:pt>
                <c:pt idx="146">
                  <c:v>-0.13231436067679436</c:v>
                </c:pt>
                <c:pt idx="147">
                  <c:v>-0.3299967319177598</c:v>
                </c:pt>
                <c:pt idx="148">
                  <c:v>-0.48913706806024504</c:v>
                </c:pt>
                <c:pt idx="149">
                  <c:v>-0.6465715934873062</c:v>
                </c:pt>
                <c:pt idx="150">
                  <c:v>-0.70450375167778034</c:v>
                </c:pt>
                <c:pt idx="151">
                  <c:v>-0.6769200252411367</c:v>
                </c:pt>
                <c:pt idx="152">
                  <c:v>-0.56883632709022325</c:v>
                </c:pt>
                <c:pt idx="153">
                  <c:v>-0.54613062668051859</c:v>
                </c:pt>
                <c:pt idx="154">
                  <c:v>-0.63623415672453509</c:v>
                </c:pt>
                <c:pt idx="155">
                  <c:v>-0.8317141495082363</c:v>
                </c:pt>
                <c:pt idx="156">
                  <c:v>-0.71223294176748442</c:v>
                </c:pt>
                <c:pt idx="157">
                  <c:v>-0.5652679840370316</c:v>
                </c:pt>
                <c:pt idx="158">
                  <c:v>-0.45407942470341967</c:v>
                </c:pt>
                <c:pt idx="159">
                  <c:v>-0.3777666875899488</c:v>
                </c:pt>
                <c:pt idx="160">
                  <c:v>-0.2134956083148225</c:v>
                </c:pt>
                <c:pt idx="161">
                  <c:v>-3.0417603809951288E-4</c:v>
                </c:pt>
                <c:pt idx="162">
                  <c:v>9.89955144930037E-2</c:v>
                </c:pt>
                <c:pt idx="163">
                  <c:v>0.27910861271243914</c:v>
                </c:pt>
                <c:pt idx="164">
                  <c:v>0.44938006362136018</c:v>
                </c:pt>
                <c:pt idx="165">
                  <c:v>0.4765356707812074</c:v>
                </c:pt>
                <c:pt idx="166">
                  <c:v>0.45742809465569167</c:v>
                </c:pt>
                <c:pt idx="167">
                  <c:v>0.35376136355069598</c:v>
                </c:pt>
                <c:pt idx="168">
                  <c:v>0.33701612722066465</c:v>
                </c:pt>
                <c:pt idx="169">
                  <c:v>0.21212624216464082</c:v>
                </c:pt>
                <c:pt idx="170">
                  <c:v>0.39438293879405606</c:v>
                </c:pt>
                <c:pt idx="171">
                  <c:v>0.25581689582741374</c:v>
                </c:pt>
                <c:pt idx="172">
                  <c:v>0.1162136989086025</c:v>
                </c:pt>
                <c:pt idx="173">
                  <c:v>-2.2091623381430503E-2</c:v>
                </c:pt>
                <c:pt idx="174">
                  <c:v>-8.7827077730812386E-2</c:v>
                </c:pt>
                <c:pt idx="175">
                  <c:v>1.0440786920260681E-2</c:v>
                </c:pt>
                <c:pt idx="176">
                  <c:v>0.11379198160265475</c:v>
                </c:pt>
                <c:pt idx="177">
                  <c:v>0.21209940716663209</c:v>
                </c:pt>
                <c:pt idx="178">
                  <c:v>7.7608640815662155E-2</c:v>
                </c:pt>
                <c:pt idx="179">
                  <c:v>0.13465331881481624</c:v>
                </c:pt>
                <c:pt idx="180">
                  <c:v>0.29441153820090715</c:v>
                </c:pt>
                <c:pt idx="181">
                  <c:v>0.20062530926179747</c:v>
                </c:pt>
                <c:pt idx="182">
                  <c:v>5.4489757626153615E-2</c:v>
                </c:pt>
                <c:pt idx="183">
                  <c:v>-0.16286957933491841</c:v>
                </c:pt>
                <c:pt idx="184">
                  <c:v>-0.37928169495142611</c:v>
                </c:pt>
                <c:pt idx="185">
                  <c:v>-0.5152442465248861</c:v>
                </c:pt>
                <c:pt idx="186">
                  <c:v>-0.58609907605942857</c:v>
                </c:pt>
                <c:pt idx="187">
                  <c:v>-0.67427496834947265</c:v>
                </c:pt>
                <c:pt idx="188">
                  <c:v>-0.62674937178872514</c:v>
                </c:pt>
                <c:pt idx="189">
                  <c:v>-0.45438828785509511</c:v>
                </c:pt>
                <c:pt idx="190">
                  <c:v>-0.22518425831481115</c:v>
                </c:pt>
                <c:pt idx="191">
                  <c:v>-0.20797954131990026</c:v>
                </c:pt>
                <c:pt idx="192">
                  <c:v>-9.2421638910831883E-2</c:v>
                </c:pt>
                <c:pt idx="193">
                  <c:v>3.6177211355530314E-2</c:v>
                </c:pt>
                <c:pt idx="194">
                  <c:v>-2.0859699305099233E-2</c:v>
                </c:pt>
                <c:pt idx="195">
                  <c:v>-0.12930886206924597</c:v>
                </c:pt>
                <c:pt idx="196">
                  <c:v>-0.19571752277715415</c:v>
                </c:pt>
                <c:pt idx="197">
                  <c:v>-3.1461215315240265E-2</c:v>
                </c:pt>
                <c:pt idx="198">
                  <c:v>3.8450778506574634E-2</c:v>
                </c:pt>
                <c:pt idx="199">
                  <c:v>4.2924338396905792E-2</c:v>
                </c:pt>
                <c:pt idx="200">
                  <c:v>4.0511549462113994E-2</c:v>
                </c:pt>
                <c:pt idx="201">
                  <c:v>-0.14870183965703876</c:v>
                </c:pt>
                <c:pt idx="202">
                  <c:v>-7.3321622534128439E-2</c:v>
                </c:pt>
                <c:pt idx="203">
                  <c:v>-0.12944495334219619</c:v>
                </c:pt>
                <c:pt idx="204">
                  <c:v>-0.14413966675791312</c:v>
                </c:pt>
                <c:pt idx="205">
                  <c:v>-4.7717297845033535E-3</c:v>
                </c:pt>
                <c:pt idx="206">
                  <c:v>0.13834900043427023</c:v>
                </c:pt>
                <c:pt idx="207">
                  <c:v>0.23005524027583624</c:v>
                </c:pt>
                <c:pt idx="208">
                  <c:v>0.25420983656103258</c:v>
                </c:pt>
                <c:pt idx="209">
                  <c:v>0.32671436440379109</c:v>
                </c:pt>
                <c:pt idx="210">
                  <c:v>0.44731441970760066</c:v>
                </c:pt>
                <c:pt idx="211">
                  <c:v>0.51286069577518423</c:v>
                </c:pt>
                <c:pt idx="212">
                  <c:v>0.75563725256000347</c:v>
                </c:pt>
                <c:pt idx="213">
                  <c:v>1.3796760979799019</c:v>
                </c:pt>
                <c:pt idx="214">
                  <c:v>1.2329675014214834</c:v>
                </c:pt>
                <c:pt idx="215">
                  <c:v>0.98904131779838655</c:v>
                </c:pt>
                <c:pt idx="216">
                  <c:v>1.0386910303866936</c:v>
                </c:pt>
                <c:pt idx="217">
                  <c:v>1.1914353003270828</c:v>
                </c:pt>
                <c:pt idx="218">
                  <c:v>1.2302341566215405</c:v>
                </c:pt>
                <c:pt idx="219">
                  <c:v>1.2757393454424732</c:v>
                </c:pt>
                <c:pt idx="220">
                  <c:v>1.4375793097766962</c:v>
                </c:pt>
                <c:pt idx="221">
                  <c:v>1.3765866012372623</c:v>
                </c:pt>
                <c:pt idx="222">
                  <c:v>1.2512913528799672</c:v>
                </c:pt>
                <c:pt idx="223">
                  <c:v>1.0217620325213996</c:v>
                </c:pt>
                <c:pt idx="224">
                  <c:v>0.88912853560525917</c:v>
                </c:pt>
                <c:pt idx="225">
                  <c:v>0.72642733120225689</c:v>
                </c:pt>
                <c:pt idx="226">
                  <c:v>0.56004995770789234</c:v>
                </c:pt>
                <c:pt idx="227">
                  <c:v>0.44476246029910538</c:v>
                </c:pt>
                <c:pt idx="228">
                  <c:v>0.41566656608950048</c:v>
                </c:pt>
                <c:pt idx="229">
                  <c:v>0.39841393086681043</c:v>
                </c:pt>
                <c:pt idx="230">
                  <c:v>0.41283147889344107</c:v>
                </c:pt>
                <c:pt idx="231">
                  <c:v>0.72939117007691934</c:v>
                </c:pt>
                <c:pt idx="232">
                  <c:v>0.66951513545033947</c:v>
                </c:pt>
                <c:pt idx="233">
                  <c:v>0.81437484797632997</c:v>
                </c:pt>
                <c:pt idx="234">
                  <c:v>1.0257785655869878</c:v>
                </c:pt>
                <c:pt idx="235">
                  <c:v>0.93425701214950863</c:v>
                </c:pt>
                <c:pt idx="236">
                  <c:v>0.88719423746687731</c:v>
                </c:pt>
                <c:pt idx="237">
                  <c:v>0.87546232030634119</c:v>
                </c:pt>
                <c:pt idx="238">
                  <c:v>0.75175401019527044</c:v>
                </c:pt>
                <c:pt idx="239">
                  <c:v>0.81152154979581503</c:v>
                </c:pt>
                <c:pt idx="240">
                  <c:v>0.53585816907742689</c:v>
                </c:pt>
                <c:pt idx="241">
                  <c:v>0.36695466642116603</c:v>
                </c:pt>
                <c:pt idx="242">
                  <c:v>-1.6109993245333243E-2</c:v>
                </c:pt>
                <c:pt idx="243">
                  <c:v>-9.78361253044433E-2</c:v>
                </c:pt>
                <c:pt idx="244">
                  <c:v>-0.13998246874882891</c:v>
                </c:pt>
                <c:pt idx="245">
                  <c:v>-0.26711162646779751</c:v>
                </c:pt>
                <c:pt idx="246">
                  <c:v>-0.3234469190506406</c:v>
                </c:pt>
                <c:pt idx="247">
                  <c:v>-0.36681931348903341</c:v>
                </c:pt>
                <c:pt idx="248">
                  <c:v>-0.49787448541958579</c:v>
                </c:pt>
                <c:pt idx="249">
                  <c:v>-0.60823591460485815</c:v>
                </c:pt>
                <c:pt idx="250">
                  <c:v>-4.3087564048390368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04-4165-A838-B097266CB4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73231664"/>
        <c:axId val="1573239824"/>
      </c:barChart>
      <c:lineChart>
        <c:grouping val="standard"/>
        <c:varyColors val="0"/>
        <c:ser>
          <c:idx val="0"/>
          <c:order val="0"/>
          <c:tx>
            <c:strRef>
              <c:f>Data!$Y$1</c:f>
              <c:strCache>
                <c:ptCount val="1"/>
                <c:pt idx="0">
                  <c:v>MACD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Data!$Y$2:$Y$252</c:f>
              <c:numCache>
                <c:formatCode>General</c:formatCode>
                <c:ptCount val="251"/>
                <c:pt idx="25">
                  <c:v>1.7609898146589558</c:v>
                </c:pt>
                <c:pt idx="26">
                  <c:v>9.397368598911271E-3</c:v>
                </c:pt>
                <c:pt idx="27">
                  <c:v>-1.6199060847940245</c:v>
                </c:pt>
                <c:pt idx="28">
                  <c:v>-2.1520394903321289</c:v>
                </c:pt>
                <c:pt idx="29">
                  <c:v>-3.4259099420747248</c:v>
                </c:pt>
                <c:pt idx="30">
                  <c:v>-4.3330630317069563</c:v>
                </c:pt>
                <c:pt idx="31">
                  <c:v>-5.0191452183794354</c:v>
                </c:pt>
                <c:pt idx="32">
                  <c:v>-5.5616979832267646</c:v>
                </c:pt>
                <c:pt idx="33">
                  <c:v>-5.8579806567313426</c:v>
                </c:pt>
                <c:pt idx="34">
                  <c:v>-5.8231254219359982</c:v>
                </c:pt>
                <c:pt idx="35">
                  <c:v>-6.059713196134112</c:v>
                </c:pt>
                <c:pt idx="36">
                  <c:v>-5.8912311024587325</c:v>
                </c:pt>
                <c:pt idx="37">
                  <c:v>-5.741551614793309</c:v>
                </c:pt>
                <c:pt idx="38">
                  <c:v>-5.3681953026361668</c:v>
                </c:pt>
                <c:pt idx="39">
                  <c:v>-5.041626165730861</c:v>
                </c:pt>
                <c:pt idx="40">
                  <c:v>-4.6190249768080776</c:v>
                </c:pt>
                <c:pt idx="41">
                  <c:v>-4.2991063817625275</c:v>
                </c:pt>
                <c:pt idx="42">
                  <c:v>-4.2579267830030574</c:v>
                </c:pt>
                <c:pt idx="43">
                  <c:v>-4.1611857665048717</c:v>
                </c:pt>
                <c:pt idx="44">
                  <c:v>-3.8592811437042371</c:v>
                </c:pt>
                <c:pt idx="45">
                  <c:v>-3.8180820102427049</c:v>
                </c:pt>
                <c:pt idx="46">
                  <c:v>-3.7343153727985907</c:v>
                </c:pt>
                <c:pt idx="47">
                  <c:v>-3.6109732451965328</c:v>
                </c:pt>
                <c:pt idx="48">
                  <c:v>-3.3734718831698558</c:v>
                </c:pt>
                <c:pt idx="49">
                  <c:v>-3.0332816777851974</c:v>
                </c:pt>
                <c:pt idx="50">
                  <c:v>-2.4824969678366813</c:v>
                </c:pt>
                <c:pt idx="51">
                  <c:v>-1.9644463037136575</c:v>
                </c:pt>
                <c:pt idx="52">
                  <c:v>-1.5904243155407585</c:v>
                </c:pt>
                <c:pt idx="53">
                  <c:v>-1.2321971246299199</c:v>
                </c:pt>
                <c:pt idx="54">
                  <c:v>-0.95025619585783261</c:v>
                </c:pt>
                <c:pt idx="55">
                  <c:v>-1.0065103833343017</c:v>
                </c:pt>
                <c:pt idx="56">
                  <c:v>-1.1364359104645132</c:v>
                </c:pt>
                <c:pt idx="57">
                  <c:v>-1.3616888344500921</c:v>
                </c:pt>
                <c:pt idx="58">
                  <c:v>-1.5441896856131621</c:v>
                </c:pt>
                <c:pt idx="59">
                  <c:v>-1.5698619799931919</c:v>
                </c:pt>
                <c:pt idx="60">
                  <c:v>-1.4691794530260722</c:v>
                </c:pt>
                <c:pt idx="61">
                  <c:v>-1.5179418099261568</c:v>
                </c:pt>
                <c:pt idx="62">
                  <c:v>-1.3880782227689679</c:v>
                </c:pt>
                <c:pt idx="63">
                  <c:v>-1.3670389083549992</c:v>
                </c:pt>
                <c:pt idx="64">
                  <c:v>-1.2440361530921678</c:v>
                </c:pt>
                <c:pt idx="65">
                  <c:v>-0.99707916645499495</c:v>
                </c:pt>
                <c:pt idx="66">
                  <c:v>-0.96613475622405076</c:v>
                </c:pt>
                <c:pt idx="67">
                  <c:v>-0.96837335497505705</c:v>
                </c:pt>
                <c:pt idx="68">
                  <c:v>-0.69504606505091715</c:v>
                </c:pt>
                <c:pt idx="69">
                  <c:v>-0.42910535567958163</c:v>
                </c:pt>
                <c:pt idx="70">
                  <c:v>-9.2474739136889639E-3</c:v>
                </c:pt>
                <c:pt idx="71">
                  <c:v>0.4338804673435277</c:v>
                </c:pt>
                <c:pt idx="72">
                  <c:v>0.79127266670639074</c:v>
                </c:pt>
                <c:pt idx="73">
                  <c:v>1.1372492027689134</c:v>
                </c:pt>
                <c:pt idx="74">
                  <c:v>1.40492598512256</c:v>
                </c:pt>
                <c:pt idx="75">
                  <c:v>1.8235909743156071</c:v>
                </c:pt>
                <c:pt idx="76">
                  <c:v>2.0781736185629711</c:v>
                </c:pt>
                <c:pt idx="77">
                  <c:v>2.3624400934739924</c:v>
                </c:pt>
                <c:pt idx="78">
                  <c:v>2.3436467038063142</c:v>
                </c:pt>
                <c:pt idx="79">
                  <c:v>2.0381687295218853</c:v>
                </c:pt>
                <c:pt idx="80">
                  <c:v>1.7500800746890661</c:v>
                </c:pt>
                <c:pt idx="81">
                  <c:v>1.6009498741825894</c:v>
                </c:pt>
                <c:pt idx="82">
                  <c:v>1.4140136786383835</c:v>
                </c:pt>
                <c:pt idx="83">
                  <c:v>1.2035763325152971</c:v>
                </c:pt>
                <c:pt idx="84">
                  <c:v>1.2148453481451895</c:v>
                </c:pt>
                <c:pt idx="85">
                  <c:v>1.402080669813671</c:v>
                </c:pt>
                <c:pt idx="86">
                  <c:v>1.5639079939720091</c:v>
                </c:pt>
                <c:pt idx="87">
                  <c:v>1.5954945528542339</c:v>
                </c:pt>
                <c:pt idx="88">
                  <c:v>2.0679285285841047</c:v>
                </c:pt>
                <c:pt idx="89">
                  <c:v>2.3969531132319162</c:v>
                </c:pt>
                <c:pt idx="90">
                  <c:v>2.7191580942154587</c:v>
                </c:pt>
                <c:pt idx="91">
                  <c:v>3.0315505084422796</c:v>
                </c:pt>
                <c:pt idx="92">
                  <c:v>2.9497890038229286</c:v>
                </c:pt>
                <c:pt idx="93">
                  <c:v>2.7755338192484942</c:v>
                </c:pt>
                <c:pt idx="94">
                  <c:v>2.5459545855306942</c:v>
                </c:pt>
                <c:pt idx="95">
                  <c:v>2.4535383245206503</c:v>
                </c:pt>
                <c:pt idx="96">
                  <c:v>2.2462772844185395</c:v>
                </c:pt>
                <c:pt idx="97">
                  <c:v>2.0295767283907367</c:v>
                </c:pt>
                <c:pt idx="98">
                  <c:v>1.8653859596693678</c:v>
                </c:pt>
                <c:pt idx="99">
                  <c:v>1.9611865145495244</c:v>
                </c:pt>
                <c:pt idx="100">
                  <c:v>2.2300765616544993</c:v>
                </c:pt>
                <c:pt idx="101">
                  <c:v>2.3363570650939778</c:v>
                </c:pt>
                <c:pt idx="102">
                  <c:v>2.5078719089272568</c:v>
                </c:pt>
                <c:pt idx="103">
                  <c:v>2.6734989585524431</c:v>
                </c:pt>
                <c:pt idx="104">
                  <c:v>2.4959873996143358</c:v>
                </c:pt>
                <c:pt idx="105">
                  <c:v>2.1753046978865598</c:v>
                </c:pt>
                <c:pt idx="106">
                  <c:v>1.8801224706310791</c:v>
                </c:pt>
                <c:pt idx="107">
                  <c:v>1.5987104980447668</c:v>
                </c:pt>
                <c:pt idx="108">
                  <c:v>1.5195562688327868</c:v>
                </c:pt>
                <c:pt idx="109">
                  <c:v>1.4194832257882695</c:v>
                </c:pt>
                <c:pt idx="110">
                  <c:v>1.3552153632799957</c:v>
                </c:pt>
                <c:pt idx="111">
                  <c:v>1.4369973472033735</c:v>
                </c:pt>
                <c:pt idx="112">
                  <c:v>1.3602510685427376</c:v>
                </c:pt>
                <c:pt idx="113">
                  <c:v>1.3635951400360398</c:v>
                </c:pt>
                <c:pt idx="114">
                  <c:v>1.4647496673879346</c:v>
                </c:pt>
                <c:pt idx="115">
                  <c:v>1.4706713094170709</c:v>
                </c:pt>
                <c:pt idx="116">
                  <c:v>1.5694341764265971</c:v>
                </c:pt>
                <c:pt idx="117">
                  <c:v>1.5308075431557029</c:v>
                </c:pt>
                <c:pt idx="118">
                  <c:v>1.2182561063405331</c:v>
                </c:pt>
                <c:pt idx="119">
                  <c:v>1.0568183013561452</c:v>
                </c:pt>
                <c:pt idx="120">
                  <c:v>1.1041611230765795</c:v>
                </c:pt>
                <c:pt idx="121">
                  <c:v>1.3384706144748577</c:v>
                </c:pt>
                <c:pt idx="122">
                  <c:v>1.5083886420435988</c:v>
                </c:pt>
                <c:pt idx="123">
                  <c:v>1.5573171406568065</c:v>
                </c:pt>
                <c:pt idx="124">
                  <c:v>1.7278757405314593</c:v>
                </c:pt>
                <c:pt idx="125">
                  <c:v>1.8481951479485588</c:v>
                </c:pt>
                <c:pt idx="126">
                  <c:v>2.0235086990821856</c:v>
                </c:pt>
                <c:pt idx="127">
                  <c:v>2.2359223508355512</c:v>
                </c:pt>
                <c:pt idx="128">
                  <c:v>2.076121965732483</c:v>
                </c:pt>
                <c:pt idx="129">
                  <c:v>1.8977470547174562</c:v>
                </c:pt>
                <c:pt idx="130">
                  <c:v>1.4148864030137247</c:v>
                </c:pt>
                <c:pt idx="131">
                  <c:v>1.0475752211602014</c:v>
                </c:pt>
                <c:pt idx="132">
                  <c:v>0.81566389382584248</c:v>
                </c:pt>
                <c:pt idx="133">
                  <c:v>0.8592015844462253</c:v>
                </c:pt>
                <c:pt idx="134">
                  <c:v>0.9202159963631118</c:v>
                </c:pt>
                <c:pt idx="135">
                  <c:v>0.8665923476214914</c:v>
                </c:pt>
                <c:pt idx="136">
                  <c:v>0.83065823709605979</c:v>
                </c:pt>
                <c:pt idx="137">
                  <c:v>0.97093027885424021</c:v>
                </c:pt>
                <c:pt idx="138">
                  <c:v>1.1136399380225441</c:v>
                </c:pt>
                <c:pt idx="139">
                  <c:v>1.1130433469091372</c:v>
                </c:pt>
                <c:pt idx="140">
                  <c:v>0.89009110775293721</c:v>
                </c:pt>
                <c:pt idx="141">
                  <c:v>0.69250640633140392</c:v>
                </c:pt>
                <c:pt idx="142">
                  <c:v>0.63909951597167947</c:v>
                </c:pt>
                <c:pt idx="143">
                  <c:v>0.73037218573577434</c:v>
                </c:pt>
                <c:pt idx="144">
                  <c:v>0.91640778528613964</c:v>
                </c:pt>
                <c:pt idx="145">
                  <c:v>1.0070464141614366</c:v>
                </c:pt>
                <c:pt idx="146">
                  <c:v>0.74270862864591436</c:v>
                </c:pt>
                <c:pt idx="147">
                  <c:v>0.462527074425509</c:v>
                </c:pt>
                <c:pt idx="148">
                  <c:v>0.18110247126796253</c:v>
                </c:pt>
                <c:pt idx="149">
                  <c:v>-0.13797495253092507</c:v>
                </c:pt>
                <c:pt idx="150">
                  <c:v>-0.3720330486408443</c:v>
                </c:pt>
                <c:pt idx="151">
                  <c:v>-0.51367932851448472</c:v>
                </c:pt>
                <c:pt idx="152">
                  <c:v>-0.54780471213612714</c:v>
                </c:pt>
                <c:pt idx="153">
                  <c:v>-0.66163166839655219</c:v>
                </c:pt>
                <c:pt idx="154">
                  <c:v>-0.91079373762170235</c:v>
                </c:pt>
                <c:pt idx="155">
                  <c:v>-1.3142022677824627</c:v>
                </c:pt>
                <c:pt idx="156">
                  <c:v>-1.372779295483582</c:v>
                </c:pt>
                <c:pt idx="157">
                  <c:v>-1.3671313337623872</c:v>
                </c:pt>
                <c:pt idx="158">
                  <c:v>-1.3694626306046302</c:v>
                </c:pt>
                <c:pt idx="159">
                  <c:v>-1.3875915653886466</c:v>
                </c:pt>
                <c:pt idx="160">
                  <c:v>-1.2766943881922259</c:v>
                </c:pt>
                <c:pt idx="161">
                  <c:v>-1.0635789999250278</c:v>
                </c:pt>
                <c:pt idx="162">
                  <c:v>-0.93953043077067377</c:v>
                </c:pt>
                <c:pt idx="163">
                  <c:v>-0.6896401793731286</c:v>
                </c:pt>
                <c:pt idx="164">
                  <c:v>-0.4070237125588676</c:v>
                </c:pt>
                <c:pt idx="165">
                  <c:v>-0.26073418770371859</c:v>
                </c:pt>
                <c:pt idx="166">
                  <c:v>-0.16548474016531145</c:v>
                </c:pt>
                <c:pt idx="167">
                  <c:v>-0.1807111303826332</c:v>
                </c:pt>
                <c:pt idx="168">
                  <c:v>-0.11320233490749843</c:v>
                </c:pt>
                <c:pt idx="169">
                  <c:v>-0.18506065942236205</c:v>
                </c:pt>
                <c:pt idx="170">
                  <c:v>9.5791771905567202E-2</c:v>
                </c:pt>
                <c:pt idx="171">
                  <c:v>2.1179952895778342E-2</c:v>
                </c:pt>
                <c:pt idx="172">
                  <c:v>-8.936981929588228E-2</c:v>
                </c:pt>
                <c:pt idx="173">
                  <c:v>-0.23319804743127293</c:v>
                </c:pt>
                <c:pt idx="174">
                  <c:v>-0.32089027121335789</c:v>
                </c:pt>
                <c:pt idx="175">
                  <c:v>-0.2200122098322197</c:v>
                </c:pt>
                <c:pt idx="176">
                  <c:v>-8.8213019749161958E-2</c:v>
                </c:pt>
                <c:pt idx="177">
                  <c:v>6.3119257606473411E-2</c:v>
                </c:pt>
                <c:pt idx="178">
                  <c:v>-5.1969348540580995E-2</c:v>
                </c:pt>
                <c:pt idx="179">
                  <c:v>3.8738659162277145E-2</c:v>
                </c:pt>
                <c:pt idx="180">
                  <c:v>0.27209976309859485</c:v>
                </c:pt>
                <c:pt idx="181">
                  <c:v>0.22846986147493453</c:v>
                </c:pt>
                <c:pt idx="182">
                  <c:v>9.5956749245829087E-2</c:v>
                </c:pt>
                <c:pt idx="183">
                  <c:v>-0.16211998254897253</c:v>
                </c:pt>
                <c:pt idx="184">
                  <c:v>-0.47335252190333676</c:v>
                </c:pt>
                <c:pt idx="185">
                  <c:v>-0.73812613510801839</c:v>
                </c:pt>
                <c:pt idx="186">
                  <c:v>-0.95550573365741798</c:v>
                </c:pt>
                <c:pt idx="187">
                  <c:v>-1.2122503680348302</c:v>
                </c:pt>
                <c:pt idx="188">
                  <c:v>-1.3214121144212641</c:v>
                </c:pt>
                <c:pt idx="189">
                  <c:v>-1.2626481024514078</c:v>
                </c:pt>
                <c:pt idx="190">
                  <c:v>-1.0897401374898266</c:v>
                </c:pt>
                <c:pt idx="191">
                  <c:v>-1.1245303058248908</c:v>
                </c:pt>
                <c:pt idx="192">
                  <c:v>-1.0320778131435304</c:v>
                </c:pt>
                <c:pt idx="193">
                  <c:v>-0.89443466003828576</c:v>
                </c:pt>
                <c:pt idx="194">
                  <c:v>-0.95668649552519014</c:v>
                </c:pt>
                <c:pt idx="195">
                  <c:v>-1.0974628738066485</c:v>
                </c:pt>
                <c:pt idx="196">
                  <c:v>-1.2128009152088453</c:v>
                </c:pt>
                <c:pt idx="197">
                  <c:v>-1.0564099115757415</c:v>
                </c:pt>
                <c:pt idx="198">
                  <c:v>-0.9768852231272831</c:v>
                </c:pt>
                <c:pt idx="199">
                  <c:v>-0.9616805786377256</c:v>
                </c:pt>
                <c:pt idx="200">
                  <c:v>-0.95396548020698901</c:v>
                </c:pt>
                <c:pt idx="201">
                  <c:v>-1.1803543292404015</c:v>
                </c:pt>
                <c:pt idx="202">
                  <c:v>-1.1233045177510235</c:v>
                </c:pt>
                <c:pt idx="203">
                  <c:v>-1.2117890868946404</c:v>
                </c:pt>
                <c:pt idx="204">
                  <c:v>-1.2625187169998355</c:v>
                </c:pt>
                <c:pt idx="205">
                  <c:v>-1.1243437124725517</c:v>
                </c:pt>
                <c:pt idx="206">
                  <c:v>-0.9466357321452108</c:v>
                </c:pt>
                <c:pt idx="207">
                  <c:v>-0.79741568223468562</c:v>
                </c:pt>
                <c:pt idx="208">
                  <c:v>-0.70970862680923119</c:v>
                </c:pt>
                <c:pt idx="209">
                  <c:v>-0.55552550786552501</c:v>
                </c:pt>
                <c:pt idx="210">
                  <c:v>-0.32309684763481528</c:v>
                </c:pt>
                <c:pt idx="211">
                  <c:v>-0.12933539762343571</c:v>
                </c:pt>
                <c:pt idx="212">
                  <c:v>0.30235047230138434</c:v>
                </c:pt>
                <c:pt idx="213">
                  <c:v>1.2713083422162583</c:v>
                </c:pt>
                <c:pt idx="214">
                  <c:v>1.4328416210132104</c:v>
                </c:pt>
                <c:pt idx="215">
                  <c:v>1.4361757668397104</c:v>
                </c:pt>
                <c:pt idx="216">
                  <c:v>1.745498237024691</c:v>
                </c:pt>
                <c:pt idx="217">
                  <c:v>2.196101332046851</c:v>
                </c:pt>
                <c:pt idx="218">
                  <c:v>2.5424587274966939</c:v>
                </c:pt>
                <c:pt idx="219">
                  <c:v>2.906898752678245</c:v>
                </c:pt>
                <c:pt idx="220">
                  <c:v>3.4281335444566423</c:v>
                </c:pt>
                <c:pt idx="221">
                  <c:v>3.7112874862265244</c:v>
                </c:pt>
                <c:pt idx="222">
                  <c:v>3.8988150760892211</c:v>
                </c:pt>
                <c:pt idx="223">
                  <c:v>3.9247262638610039</c:v>
                </c:pt>
                <c:pt idx="224">
                  <c:v>4.0143749008461782</c:v>
                </c:pt>
                <c:pt idx="225">
                  <c:v>4.0332805292437399</c:v>
                </c:pt>
                <c:pt idx="226">
                  <c:v>4.006915645176349</c:v>
                </c:pt>
                <c:pt idx="227">
                  <c:v>4.0028187628423382</c:v>
                </c:pt>
                <c:pt idx="228">
                  <c:v>4.0776395101551088</c:v>
                </c:pt>
                <c:pt idx="229">
                  <c:v>4.1599903576491215</c:v>
                </c:pt>
                <c:pt idx="230">
                  <c:v>4.2776157753991129</c:v>
                </c:pt>
                <c:pt idx="231">
                  <c:v>4.7765232591018218</c:v>
                </c:pt>
                <c:pt idx="232">
                  <c:v>4.8840260083378269</c:v>
                </c:pt>
                <c:pt idx="233">
                  <c:v>5.2324794328579003</c:v>
                </c:pt>
                <c:pt idx="234">
                  <c:v>5.7003277918653055</c:v>
                </c:pt>
                <c:pt idx="235">
                  <c:v>5.8423704914652035</c:v>
                </c:pt>
                <c:pt idx="236">
                  <c:v>6.0171062761492919</c:v>
                </c:pt>
                <c:pt idx="237">
                  <c:v>6.2242399390653418</c:v>
                </c:pt>
                <c:pt idx="238">
                  <c:v>6.2884701315030895</c:v>
                </c:pt>
                <c:pt idx="239">
                  <c:v>6.5511180585525892</c:v>
                </c:pt>
                <c:pt idx="240">
                  <c:v>6.4094192201035582</c:v>
                </c:pt>
                <c:pt idx="241">
                  <c:v>6.3322543840525896</c:v>
                </c:pt>
                <c:pt idx="242">
                  <c:v>5.945162226074757</c:v>
                </c:pt>
                <c:pt idx="243">
                  <c:v>5.838977062689537</c:v>
                </c:pt>
                <c:pt idx="244">
                  <c:v>5.7618351020579439</c:v>
                </c:pt>
                <c:pt idx="245">
                  <c:v>5.5679280377220266</c:v>
                </c:pt>
                <c:pt idx="246">
                  <c:v>5.4307310153765229</c:v>
                </c:pt>
                <c:pt idx="247">
                  <c:v>5.2956537925658722</c:v>
                </c:pt>
                <c:pt idx="248">
                  <c:v>5.040129999280424</c:v>
                </c:pt>
                <c:pt idx="249">
                  <c:v>4.7777095914439371</c:v>
                </c:pt>
                <c:pt idx="2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4-4165-A838-B097266CB457}"/>
            </c:ext>
          </c:extLst>
        </c:ser>
        <c:ser>
          <c:idx val="1"/>
          <c:order val="1"/>
          <c:tx>
            <c:strRef>
              <c:f>Data!$Z$1</c:f>
              <c:strCache>
                <c:ptCount val="1"/>
                <c:pt idx="0">
                  <c:v>Signal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45715</c:v>
                </c:pt>
                <c:pt idx="1">
                  <c:v>45716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45726</c:v>
                </c:pt>
                <c:pt idx="8">
                  <c:v>45727</c:v>
                </c:pt>
                <c:pt idx="9">
                  <c:v>45728</c:v>
                </c:pt>
                <c:pt idx="10">
                  <c:v>45729</c:v>
                </c:pt>
                <c:pt idx="11">
                  <c:v>45730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45747</c:v>
                </c:pt>
                <c:pt idx="23">
                  <c:v>45748</c:v>
                </c:pt>
                <c:pt idx="24">
                  <c:v>45749</c:v>
                </c:pt>
                <c:pt idx="25">
                  <c:v>45750</c:v>
                </c:pt>
                <c:pt idx="26">
                  <c:v>45751</c:v>
                </c:pt>
                <c:pt idx="27">
                  <c:v>45754</c:v>
                </c:pt>
                <c:pt idx="28">
                  <c:v>45755</c:v>
                </c:pt>
                <c:pt idx="29">
                  <c:v>45756</c:v>
                </c:pt>
                <c:pt idx="30">
                  <c:v>45757</c:v>
                </c:pt>
                <c:pt idx="31">
                  <c:v>45758</c:v>
                </c:pt>
                <c:pt idx="32">
                  <c:v>45761</c:v>
                </c:pt>
                <c:pt idx="33">
                  <c:v>45762</c:v>
                </c:pt>
                <c:pt idx="34">
                  <c:v>45763</c:v>
                </c:pt>
                <c:pt idx="35">
                  <c:v>45764</c:v>
                </c:pt>
                <c:pt idx="36">
                  <c:v>45768</c:v>
                </c:pt>
                <c:pt idx="37">
                  <c:v>45769</c:v>
                </c:pt>
                <c:pt idx="38">
                  <c:v>45770</c:v>
                </c:pt>
                <c:pt idx="39">
                  <c:v>45771</c:v>
                </c:pt>
                <c:pt idx="40">
                  <c:v>45772</c:v>
                </c:pt>
                <c:pt idx="41">
                  <c:v>45775</c:v>
                </c:pt>
                <c:pt idx="42">
                  <c:v>45776</c:v>
                </c:pt>
                <c:pt idx="43">
                  <c:v>45777</c:v>
                </c:pt>
                <c:pt idx="44">
                  <c:v>45778</c:v>
                </c:pt>
                <c:pt idx="45">
                  <c:v>45779</c:v>
                </c:pt>
                <c:pt idx="46">
                  <c:v>45782</c:v>
                </c:pt>
                <c:pt idx="47">
                  <c:v>45783</c:v>
                </c:pt>
                <c:pt idx="48">
                  <c:v>45784</c:v>
                </c:pt>
                <c:pt idx="49">
                  <c:v>45785</c:v>
                </c:pt>
                <c:pt idx="50">
                  <c:v>45786</c:v>
                </c:pt>
                <c:pt idx="51">
                  <c:v>45789</c:v>
                </c:pt>
                <c:pt idx="52">
                  <c:v>45790</c:v>
                </c:pt>
                <c:pt idx="53">
                  <c:v>45791</c:v>
                </c:pt>
                <c:pt idx="54">
                  <c:v>45792</c:v>
                </c:pt>
                <c:pt idx="55">
                  <c:v>45793</c:v>
                </c:pt>
                <c:pt idx="56">
                  <c:v>45796</c:v>
                </c:pt>
                <c:pt idx="57">
                  <c:v>45797</c:v>
                </c:pt>
                <c:pt idx="58">
                  <c:v>45798</c:v>
                </c:pt>
                <c:pt idx="59">
                  <c:v>45799</c:v>
                </c:pt>
                <c:pt idx="60">
                  <c:v>45800</c:v>
                </c:pt>
                <c:pt idx="61">
                  <c:v>45804</c:v>
                </c:pt>
                <c:pt idx="62">
                  <c:v>45805</c:v>
                </c:pt>
                <c:pt idx="63">
                  <c:v>45806</c:v>
                </c:pt>
                <c:pt idx="64">
                  <c:v>45807</c:v>
                </c:pt>
                <c:pt idx="65">
                  <c:v>45810</c:v>
                </c:pt>
                <c:pt idx="66">
                  <c:v>45811</c:v>
                </c:pt>
                <c:pt idx="67">
                  <c:v>45812</c:v>
                </c:pt>
                <c:pt idx="68">
                  <c:v>45813</c:v>
                </c:pt>
                <c:pt idx="69">
                  <c:v>45814</c:v>
                </c:pt>
                <c:pt idx="70">
                  <c:v>45817</c:v>
                </c:pt>
                <c:pt idx="71">
                  <c:v>45818</c:v>
                </c:pt>
                <c:pt idx="72">
                  <c:v>45819</c:v>
                </c:pt>
                <c:pt idx="73">
                  <c:v>45820</c:v>
                </c:pt>
                <c:pt idx="74">
                  <c:v>45821</c:v>
                </c:pt>
                <c:pt idx="75">
                  <c:v>45824</c:v>
                </c:pt>
                <c:pt idx="76">
                  <c:v>45825</c:v>
                </c:pt>
                <c:pt idx="77">
                  <c:v>45826</c:v>
                </c:pt>
                <c:pt idx="78">
                  <c:v>45828</c:v>
                </c:pt>
                <c:pt idx="79">
                  <c:v>45831</c:v>
                </c:pt>
                <c:pt idx="80">
                  <c:v>45832</c:v>
                </c:pt>
                <c:pt idx="81">
                  <c:v>45833</c:v>
                </c:pt>
                <c:pt idx="82">
                  <c:v>45834</c:v>
                </c:pt>
                <c:pt idx="83">
                  <c:v>45835</c:v>
                </c:pt>
                <c:pt idx="84">
                  <c:v>45838</c:v>
                </c:pt>
                <c:pt idx="85">
                  <c:v>45839</c:v>
                </c:pt>
                <c:pt idx="86">
                  <c:v>45840</c:v>
                </c:pt>
                <c:pt idx="87">
                  <c:v>45841</c:v>
                </c:pt>
                <c:pt idx="88">
                  <c:v>45845</c:v>
                </c:pt>
                <c:pt idx="89">
                  <c:v>45846</c:v>
                </c:pt>
                <c:pt idx="90">
                  <c:v>45847</c:v>
                </c:pt>
                <c:pt idx="91">
                  <c:v>45848</c:v>
                </c:pt>
                <c:pt idx="92">
                  <c:v>45849</c:v>
                </c:pt>
                <c:pt idx="93">
                  <c:v>45852</c:v>
                </c:pt>
                <c:pt idx="94">
                  <c:v>45853</c:v>
                </c:pt>
                <c:pt idx="95">
                  <c:v>45854</c:v>
                </c:pt>
                <c:pt idx="96">
                  <c:v>45855</c:v>
                </c:pt>
                <c:pt idx="97">
                  <c:v>45856</c:v>
                </c:pt>
                <c:pt idx="98">
                  <c:v>45859</c:v>
                </c:pt>
                <c:pt idx="99">
                  <c:v>45860</c:v>
                </c:pt>
                <c:pt idx="100">
                  <c:v>45861</c:v>
                </c:pt>
                <c:pt idx="101">
                  <c:v>45862</c:v>
                </c:pt>
                <c:pt idx="102">
                  <c:v>45863</c:v>
                </c:pt>
                <c:pt idx="103">
                  <c:v>45866</c:v>
                </c:pt>
                <c:pt idx="104">
                  <c:v>45867</c:v>
                </c:pt>
                <c:pt idx="105">
                  <c:v>45868</c:v>
                </c:pt>
                <c:pt idx="106">
                  <c:v>45869</c:v>
                </c:pt>
                <c:pt idx="107">
                  <c:v>45870</c:v>
                </c:pt>
                <c:pt idx="108">
                  <c:v>45873</c:v>
                </c:pt>
                <c:pt idx="109">
                  <c:v>45874</c:v>
                </c:pt>
                <c:pt idx="110">
                  <c:v>45875</c:v>
                </c:pt>
                <c:pt idx="111">
                  <c:v>45876</c:v>
                </c:pt>
                <c:pt idx="112">
                  <c:v>45877</c:v>
                </c:pt>
                <c:pt idx="113">
                  <c:v>45880</c:v>
                </c:pt>
                <c:pt idx="114">
                  <c:v>45881</c:v>
                </c:pt>
                <c:pt idx="115">
                  <c:v>45882</c:v>
                </c:pt>
                <c:pt idx="116">
                  <c:v>45883</c:v>
                </c:pt>
                <c:pt idx="117">
                  <c:v>45884</c:v>
                </c:pt>
                <c:pt idx="118">
                  <c:v>45887</c:v>
                </c:pt>
                <c:pt idx="119">
                  <c:v>45888</c:v>
                </c:pt>
                <c:pt idx="120">
                  <c:v>45889</c:v>
                </c:pt>
                <c:pt idx="121">
                  <c:v>45890</c:v>
                </c:pt>
                <c:pt idx="122">
                  <c:v>45891</c:v>
                </c:pt>
                <c:pt idx="123">
                  <c:v>45894</c:v>
                </c:pt>
                <c:pt idx="124">
                  <c:v>45895</c:v>
                </c:pt>
                <c:pt idx="125">
                  <c:v>45896</c:v>
                </c:pt>
                <c:pt idx="126">
                  <c:v>45897</c:v>
                </c:pt>
                <c:pt idx="127">
                  <c:v>45898</c:v>
                </c:pt>
                <c:pt idx="128">
                  <c:v>45902</c:v>
                </c:pt>
                <c:pt idx="129">
                  <c:v>45903</c:v>
                </c:pt>
                <c:pt idx="130">
                  <c:v>45904</c:v>
                </c:pt>
                <c:pt idx="131">
                  <c:v>45905</c:v>
                </c:pt>
                <c:pt idx="132">
                  <c:v>45908</c:v>
                </c:pt>
                <c:pt idx="133">
                  <c:v>45909</c:v>
                </c:pt>
                <c:pt idx="134">
                  <c:v>45910</c:v>
                </c:pt>
                <c:pt idx="135">
                  <c:v>45911</c:v>
                </c:pt>
                <c:pt idx="136">
                  <c:v>45912</c:v>
                </c:pt>
                <c:pt idx="137">
                  <c:v>45915</c:v>
                </c:pt>
                <c:pt idx="138">
                  <c:v>45916</c:v>
                </c:pt>
                <c:pt idx="139">
                  <c:v>45917</c:v>
                </c:pt>
                <c:pt idx="140">
                  <c:v>45918</c:v>
                </c:pt>
                <c:pt idx="141">
                  <c:v>45919</c:v>
                </c:pt>
                <c:pt idx="142">
                  <c:v>45922</c:v>
                </c:pt>
                <c:pt idx="143">
                  <c:v>45923</c:v>
                </c:pt>
                <c:pt idx="144">
                  <c:v>45924</c:v>
                </c:pt>
                <c:pt idx="145">
                  <c:v>45925</c:v>
                </c:pt>
                <c:pt idx="146">
                  <c:v>45926</c:v>
                </c:pt>
                <c:pt idx="147">
                  <c:v>45929</c:v>
                </c:pt>
                <c:pt idx="148">
                  <c:v>45930</c:v>
                </c:pt>
                <c:pt idx="149">
                  <c:v>45931</c:v>
                </c:pt>
                <c:pt idx="150">
                  <c:v>45932</c:v>
                </c:pt>
                <c:pt idx="151">
                  <c:v>45933</c:v>
                </c:pt>
                <c:pt idx="152">
                  <c:v>45936</c:v>
                </c:pt>
                <c:pt idx="153">
                  <c:v>45937</c:v>
                </c:pt>
                <c:pt idx="154">
                  <c:v>45938</c:v>
                </c:pt>
                <c:pt idx="155">
                  <c:v>45939</c:v>
                </c:pt>
                <c:pt idx="156">
                  <c:v>45940</c:v>
                </c:pt>
                <c:pt idx="157">
                  <c:v>45943</c:v>
                </c:pt>
                <c:pt idx="158">
                  <c:v>45944</c:v>
                </c:pt>
                <c:pt idx="159">
                  <c:v>45945</c:v>
                </c:pt>
                <c:pt idx="160">
                  <c:v>45946</c:v>
                </c:pt>
                <c:pt idx="161">
                  <c:v>45947</c:v>
                </c:pt>
                <c:pt idx="162">
                  <c:v>45950</c:v>
                </c:pt>
                <c:pt idx="163">
                  <c:v>45951</c:v>
                </c:pt>
                <c:pt idx="164">
                  <c:v>45952</c:v>
                </c:pt>
                <c:pt idx="165">
                  <c:v>45953</c:v>
                </c:pt>
                <c:pt idx="166">
                  <c:v>45954</c:v>
                </c:pt>
                <c:pt idx="167">
                  <c:v>45957</c:v>
                </c:pt>
                <c:pt idx="168">
                  <c:v>45958</c:v>
                </c:pt>
                <c:pt idx="169">
                  <c:v>45959</c:v>
                </c:pt>
                <c:pt idx="170">
                  <c:v>45960</c:v>
                </c:pt>
                <c:pt idx="171">
                  <c:v>45961</c:v>
                </c:pt>
                <c:pt idx="172">
                  <c:v>45964</c:v>
                </c:pt>
                <c:pt idx="173">
                  <c:v>45965</c:v>
                </c:pt>
                <c:pt idx="174">
                  <c:v>45966</c:v>
                </c:pt>
                <c:pt idx="175">
                  <c:v>45967</c:v>
                </c:pt>
                <c:pt idx="176">
                  <c:v>45968</c:v>
                </c:pt>
                <c:pt idx="177">
                  <c:v>45971</c:v>
                </c:pt>
                <c:pt idx="178">
                  <c:v>45972</c:v>
                </c:pt>
                <c:pt idx="179">
                  <c:v>45973</c:v>
                </c:pt>
                <c:pt idx="180">
                  <c:v>45974</c:v>
                </c:pt>
                <c:pt idx="181">
                  <c:v>45975</c:v>
                </c:pt>
                <c:pt idx="182">
                  <c:v>45978</c:v>
                </c:pt>
                <c:pt idx="183">
                  <c:v>45979</c:v>
                </c:pt>
                <c:pt idx="184">
                  <c:v>45980</c:v>
                </c:pt>
                <c:pt idx="185">
                  <c:v>45981</c:v>
                </c:pt>
                <c:pt idx="186">
                  <c:v>45982</c:v>
                </c:pt>
                <c:pt idx="187">
                  <c:v>45985</c:v>
                </c:pt>
                <c:pt idx="188">
                  <c:v>45986</c:v>
                </c:pt>
                <c:pt idx="189">
                  <c:v>45987</c:v>
                </c:pt>
                <c:pt idx="190">
                  <c:v>45989</c:v>
                </c:pt>
                <c:pt idx="191">
                  <c:v>45992</c:v>
                </c:pt>
                <c:pt idx="192">
                  <c:v>45993</c:v>
                </c:pt>
                <c:pt idx="193">
                  <c:v>45994</c:v>
                </c:pt>
                <c:pt idx="194">
                  <c:v>45995</c:v>
                </c:pt>
                <c:pt idx="195">
                  <c:v>45996</c:v>
                </c:pt>
                <c:pt idx="196">
                  <c:v>45999</c:v>
                </c:pt>
                <c:pt idx="197">
                  <c:v>46000</c:v>
                </c:pt>
                <c:pt idx="198">
                  <c:v>46001</c:v>
                </c:pt>
                <c:pt idx="199">
                  <c:v>46002</c:v>
                </c:pt>
                <c:pt idx="200">
                  <c:v>46003</c:v>
                </c:pt>
                <c:pt idx="201">
                  <c:v>46006</c:v>
                </c:pt>
                <c:pt idx="202">
                  <c:v>46007</c:v>
                </c:pt>
                <c:pt idx="203">
                  <c:v>46008</c:v>
                </c:pt>
                <c:pt idx="204">
                  <c:v>46009</c:v>
                </c:pt>
                <c:pt idx="205">
                  <c:v>46010</c:v>
                </c:pt>
                <c:pt idx="206">
                  <c:v>46013</c:v>
                </c:pt>
                <c:pt idx="207">
                  <c:v>46014</c:v>
                </c:pt>
                <c:pt idx="208">
                  <c:v>46015</c:v>
                </c:pt>
                <c:pt idx="209">
                  <c:v>46017</c:v>
                </c:pt>
                <c:pt idx="210">
                  <c:v>46020</c:v>
                </c:pt>
                <c:pt idx="211">
                  <c:v>46021</c:v>
                </c:pt>
                <c:pt idx="212">
                  <c:v>46022</c:v>
                </c:pt>
                <c:pt idx="213">
                  <c:v>46024</c:v>
                </c:pt>
                <c:pt idx="214">
                  <c:v>46027</c:v>
                </c:pt>
                <c:pt idx="215">
                  <c:v>46028</c:v>
                </c:pt>
                <c:pt idx="216">
                  <c:v>46029</c:v>
                </c:pt>
                <c:pt idx="217">
                  <c:v>46030</c:v>
                </c:pt>
                <c:pt idx="218">
                  <c:v>46031</c:v>
                </c:pt>
                <c:pt idx="219">
                  <c:v>46034</c:v>
                </c:pt>
                <c:pt idx="220">
                  <c:v>46035</c:v>
                </c:pt>
                <c:pt idx="221">
                  <c:v>46036</c:v>
                </c:pt>
                <c:pt idx="222">
                  <c:v>46037</c:v>
                </c:pt>
                <c:pt idx="223">
                  <c:v>46038</c:v>
                </c:pt>
                <c:pt idx="224">
                  <c:v>46042</c:v>
                </c:pt>
                <c:pt idx="225">
                  <c:v>46043</c:v>
                </c:pt>
                <c:pt idx="226">
                  <c:v>46044</c:v>
                </c:pt>
                <c:pt idx="227">
                  <c:v>46045</c:v>
                </c:pt>
                <c:pt idx="228">
                  <c:v>46048</c:v>
                </c:pt>
                <c:pt idx="229">
                  <c:v>46049</c:v>
                </c:pt>
                <c:pt idx="230">
                  <c:v>46050</c:v>
                </c:pt>
                <c:pt idx="231">
                  <c:v>46051</c:v>
                </c:pt>
                <c:pt idx="232">
                  <c:v>46052</c:v>
                </c:pt>
                <c:pt idx="233">
                  <c:v>46055</c:v>
                </c:pt>
                <c:pt idx="234">
                  <c:v>46056</c:v>
                </c:pt>
                <c:pt idx="235">
                  <c:v>46057</c:v>
                </c:pt>
                <c:pt idx="236">
                  <c:v>46058</c:v>
                </c:pt>
                <c:pt idx="237">
                  <c:v>46059</c:v>
                </c:pt>
                <c:pt idx="238">
                  <c:v>46062</c:v>
                </c:pt>
                <c:pt idx="239">
                  <c:v>46063</c:v>
                </c:pt>
                <c:pt idx="240">
                  <c:v>46064</c:v>
                </c:pt>
                <c:pt idx="241">
                  <c:v>46065</c:v>
                </c:pt>
                <c:pt idx="242">
                  <c:v>46066</c:v>
                </c:pt>
                <c:pt idx="243">
                  <c:v>46070</c:v>
                </c:pt>
                <c:pt idx="244">
                  <c:v>46071</c:v>
                </c:pt>
                <c:pt idx="245">
                  <c:v>46072</c:v>
                </c:pt>
                <c:pt idx="246">
                  <c:v>46073</c:v>
                </c:pt>
                <c:pt idx="247">
                  <c:v>46076</c:v>
                </c:pt>
                <c:pt idx="248">
                  <c:v>46077</c:v>
                </c:pt>
                <c:pt idx="249">
                  <c:v>46078</c:v>
                </c:pt>
                <c:pt idx="250">
                  <c:v>46079</c:v>
                </c:pt>
              </c:numCache>
            </c:numRef>
          </c:cat>
          <c:val>
            <c:numRef>
              <c:f>Data!$Z$2:$Z$252</c:f>
              <c:numCache>
                <c:formatCode>General</c:formatCode>
                <c:ptCount val="251"/>
                <c:pt idx="34">
                  <c:v>-3.7537189400647182</c:v>
                </c:pt>
                <c:pt idx="35">
                  <c:v>-4.2149177912785971</c:v>
                </c:pt>
                <c:pt idx="36">
                  <c:v>-4.5501804535146242</c:v>
                </c:pt>
                <c:pt idx="37">
                  <c:v>-4.7884546857703612</c:v>
                </c:pt>
                <c:pt idx="38">
                  <c:v>-4.904402809143523</c:v>
                </c:pt>
                <c:pt idx="39">
                  <c:v>-4.9318474804609913</c:v>
                </c:pt>
                <c:pt idx="40">
                  <c:v>-4.8692829797304089</c:v>
                </c:pt>
                <c:pt idx="41">
                  <c:v>-4.755247660136833</c:v>
                </c:pt>
                <c:pt idx="42">
                  <c:v>-4.6557834847100779</c:v>
                </c:pt>
                <c:pt idx="43">
                  <c:v>-4.5568639410690368</c:v>
                </c:pt>
                <c:pt idx="44">
                  <c:v>-4.4173473815960769</c:v>
                </c:pt>
                <c:pt idx="45">
                  <c:v>-4.2974943073254028</c:v>
                </c:pt>
                <c:pt idx="46">
                  <c:v>-4.1848585204200406</c:v>
                </c:pt>
                <c:pt idx="47">
                  <c:v>-4.0700814653753392</c:v>
                </c:pt>
                <c:pt idx="48">
                  <c:v>-3.9307595489342426</c:v>
                </c:pt>
                <c:pt idx="49">
                  <c:v>-3.7512639747044338</c:v>
                </c:pt>
                <c:pt idx="50">
                  <c:v>-3.4975105733308833</c:v>
                </c:pt>
                <c:pt idx="51">
                  <c:v>-3.1908977194074386</c:v>
                </c:pt>
                <c:pt idx="52">
                  <c:v>-2.870803038634103</c:v>
                </c:pt>
                <c:pt idx="53">
                  <c:v>-2.5430818558332664</c:v>
                </c:pt>
                <c:pt idx="54">
                  <c:v>-2.2245167238381796</c:v>
                </c:pt>
                <c:pt idx="55">
                  <c:v>-1.980915455737404</c:v>
                </c:pt>
                <c:pt idx="56">
                  <c:v>-1.8120195466828259</c:v>
                </c:pt>
                <c:pt idx="57">
                  <c:v>-1.7219534042362792</c:v>
                </c:pt>
                <c:pt idx="58">
                  <c:v>-1.6864006605116559</c:v>
                </c:pt>
                <c:pt idx="59">
                  <c:v>-1.6630929244079633</c:v>
                </c:pt>
                <c:pt idx="60">
                  <c:v>-1.6243102301315853</c:v>
                </c:pt>
                <c:pt idx="61">
                  <c:v>-1.6030365460904996</c:v>
                </c:pt>
                <c:pt idx="62">
                  <c:v>-1.5600448814261934</c:v>
                </c:pt>
                <c:pt idx="63">
                  <c:v>-1.5214436868119547</c:v>
                </c:pt>
                <c:pt idx="64">
                  <c:v>-1.4659621800679976</c:v>
                </c:pt>
                <c:pt idx="65">
                  <c:v>-1.372185577345397</c:v>
                </c:pt>
                <c:pt idx="66">
                  <c:v>-1.2909754131211277</c:v>
                </c:pt>
                <c:pt idx="67">
                  <c:v>-1.2264550014919138</c:v>
                </c:pt>
                <c:pt idx="68">
                  <c:v>-1.1201732142037146</c:v>
                </c:pt>
                <c:pt idx="69">
                  <c:v>-0.98195964249888801</c:v>
                </c:pt>
                <c:pt idx="70">
                  <c:v>-0.78741720878184818</c:v>
                </c:pt>
                <c:pt idx="71">
                  <c:v>-0.54315767355677302</c:v>
                </c:pt>
                <c:pt idx="72">
                  <c:v>-0.27627160550414032</c:v>
                </c:pt>
                <c:pt idx="73">
                  <c:v>6.4325561504704476E-3</c:v>
                </c:pt>
                <c:pt idx="74">
                  <c:v>0.28613124194488837</c:v>
                </c:pt>
                <c:pt idx="75">
                  <c:v>0.59362318841903217</c:v>
                </c:pt>
                <c:pt idx="76">
                  <c:v>0.89053327444782004</c:v>
                </c:pt>
                <c:pt idx="77">
                  <c:v>1.1849146382530544</c:v>
                </c:pt>
                <c:pt idx="78">
                  <c:v>1.4166610513637066</c:v>
                </c:pt>
                <c:pt idx="79">
                  <c:v>1.5409625869953423</c:v>
                </c:pt>
                <c:pt idx="80">
                  <c:v>1.5827860845340873</c:v>
                </c:pt>
                <c:pt idx="81">
                  <c:v>1.5864188424637877</c:v>
                </c:pt>
                <c:pt idx="82">
                  <c:v>1.5519378096987071</c:v>
                </c:pt>
                <c:pt idx="83">
                  <c:v>1.4822655142620251</c:v>
                </c:pt>
                <c:pt idx="84">
                  <c:v>1.4287814810386581</c:v>
                </c:pt>
                <c:pt idx="85">
                  <c:v>1.4234413187936608</c:v>
                </c:pt>
                <c:pt idx="86">
                  <c:v>1.4515346538293306</c:v>
                </c:pt>
                <c:pt idx="87">
                  <c:v>1.4803266336343113</c:v>
                </c:pt>
                <c:pt idx="88">
                  <c:v>1.5978470126242699</c:v>
                </c:pt>
                <c:pt idx="89">
                  <c:v>1.7576682327457993</c:v>
                </c:pt>
                <c:pt idx="90">
                  <c:v>1.9499662050397313</c:v>
                </c:pt>
                <c:pt idx="91">
                  <c:v>2.1662830657202412</c:v>
                </c:pt>
                <c:pt idx="92">
                  <c:v>2.322984253340779</c:v>
                </c:pt>
                <c:pt idx="93">
                  <c:v>2.4134941665223222</c:v>
                </c:pt>
                <c:pt idx="94">
                  <c:v>2.4399862503239964</c:v>
                </c:pt>
                <c:pt idx="95">
                  <c:v>2.4426966651633273</c:v>
                </c:pt>
                <c:pt idx="96">
                  <c:v>2.4034127890143697</c:v>
                </c:pt>
                <c:pt idx="97">
                  <c:v>2.328645576889643</c:v>
                </c:pt>
                <c:pt idx="98">
                  <c:v>2.235993653445588</c:v>
                </c:pt>
                <c:pt idx="99">
                  <c:v>2.1810322256663754</c:v>
                </c:pt>
                <c:pt idx="100">
                  <c:v>2.1908410928640003</c:v>
                </c:pt>
                <c:pt idx="101">
                  <c:v>2.2199442873099962</c:v>
                </c:pt>
                <c:pt idx="102">
                  <c:v>2.2775298116334484</c:v>
                </c:pt>
                <c:pt idx="103">
                  <c:v>2.3567236410172474</c:v>
                </c:pt>
                <c:pt idx="104">
                  <c:v>2.3845763927366654</c:v>
                </c:pt>
                <c:pt idx="105">
                  <c:v>2.3427220537666447</c:v>
                </c:pt>
                <c:pt idx="106">
                  <c:v>2.2502021371395315</c:v>
                </c:pt>
                <c:pt idx="107">
                  <c:v>2.1199038093205789</c:v>
                </c:pt>
                <c:pt idx="108">
                  <c:v>1.9998343012230206</c:v>
                </c:pt>
                <c:pt idx="109">
                  <c:v>1.8837640861360705</c:v>
                </c:pt>
                <c:pt idx="110">
                  <c:v>1.7780543415648555</c:v>
                </c:pt>
                <c:pt idx="111">
                  <c:v>1.7098429426925592</c:v>
                </c:pt>
                <c:pt idx="112">
                  <c:v>1.6399245678625949</c:v>
                </c:pt>
                <c:pt idx="113">
                  <c:v>1.5846586822972841</c:v>
                </c:pt>
                <c:pt idx="114">
                  <c:v>1.5606768793154142</c:v>
                </c:pt>
                <c:pt idx="115">
                  <c:v>1.5426757653357457</c:v>
                </c:pt>
                <c:pt idx="116">
                  <c:v>1.5480274475539162</c:v>
                </c:pt>
                <c:pt idx="117">
                  <c:v>1.5445834666742737</c:v>
                </c:pt>
                <c:pt idx="118">
                  <c:v>1.4793179946075257</c:v>
                </c:pt>
                <c:pt idx="119">
                  <c:v>1.3948180559572496</c:v>
                </c:pt>
                <c:pt idx="120">
                  <c:v>1.3366866693811157</c:v>
                </c:pt>
                <c:pt idx="121">
                  <c:v>1.3370434583998643</c:v>
                </c:pt>
                <c:pt idx="122">
                  <c:v>1.3713124951286113</c:v>
                </c:pt>
                <c:pt idx="123">
                  <c:v>1.4085134242342503</c:v>
                </c:pt>
                <c:pt idx="124">
                  <c:v>1.4723858874936921</c:v>
                </c:pt>
                <c:pt idx="125">
                  <c:v>1.5475477395846655</c:v>
                </c:pt>
                <c:pt idx="126">
                  <c:v>1.6427399314841697</c:v>
                </c:pt>
                <c:pt idx="127">
                  <c:v>1.7613764153544462</c:v>
                </c:pt>
                <c:pt idx="128">
                  <c:v>1.8243255254300537</c:v>
                </c:pt>
                <c:pt idx="129">
                  <c:v>1.8390098312875343</c:v>
                </c:pt>
                <c:pt idx="130">
                  <c:v>1.7541851456327726</c:v>
                </c:pt>
                <c:pt idx="131">
                  <c:v>1.6128631607382586</c:v>
                </c:pt>
                <c:pt idx="132">
                  <c:v>1.4534233073557754</c:v>
                </c:pt>
                <c:pt idx="133">
                  <c:v>1.3345789627738653</c:v>
                </c:pt>
                <c:pt idx="134">
                  <c:v>1.2517063694917148</c:v>
                </c:pt>
                <c:pt idx="135">
                  <c:v>1.1746835651176704</c:v>
                </c:pt>
                <c:pt idx="136">
                  <c:v>1.1058784995133484</c:v>
                </c:pt>
                <c:pt idx="137">
                  <c:v>1.0788888553815268</c:v>
                </c:pt>
                <c:pt idx="138">
                  <c:v>1.0858390719097302</c:v>
                </c:pt>
                <c:pt idx="139">
                  <c:v>1.0912799269096116</c:v>
                </c:pt>
                <c:pt idx="140">
                  <c:v>1.0510421630782769</c:v>
                </c:pt>
                <c:pt idx="141">
                  <c:v>0.97933501172890236</c:v>
                </c:pt>
                <c:pt idx="142">
                  <c:v>0.91128791257745778</c:v>
                </c:pt>
                <c:pt idx="143">
                  <c:v>0.87510476720912111</c:v>
                </c:pt>
                <c:pt idx="144">
                  <c:v>0.88336537082452482</c:v>
                </c:pt>
                <c:pt idx="145">
                  <c:v>0.90810157949190717</c:v>
                </c:pt>
                <c:pt idx="146">
                  <c:v>0.87502298932270872</c:v>
                </c:pt>
                <c:pt idx="147">
                  <c:v>0.7925238063432688</c:v>
                </c:pt>
                <c:pt idx="148">
                  <c:v>0.67023953932820757</c:v>
                </c:pt>
                <c:pt idx="149">
                  <c:v>0.50859664095638113</c:v>
                </c:pt>
                <c:pt idx="150">
                  <c:v>0.33247070303693604</c:v>
                </c:pt>
                <c:pt idx="151">
                  <c:v>0.16324069672665192</c:v>
                </c:pt>
                <c:pt idx="152">
                  <c:v>2.1031614954096126E-2</c:v>
                </c:pt>
                <c:pt idx="153">
                  <c:v>-0.11550104171603354</c:v>
                </c:pt>
                <c:pt idx="154">
                  <c:v>-0.27455958089716731</c:v>
                </c:pt>
                <c:pt idx="155">
                  <c:v>-0.48248811827422644</c:v>
                </c:pt>
                <c:pt idx="156">
                  <c:v>-0.6605463537160976</c:v>
                </c:pt>
                <c:pt idx="157">
                  <c:v>-0.80186334972535556</c:v>
                </c:pt>
                <c:pt idx="158">
                  <c:v>-0.91538320590121058</c:v>
                </c:pt>
                <c:pt idx="159">
                  <c:v>-1.0098248777986978</c:v>
                </c:pt>
                <c:pt idx="160">
                  <c:v>-1.0631987798774034</c:v>
                </c:pt>
                <c:pt idx="161">
                  <c:v>-1.0632748238869283</c:v>
                </c:pt>
                <c:pt idx="162">
                  <c:v>-1.0385259452636775</c:v>
                </c:pt>
                <c:pt idx="163">
                  <c:v>-0.96874879208556774</c:v>
                </c:pt>
                <c:pt idx="164">
                  <c:v>-0.85640377618022778</c:v>
                </c:pt>
                <c:pt idx="165">
                  <c:v>-0.73726985848492599</c:v>
                </c:pt>
                <c:pt idx="166">
                  <c:v>-0.62291283482100313</c:v>
                </c:pt>
                <c:pt idx="167">
                  <c:v>-0.53447249393332918</c:v>
                </c:pt>
                <c:pt idx="168">
                  <c:v>-0.45021846212816308</c:v>
                </c:pt>
                <c:pt idx="169">
                  <c:v>-0.39718690158700287</c:v>
                </c:pt>
                <c:pt idx="170">
                  <c:v>-0.29859116688848886</c:v>
                </c:pt>
                <c:pt idx="171">
                  <c:v>-0.23463694293163542</c:v>
                </c:pt>
                <c:pt idx="172">
                  <c:v>-0.20558351820448478</c:v>
                </c:pt>
                <c:pt idx="173">
                  <c:v>-0.21110642404984242</c:v>
                </c:pt>
                <c:pt idx="174">
                  <c:v>-0.23306319348254551</c:v>
                </c:pt>
                <c:pt idx="175">
                  <c:v>-0.23045299675248038</c:v>
                </c:pt>
                <c:pt idx="176">
                  <c:v>-0.2020050013518167</c:v>
                </c:pt>
                <c:pt idx="177">
                  <c:v>-0.14898014956015868</c:v>
                </c:pt>
                <c:pt idx="178">
                  <c:v>-0.12957798935624315</c:v>
                </c:pt>
                <c:pt idx="179">
                  <c:v>-9.5914659652539092E-2</c:v>
                </c:pt>
                <c:pt idx="180">
                  <c:v>-2.231177510231231E-2</c:v>
                </c:pt>
                <c:pt idx="181">
                  <c:v>2.7844552213137062E-2</c:v>
                </c:pt>
                <c:pt idx="182">
                  <c:v>4.1466991619675472E-2</c:v>
                </c:pt>
                <c:pt idx="183">
                  <c:v>7.4959678594586909E-4</c:v>
                </c:pt>
                <c:pt idx="184">
                  <c:v>-9.4070826951910672E-2</c:v>
                </c:pt>
                <c:pt idx="185">
                  <c:v>-0.22288188858313224</c:v>
                </c:pt>
                <c:pt idx="186">
                  <c:v>-0.36940665759798941</c:v>
                </c:pt>
                <c:pt idx="187">
                  <c:v>-0.53797539968535757</c:v>
                </c:pt>
                <c:pt idx="188">
                  <c:v>-0.69466274263253891</c:v>
                </c:pt>
                <c:pt idx="189">
                  <c:v>-0.80825981459631269</c:v>
                </c:pt>
                <c:pt idx="190">
                  <c:v>-0.86455587917501542</c:v>
                </c:pt>
                <c:pt idx="191">
                  <c:v>-0.91655076450499051</c:v>
                </c:pt>
                <c:pt idx="192">
                  <c:v>-0.93965617423269854</c:v>
                </c:pt>
                <c:pt idx="193">
                  <c:v>-0.93061187139381607</c:v>
                </c:pt>
                <c:pt idx="194">
                  <c:v>-0.93582679622009091</c:v>
                </c:pt>
                <c:pt idx="195">
                  <c:v>-0.96815401173740256</c:v>
                </c:pt>
                <c:pt idx="196">
                  <c:v>-1.0170833924316911</c:v>
                </c:pt>
                <c:pt idx="197">
                  <c:v>-1.0249486962605012</c:v>
                </c:pt>
                <c:pt idx="198">
                  <c:v>-1.0153360016338577</c:v>
                </c:pt>
                <c:pt idx="199">
                  <c:v>-1.0046049170346314</c:v>
                </c:pt>
                <c:pt idx="200">
                  <c:v>-0.99447702966910301</c:v>
                </c:pt>
                <c:pt idx="201">
                  <c:v>-1.0316524895833628</c:v>
                </c:pt>
                <c:pt idx="202">
                  <c:v>-1.049982895216895</c:v>
                </c:pt>
                <c:pt idx="203">
                  <c:v>-1.0823441335524442</c:v>
                </c:pt>
                <c:pt idx="204">
                  <c:v>-1.1183790502419224</c:v>
                </c:pt>
                <c:pt idx="205">
                  <c:v>-1.1195719826880484</c:v>
                </c:pt>
                <c:pt idx="206">
                  <c:v>-1.084984732579481</c:v>
                </c:pt>
                <c:pt idx="207">
                  <c:v>-1.0274709225105219</c:v>
                </c:pt>
                <c:pt idx="208">
                  <c:v>-0.96391846337026377</c:v>
                </c:pt>
                <c:pt idx="209">
                  <c:v>-0.88223987226931611</c:v>
                </c:pt>
                <c:pt idx="210">
                  <c:v>-0.77041126734241594</c:v>
                </c:pt>
                <c:pt idx="211">
                  <c:v>-0.64219609339861994</c:v>
                </c:pt>
                <c:pt idx="212">
                  <c:v>-0.45328678025861913</c:v>
                </c:pt>
                <c:pt idx="213">
                  <c:v>-0.10836775576364366</c:v>
                </c:pt>
                <c:pt idx="214">
                  <c:v>0.19987411959172718</c:v>
                </c:pt>
                <c:pt idx="215">
                  <c:v>0.44713444904132382</c:v>
                </c:pt>
                <c:pt idx="216">
                  <c:v>0.70680720663799734</c:v>
                </c:pt>
                <c:pt idx="217">
                  <c:v>1.0046660317197682</c:v>
                </c:pt>
                <c:pt idx="218">
                  <c:v>1.3122245708751534</c:v>
                </c:pt>
                <c:pt idx="219">
                  <c:v>1.6311594072357718</c:v>
                </c:pt>
                <c:pt idx="220">
                  <c:v>1.9905542346799461</c:v>
                </c:pt>
                <c:pt idx="221">
                  <c:v>2.3347008849892621</c:v>
                </c:pt>
                <c:pt idx="222">
                  <c:v>2.6475237232092539</c:v>
                </c:pt>
                <c:pt idx="223">
                  <c:v>2.9029642313396042</c:v>
                </c:pt>
                <c:pt idx="224">
                  <c:v>3.125246365240919</c:v>
                </c:pt>
                <c:pt idx="225">
                  <c:v>3.306853198041483</c:v>
                </c:pt>
                <c:pt idx="226">
                  <c:v>3.4468656874684567</c:v>
                </c:pt>
                <c:pt idx="227">
                  <c:v>3.5580563025432328</c:v>
                </c:pt>
                <c:pt idx="228">
                  <c:v>3.6619729440656084</c:v>
                </c:pt>
                <c:pt idx="229">
                  <c:v>3.7615764267823111</c:v>
                </c:pt>
                <c:pt idx="230">
                  <c:v>3.8647842965056718</c:v>
                </c:pt>
                <c:pt idx="231">
                  <c:v>4.0471320890249025</c:v>
                </c:pt>
                <c:pt idx="232">
                  <c:v>4.2145108728874874</c:v>
                </c:pt>
                <c:pt idx="233">
                  <c:v>4.4181045848815703</c:v>
                </c:pt>
                <c:pt idx="234">
                  <c:v>4.6745492262783177</c:v>
                </c:pt>
                <c:pt idx="235">
                  <c:v>4.9081134793156949</c:v>
                </c:pt>
                <c:pt idx="236">
                  <c:v>5.1299120386824146</c:v>
                </c:pt>
                <c:pt idx="237">
                  <c:v>5.3487776187590006</c:v>
                </c:pt>
                <c:pt idx="238">
                  <c:v>5.5367161213078191</c:v>
                </c:pt>
                <c:pt idx="239">
                  <c:v>5.7395965087567742</c:v>
                </c:pt>
                <c:pt idx="240">
                  <c:v>5.8735610510261314</c:v>
                </c:pt>
                <c:pt idx="241">
                  <c:v>5.9652997176314235</c:v>
                </c:pt>
                <c:pt idx="242">
                  <c:v>5.9612722193200902</c:v>
                </c:pt>
                <c:pt idx="243">
                  <c:v>5.9368131879939803</c:v>
                </c:pt>
                <c:pt idx="244">
                  <c:v>5.9018175708067728</c:v>
                </c:pt>
                <c:pt idx="245">
                  <c:v>5.8350396641898241</c:v>
                </c:pt>
                <c:pt idx="246">
                  <c:v>5.7541779344271635</c:v>
                </c:pt>
                <c:pt idx="247">
                  <c:v>5.6624731060549056</c:v>
                </c:pt>
                <c:pt idx="248">
                  <c:v>5.5380044847000098</c:v>
                </c:pt>
                <c:pt idx="249">
                  <c:v>5.3859455060487953</c:v>
                </c:pt>
                <c:pt idx="250">
                  <c:v>4.3087564048390368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04-4165-A838-B097266CB4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234544"/>
        <c:axId val="1573230224"/>
      </c:lineChart>
      <c:dateAx>
        <c:axId val="1573234544"/>
        <c:scaling>
          <c:orientation val="minMax"/>
          <c:max val="46077"/>
          <c:min val="45988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230224"/>
        <c:crosses val="autoZero"/>
        <c:auto val="1"/>
        <c:lblOffset val="100"/>
        <c:baseTimeUnit val="days"/>
      </c:dateAx>
      <c:valAx>
        <c:axId val="157323022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234544"/>
        <c:crosses val="autoZero"/>
        <c:crossBetween val="between"/>
      </c:valAx>
      <c:valAx>
        <c:axId val="1573239824"/>
        <c:scaling>
          <c:orientation val="minMax"/>
          <c:min val="-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231664"/>
        <c:crosses val="max"/>
        <c:crossBetween val="between"/>
      </c:valAx>
      <c:dateAx>
        <c:axId val="157323166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57323982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Forecast!$F$1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m/d/yyyy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Forecast!$F$2:$F$60</c:f>
              <c:numCache>
                <c:formatCode>General</c:formatCode>
                <c:ptCount val="59"/>
                <c:pt idx="0">
                  <c:v>157.64499999999998</c:v>
                </c:pt>
                <c:pt idx="1">
                  <c:v>153.03800000000001</c:v>
                </c:pt>
                <c:pt idx="2">
                  <c:v>154.99</c:v>
                </c:pt>
                <c:pt idx="3">
                  <c:v>162.62</c:v>
                </c:pt>
                <c:pt idx="4">
                  <c:v>166.334</c:v>
                </c:pt>
                <c:pt idx="5">
                  <c:v>160.334</c:v>
                </c:pt>
                <c:pt idx="6">
                  <c:v>138.744</c:v>
                </c:pt>
                <c:pt idx="7">
                  <c:v>135.77250000000001</c:v>
                </c:pt>
                <c:pt idx="8">
                  <c:v>137.102</c:v>
                </c:pt>
                <c:pt idx="9">
                  <c:v>138.04400000000001</c:v>
                </c:pt>
                <c:pt idx="10">
                  <c:v>136.48400000000001</c:v>
                </c:pt>
                <c:pt idx="11">
                  <c:v>142</c:v>
                </c:pt>
                <c:pt idx="12">
                  <c:v>136.63</c:v>
                </c:pt>
                <c:pt idx="13">
                  <c:v>137.11500000000001</c:v>
                </c:pt>
                <c:pt idx="14">
                  <c:v>138.374</c:v>
                </c:pt>
                <c:pt idx="15">
                  <c:v>143.95400000000001</c:v>
                </c:pt>
                <c:pt idx="16">
                  <c:v>148.155</c:v>
                </c:pt>
                <c:pt idx="17">
                  <c:v>144.374</c:v>
                </c:pt>
                <c:pt idx="18">
                  <c:v>146.2775</c:v>
                </c:pt>
                <c:pt idx="19">
                  <c:v>152.62800000000001</c:v>
                </c:pt>
                <c:pt idx="20">
                  <c:v>150.73599999999999</c:v>
                </c:pt>
                <c:pt idx="21">
                  <c:v>152.702</c:v>
                </c:pt>
                <c:pt idx="22">
                  <c:v>153.982</c:v>
                </c:pt>
                <c:pt idx="23">
                  <c:v>153.006</c:v>
                </c:pt>
                <c:pt idx="24">
                  <c:v>155.09399999999999</c:v>
                </c:pt>
                <c:pt idx="25">
                  <c:v>154.85400000000001</c:v>
                </c:pt>
                <c:pt idx="26">
                  <c:v>158.94399999999999</c:v>
                </c:pt>
                <c:pt idx="27">
                  <c:v>157.81</c:v>
                </c:pt>
                <c:pt idx="28">
                  <c:v>156.4</c:v>
                </c:pt>
                <c:pt idx="29">
                  <c:v>158.398</c:v>
                </c:pt>
                <c:pt idx="30">
                  <c:v>158.70599999999999</c:v>
                </c:pt>
                <c:pt idx="31">
                  <c:v>154.578</c:v>
                </c:pt>
                <c:pt idx="32">
                  <c:v>152.642</c:v>
                </c:pt>
                <c:pt idx="33">
                  <c:v>152.24600000000001</c:v>
                </c:pt>
                <c:pt idx="34">
                  <c:v>155.19200000000001</c:v>
                </c:pt>
                <c:pt idx="35">
                  <c:v>155.15</c:v>
                </c:pt>
                <c:pt idx="36">
                  <c:v>153.60999999999999</c:v>
                </c:pt>
                <c:pt idx="37">
                  <c:v>155.68200000000002</c:v>
                </c:pt>
                <c:pt idx="38">
                  <c:v>152.08599999999998</c:v>
                </c:pt>
                <c:pt idx="39">
                  <c:v>149.72999999999999</c:v>
                </c:pt>
                <c:pt idx="40">
                  <c:v>151.328</c:v>
                </c:pt>
                <c:pt idx="41">
                  <c:v>149.864</c:v>
                </c:pt>
                <c:pt idx="42">
                  <c:v>148.30199999999999</c:v>
                </c:pt>
                <c:pt idx="43">
                  <c:v>150.20750000000001</c:v>
                </c:pt>
                <c:pt idx="44">
                  <c:v>152.9025</c:v>
                </c:pt>
                <c:pt idx="45">
                  <c:v>159.38999999999999</c:v>
                </c:pt>
                <c:pt idx="46">
                  <c:v>165.17400000000001</c:v>
                </c:pt>
                <c:pt idx="47">
                  <c:v>166.35249999999999</c:v>
                </c:pt>
                <c:pt idx="48">
                  <c:v>170.91400000000002</c:v>
                </c:pt>
                <c:pt idx="49">
                  <c:v>178.678</c:v>
                </c:pt>
                <c:pt idx="50">
                  <c:v>183.364</c:v>
                </c:pt>
                <c:pt idx="51">
                  <c:v>183.2825</c:v>
                </c:pt>
                <c:pt idx="52">
                  <c:v>184.6575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F0-47C0-98D6-91CFDE866220}"/>
            </c:ext>
          </c:extLst>
        </c:ser>
        <c:ser>
          <c:idx val="1"/>
          <c:order val="1"/>
          <c:tx>
            <c:strRef>
              <c:f>Forecast!$G$1</c:f>
              <c:strCache>
                <c:ptCount val="1"/>
                <c:pt idx="0">
                  <c:v>XL Forecast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m/d/yyyy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Forecast!$G$2:$G$60</c:f>
              <c:numCache>
                <c:formatCode>General</c:formatCode>
                <c:ptCount val="59"/>
                <c:pt idx="53">
                  <c:v>185.01009980109947</c:v>
                </c:pt>
                <c:pt idx="54">
                  <c:v>185.53439935827865</c:v>
                </c:pt>
                <c:pt idx="55">
                  <c:v>186.08924673081393</c:v>
                </c:pt>
                <c:pt idx="56">
                  <c:v>185.30247667454282</c:v>
                </c:pt>
                <c:pt idx="57">
                  <c:v>187.28625748138904</c:v>
                </c:pt>
                <c:pt idx="58">
                  <c:v>187.20232799506925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F0-47C0-98D6-91CFDE866220}"/>
            </c:ext>
          </c:extLst>
        </c:ser>
        <c:ser>
          <c:idx val="2"/>
          <c:order val="2"/>
          <c:tx>
            <c:strRef>
              <c:f>Forecast!$H$1</c:f>
              <c:strCache>
                <c:ptCount val="1"/>
                <c:pt idx="0">
                  <c:v>Calc Forecast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m/d/yyyy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Forecast!$H$2:$H$60</c:f>
              <c:numCache>
                <c:formatCode>General</c:formatCode>
                <c:ptCount val="59"/>
                <c:pt idx="53">
                  <c:v>177.54495919856399</c:v>
                </c:pt>
                <c:pt idx="54">
                  <c:v>177.20161097841</c:v>
                </c:pt>
                <c:pt idx="55">
                  <c:v>179.21569833971699</c:v>
                </c:pt>
                <c:pt idx="56">
                  <c:v>183.75772101508301</c:v>
                </c:pt>
                <c:pt idx="57">
                  <c:v>187.45041946293401</c:v>
                </c:pt>
                <c:pt idx="58">
                  <c:v>190.015603272931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F0-47C0-98D6-91CFDE866220}"/>
            </c:ext>
          </c:extLst>
        </c:ser>
        <c:ser>
          <c:idx val="3"/>
          <c:order val="3"/>
          <c:tx>
            <c:strRef>
              <c:f>Forecast!$I$1</c:f>
              <c:strCache>
                <c:ptCount val="1"/>
                <c:pt idx="0">
                  <c:v>GSSimple ML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m/d/yyyy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Forecast!$I$2:$I$60</c:f>
              <c:numCache>
                <c:formatCode>General</c:formatCode>
                <c:ptCount val="59"/>
                <c:pt idx="53">
                  <c:v>194.07908699999999</c:v>
                </c:pt>
                <c:pt idx="54">
                  <c:v>183.83584400000001</c:v>
                </c:pt>
                <c:pt idx="55">
                  <c:v>195.25428299999999</c:v>
                </c:pt>
                <c:pt idx="56">
                  <c:v>198.587705</c:v>
                </c:pt>
                <c:pt idx="57">
                  <c:v>199.39606800000001</c:v>
                </c:pt>
                <c:pt idx="58">
                  <c:v>187.108869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F0-47C0-98D6-91CFDE866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206992"/>
        <c:axId val="236197392"/>
      </c:lineChart>
      <c:dateAx>
        <c:axId val="236206992"/>
        <c:scaling>
          <c:orientation val="minMax"/>
          <c:min val="45893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197392"/>
        <c:crosses val="autoZero"/>
        <c:auto val="1"/>
        <c:lblOffset val="100"/>
        <c:baseTimeUnit val="days"/>
      </c:dateAx>
      <c:valAx>
        <c:axId val="236197392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20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Dividends!$B$1</c:f>
              <c:strCache>
                <c:ptCount val="1"/>
                <c:pt idx="0">
                  <c:v>Dividends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Dividends!$A$2:$A$1000</c:f>
              <c:numCache>
                <c:formatCode>yyyy\-mm\-dd;@</c:formatCode>
                <c:ptCount val="999"/>
                <c:pt idx="0">
                  <c:v>36572</c:v>
                </c:pt>
                <c:pt idx="1">
                  <c:v>36663</c:v>
                </c:pt>
                <c:pt idx="2">
                  <c:v>36754</c:v>
                </c:pt>
                <c:pt idx="3">
                  <c:v>36845</c:v>
                </c:pt>
                <c:pt idx="4">
                  <c:v>36936</c:v>
                </c:pt>
                <c:pt idx="5">
                  <c:v>37027</c:v>
                </c:pt>
                <c:pt idx="6">
                  <c:v>37118</c:v>
                </c:pt>
                <c:pt idx="7">
                  <c:v>37209</c:v>
                </c:pt>
                <c:pt idx="8">
                  <c:v>37300</c:v>
                </c:pt>
                <c:pt idx="9">
                  <c:v>37391</c:v>
                </c:pt>
                <c:pt idx="10">
                  <c:v>37483</c:v>
                </c:pt>
                <c:pt idx="11">
                  <c:v>37574</c:v>
                </c:pt>
                <c:pt idx="12">
                  <c:v>37664</c:v>
                </c:pt>
                <c:pt idx="13">
                  <c:v>37756</c:v>
                </c:pt>
                <c:pt idx="14">
                  <c:v>37848</c:v>
                </c:pt>
                <c:pt idx="15">
                  <c:v>37939</c:v>
                </c:pt>
                <c:pt idx="16">
                  <c:v>38030</c:v>
                </c:pt>
                <c:pt idx="17">
                  <c:v>38124</c:v>
                </c:pt>
                <c:pt idx="18">
                  <c:v>38216</c:v>
                </c:pt>
                <c:pt idx="19">
                  <c:v>38307</c:v>
                </c:pt>
                <c:pt idx="20">
                  <c:v>38397</c:v>
                </c:pt>
                <c:pt idx="21">
                  <c:v>38489</c:v>
                </c:pt>
                <c:pt idx="22">
                  <c:v>38581</c:v>
                </c:pt>
                <c:pt idx="23">
                  <c:v>38672</c:v>
                </c:pt>
                <c:pt idx="24">
                  <c:v>38762</c:v>
                </c:pt>
                <c:pt idx="25">
                  <c:v>38854</c:v>
                </c:pt>
                <c:pt idx="26">
                  <c:v>38945</c:v>
                </c:pt>
                <c:pt idx="27">
                  <c:v>39036</c:v>
                </c:pt>
                <c:pt idx="28">
                  <c:v>39127</c:v>
                </c:pt>
                <c:pt idx="29">
                  <c:v>39218</c:v>
                </c:pt>
                <c:pt idx="30">
                  <c:v>39309</c:v>
                </c:pt>
                <c:pt idx="31">
                  <c:v>39400</c:v>
                </c:pt>
                <c:pt idx="32">
                  <c:v>39491</c:v>
                </c:pt>
                <c:pt idx="33">
                  <c:v>39583</c:v>
                </c:pt>
                <c:pt idx="34">
                  <c:v>39675</c:v>
                </c:pt>
                <c:pt idx="35">
                  <c:v>39766</c:v>
                </c:pt>
                <c:pt idx="36">
                  <c:v>39856</c:v>
                </c:pt>
                <c:pt idx="37">
                  <c:v>39948</c:v>
                </c:pt>
                <c:pt idx="38">
                  <c:v>40042</c:v>
                </c:pt>
                <c:pt idx="39">
                  <c:v>40133</c:v>
                </c:pt>
                <c:pt idx="40">
                  <c:v>40221</c:v>
                </c:pt>
                <c:pt idx="41">
                  <c:v>40315</c:v>
                </c:pt>
                <c:pt idx="42">
                  <c:v>40407</c:v>
                </c:pt>
                <c:pt idx="43">
                  <c:v>40498</c:v>
                </c:pt>
                <c:pt idx="44">
                  <c:v>40588</c:v>
                </c:pt>
                <c:pt idx="45">
                  <c:v>40680</c:v>
                </c:pt>
                <c:pt idx="46">
                  <c:v>40772</c:v>
                </c:pt>
                <c:pt idx="47">
                  <c:v>40863</c:v>
                </c:pt>
                <c:pt idx="48">
                  <c:v>40954</c:v>
                </c:pt>
                <c:pt idx="49">
                  <c:v>41045</c:v>
                </c:pt>
                <c:pt idx="50">
                  <c:v>41136</c:v>
                </c:pt>
                <c:pt idx="51">
                  <c:v>41227</c:v>
                </c:pt>
                <c:pt idx="52">
                  <c:v>41318</c:v>
                </c:pt>
                <c:pt idx="53">
                  <c:v>41409</c:v>
                </c:pt>
                <c:pt idx="54">
                  <c:v>41501</c:v>
                </c:pt>
                <c:pt idx="55">
                  <c:v>41592</c:v>
                </c:pt>
                <c:pt idx="56">
                  <c:v>41682</c:v>
                </c:pt>
                <c:pt idx="57">
                  <c:v>41774</c:v>
                </c:pt>
                <c:pt idx="58">
                  <c:v>41866</c:v>
                </c:pt>
                <c:pt idx="59">
                  <c:v>41957</c:v>
                </c:pt>
                <c:pt idx="60">
                  <c:v>42047</c:v>
                </c:pt>
                <c:pt idx="61">
                  <c:v>42139</c:v>
                </c:pt>
                <c:pt idx="62">
                  <c:v>42233</c:v>
                </c:pt>
                <c:pt idx="63">
                  <c:v>42324</c:v>
                </c:pt>
                <c:pt idx="64">
                  <c:v>42416</c:v>
                </c:pt>
                <c:pt idx="65">
                  <c:v>42507</c:v>
                </c:pt>
                <c:pt idx="66">
                  <c:v>42599</c:v>
                </c:pt>
                <c:pt idx="67">
                  <c:v>42690</c:v>
                </c:pt>
                <c:pt idx="68">
                  <c:v>42780</c:v>
                </c:pt>
                <c:pt idx="69">
                  <c:v>42872</c:v>
                </c:pt>
                <c:pt idx="70">
                  <c:v>42963</c:v>
                </c:pt>
                <c:pt idx="71">
                  <c:v>43055</c:v>
                </c:pt>
                <c:pt idx="72">
                  <c:v>43146</c:v>
                </c:pt>
                <c:pt idx="73">
                  <c:v>43237</c:v>
                </c:pt>
                <c:pt idx="74">
                  <c:v>43328</c:v>
                </c:pt>
                <c:pt idx="75">
                  <c:v>43419</c:v>
                </c:pt>
                <c:pt idx="76">
                  <c:v>43510</c:v>
                </c:pt>
                <c:pt idx="77">
                  <c:v>43601</c:v>
                </c:pt>
                <c:pt idx="78">
                  <c:v>43693</c:v>
                </c:pt>
                <c:pt idx="79">
                  <c:v>43784</c:v>
                </c:pt>
                <c:pt idx="80">
                  <c:v>43875</c:v>
                </c:pt>
                <c:pt idx="81">
                  <c:v>43969</c:v>
                </c:pt>
                <c:pt idx="82">
                  <c:v>44061</c:v>
                </c:pt>
                <c:pt idx="83">
                  <c:v>44152</c:v>
                </c:pt>
                <c:pt idx="84">
                  <c:v>44243</c:v>
                </c:pt>
                <c:pt idx="85">
                  <c:v>44334</c:v>
                </c:pt>
                <c:pt idx="86">
                  <c:v>44426</c:v>
                </c:pt>
                <c:pt idx="87">
                  <c:v>44517</c:v>
                </c:pt>
                <c:pt idx="88">
                  <c:v>44607</c:v>
                </c:pt>
                <c:pt idx="89">
                  <c:v>44699</c:v>
                </c:pt>
                <c:pt idx="90">
                  <c:v>44791</c:v>
                </c:pt>
                <c:pt idx="91">
                  <c:v>44882</c:v>
                </c:pt>
                <c:pt idx="92">
                  <c:v>44972</c:v>
                </c:pt>
                <c:pt idx="93">
                  <c:v>45064</c:v>
                </c:pt>
                <c:pt idx="94">
                  <c:v>45155</c:v>
                </c:pt>
                <c:pt idx="95">
                  <c:v>45246</c:v>
                </c:pt>
                <c:pt idx="96">
                  <c:v>45337</c:v>
                </c:pt>
                <c:pt idx="97">
                  <c:v>45428</c:v>
                </c:pt>
                <c:pt idx="98">
                  <c:v>45523</c:v>
                </c:pt>
                <c:pt idx="99">
                  <c:v>45614</c:v>
                </c:pt>
                <c:pt idx="100">
                  <c:v>45702</c:v>
                </c:pt>
                <c:pt idx="101">
                  <c:v>45796</c:v>
                </c:pt>
                <c:pt idx="102">
                  <c:v>45888</c:v>
                </c:pt>
                <c:pt idx="103">
                  <c:v>45979</c:v>
                </c:pt>
              </c:numCache>
            </c:numRef>
          </c:cat>
          <c:val>
            <c:numRef>
              <c:f>Dividends!$B$2:$B$1000</c:f>
              <c:numCache>
                <c:formatCode>"$"#,##0.00_);[Red]\("$"#,##0.00\)</c:formatCode>
                <c:ptCount val="999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0.37</c:v>
                </c:pt>
                <c:pt idx="15">
                  <c:v>0.37</c:v>
                </c:pt>
                <c:pt idx="16">
                  <c:v>0.37</c:v>
                </c:pt>
                <c:pt idx="17">
                  <c:v>0.37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  <c:pt idx="25">
                  <c:v>0.52</c:v>
                </c:pt>
                <c:pt idx="26">
                  <c:v>0.52</c:v>
                </c:pt>
                <c:pt idx="27">
                  <c:v>0.52</c:v>
                </c:pt>
                <c:pt idx="28">
                  <c:v>0.52</c:v>
                </c:pt>
                <c:pt idx="29">
                  <c:v>0.57999999999999996</c:v>
                </c:pt>
                <c:pt idx="30">
                  <c:v>0.57999999999999996</c:v>
                </c:pt>
                <c:pt idx="31">
                  <c:v>0.57999999999999996</c:v>
                </c:pt>
                <c:pt idx="32">
                  <c:v>0.57999999999999996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0.68</c:v>
                </c:pt>
                <c:pt idx="39">
                  <c:v>0.68</c:v>
                </c:pt>
                <c:pt idx="40">
                  <c:v>0.68</c:v>
                </c:pt>
                <c:pt idx="41">
                  <c:v>0.72</c:v>
                </c:pt>
                <c:pt idx="42">
                  <c:v>0.72</c:v>
                </c:pt>
                <c:pt idx="43">
                  <c:v>0.72</c:v>
                </c:pt>
                <c:pt idx="44">
                  <c:v>0.72</c:v>
                </c:pt>
                <c:pt idx="45">
                  <c:v>0.78</c:v>
                </c:pt>
                <c:pt idx="46">
                  <c:v>0.78</c:v>
                </c:pt>
                <c:pt idx="47">
                  <c:v>0.81</c:v>
                </c:pt>
                <c:pt idx="48">
                  <c:v>0.81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1.07</c:v>
                </c:pt>
                <c:pt idx="58">
                  <c:v>1.07</c:v>
                </c:pt>
                <c:pt idx="59">
                  <c:v>1.07</c:v>
                </c:pt>
                <c:pt idx="60">
                  <c:v>1.07</c:v>
                </c:pt>
                <c:pt idx="61">
                  <c:v>1.07</c:v>
                </c:pt>
                <c:pt idx="62">
                  <c:v>1.07</c:v>
                </c:pt>
                <c:pt idx="63">
                  <c:v>1.07</c:v>
                </c:pt>
                <c:pt idx="64">
                  <c:v>1.07</c:v>
                </c:pt>
                <c:pt idx="65">
                  <c:v>1.07</c:v>
                </c:pt>
                <c:pt idx="66">
                  <c:v>1.07</c:v>
                </c:pt>
                <c:pt idx="67">
                  <c:v>1.08</c:v>
                </c:pt>
                <c:pt idx="68">
                  <c:v>1.08</c:v>
                </c:pt>
                <c:pt idx="69">
                  <c:v>1.08</c:v>
                </c:pt>
                <c:pt idx="70">
                  <c:v>1.08</c:v>
                </c:pt>
                <c:pt idx="71">
                  <c:v>1.08</c:v>
                </c:pt>
                <c:pt idx="72">
                  <c:v>1.1200000000000001</c:v>
                </c:pt>
                <c:pt idx="73">
                  <c:v>1.1200000000000001</c:v>
                </c:pt>
                <c:pt idx="74">
                  <c:v>1.1200000000000001</c:v>
                </c:pt>
                <c:pt idx="75">
                  <c:v>1.1200000000000001</c:v>
                </c:pt>
                <c:pt idx="76">
                  <c:v>1.19</c:v>
                </c:pt>
                <c:pt idx="77">
                  <c:v>1.19</c:v>
                </c:pt>
                <c:pt idx="78">
                  <c:v>1.19</c:v>
                </c:pt>
                <c:pt idx="79">
                  <c:v>1.19</c:v>
                </c:pt>
                <c:pt idx="80">
                  <c:v>1.29</c:v>
                </c:pt>
                <c:pt idx="81">
                  <c:v>1.29</c:v>
                </c:pt>
                <c:pt idx="82">
                  <c:v>1.29</c:v>
                </c:pt>
                <c:pt idx="83">
                  <c:v>1.29</c:v>
                </c:pt>
                <c:pt idx="84">
                  <c:v>1.29</c:v>
                </c:pt>
                <c:pt idx="85">
                  <c:v>1.34</c:v>
                </c:pt>
                <c:pt idx="86">
                  <c:v>1.34</c:v>
                </c:pt>
                <c:pt idx="87">
                  <c:v>1.34</c:v>
                </c:pt>
                <c:pt idx="88">
                  <c:v>1.42</c:v>
                </c:pt>
                <c:pt idx="89">
                  <c:v>1.42</c:v>
                </c:pt>
                <c:pt idx="90">
                  <c:v>1.42</c:v>
                </c:pt>
                <c:pt idx="91">
                  <c:v>1.42</c:v>
                </c:pt>
                <c:pt idx="92">
                  <c:v>1.51</c:v>
                </c:pt>
                <c:pt idx="93">
                  <c:v>1.51</c:v>
                </c:pt>
                <c:pt idx="94">
                  <c:v>1.51</c:v>
                </c:pt>
                <c:pt idx="95">
                  <c:v>1.51</c:v>
                </c:pt>
                <c:pt idx="96">
                  <c:v>1.63</c:v>
                </c:pt>
                <c:pt idx="97">
                  <c:v>1.63</c:v>
                </c:pt>
                <c:pt idx="98">
                  <c:v>1.63</c:v>
                </c:pt>
                <c:pt idx="99">
                  <c:v>1.63</c:v>
                </c:pt>
                <c:pt idx="100">
                  <c:v>1.71</c:v>
                </c:pt>
                <c:pt idx="101">
                  <c:v>1.71</c:v>
                </c:pt>
                <c:pt idx="102">
                  <c:v>1.71</c:v>
                </c:pt>
                <c:pt idx="103">
                  <c:v>1.71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0B-4461-8A94-47C175CE3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3209104"/>
        <c:axId val="1573209584"/>
      </c:barChart>
      <c:dateAx>
        <c:axId val="1573209104"/>
        <c:scaling>
          <c:orientation val="minMax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209584"/>
        <c:crosses val="autoZero"/>
        <c:auto val="1"/>
        <c:lblOffset val="100"/>
        <c:baseTimeUnit val="months"/>
      </c:dateAx>
      <c:valAx>
        <c:axId val="157320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209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600075</xdr:colOff>
      <xdr:row>1</xdr:row>
      <xdr:rowOff>123825</xdr:rowOff>
    </xdr:from>
    <xdr:to>
      <xdr:col>12</xdr:col>
      <xdr:colOff>390525</xdr:colOff>
      <xdr:row>15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D51AF9-AD87-4DDD-953C-D4733F7CA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114300</xdr:rowOff>
    </xdr:from>
    <xdr:to>
      <xdr:col>12</xdr:col>
      <xdr:colOff>400050</xdr:colOff>
      <xdr:row>32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7265307-E81B-4BA3-9A73-763E90B0AD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12</xdr:col>
      <xdr:colOff>466725</xdr:colOff>
      <xdr:row>48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AF941A-2C52-46F6-B99E-9D300F955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</xdr:colOff>
      <xdr:row>51</xdr:row>
      <xdr:rowOff>1</xdr:rowOff>
    </xdr:from>
    <xdr:to>
      <xdr:col>12</xdr:col>
      <xdr:colOff>457201</xdr:colOff>
      <xdr:row>64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E70249-C5BB-4633-9EC4-653D9F92F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66</xdr:row>
      <xdr:rowOff>0</xdr:rowOff>
    </xdr:from>
    <xdr:to>
      <xdr:col>12</xdr:col>
      <xdr:colOff>485775</xdr:colOff>
      <xdr:row>79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096B78-4B37-422E-9044-4D403E31B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83</xdr:row>
      <xdr:rowOff>0</xdr:rowOff>
    </xdr:from>
    <xdr:to>
      <xdr:col>12</xdr:col>
      <xdr:colOff>523875</xdr:colOff>
      <xdr:row>97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B49EB75-7C4F-421A-8871-77A0411B44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8E27FEB-0A08-441D-82A0-475544129FFF}" autoFormatId="16" applyNumberFormats="0" applyBorderFormats="0" applyFontFormats="0" applyPatternFormats="0" applyAlignmentFormats="0" applyWidthHeightFormats="0">
  <queryTableRefresh nextId="3">
    <queryTableFields count="2">
      <queryTableField id="1" name="Week" tableColumnId="1"/>
      <queryTableField id="2" name="Average" tableColumnId="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" c="251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113</v>
    <v t="i">116</v>
    <v t="i">117</v>
    <v t="i">118</v>
    <v t="i">119</v>
    <v t="i">120</v>
    <v t="i">123</v>
    <v t="i">124</v>
    <v t="i">125</v>
    <v t="i">126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218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302</v>
    <v t="i">305</v>
    <v t="i">306</v>
    <v t="i">307</v>
    <v t="i">309</v>
    <v t="i">312</v>
    <v t="i">313</v>
    <v t="i">314</v>
    <v t="i">315</v>
    <v t="i">316</v>
    <v t="i">319</v>
    <v t="i">320</v>
    <v t="i">321</v>
    <v t="i">322</v>
    <v t="i">323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355</v>
    <v t="i">356</v>
    <v t="i">357</v>
    <v t="i">358</v>
    <v t="i">361</v>
    <v t="i">362</v>
    <v t="i">363</v>
    <v t="i">364</v>
  </a>
  <a r="1" c="251">
    <v>156.66999999999999</v>
    <v>158.62</v>
    <v>153.09</v>
    <v>152</v>
    <v>150.81</v>
    <v>152.94999999999999</v>
    <v>156.34</v>
    <v>157.57</v>
    <v>154.08000000000001</v>
    <v>152.66999999999999</v>
    <v>153.61000000000001</v>
    <v>157.02000000000001</v>
    <v>158.72</v>
    <v>160.81</v>
    <v>164.05</v>
    <v>164.77</v>
    <v>164.75</v>
    <v>165.02</v>
    <v>165.94</v>
    <v>167.97</v>
    <v>166.65</v>
    <v>166.09</v>
    <v>167.29</v>
    <v>168.51</v>
    <v>166.47</v>
    <v>156.12</v>
    <v>143.28</v>
    <v>140.15</v>
    <v>136.93</v>
    <v>146.03</v>
    <v>134.97999999999999</v>
    <v>135.63</v>
    <v>135.32</v>
    <v>134.54</v>
    <v>135.36000000000001</v>
    <v>137.87</v>
    <v>133.72999999999999</v>
    <v>137.30000000000001</v>
    <v>136.68</v>
    <v>139.07</v>
    <v>138.72999999999999</v>
    <v>140.1</v>
    <v>139.30000000000001</v>
    <v>136.06</v>
    <v>136.26</v>
    <v>138.5</v>
    <v>135.5</v>
    <v>135.6</v>
    <v>135.79</v>
    <v>137.04</v>
    <v>138.49</v>
    <v>141.62</v>
    <v>142.35</v>
    <v>141.66999999999999</v>
    <v>142.26</v>
    <v>142.1</v>
    <v>138.49</v>
    <v>137.27000000000001</v>
    <v>135.56</v>
    <v>135.29</v>
    <v>136.54</v>
    <v>137.83000000000001</v>
    <v>136.02000000000001</v>
    <v>137.91</v>
    <v>136.69999999999999</v>
    <v>137.84</v>
    <v>139.55000000000001</v>
    <v>137.37</v>
    <v>136.9</v>
    <v>140.21</v>
    <v>140.76</v>
    <v>143.35</v>
    <v>144.78</v>
    <v>144.97</v>
    <v>145.91</v>
    <v>146.03</v>
    <v>148.85</v>
    <v>148.19</v>
    <v>149.55000000000001</v>
    <v>146.86000000000001</v>
    <v>143.55000000000001</v>
    <v>143.22999999999999</v>
    <v>144.44</v>
    <v>143.79</v>
    <v>143.19</v>
    <v>145.57</v>
    <v>147.97999999999999</v>
    <v>148.37</v>
    <v>147.4</v>
    <v>153.24</v>
    <v>153.02000000000001</v>
    <v>154.16999999999999</v>
    <v>155.31</v>
    <v>151.65</v>
    <v>150.69</v>
    <v>149.91999999999999</v>
    <v>151.38</v>
    <v>150.04</v>
    <v>149.68</v>
    <v>150.04</v>
    <v>153.12</v>
    <v>155.83000000000001</v>
    <v>154.84</v>
    <v>156.28</v>
    <v>157.03</v>
    <v>153.56</v>
    <v>151.63999999999999</v>
    <v>151.4</v>
    <v>151.04</v>
    <v>153.04</v>
    <v>152.78</v>
    <v>153.16</v>
    <v>155.01</v>
    <v>153.44999999999999</v>
    <v>154.44</v>
    <v>155.87</v>
    <v>155.16</v>
    <v>156.55000000000001</v>
    <v>155.32</v>
    <v>152</v>
    <v>153.22</v>
    <v>155.55000000000001</v>
    <v>158.18</v>
    <v>158.19999999999999</v>
    <v>157.36000000000001</v>
    <v>159.24</v>
    <v>159.32</v>
    <v>160.6</v>
    <v>161.83000000000001</v>
    <v>158.06</v>
    <v>157.69</v>
    <v>153.66</v>
    <v>154</v>
    <v>154.85</v>
    <v>157.79</v>
    <v>158.25</v>
    <v>157.11000000000001</v>
    <v>157.31</v>
    <v>159.54</v>
    <v>160.09</v>
    <v>158.84</v>
    <v>156.21</v>
    <v>156.05000000000001</v>
    <v>157.41999999999999</v>
    <v>159.18</v>
    <v>160.72</v>
    <v>160.16</v>
    <v>156.1</v>
    <v>155.29</v>
    <v>154.58000000000001</v>
    <v>153.37</v>
    <v>153.55000000000001</v>
    <v>154.02000000000001</v>
    <v>154.91</v>
    <v>153.74</v>
    <v>151.63999999999999</v>
    <v>148.9</v>
    <v>151.94</v>
    <v>152.38999999999999</v>
    <v>152.11000000000001</v>
    <v>151.71</v>
    <v>153.08000000000001</v>
    <v>154.47999999999999</v>
    <v>153.79</v>
    <v>155.57</v>
    <v>156.56</v>
    <v>155.56</v>
    <v>155.28</v>
    <v>154.13</v>
    <v>155.1</v>
    <v>153.52000000000001</v>
    <v>157.72</v>
    <v>154.04</v>
    <v>153.38999999999999</v>
    <v>152.66</v>
    <v>152.94</v>
    <v>155.02000000000001</v>
    <v>155.65</v>
    <v>156.24</v>
    <v>153.32</v>
    <v>155.58000000000001</v>
    <v>157.62</v>
    <v>154.82</v>
    <v>153.62</v>
    <v>151.69999999999999</v>
    <v>150.31</v>
    <v>149.97999999999999</v>
    <v>149.75</v>
    <v>148.53</v>
    <v>149.51</v>
    <v>151.13</v>
    <v>152.54</v>
    <v>150.25</v>
    <v>151.59</v>
    <v>152.26</v>
    <v>150</v>
    <v>148.71</v>
    <v>148.49</v>
    <v>151.41</v>
    <v>150.72</v>
    <v>149.99</v>
    <v>149.80000000000001</v>
    <v>146.75</v>
    <v>149.52000000000001</v>
    <v>147.69</v>
    <v>147.75</v>
    <v>149.80000000000001</v>
    <v>150.51</v>
    <v>150.5</v>
    <v>150.02000000000001</v>
    <v>150.99</v>
    <v>152.31</v>
    <v>152.41</v>
    <v>155.9</v>
    <v>163.85</v>
    <v>156.54</v>
    <v>155.19999999999999</v>
    <v>159.25</v>
    <v>162.11000000000001</v>
    <v>162.34</v>
    <v>163.87</v>
    <v>167.24</v>
    <v>166.16</v>
    <v>166.26</v>
    <v>165.3</v>
    <v>166.73</v>
    <v>166.66</v>
    <v>166.72</v>
    <v>167.5</v>
    <v>169.05</v>
    <v>169.93</v>
    <v>171.19</v>
    <v>176.9</v>
    <v>174.03</v>
    <v>178.04</v>
    <v>181.23</v>
    <v>179.23</v>
    <v>180.86</v>
    <v>182.6</v>
    <v>182.26</v>
    <v>185.82</v>
    <v>182.4</v>
    <v>183.74</v>
    <v>180.55</v>
    <v>183.87</v>
    <v>184.78</v>
    <v>183.93</v>
    <v>184.91</v>
    <v>185.34</v>
    <v>184.22</v>
    <v>184.16</v>
  </a>
  <a r="1" c="251">
    <v>7517237</v>
    <v>8828547</v>
    <v>9059814</v>
    <v>8826344</v>
    <v>9288538</v>
    <v>7314687</v>
    <v>8562635</v>
    <v>11750302</v>
    <v>10466294</v>
    <v>9710223</v>
    <v>9022758</v>
    <v>6671549</v>
    <v>7615153</v>
    <v>9289469</v>
    <v>11503859</v>
    <v>9545886</v>
    <v>21625460</v>
    <v>8068002</v>
    <v>7869159</v>
    <v>10077764</v>
    <v>6862691</v>
    <v>4923025</v>
    <v>10675731</v>
    <v>6378587</v>
    <v>7044869</v>
    <v>15500988</v>
    <v>20374716</v>
    <v>17816954</v>
    <v>12904424</v>
    <v>16846839</v>
    <v>20991216</v>
    <v>17224405</v>
    <v>9628152</v>
    <v>9334825</v>
    <v>8637220</v>
    <v>8434434</v>
    <v>9967487</v>
    <v>7984676</v>
    <v>10001966</v>
    <v>7745778</v>
    <v>6878491</v>
    <v>6715539</v>
    <v>7343820</v>
    <v>13858040</v>
    <v>10199849</v>
    <v>12393235</v>
    <v>9664980</v>
    <v>9916241</v>
    <v>8423485</v>
    <v>8669305</v>
    <v>5965723</v>
    <v>8028200</v>
    <v>8536797</v>
    <v>6453620</v>
    <v>7545407</v>
    <v>8200079</v>
    <v>7713568</v>
    <v>6503930</v>
    <v>9073206</v>
    <v>8877579</v>
    <v>7025946</v>
    <v>8348877</v>
    <v>6876282</v>
    <v>7556199</v>
    <v>12858865</v>
    <v>9076639</v>
    <v>9001305</v>
    <v>8735619</v>
    <v>6350526</v>
    <v>6563518</v>
    <v>7159471</v>
    <v>9841523</v>
    <v>9256663</v>
    <v>6999389</v>
    <v>14148022</v>
    <v>10105077</v>
    <v>11330273</v>
    <v>9841924</v>
    <v>23705877</v>
    <v>10540614</v>
    <v>10778352</v>
    <v>7386088</v>
    <v>7415714</v>
    <v>9213512</v>
    <v>6980319</v>
    <v>8508150</v>
    <v>8228683</v>
    <v>5173309</v>
    <v>9460902</v>
    <v>14082097</v>
    <v>9495898</v>
    <v>8398810</v>
    <v>8333214</v>
    <v>10706325</v>
    <v>7346346</v>
    <v>7923427</v>
    <v>8359596</v>
    <v>45782636</v>
    <v>17982218</v>
    <v>26196489</v>
    <v>13162816</v>
    <v>15701024</v>
    <v>7875498</v>
    <v>8755412</v>
    <v>6446038</v>
    <v>9191661</v>
    <v>10237099</v>
    <v>10706494</v>
    <v>10116631</v>
    <v>8604079</v>
    <v>7840914</v>
    <v>6510670</v>
    <v>6332807</v>
    <v>6169716</v>
    <v>6645373</v>
    <v>6582191</v>
    <v>7337258</v>
    <v>11617047</v>
    <v>8174280</v>
    <v>8567476</v>
    <v>8076269</v>
    <v>7533625</v>
    <v>9084344</v>
    <v>7029967</v>
    <v>10270028</v>
    <v>7482961</v>
    <v>6502447</v>
    <v>6934840</v>
    <v>8947302</v>
    <v>9556116</v>
    <v>7242974</v>
    <v>11011667</v>
    <v>9461969</v>
    <v>7769177</v>
    <v>7440811</v>
    <v>6417408</v>
    <v>5546333</v>
    <v>5030461</v>
    <v>8011032</v>
    <v>5736777</v>
    <v>6244226</v>
    <v>16733988</v>
    <v>5244025</v>
    <v>7181383</v>
    <v>6285228</v>
    <v>6311040</v>
    <v>7015168</v>
    <v>8315073</v>
    <v>7755716</v>
    <v>6768358</v>
    <v>7562448</v>
    <v>7249291</v>
    <v>4778924</v>
    <v>5479593</v>
    <v>5678028</v>
    <v>6178601</v>
    <v>7796621</v>
    <v>5978755</v>
    <v>6419350</v>
    <v>5824931</v>
    <v>5276788</v>
    <v>7735462</v>
    <v>5676505</v>
    <v>6304917</v>
    <v>6036705</v>
    <v>9810894</v>
    <v>4979941</v>
    <v>4884434</v>
    <v>5066475</v>
    <v>7344432</v>
    <v>8971226</v>
    <v>11136109</v>
    <v>8512209</v>
    <v>6976838</v>
    <v>5894721</v>
    <v>6466257</v>
    <v>9835929</v>
    <v>8436797</v>
    <v>6361426</v>
    <v>11670947</v>
    <v>7998740</v>
    <v>8484812</v>
    <v>8744980</v>
    <v>10813365</v>
    <v>7539905</v>
    <v>7623448</v>
    <v>9248445</v>
    <v>14181131</v>
    <v>11447942</v>
    <v>7578938</v>
    <v>3848568</v>
    <v>8208972</v>
    <v>9196311</v>
    <v>8060175</v>
    <v>7254724</v>
    <v>12659762</v>
    <v>10237153</v>
    <v>8916749</v>
    <v>10976295</v>
    <v>8414160</v>
    <v>5848050</v>
    <v>7502951</v>
    <v>11290538</v>
    <v>8805268</v>
    <v>6998843</v>
    <v>21701435</v>
    <v>8143618</v>
    <v>4663665</v>
    <v>2227609</v>
    <v>3706915</v>
    <v>5589133</v>
    <v>5150514</v>
    <v>4953110</v>
    <v>6862097</v>
    <v>35094878</v>
    <v>20564935</v>
    <v>13537874</v>
    <v>12929635</v>
    <v>12549643</v>
    <v>9796786</v>
    <v>12068630</v>
    <v>16414917</v>
    <v>8097405</v>
    <v>9745753</v>
    <v>11142530</v>
    <v>10918539</v>
    <v>8957383</v>
    <v>8368686</v>
    <v>8912601</v>
    <v>9784855</v>
    <v>9200244</v>
    <v>16786612</v>
    <v>22946582</v>
    <v>14235347</v>
    <v>18425423</v>
    <v>16170478</v>
    <v>10474142</v>
    <v>9901816</v>
    <v>12021285</v>
    <v>7458163</v>
    <v>10502119</v>
    <v>9673715</v>
    <v>9034683</v>
    <v>9849048</v>
    <v>10313434</v>
    <v>10773342</v>
    <v>9566208</v>
    <v>7047219</v>
    <v>7451798</v>
    <v>9440721</v>
    <v>7133769</v>
  </a>
</arrayData>
</file>

<file path=xl/richData/rdrichvalue.xml><?xml version="1.0" encoding="utf-8"?>
<rvData xmlns="http://schemas.microsoft.com/office/spreadsheetml/2017/richdata" count="748">
  <rv s="0">
    <fb>45715</fb>
    <v>0</v>
  </rv>
  <rv s="0">
    <fb>156.66999999999999</fb>
    <v>1</v>
  </rv>
  <rv s="0">
    <fb>7517237</fb>
    <v>2</v>
  </rv>
  <rv s="0">
    <fb>45716</fb>
    <v>0</v>
  </rv>
  <rv s="0">
    <fb>158.62</fb>
    <v>1</v>
  </rv>
  <rv s="0">
    <fb>8828547</fb>
    <v>2</v>
  </rv>
  <rv s="0">
    <fb>45719</fb>
    <v>0</v>
  </rv>
  <rv s="0">
    <fb>153.09</fb>
    <v>1</v>
  </rv>
  <rv s="0">
    <fb>9059814</fb>
    <v>2</v>
  </rv>
  <rv s="0">
    <fb>45720</fb>
    <v>0</v>
  </rv>
  <rv s="0">
    <fb>152</fb>
    <v>1</v>
  </rv>
  <rv s="0">
    <fb>8826344</fb>
    <v>2</v>
  </rv>
  <rv s="0">
    <fb>45721</fb>
    <v>0</v>
  </rv>
  <rv s="0">
    <fb>150.81</fb>
    <v>1</v>
  </rv>
  <rv s="0">
    <fb>9288538</fb>
    <v>2</v>
  </rv>
  <rv s="0">
    <fb>45722</fb>
    <v>0</v>
  </rv>
  <rv s="0">
    <fb>152.94999999999999</fb>
    <v>1</v>
  </rv>
  <rv s="0">
    <fb>7314687</fb>
    <v>2</v>
  </rv>
  <rv s="0">
    <fb>45723</fb>
    <v>0</v>
  </rv>
  <rv s="0">
    <fb>156.34</fb>
    <v>1</v>
  </rv>
  <rv s="0">
    <fb>8562635</fb>
    <v>2</v>
  </rv>
  <rv s="0">
    <fb>45726</fb>
    <v>0</v>
  </rv>
  <rv s="0">
    <fb>157.57</fb>
    <v>1</v>
  </rv>
  <rv s="0">
    <fb>11750302</fb>
    <v>2</v>
  </rv>
  <rv s="0">
    <fb>45727</fb>
    <v>0</v>
  </rv>
  <rv s="0">
    <fb>154.08000000000001</fb>
    <v>1</v>
  </rv>
  <rv s="0">
    <fb>10466294</fb>
    <v>2</v>
  </rv>
  <rv s="0">
    <fb>45728</fb>
    <v>0</v>
  </rv>
  <rv s="0">
    <fb>152.66999999999999</fb>
    <v>1</v>
  </rv>
  <rv s="0">
    <fb>9710223</fb>
    <v>2</v>
  </rv>
  <rv s="0">
    <fb>45729</fb>
    <v>0</v>
  </rv>
  <rv s="0">
    <fb>153.61000000000001</fb>
    <v>1</v>
  </rv>
  <rv s="0">
    <fb>9022758</fb>
    <v>2</v>
  </rv>
  <rv s="0">
    <fb>45730</fb>
    <v>0</v>
  </rv>
  <rv s="0">
    <fb>157.02000000000001</fb>
    <v>1</v>
  </rv>
  <rv s="0">
    <fb>6671549</fb>
    <v>2</v>
  </rv>
  <rv s="0">
    <fb>45733</fb>
    <v>0</v>
  </rv>
  <rv s="0">
    <fb>158.72</fb>
    <v>1</v>
  </rv>
  <rv s="0">
    <fb>7615153</fb>
    <v>2</v>
  </rv>
  <rv s="0">
    <fb>45734</fb>
    <v>0</v>
  </rv>
  <rv s="0">
    <fb>160.81</fb>
    <v>1</v>
  </rv>
  <rv s="0">
    <fb>9289469</fb>
    <v>2</v>
  </rv>
  <rv s="0">
    <fb>45735</fb>
    <v>0</v>
  </rv>
  <rv s="0">
    <fb>164.05</fb>
    <v>1</v>
  </rv>
  <rv s="0">
    <fb>11503859</fb>
    <v>2</v>
  </rv>
  <rv s="0">
    <fb>45736</fb>
    <v>0</v>
  </rv>
  <rv s="0">
    <fb>164.77</fb>
    <v>1</v>
  </rv>
  <rv s="0">
    <fb>9545886</fb>
    <v>2</v>
  </rv>
  <rv s="0">
    <fb>45737</fb>
    <v>0</v>
  </rv>
  <rv s="0">
    <fb>164.75</fb>
    <v>1</v>
  </rv>
  <rv s="0">
    <fb>21625460</fb>
    <v>2</v>
  </rv>
  <rv s="0">
    <fb>45740</fb>
    <v>0</v>
  </rv>
  <rv s="0">
    <fb>165.02</fb>
    <v>1</v>
  </rv>
  <rv s="0">
    <fb>8068002</fb>
    <v>2</v>
  </rv>
  <rv s="0">
    <fb>45741</fb>
    <v>0</v>
  </rv>
  <rv s="0">
    <fb>165.94</fb>
    <v>1</v>
  </rv>
  <rv s="0">
    <fb>7869159</fb>
    <v>2</v>
  </rv>
  <rv s="0">
    <fb>45742</fb>
    <v>0</v>
  </rv>
  <rv s="0">
    <fb>167.97</fb>
    <v>1</v>
  </rv>
  <rv s="0">
    <fb>10077764</fb>
    <v>2</v>
  </rv>
  <rv s="0">
    <fb>45743</fb>
    <v>0</v>
  </rv>
  <rv s="0">
    <fb>166.65</fb>
    <v>1</v>
  </rv>
  <rv s="0">
    <fb>6862691</fb>
    <v>2</v>
  </rv>
  <rv s="0">
    <fb>45744</fb>
    <v>0</v>
  </rv>
  <rv s="0">
    <fb>166.09</fb>
    <v>1</v>
  </rv>
  <rv s="0">
    <fb>4923025</fb>
    <v>2</v>
  </rv>
  <rv s="0">
    <fb>45747</fb>
    <v>0</v>
  </rv>
  <rv s="0">
    <fb>167.29</fb>
    <v>1</v>
  </rv>
  <rv s="0">
    <fb>10675731</fb>
    <v>2</v>
  </rv>
  <rv s="0">
    <fb>45748</fb>
    <v>0</v>
  </rv>
  <rv s="0">
    <fb>168.51</fb>
    <v>1</v>
  </rv>
  <rv s="0">
    <fb>6378587</fb>
    <v>2</v>
  </rv>
  <rv s="0">
    <fb>45749</fb>
    <v>0</v>
  </rv>
  <rv s="0">
    <fb>166.47</fb>
    <v>1</v>
  </rv>
  <rv s="0">
    <fb>7044869</fb>
    <v>2</v>
  </rv>
  <rv s="0">
    <fb>45750</fb>
    <v>0</v>
  </rv>
  <rv s="0">
    <fb>156.12</fb>
    <v>1</v>
  </rv>
  <rv s="0">
    <fb>15500988</fb>
    <v>2</v>
  </rv>
  <rv s="0">
    <fb>45751</fb>
    <v>0</v>
  </rv>
  <rv s="0">
    <fb>143.28</fb>
    <v>1</v>
  </rv>
  <rv s="0">
    <fb>20374716</fb>
    <v>2</v>
  </rv>
  <rv s="0">
    <fb>45754</fb>
    <v>0</v>
  </rv>
  <rv s="0">
    <fb>140.15</fb>
    <v>1</v>
  </rv>
  <rv s="0">
    <fb>17816954</fb>
    <v>2</v>
  </rv>
  <rv s="0">
    <fb>45755</fb>
    <v>0</v>
  </rv>
  <rv s="0">
    <fb>136.93</fb>
    <v>1</v>
  </rv>
  <rv s="0">
    <fb>12904424</fb>
    <v>2</v>
  </rv>
  <rv s="0">
    <fb>45756</fb>
    <v>0</v>
  </rv>
  <rv s="0">
    <fb>146.03</fb>
    <v>1</v>
  </rv>
  <rv s="0">
    <fb>16846839</fb>
    <v>2</v>
  </rv>
  <rv s="0">
    <fb>45757</fb>
    <v>0</v>
  </rv>
  <rv s="0">
    <fb>134.97999999999999</fb>
    <v>1</v>
  </rv>
  <rv s="0">
    <fb>20991216</fb>
    <v>2</v>
  </rv>
  <rv s="0">
    <fb>45758</fb>
    <v>0</v>
  </rv>
  <rv s="0">
    <fb>135.63</fb>
    <v>1</v>
  </rv>
  <rv s="0">
    <fb>17224405</fb>
    <v>2</v>
  </rv>
  <rv s="0">
    <fb>45761</fb>
    <v>0</v>
  </rv>
  <rv s="0">
    <fb>135.32</fb>
    <v>1</v>
  </rv>
  <rv s="0">
    <fb>9628152</fb>
    <v>2</v>
  </rv>
  <rv s="0">
    <fb>45762</fb>
    <v>0</v>
  </rv>
  <rv s="0">
    <fb>134.54</fb>
    <v>1</v>
  </rv>
  <rv s="0">
    <fb>9334825</fb>
    <v>2</v>
  </rv>
  <rv s="0">
    <fb>45763</fb>
    <v>0</v>
  </rv>
  <rv s="0">
    <fb>135.36000000000001</fb>
    <v>1</v>
  </rv>
  <rv s="0">
    <fb>8637220</fb>
    <v>2</v>
  </rv>
  <rv s="0">
    <fb>45764</fb>
    <v>0</v>
  </rv>
  <rv s="0">
    <fb>137.87</fb>
    <v>1</v>
  </rv>
  <rv s="0">
    <fb>8434434</fb>
    <v>2</v>
  </rv>
  <rv s="0">
    <fb>45768</fb>
    <v>0</v>
  </rv>
  <rv s="0">
    <fb>133.72999999999999</fb>
    <v>1</v>
  </rv>
  <rv s="0">
    <fb>9967487</fb>
    <v>2</v>
  </rv>
  <rv s="0">
    <fb>45769</fb>
    <v>0</v>
  </rv>
  <rv s="0">
    <fb>137.30000000000001</fb>
    <v>1</v>
  </rv>
  <rv s="0">
    <fb>7984676</fb>
    <v>2</v>
  </rv>
  <rv s="0">
    <fb>45770</fb>
    <v>0</v>
  </rv>
  <rv s="0">
    <fb>136.68</fb>
    <v>1</v>
  </rv>
  <rv s="0">
    <fb>10001966</fb>
    <v>2</v>
  </rv>
  <rv s="0">
    <fb>45771</fb>
    <v>0</v>
  </rv>
  <rv s="0">
    <fb>139.07</fb>
    <v>1</v>
  </rv>
  <rv s="0">
    <fb>7745778</fb>
    <v>2</v>
  </rv>
  <rv s="0">
    <fb>45772</fb>
    <v>0</v>
  </rv>
  <rv s="0">
    <fb>138.72999999999999</fb>
    <v>1</v>
  </rv>
  <rv s="0">
    <fb>6878491</fb>
    <v>2</v>
  </rv>
  <rv s="0">
    <fb>45775</fb>
    <v>0</v>
  </rv>
  <rv s="0">
    <fb>140.1</fb>
    <v>1</v>
  </rv>
  <rv s="0">
    <fb>6715539</fb>
    <v>2</v>
  </rv>
  <rv s="0">
    <fb>45776</fb>
    <v>0</v>
  </rv>
  <rv s="0">
    <fb>139.30000000000001</fb>
    <v>1</v>
  </rv>
  <rv s="0">
    <fb>7343820</fb>
    <v>2</v>
  </rv>
  <rv s="0">
    <fb>45777</fb>
    <v>0</v>
  </rv>
  <rv s="0">
    <fb>136.06</fb>
    <v>1</v>
  </rv>
  <rv s="0">
    <fb>13858040</fb>
    <v>2</v>
  </rv>
  <rv s="0">
    <fb>45778</fb>
    <v>0</v>
  </rv>
  <rv s="0">
    <fb>136.26</fb>
    <v>1</v>
  </rv>
  <rv s="0">
    <fb>10199849</fb>
    <v>2</v>
  </rv>
  <rv s="0">
    <fb>45779</fb>
    <v>0</v>
  </rv>
  <rv s="0">
    <fb>138.5</fb>
    <v>1</v>
  </rv>
  <rv s="0">
    <fb>12393235</fb>
    <v>2</v>
  </rv>
  <rv s="0">
    <fb>45782</fb>
    <v>0</v>
  </rv>
  <rv s="0">
    <fb>135.5</fb>
    <v>1</v>
  </rv>
  <rv s="0">
    <fb>9664980</fb>
    <v>2</v>
  </rv>
  <rv s="0">
    <fb>45783</fb>
    <v>0</v>
  </rv>
  <rv s="0">
    <fb>135.6</fb>
    <v>1</v>
  </rv>
  <rv s="0">
    <fb>9916241</fb>
    <v>2</v>
  </rv>
  <rv s="0">
    <fb>45784</fb>
    <v>0</v>
  </rv>
  <rv s="0">
    <fb>135.79</fb>
    <v>1</v>
  </rv>
  <rv s="0">
    <fb>8423485</fb>
    <v>2</v>
  </rv>
  <rv s="0">
    <fb>45785</fb>
    <v>0</v>
  </rv>
  <rv s="0">
    <fb>137.04</fb>
    <v>1</v>
  </rv>
  <rv s="0">
    <fb>8669305</fb>
    <v>2</v>
  </rv>
  <rv s="0">
    <fb>45786</fb>
    <v>0</v>
  </rv>
  <rv s="0">
    <fb>138.49</fb>
    <v>1</v>
  </rv>
  <rv s="0">
    <fb>5965723</fb>
    <v>2</v>
  </rv>
  <rv s="0">
    <fb>45789</fb>
    <v>0</v>
  </rv>
  <rv s="0">
    <fb>141.62</fb>
    <v>1</v>
  </rv>
  <rv s="0">
    <fb>8028200</fb>
    <v>2</v>
  </rv>
  <rv s="0">
    <fb>45790</fb>
    <v>0</v>
  </rv>
  <rv s="0">
    <fb>142.35</fb>
    <v>1</v>
  </rv>
  <rv s="0">
    <fb>8536797</fb>
    <v>2</v>
  </rv>
  <rv s="0">
    <fb>45791</fb>
    <v>0</v>
  </rv>
  <rv s="0">
    <fb>141.66999999999999</fb>
    <v>1</v>
  </rv>
  <rv s="0">
    <fb>6453620</fb>
    <v>2</v>
  </rv>
  <rv s="0">
    <fb>45792</fb>
    <v>0</v>
  </rv>
  <rv s="0">
    <fb>142.26</fb>
    <v>1</v>
  </rv>
  <rv s="0">
    <fb>7545407</fb>
    <v>2</v>
  </rv>
  <rv s="0">
    <fb>45793</fb>
    <v>0</v>
  </rv>
  <rv s="0">
    <fb>142.1</fb>
    <v>1</v>
  </rv>
  <rv s="0">
    <fb>8200079</fb>
    <v>2</v>
  </rv>
  <rv s="0">
    <fb>45796</fb>
    <v>0</v>
  </rv>
  <rv s="0">
    <fb>7713568</fb>
    <v>2</v>
  </rv>
  <rv s="0">
    <fb>45797</fb>
    <v>0</v>
  </rv>
  <rv s="0">
    <fb>137.27000000000001</fb>
    <v>1</v>
  </rv>
  <rv s="0">
    <fb>6503930</fb>
    <v>2</v>
  </rv>
  <rv s="0">
    <fb>45798</fb>
    <v>0</v>
  </rv>
  <rv s="0">
    <fb>135.56</fb>
    <v>1</v>
  </rv>
  <rv s="0">
    <fb>9073206</fb>
    <v>2</v>
  </rv>
  <rv s="0">
    <fb>45799</fb>
    <v>0</v>
  </rv>
  <rv s="0">
    <fb>135.29</fb>
    <v>1</v>
  </rv>
  <rv s="0">
    <fb>8877579</fb>
    <v>2</v>
  </rv>
  <rv s="0">
    <fb>45800</fb>
    <v>0</v>
  </rv>
  <rv s="0">
    <fb>136.54</fb>
    <v>1</v>
  </rv>
  <rv s="0">
    <fb>7025946</fb>
    <v>2</v>
  </rv>
  <rv s="0">
    <fb>45804</fb>
    <v>0</v>
  </rv>
  <rv s="0">
    <fb>137.83000000000001</fb>
    <v>1</v>
  </rv>
  <rv s="0">
    <fb>8348877</fb>
    <v>2</v>
  </rv>
  <rv s="0">
    <fb>45805</fb>
    <v>0</v>
  </rv>
  <rv s="0">
    <fb>136.02000000000001</fb>
    <v>1</v>
  </rv>
  <rv s="0">
    <fb>6876282</fb>
    <v>2</v>
  </rv>
  <rv s="0">
    <fb>45806</fb>
    <v>0</v>
  </rv>
  <rv s="0">
    <fb>137.91</fb>
    <v>1</v>
  </rv>
  <rv s="0">
    <fb>7556199</fb>
    <v>2</v>
  </rv>
  <rv s="0">
    <fb>45807</fb>
    <v>0</v>
  </rv>
  <rv s="0">
    <fb>136.69999999999999</fb>
    <v>1</v>
  </rv>
  <rv s="0">
    <fb>12858865</fb>
    <v>2</v>
  </rv>
  <rv s="0">
    <fb>45810</fb>
    <v>0</v>
  </rv>
  <rv s="0">
    <fb>137.84</fb>
    <v>1</v>
  </rv>
  <rv s="0">
    <fb>9076639</fb>
    <v>2</v>
  </rv>
  <rv s="0">
    <fb>45811</fb>
    <v>0</v>
  </rv>
  <rv s="0">
    <fb>139.55000000000001</fb>
    <v>1</v>
  </rv>
  <rv s="0">
    <fb>9001305</fb>
    <v>2</v>
  </rv>
  <rv s="0">
    <fb>45812</fb>
    <v>0</v>
  </rv>
  <rv s="0">
    <fb>137.37</fb>
    <v>1</v>
  </rv>
  <rv s="0">
    <fb>8735619</fb>
    <v>2</v>
  </rv>
  <rv s="0">
    <fb>45813</fb>
    <v>0</v>
  </rv>
  <rv s="0">
    <fb>136.9</fb>
    <v>1</v>
  </rv>
  <rv s="0">
    <fb>6350526</fb>
    <v>2</v>
  </rv>
  <rv s="0">
    <fb>45814</fb>
    <v>0</v>
  </rv>
  <rv s="0">
    <fb>140.21</fb>
    <v>1</v>
  </rv>
  <rv s="0">
    <fb>6563518</fb>
    <v>2</v>
  </rv>
  <rv s="0">
    <fb>45817</fb>
    <v>0</v>
  </rv>
  <rv s="0">
    <fb>140.76</fb>
    <v>1</v>
  </rv>
  <rv s="0">
    <fb>7159471</fb>
    <v>2</v>
  </rv>
  <rv s="0">
    <fb>45818</fb>
    <v>0</v>
  </rv>
  <rv s="0">
    <fb>143.35</fb>
    <v>1</v>
  </rv>
  <rv s="0">
    <fb>9841523</fb>
    <v>2</v>
  </rv>
  <rv s="0">
    <fb>45819</fb>
    <v>0</v>
  </rv>
  <rv s="0">
    <fb>144.78</fb>
    <v>1</v>
  </rv>
  <rv s="0">
    <fb>9256663</fb>
    <v>2</v>
  </rv>
  <rv s="0">
    <fb>45820</fb>
    <v>0</v>
  </rv>
  <rv s="0">
    <fb>144.97</fb>
    <v>1</v>
  </rv>
  <rv s="0">
    <fb>6999389</fb>
    <v>2</v>
  </rv>
  <rv s="0">
    <fb>45821</fb>
    <v>0</v>
  </rv>
  <rv s="0">
    <fb>145.91</fb>
    <v>1</v>
  </rv>
  <rv s="0">
    <fb>14148022</fb>
    <v>2</v>
  </rv>
  <rv s="0">
    <fb>45824</fb>
    <v>0</v>
  </rv>
  <rv s="0">
    <fb>10105077</fb>
    <v>2</v>
  </rv>
  <rv s="0">
    <fb>45825</fb>
    <v>0</v>
  </rv>
  <rv s="0">
    <fb>148.85</fb>
    <v>1</v>
  </rv>
  <rv s="0">
    <fb>11330273</fb>
    <v>2</v>
  </rv>
  <rv s="0">
    <fb>45826</fb>
    <v>0</v>
  </rv>
  <rv s="0">
    <fb>148.19</fb>
    <v>1</v>
  </rv>
  <rv s="0">
    <fb>9841924</fb>
    <v>2</v>
  </rv>
  <rv s="0">
    <fb>45828</fb>
    <v>0</v>
  </rv>
  <rv s="0">
    <fb>149.55000000000001</fb>
    <v>1</v>
  </rv>
  <rv s="0">
    <fb>23705877</fb>
    <v>2</v>
  </rv>
  <rv s="0">
    <fb>45831</fb>
    <v>0</v>
  </rv>
  <rv s="0">
    <fb>146.86000000000001</fb>
    <v>1</v>
  </rv>
  <rv s="0">
    <fb>10540614</fb>
    <v>2</v>
  </rv>
  <rv s="0">
    <fb>45832</fb>
    <v>0</v>
  </rv>
  <rv s="0">
    <fb>143.55000000000001</fb>
    <v>1</v>
  </rv>
  <rv s="0">
    <fb>10778352</fb>
    <v>2</v>
  </rv>
  <rv s="0">
    <fb>45833</fb>
    <v>0</v>
  </rv>
  <rv s="0">
    <fb>143.22999999999999</fb>
    <v>1</v>
  </rv>
  <rv s="0">
    <fb>7386088</fb>
    <v>2</v>
  </rv>
  <rv s="0">
    <fb>45834</fb>
    <v>0</v>
  </rv>
  <rv s="0">
    <fb>144.44</fb>
    <v>1</v>
  </rv>
  <rv s="0">
    <fb>7415714</fb>
    <v>2</v>
  </rv>
  <rv s="0">
    <fb>45835</fb>
    <v>0</v>
  </rv>
  <rv s="0">
    <fb>143.79</fb>
    <v>1</v>
  </rv>
  <rv s="0">
    <fb>9213512</fb>
    <v>2</v>
  </rv>
  <rv s="0">
    <fb>45838</fb>
    <v>0</v>
  </rv>
  <rv s="0">
    <fb>143.19</fb>
    <v>1</v>
  </rv>
  <rv s="0">
    <fb>6980319</fb>
    <v>2</v>
  </rv>
  <rv s="0">
    <fb>45839</fb>
    <v>0</v>
  </rv>
  <rv s="0">
    <fb>145.57</fb>
    <v>1</v>
  </rv>
  <rv s="0">
    <fb>8508150</fb>
    <v>2</v>
  </rv>
  <rv s="0">
    <fb>45840</fb>
    <v>0</v>
  </rv>
  <rv s="0">
    <fb>147.97999999999999</fb>
    <v>1</v>
  </rv>
  <rv s="0">
    <fb>8228683</fb>
    <v>2</v>
  </rv>
  <rv s="0">
    <fb>45841</fb>
    <v>0</v>
  </rv>
  <rv s="0">
    <fb>148.37</fb>
    <v>1</v>
  </rv>
  <rv s="0">
    <fb>5173309</fb>
    <v>2</v>
  </rv>
  <rv s="0">
    <fb>45845</fb>
    <v>0</v>
  </rv>
  <rv s="0">
    <fb>147.4</fb>
    <v>1</v>
  </rv>
  <rv s="0">
    <fb>9460902</fb>
    <v>2</v>
  </rv>
  <rv s="0">
    <fb>45846</fb>
    <v>0</v>
  </rv>
  <rv s="0">
    <fb>153.24</fb>
    <v>1</v>
  </rv>
  <rv s="0">
    <fb>14082097</fb>
    <v>2</v>
  </rv>
  <rv s="0">
    <fb>45847</fb>
    <v>0</v>
  </rv>
  <rv s="0">
    <fb>153.02000000000001</fb>
    <v>1</v>
  </rv>
  <rv s="0">
    <fb>9495898</fb>
    <v>2</v>
  </rv>
  <rv s="0">
    <fb>45848</fb>
    <v>0</v>
  </rv>
  <rv s="0">
    <fb>154.16999999999999</fb>
    <v>1</v>
  </rv>
  <rv s="0">
    <fb>8398810</fb>
    <v>2</v>
  </rv>
  <rv s="0">
    <fb>45849</fb>
    <v>0</v>
  </rv>
  <rv s="0">
    <fb>155.31</fb>
    <v>1</v>
  </rv>
  <rv s="0">
    <fb>8333214</fb>
    <v>2</v>
  </rv>
  <rv s="0">
    <fb>45852</fb>
    <v>0</v>
  </rv>
  <rv s="0">
    <fb>151.65</fb>
    <v>1</v>
  </rv>
  <rv s="0">
    <fb>10706325</fb>
    <v>2</v>
  </rv>
  <rv s="0">
    <fb>45853</fb>
    <v>0</v>
  </rv>
  <rv s="0">
    <fb>150.69</fb>
    <v>1</v>
  </rv>
  <rv s="0">
    <fb>7346346</fb>
    <v>2</v>
  </rv>
  <rv s="0">
    <fb>45854</fb>
    <v>0</v>
  </rv>
  <rv s="0">
    <fb>149.91999999999999</fb>
    <v>1</v>
  </rv>
  <rv s="0">
    <fb>7923427</fb>
    <v>2</v>
  </rv>
  <rv s="0">
    <fb>45855</fb>
    <v>0</v>
  </rv>
  <rv s="0">
    <fb>151.38</fb>
    <v>1</v>
  </rv>
  <rv s="0">
    <fb>8359596</fb>
    <v>2</v>
  </rv>
  <rv s="0">
    <fb>45856</fb>
    <v>0</v>
  </rv>
  <rv s="0">
    <fb>150.04</fb>
    <v>1</v>
  </rv>
  <rv s="0">
    <fb>45782636</fb>
    <v>2</v>
  </rv>
  <rv s="0">
    <fb>45859</fb>
    <v>0</v>
  </rv>
  <rv s="0">
    <fb>149.68</fb>
    <v>1</v>
  </rv>
  <rv s="0">
    <fb>17982218</fb>
    <v>2</v>
  </rv>
  <rv s="0">
    <fb>45860</fb>
    <v>0</v>
  </rv>
  <rv s="0">
    <fb>26196489</fb>
    <v>2</v>
  </rv>
  <rv s="0">
    <fb>45861</fb>
    <v>0</v>
  </rv>
  <rv s="0">
    <fb>153.12</fb>
    <v>1</v>
  </rv>
  <rv s="0">
    <fb>13162816</fb>
    <v>2</v>
  </rv>
  <rv s="0">
    <fb>45862</fb>
    <v>0</v>
  </rv>
  <rv s="0">
    <fb>155.83000000000001</fb>
    <v>1</v>
  </rv>
  <rv s="0">
    <fb>15701024</fb>
    <v>2</v>
  </rv>
  <rv s="0">
    <fb>45863</fb>
    <v>0</v>
  </rv>
  <rv s="0">
    <fb>154.84</fb>
    <v>1</v>
  </rv>
  <rv s="0">
    <fb>7875498</fb>
    <v>2</v>
  </rv>
  <rv s="0">
    <fb>45866</fb>
    <v>0</v>
  </rv>
  <rv s="0">
    <fb>156.28</fb>
    <v>1</v>
  </rv>
  <rv s="0">
    <fb>8755412</fb>
    <v>2</v>
  </rv>
  <rv s="0">
    <fb>45867</fb>
    <v>0</v>
  </rv>
  <rv s="0">
    <fb>157.03</fb>
    <v>1</v>
  </rv>
  <rv s="0">
    <fb>6446038</fb>
    <v>2</v>
  </rv>
  <rv s="0">
    <fb>45868</fb>
    <v>0</v>
  </rv>
  <rv s="0">
    <fb>153.56</fb>
    <v>1</v>
  </rv>
  <rv s="0">
    <fb>9191661</fb>
    <v>2</v>
  </rv>
  <rv s="0">
    <fb>45869</fb>
    <v>0</v>
  </rv>
  <rv s="0">
    <fb>151.63999999999999</fb>
    <v>1</v>
  </rv>
  <rv s="0">
    <fb>10237099</fb>
    <v>2</v>
  </rv>
  <rv s="0">
    <fb>45870</fb>
    <v>0</v>
  </rv>
  <rv s="0">
    <fb>151.4</fb>
    <v>1</v>
  </rv>
  <rv s="0">
    <fb>10706494</fb>
    <v>2</v>
  </rv>
  <rv s="0">
    <fb>45873</fb>
    <v>0</v>
  </rv>
  <rv s="0">
    <fb>151.04</fb>
    <v>1</v>
  </rv>
  <rv s="0">
    <fb>10116631</fb>
    <v>2</v>
  </rv>
  <rv s="0">
    <fb>45874</fb>
    <v>0</v>
  </rv>
  <rv s="0">
    <fb>153.04</fb>
    <v>1</v>
  </rv>
  <rv s="0">
    <fb>8604079</fb>
    <v>2</v>
  </rv>
  <rv s="0">
    <fb>45875</fb>
    <v>0</v>
  </rv>
  <rv s="0">
    <fb>152.78</fb>
    <v>1</v>
  </rv>
  <rv s="0">
    <fb>7840914</fb>
    <v>2</v>
  </rv>
  <rv s="0">
    <fb>45876</fb>
    <v>0</v>
  </rv>
  <rv s="0">
    <fb>153.16</fb>
    <v>1</v>
  </rv>
  <rv s="0">
    <fb>6510670</fb>
    <v>2</v>
  </rv>
  <rv s="0">
    <fb>45877</fb>
    <v>0</v>
  </rv>
  <rv s="0">
    <fb>155.01</fb>
    <v>1</v>
  </rv>
  <rv s="0">
    <fb>6332807</fb>
    <v>2</v>
  </rv>
  <rv s="0">
    <fb>45880</fb>
    <v>0</v>
  </rv>
  <rv s="0">
    <fb>153.44999999999999</fb>
    <v>1</v>
  </rv>
  <rv s="0">
    <fb>6169716</fb>
    <v>2</v>
  </rv>
  <rv s="0">
    <fb>45881</fb>
    <v>0</v>
  </rv>
  <rv s="0">
    <fb>154.44</fb>
    <v>1</v>
  </rv>
  <rv s="0">
    <fb>6645373</fb>
    <v>2</v>
  </rv>
  <rv s="0">
    <fb>45882</fb>
    <v>0</v>
  </rv>
  <rv s="0">
    <fb>155.87</fb>
    <v>1</v>
  </rv>
  <rv s="0">
    <fb>6582191</fb>
    <v>2</v>
  </rv>
  <rv s="0">
    <fb>45883</fb>
    <v>0</v>
  </rv>
  <rv s="0">
    <fb>155.16</fb>
    <v>1</v>
  </rv>
  <rv s="0">
    <fb>7337258</fb>
    <v>2</v>
  </rv>
  <rv s="0">
    <fb>45884</fb>
    <v>0</v>
  </rv>
  <rv s="0">
    <fb>156.55000000000001</fb>
    <v>1</v>
  </rv>
  <rv s="0">
    <fb>11617047</fb>
    <v>2</v>
  </rv>
  <rv s="0">
    <fb>45887</fb>
    <v>0</v>
  </rv>
  <rv s="0">
    <fb>155.32</fb>
    <v>1</v>
  </rv>
  <rv s="0">
    <fb>8174280</fb>
    <v>2</v>
  </rv>
  <rv s="0">
    <fb>45888</fb>
    <v>0</v>
  </rv>
  <rv s="0">
    <fb>8567476</fb>
    <v>2</v>
  </rv>
  <rv s="0">
    <fb>45889</fb>
    <v>0</v>
  </rv>
  <rv s="0">
    <fb>153.22</fb>
    <v>1</v>
  </rv>
  <rv s="0">
    <fb>8076269</fb>
    <v>2</v>
  </rv>
  <rv s="0">
    <fb>45890</fb>
    <v>0</v>
  </rv>
  <rv s="0">
    <fb>155.55000000000001</fb>
    <v>1</v>
  </rv>
  <rv s="0">
    <fb>7533625</fb>
    <v>2</v>
  </rv>
  <rv s="0">
    <fb>45891</fb>
    <v>0</v>
  </rv>
  <rv s="0">
    <fb>158.18</fb>
    <v>1</v>
  </rv>
  <rv s="0">
    <fb>9084344</fb>
    <v>2</v>
  </rv>
  <rv s="0">
    <fb>45894</fb>
    <v>0</v>
  </rv>
  <rv s="0">
    <fb>158.19999999999999</fb>
    <v>1</v>
  </rv>
  <rv s="0">
    <fb>7029967</fb>
    <v>2</v>
  </rv>
  <rv s="0">
    <fb>45895</fb>
    <v>0</v>
  </rv>
  <rv s="0">
    <fb>157.36000000000001</fb>
    <v>1</v>
  </rv>
  <rv s="0">
    <fb>10270028</fb>
    <v>2</v>
  </rv>
  <rv s="0">
    <fb>45896</fb>
    <v>0</v>
  </rv>
  <rv s="0">
    <fb>159.24</fb>
    <v>1</v>
  </rv>
  <rv s="0">
    <fb>7482961</fb>
    <v>2</v>
  </rv>
  <rv s="0">
    <fb>45897</fb>
    <v>0</v>
  </rv>
  <rv s="0">
    <fb>159.32</fb>
    <v>1</v>
  </rv>
  <rv s="0">
    <fb>6502447</fb>
    <v>2</v>
  </rv>
  <rv s="0">
    <fb>45898</fb>
    <v>0</v>
  </rv>
  <rv s="0">
    <fb>160.6</fb>
    <v>1</v>
  </rv>
  <rv s="0">
    <fb>6934840</fb>
    <v>2</v>
  </rv>
  <rv s="0">
    <fb>45902</fb>
    <v>0</v>
  </rv>
  <rv s="0">
    <fb>161.83000000000001</fb>
    <v>1</v>
  </rv>
  <rv s="0">
    <fb>8947302</fb>
    <v>2</v>
  </rv>
  <rv s="0">
    <fb>45903</fb>
    <v>0</v>
  </rv>
  <rv s="0">
    <fb>158.06</fb>
    <v>1</v>
  </rv>
  <rv s="0">
    <fb>9556116</fb>
    <v>2</v>
  </rv>
  <rv s="0">
    <fb>45904</fb>
    <v>0</v>
  </rv>
  <rv s="0">
    <fb>157.69</fb>
    <v>1</v>
  </rv>
  <rv s="0">
    <fb>7242974</fb>
    <v>2</v>
  </rv>
  <rv s="0">
    <fb>45905</fb>
    <v>0</v>
  </rv>
  <rv s="0">
    <fb>153.66</fb>
    <v>1</v>
  </rv>
  <rv s="0">
    <fb>11011667</fb>
    <v>2</v>
  </rv>
  <rv s="0">
    <fb>45908</fb>
    <v>0</v>
  </rv>
  <rv s="0">
    <fb>154</fb>
    <v>1</v>
  </rv>
  <rv s="0">
    <fb>9461969</fb>
    <v>2</v>
  </rv>
  <rv s="0">
    <fb>45909</fb>
    <v>0</v>
  </rv>
  <rv s="0">
    <fb>154.85</fb>
    <v>1</v>
  </rv>
  <rv s="0">
    <fb>7769177</fb>
    <v>2</v>
  </rv>
  <rv s="0">
    <fb>45910</fb>
    <v>0</v>
  </rv>
  <rv s="0">
    <fb>157.79</fb>
    <v>1</v>
  </rv>
  <rv s="0">
    <fb>7440811</fb>
    <v>2</v>
  </rv>
  <rv s="0">
    <fb>45911</fb>
    <v>0</v>
  </rv>
  <rv s="0">
    <fb>158.25</fb>
    <v>1</v>
  </rv>
  <rv s="0">
    <fb>6417408</fb>
    <v>2</v>
  </rv>
  <rv s="0">
    <fb>45912</fb>
    <v>0</v>
  </rv>
  <rv s="0">
    <fb>157.11000000000001</fb>
    <v>1</v>
  </rv>
  <rv s="0">
    <fb>5546333</fb>
    <v>2</v>
  </rv>
  <rv s="0">
    <fb>45915</fb>
    <v>0</v>
  </rv>
  <rv s="0">
    <fb>157.31</fb>
    <v>1</v>
  </rv>
  <rv s="0">
    <fb>5030461</fb>
    <v>2</v>
  </rv>
  <rv s="0">
    <fb>45916</fb>
    <v>0</v>
  </rv>
  <rv s="0">
    <fb>159.54</fb>
    <v>1</v>
  </rv>
  <rv s="0">
    <fb>8011032</fb>
    <v>2</v>
  </rv>
  <rv s="0">
    <fb>45917</fb>
    <v>0</v>
  </rv>
  <rv s="0">
    <fb>160.09</fb>
    <v>1</v>
  </rv>
  <rv s="0">
    <fb>5736777</fb>
    <v>2</v>
  </rv>
  <rv s="0">
    <fb>45918</fb>
    <v>0</v>
  </rv>
  <rv s="0">
    <fb>158.84</fb>
    <v>1</v>
  </rv>
  <rv s="0">
    <fb>6244226</fb>
    <v>2</v>
  </rv>
  <rv s="0">
    <fb>45919</fb>
    <v>0</v>
  </rv>
  <rv s="0">
    <fb>156.21</fb>
    <v>1</v>
  </rv>
  <rv s="0">
    <fb>16733988</fb>
    <v>2</v>
  </rv>
  <rv s="0">
    <fb>45922</fb>
    <v>0</v>
  </rv>
  <rv s="0">
    <fb>156.05000000000001</fb>
    <v>1</v>
  </rv>
  <rv s="0">
    <fb>5244025</fb>
    <v>2</v>
  </rv>
  <rv s="0">
    <fb>45923</fb>
    <v>0</v>
  </rv>
  <rv s="0">
    <fb>157.41999999999999</fb>
    <v>1</v>
  </rv>
  <rv s="0">
    <fb>7181383</fb>
    <v>2</v>
  </rv>
  <rv s="0">
    <fb>45924</fb>
    <v>0</v>
  </rv>
  <rv s="0">
    <fb>159.18</fb>
    <v>1</v>
  </rv>
  <rv s="0">
    <fb>6285228</fb>
    <v>2</v>
  </rv>
  <rv s="0">
    <fb>45925</fb>
    <v>0</v>
  </rv>
  <rv s="0">
    <fb>160.72</fb>
    <v>1</v>
  </rv>
  <rv s="0">
    <fb>6311040</fb>
    <v>2</v>
  </rv>
  <rv s="0">
    <fb>45926</fb>
    <v>0</v>
  </rv>
  <rv s="0">
    <fb>160.16</fb>
    <v>1</v>
  </rv>
  <rv s="0">
    <fb>7015168</fb>
    <v>2</v>
  </rv>
  <rv s="0">
    <fb>45929</fb>
    <v>0</v>
  </rv>
  <rv s="0">
    <fb>156.1</fb>
    <v>1</v>
  </rv>
  <rv s="0">
    <fb>8315073</fb>
    <v>2</v>
  </rv>
  <rv s="0">
    <fb>45930</fb>
    <v>0</v>
  </rv>
  <rv s="0">
    <fb>155.29</fb>
    <v>1</v>
  </rv>
  <rv s="0">
    <fb>7755716</fb>
    <v>2</v>
  </rv>
  <rv s="0">
    <fb>45931</fb>
    <v>0</v>
  </rv>
  <rv s="0">
    <fb>154.58000000000001</fb>
    <v>1</v>
  </rv>
  <rv s="0">
    <fb>6768358</fb>
    <v>2</v>
  </rv>
  <rv s="0">
    <fb>45932</fb>
    <v>0</v>
  </rv>
  <rv s="0">
    <fb>153.37</fb>
    <v>1</v>
  </rv>
  <rv s="0">
    <fb>7562448</fb>
    <v>2</v>
  </rv>
  <rv s="0">
    <fb>45933</fb>
    <v>0</v>
  </rv>
  <rv s="0">
    <fb>153.55000000000001</fb>
    <v>1</v>
  </rv>
  <rv s="0">
    <fb>7249291</fb>
    <v>2</v>
  </rv>
  <rv s="0">
    <fb>45936</fb>
    <v>0</v>
  </rv>
  <rv s="0">
    <fb>154.02000000000001</fb>
    <v>1</v>
  </rv>
  <rv s="0">
    <fb>4778924</fb>
    <v>2</v>
  </rv>
  <rv s="0">
    <fb>45937</fb>
    <v>0</v>
  </rv>
  <rv s="0">
    <fb>154.91</fb>
    <v>1</v>
  </rv>
  <rv s="0">
    <fb>5479593</fb>
    <v>2</v>
  </rv>
  <rv s="0">
    <fb>45938</fb>
    <v>0</v>
  </rv>
  <rv s="0">
    <fb>153.74</fb>
    <v>1</v>
  </rv>
  <rv s="0">
    <fb>5678028</fb>
    <v>2</v>
  </rv>
  <rv s="0">
    <fb>45939</fb>
    <v>0</v>
  </rv>
  <rv s="0">
    <fb>6178601</fb>
    <v>2</v>
  </rv>
  <rv s="0">
    <fb>45940</fb>
    <v>0</v>
  </rv>
  <rv s="0">
    <fb>148.9</fb>
    <v>1</v>
  </rv>
  <rv s="0">
    <fb>7796621</fb>
    <v>2</v>
  </rv>
  <rv s="0">
    <fb>45943</fb>
    <v>0</v>
  </rv>
  <rv s="0">
    <fb>151.94</fb>
    <v>1</v>
  </rv>
  <rv s="0">
    <fb>5978755</fb>
    <v>2</v>
  </rv>
  <rv s="0">
    <fb>45944</fb>
    <v>0</v>
  </rv>
  <rv s="0">
    <fb>152.38999999999999</fb>
    <v>1</v>
  </rv>
  <rv s="0">
    <fb>6419350</fb>
    <v>2</v>
  </rv>
  <rv s="0">
    <fb>45945</fb>
    <v>0</v>
  </rv>
  <rv s="0">
    <fb>152.11000000000001</fb>
    <v>1</v>
  </rv>
  <rv s="0">
    <fb>5824931</fb>
    <v>2</v>
  </rv>
  <rv s="0">
    <fb>45946</fb>
    <v>0</v>
  </rv>
  <rv s="0">
    <fb>151.71</fb>
    <v>1</v>
  </rv>
  <rv s="0">
    <fb>5276788</fb>
    <v>2</v>
  </rv>
  <rv s="0">
    <fb>45947</fb>
    <v>0</v>
  </rv>
  <rv s="0">
    <fb>153.08000000000001</fb>
    <v>1</v>
  </rv>
  <rv s="0">
    <fb>7735462</fb>
    <v>2</v>
  </rv>
  <rv s="0">
    <fb>45950</fb>
    <v>0</v>
  </rv>
  <rv s="0">
    <fb>154.47999999999999</fb>
    <v>1</v>
  </rv>
  <rv s="0">
    <fb>5676505</fb>
    <v>2</v>
  </rv>
  <rv s="0">
    <fb>45951</fb>
    <v>0</v>
  </rv>
  <rv s="0">
    <fb>153.79</fb>
    <v>1</v>
  </rv>
  <rv s="0">
    <fb>6304917</fb>
    <v>2</v>
  </rv>
  <rv s="0">
    <fb>45952</fb>
    <v>0</v>
  </rv>
  <rv s="0">
    <fb>155.57</fb>
    <v>1</v>
  </rv>
  <rv s="0">
    <fb>6036705</fb>
    <v>2</v>
  </rv>
  <rv s="0">
    <fb>45953</fb>
    <v>0</v>
  </rv>
  <rv s="0">
    <fb>156.56</fb>
    <v>1</v>
  </rv>
  <rv s="0">
    <fb>9810894</fb>
    <v>2</v>
  </rv>
  <rv s="0">
    <fb>45954</fb>
    <v>0</v>
  </rv>
  <rv s="0">
    <fb>155.56</fb>
    <v>1</v>
  </rv>
  <rv s="0">
    <fb>4979941</fb>
    <v>2</v>
  </rv>
  <rv s="0">
    <fb>45957</fb>
    <v>0</v>
  </rv>
  <rv s="0">
    <fb>155.28</fb>
    <v>1</v>
  </rv>
  <rv s="0">
    <fb>4884434</fb>
    <v>2</v>
  </rv>
  <rv s="0">
    <fb>45958</fb>
    <v>0</v>
  </rv>
  <rv s="0">
    <fb>154.13</fb>
    <v>1</v>
  </rv>
  <rv s="0">
    <fb>5066475</fb>
    <v>2</v>
  </rv>
  <rv s="0">
    <fb>45959</fb>
    <v>0</v>
  </rv>
  <rv s="0">
    <fb>155.1</fb>
    <v>1</v>
  </rv>
  <rv s="0">
    <fb>7344432</fb>
    <v>2</v>
  </rv>
  <rv s="0">
    <fb>45960</fb>
    <v>0</v>
  </rv>
  <rv s="0">
    <fb>153.52000000000001</fb>
    <v>1</v>
  </rv>
  <rv s="0">
    <fb>8971226</fb>
    <v>2</v>
  </rv>
  <rv s="0">
    <fb>45961</fb>
    <v>0</v>
  </rv>
  <rv s="0">
    <fb>157.72</fb>
    <v>1</v>
  </rv>
  <rv s="0">
    <fb>11136109</fb>
    <v>2</v>
  </rv>
  <rv s="0">
    <fb>45964</fb>
    <v>0</v>
  </rv>
  <rv s="0">
    <fb>154.04</fb>
    <v>1</v>
  </rv>
  <rv s="0">
    <fb>8512209</fb>
    <v>2</v>
  </rv>
  <rv s="0">
    <fb>45965</fb>
    <v>0</v>
  </rv>
  <rv s="0">
    <fb>153.38999999999999</fb>
    <v>1</v>
  </rv>
  <rv s="0">
    <fb>6976838</fb>
    <v>2</v>
  </rv>
  <rv s="0">
    <fb>45966</fb>
    <v>0</v>
  </rv>
  <rv s="0">
    <fb>152.66</fb>
    <v>1</v>
  </rv>
  <rv s="0">
    <fb>5894721</fb>
    <v>2</v>
  </rv>
  <rv s="0">
    <fb>45967</fb>
    <v>0</v>
  </rv>
  <rv s="0">
    <fb>152.94</fb>
    <v>1</v>
  </rv>
  <rv s="0">
    <fb>6466257</fb>
    <v>2</v>
  </rv>
  <rv s="0">
    <fb>45968</fb>
    <v>0</v>
  </rv>
  <rv s="0">
    <fb>155.02000000000001</fb>
    <v>1</v>
  </rv>
  <rv s="0">
    <fb>9835929</fb>
    <v>2</v>
  </rv>
  <rv s="0">
    <fb>45971</fb>
    <v>0</v>
  </rv>
  <rv s="0">
    <fb>155.65</fb>
    <v>1</v>
  </rv>
  <rv s="0">
    <fb>8436797</fb>
    <v>2</v>
  </rv>
  <rv s="0">
    <fb>45972</fb>
    <v>0</v>
  </rv>
  <rv s="0">
    <fb>156.24</fb>
    <v>1</v>
  </rv>
  <rv s="0">
    <fb>6361426</fb>
    <v>2</v>
  </rv>
  <rv s="0">
    <fb>45973</fb>
    <v>0</v>
  </rv>
  <rv s="0">
    <fb>153.32</fb>
    <v>1</v>
  </rv>
  <rv s="0">
    <fb>11670947</fb>
    <v>2</v>
  </rv>
  <rv s="0">
    <fb>45974</fb>
    <v>0</v>
  </rv>
  <rv s="0">
    <fb>155.58000000000001</fb>
    <v>1</v>
  </rv>
  <rv s="0">
    <fb>7998740</fb>
    <v>2</v>
  </rv>
  <rv s="0">
    <fb>45975</fb>
    <v>0</v>
  </rv>
  <rv s="0">
    <fb>157.62</fb>
    <v>1</v>
  </rv>
  <rv s="0">
    <fb>8484812</fb>
    <v>2</v>
  </rv>
  <rv s="0">
    <fb>45978</fb>
    <v>0</v>
  </rv>
  <rv s="0">
    <fb>154.82</fb>
    <v>1</v>
  </rv>
  <rv s="0">
    <fb>8744980</fb>
    <v>2</v>
  </rv>
  <rv s="0">
    <fb>45979</fb>
    <v>0</v>
  </rv>
  <rv s="0">
    <fb>153.62</fb>
    <v>1</v>
  </rv>
  <rv s="0">
    <fb>10813365</fb>
    <v>2</v>
  </rv>
  <rv s="0">
    <fb>45980</fb>
    <v>0</v>
  </rv>
  <rv s="0">
    <fb>151.69999999999999</fb>
    <v>1</v>
  </rv>
  <rv s="0">
    <fb>7539905</fb>
    <v>2</v>
  </rv>
  <rv s="0">
    <fb>45981</fb>
    <v>0</v>
  </rv>
  <rv s="0">
    <fb>150.31</fb>
    <v>1</v>
  </rv>
  <rv s="0">
    <fb>7623448</fb>
    <v>2</v>
  </rv>
  <rv s="0">
    <fb>45982</fb>
    <v>0</v>
  </rv>
  <rv s="0">
    <fb>149.97999999999999</fb>
    <v>1</v>
  </rv>
  <rv s="0">
    <fb>9248445</fb>
    <v>2</v>
  </rv>
  <rv s="0">
    <fb>45985</fb>
    <v>0</v>
  </rv>
  <rv s="0">
    <fb>149.75</fb>
    <v>1</v>
  </rv>
  <rv s="0">
    <fb>14181131</fb>
    <v>2</v>
  </rv>
  <rv s="0">
    <fb>45986</fb>
    <v>0</v>
  </rv>
  <rv s="0">
    <fb>148.53</fb>
    <v>1</v>
  </rv>
  <rv s="0">
    <fb>11447942</fb>
    <v>2</v>
  </rv>
  <rv s="0">
    <fb>45987</fb>
    <v>0</v>
  </rv>
  <rv s="0">
    <fb>149.51</fb>
    <v>1</v>
  </rv>
  <rv s="0">
    <fb>7578938</fb>
    <v>2</v>
  </rv>
  <rv s="0">
    <fb>45989</fb>
    <v>0</v>
  </rv>
  <rv s="0">
    <fb>151.13</fb>
    <v>1</v>
  </rv>
  <rv s="0">
    <fb>3848568</fb>
    <v>2</v>
  </rv>
  <rv s="0">
    <fb>45992</fb>
    <v>0</v>
  </rv>
  <rv s="0">
    <fb>152.54</fb>
    <v>1</v>
  </rv>
  <rv s="0">
    <fb>8208972</fb>
    <v>2</v>
  </rv>
  <rv s="0">
    <fb>45993</fb>
    <v>0</v>
  </rv>
  <rv s="0">
    <fb>150.25</fb>
    <v>1</v>
  </rv>
  <rv s="0">
    <fb>9196311</fb>
    <v>2</v>
  </rv>
  <rv s="0">
    <fb>45994</fb>
    <v>0</v>
  </rv>
  <rv s="0">
    <fb>151.59</fb>
    <v>1</v>
  </rv>
  <rv s="0">
    <fb>8060175</fb>
    <v>2</v>
  </rv>
  <rv s="0">
    <fb>45995</fb>
    <v>0</v>
  </rv>
  <rv s="0">
    <fb>152.26</fb>
    <v>1</v>
  </rv>
  <rv s="0">
    <fb>7254724</fb>
    <v>2</v>
  </rv>
  <rv s="0">
    <fb>45996</fb>
    <v>0</v>
  </rv>
  <rv s="0">
    <fb>150</fb>
    <v>1</v>
  </rv>
  <rv s="0">
    <fb>12659762</fb>
    <v>2</v>
  </rv>
  <rv s="0">
    <fb>45999</fb>
    <v>0</v>
  </rv>
  <rv s="0">
    <fb>148.71</fb>
    <v>1</v>
  </rv>
  <rv s="0">
    <fb>10237153</fb>
    <v>2</v>
  </rv>
  <rv s="0">
    <fb>46000</fb>
    <v>0</v>
  </rv>
  <rv s="0">
    <fb>148.49</fb>
    <v>1</v>
  </rv>
  <rv s="0">
    <fb>8916749</fb>
    <v>2</v>
  </rv>
  <rv s="0">
    <fb>46001</fb>
    <v>0</v>
  </rv>
  <rv s="0">
    <fb>151.41</fb>
    <v>1</v>
  </rv>
  <rv s="0">
    <fb>10976295</fb>
    <v>2</v>
  </rv>
  <rv s="0">
    <fb>46002</fb>
    <v>0</v>
  </rv>
  <rv s="0">
    <fb>150.72</fb>
    <v>1</v>
  </rv>
  <rv s="0">
    <fb>8414160</fb>
    <v>2</v>
  </rv>
  <rv s="0">
    <fb>46003</fb>
    <v>0</v>
  </rv>
  <rv s="0">
    <fb>149.99</fb>
    <v>1</v>
  </rv>
  <rv s="0">
    <fb>5848050</fb>
    <v>2</v>
  </rv>
  <rv s="0">
    <fb>46006</fb>
    <v>0</v>
  </rv>
  <rv s="0">
    <fb>149.80000000000001</fb>
    <v>1</v>
  </rv>
  <rv s="0">
    <fb>7502951</fb>
    <v>2</v>
  </rv>
  <rv s="0">
    <fb>46007</fb>
    <v>0</v>
  </rv>
  <rv s="0">
    <fb>146.75</fb>
    <v>1</v>
  </rv>
  <rv s="0">
    <fb>11290538</fb>
    <v>2</v>
  </rv>
  <rv s="0">
    <fb>46008</fb>
    <v>0</v>
  </rv>
  <rv s="0">
    <fb>149.52000000000001</fb>
    <v>1</v>
  </rv>
  <rv s="0">
    <fb>8805268</fb>
    <v>2</v>
  </rv>
  <rv s="0">
    <fb>46009</fb>
    <v>0</v>
  </rv>
  <rv s="0">
    <fb>147.69</fb>
    <v>1</v>
  </rv>
  <rv s="0">
    <fb>6998843</fb>
    <v>2</v>
  </rv>
  <rv s="0">
    <fb>46010</fb>
    <v>0</v>
  </rv>
  <rv s="0">
    <fb>147.75</fb>
    <v>1</v>
  </rv>
  <rv s="0">
    <fb>21701435</fb>
    <v>2</v>
  </rv>
  <rv s="0">
    <fb>46013</fb>
    <v>0</v>
  </rv>
  <rv s="0">
    <fb>8143618</fb>
    <v>2</v>
  </rv>
  <rv s="0">
    <fb>46014</fb>
    <v>0</v>
  </rv>
  <rv s="0">
    <fb>150.51</fb>
    <v>1</v>
  </rv>
  <rv s="0">
    <fb>4663665</fb>
    <v>2</v>
  </rv>
  <rv s="0">
    <fb>46015</fb>
    <v>0</v>
  </rv>
  <rv s="0">
    <fb>150.5</fb>
    <v>1</v>
  </rv>
  <rv s="0">
    <fb>2227609</fb>
    <v>2</v>
  </rv>
  <rv s="0">
    <fb>46017</fb>
    <v>0</v>
  </rv>
  <rv s="0">
    <fb>150.02000000000001</fb>
    <v>1</v>
  </rv>
  <rv s="0">
    <fb>3706915</fb>
    <v>2</v>
  </rv>
  <rv s="0">
    <fb>46020</fb>
    <v>0</v>
  </rv>
  <rv s="0">
    <fb>150.99</fb>
    <v>1</v>
  </rv>
  <rv s="0">
    <fb>5589133</fb>
    <v>2</v>
  </rv>
  <rv s="0">
    <fb>46021</fb>
    <v>0</v>
  </rv>
  <rv s="0">
    <fb>152.31</fb>
    <v>1</v>
  </rv>
  <rv s="0">
    <fb>5150514</fb>
    <v>2</v>
  </rv>
  <rv s="0">
    <fb>46022</fb>
    <v>0</v>
  </rv>
  <rv s="0">
    <fb>152.41</fb>
    <v>1</v>
  </rv>
  <rv s="0">
    <fb>4953110</fb>
    <v>2</v>
  </rv>
  <rv s="0">
    <fb>46024</fb>
    <v>0</v>
  </rv>
  <rv s="0">
    <fb>155.9</fb>
    <v>1</v>
  </rv>
  <rv s="0">
    <fb>6862097</fb>
    <v>2</v>
  </rv>
  <rv s="0">
    <fb>46027</fb>
    <v>0</v>
  </rv>
  <rv s="0">
    <fb>163.85</fb>
    <v>1</v>
  </rv>
  <rv s="0">
    <fb>35094878</fb>
    <v>2</v>
  </rv>
  <rv s="0">
    <fb>46028</fb>
    <v>0</v>
  </rv>
  <rv s="0">
    <fb>156.54</fb>
    <v>1</v>
  </rv>
  <rv s="0">
    <fb>20564935</fb>
    <v>2</v>
  </rv>
  <rv s="0">
    <fb>46029</fb>
    <v>0</v>
  </rv>
  <rv s="0">
    <fb>155.19999999999999</fb>
    <v>1</v>
  </rv>
  <rv s="0">
    <fb>13537874</fb>
    <v>2</v>
  </rv>
  <rv s="0">
    <fb>46030</fb>
    <v>0</v>
  </rv>
  <rv s="0">
    <fb>159.25</fb>
    <v>1</v>
  </rv>
  <rv s="0">
    <fb>12929635</fb>
    <v>2</v>
  </rv>
  <rv s="0">
    <fb>46031</fb>
    <v>0</v>
  </rv>
  <rv s="0">
    <fb>162.11000000000001</fb>
    <v>1</v>
  </rv>
  <rv s="0">
    <fb>12549643</fb>
    <v>2</v>
  </rv>
  <rv s="0">
    <fb>46034</fb>
    <v>0</v>
  </rv>
  <rv s="0">
    <fb>162.34</fb>
    <v>1</v>
  </rv>
  <rv s="0">
    <fb>9796786</fb>
    <v>2</v>
  </rv>
  <rv s="0">
    <fb>46035</fb>
    <v>0</v>
  </rv>
  <rv s="0">
    <fb>163.87</fb>
    <v>1</v>
  </rv>
  <rv s="0">
    <fb>12068630</fb>
    <v>2</v>
  </rv>
  <rv s="0">
    <fb>46036</fb>
    <v>0</v>
  </rv>
  <rv s="0">
    <fb>167.24</fb>
    <v>1</v>
  </rv>
  <rv s="0">
    <fb>16414917</fb>
    <v>2</v>
  </rv>
  <rv s="0">
    <fb>46037</fb>
    <v>0</v>
  </rv>
  <rv s="0">
    <fb>166.16</fb>
    <v>1</v>
  </rv>
  <rv s="0">
    <fb>8097405</fb>
    <v>2</v>
  </rv>
  <rv s="0">
    <fb>46038</fb>
    <v>0</v>
  </rv>
  <rv s="0">
    <fb>166.26</fb>
    <v>1</v>
  </rv>
  <rv s="0">
    <fb>9745753</fb>
    <v>2</v>
  </rv>
  <rv s="0">
    <fb>46042</fb>
    <v>0</v>
  </rv>
  <rv s="0">
    <fb>165.3</fb>
    <v>1</v>
  </rv>
  <rv s="0">
    <fb>11142530</fb>
    <v>2</v>
  </rv>
  <rv s="0">
    <fb>46043</fb>
    <v>0</v>
  </rv>
  <rv s="0">
    <fb>166.73</fb>
    <v>1</v>
  </rv>
  <rv s="0">
    <fb>10918539</fb>
    <v>2</v>
  </rv>
  <rv s="0">
    <fb>46044</fb>
    <v>0</v>
  </rv>
  <rv s="0">
    <fb>166.66</fb>
    <v>1</v>
  </rv>
  <rv s="0">
    <fb>8957383</fb>
    <v>2</v>
  </rv>
  <rv s="0">
    <fb>46045</fb>
    <v>0</v>
  </rv>
  <rv s="0">
    <fb>166.72</fb>
    <v>1</v>
  </rv>
  <rv s="0">
    <fb>8368686</fb>
    <v>2</v>
  </rv>
  <rv s="0">
    <fb>46048</fb>
    <v>0</v>
  </rv>
  <rv s="0">
    <fb>167.5</fb>
    <v>1</v>
  </rv>
  <rv s="0">
    <fb>8912601</fb>
    <v>2</v>
  </rv>
  <rv s="0">
    <fb>46049</fb>
    <v>0</v>
  </rv>
  <rv s="0">
    <fb>169.05</fb>
    <v>1</v>
  </rv>
  <rv s="0">
    <fb>9784855</fb>
    <v>2</v>
  </rv>
  <rv s="0">
    <fb>46050</fb>
    <v>0</v>
  </rv>
  <rv s="0">
    <fb>169.93</fb>
    <v>1</v>
  </rv>
  <rv s="0">
    <fb>9200244</fb>
    <v>2</v>
  </rv>
  <rv s="0">
    <fb>46051</fb>
    <v>0</v>
  </rv>
  <rv s="0">
    <fb>171.19</fb>
    <v>1</v>
  </rv>
  <rv s="0">
    <fb>16786612</fb>
    <v>2</v>
  </rv>
  <rv s="0">
    <fb>46052</fb>
    <v>0</v>
  </rv>
  <rv s="0">
    <fb>176.9</fb>
    <v>1</v>
  </rv>
  <rv s="0">
    <fb>22946582</fb>
    <v>2</v>
  </rv>
  <rv s="0">
    <fb>46055</fb>
    <v>0</v>
  </rv>
  <rv s="0">
    <fb>174.03</fb>
    <v>1</v>
  </rv>
  <rv s="0">
    <fb>14235347</fb>
    <v>2</v>
  </rv>
  <rv s="0">
    <fb>46056</fb>
    <v>0</v>
  </rv>
  <rv s="0">
    <fb>178.04</fb>
    <v>1</v>
  </rv>
  <rv s="0">
    <fb>18425423</fb>
    <v>2</v>
  </rv>
  <rv s="0">
    <fb>46057</fb>
    <v>0</v>
  </rv>
  <rv s="0">
    <fb>181.23</fb>
    <v>1</v>
  </rv>
  <rv s="0">
    <fb>16170478</fb>
    <v>2</v>
  </rv>
  <rv s="0">
    <fb>46058</fb>
    <v>0</v>
  </rv>
  <rv s="0">
    <fb>179.23</fb>
    <v>1</v>
  </rv>
  <rv s="0">
    <fb>10474142</fb>
    <v>2</v>
  </rv>
  <rv s="0">
    <fb>46059</fb>
    <v>0</v>
  </rv>
  <rv s="0">
    <fb>180.86</fb>
    <v>1</v>
  </rv>
  <rv s="0">
    <fb>9901816</fb>
    <v>2</v>
  </rv>
  <rv s="0">
    <fb>46062</fb>
    <v>0</v>
  </rv>
  <rv s="0">
    <fb>182.6</fb>
    <v>1</v>
  </rv>
  <rv s="0">
    <fb>12021285</fb>
    <v>2</v>
  </rv>
  <rv s="0">
    <fb>46063</fb>
    <v>0</v>
  </rv>
  <rv s="0">
    <fb>182.26</fb>
    <v>1</v>
  </rv>
  <rv s="0">
    <fb>7458163</fb>
    <v>2</v>
  </rv>
  <rv s="0">
    <fb>46064</fb>
    <v>0</v>
  </rv>
  <rv s="0">
    <fb>185.82</fb>
    <v>1</v>
  </rv>
  <rv s="0">
    <fb>10502119</fb>
    <v>2</v>
  </rv>
  <rv s="0">
    <fb>46065</fb>
    <v>0</v>
  </rv>
  <rv s="0">
    <fb>182.4</fb>
    <v>1</v>
  </rv>
  <rv s="0">
    <fb>9673715</fb>
    <v>2</v>
  </rv>
  <rv s="0">
    <fb>46066</fb>
    <v>0</v>
  </rv>
  <rv s="0">
    <fb>183.74</fb>
    <v>1</v>
  </rv>
  <rv s="0">
    <fb>9034683</fb>
    <v>2</v>
  </rv>
  <rv s="0">
    <fb>46070</fb>
    <v>0</v>
  </rv>
  <rv s="0">
    <fb>180.55</fb>
    <v>1</v>
  </rv>
  <rv s="0">
    <fb>9849048</fb>
    <v>2</v>
  </rv>
  <rv s="0">
    <fb>46071</fb>
    <v>0</v>
  </rv>
  <rv s="0">
    <fb>183.87</fb>
    <v>1</v>
  </rv>
  <rv s="0">
    <fb>10313434</fb>
    <v>2</v>
  </rv>
  <rv s="0">
    <fb>46072</fb>
    <v>0</v>
  </rv>
  <rv s="0">
    <fb>184.78</fb>
    <v>1</v>
  </rv>
  <rv s="0">
    <fb>10773342</fb>
    <v>2</v>
  </rv>
  <rv s="0">
    <fb>46073</fb>
    <v>0</v>
  </rv>
  <rv s="0">
    <fb>183.93</fb>
    <v>1</v>
  </rv>
  <rv s="0">
    <fb>9566208</fb>
    <v>2</v>
  </rv>
  <rv s="0">
    <fb>46076</fb>
    <v>0</v>
  </rv>
  <rv s="0">
    <fb>184.91</fb>
    <v>1</v>
  </rv>
  <rv s="0">
    <fb>7047219</fb>
    <v>2</v>
  </rv>
  <rv s="0">
    <fb>46077</fb>
    <v>0</v>
  </rv>
  <rv s="0">
    <fb>185.34</fb>
    <v>1</v>
  </rv>
  <rv s="0">
    <fb>7451798</fb>
    <v>2</v>
  </rv>
  <rv s="0">
    <fb>46078</fb>
    <v>0</v>
  </rv>
  <rv s="0">
    <fb>184.22</fb>
    <v>1</v>
  </rv>
  <rv s="0">
    <fb>9440721</fb>
    <v>2</v>
  </rv>
  <rv s="0">
    <fb>46079</fb>
    <v>0</v>
  </rv>
  <rv s="0">
    <fb>184.16</fb>
    <v>1</v>
  </rv>
  <rv s="0">
    <fb>7133769</fb>
    <v>2</v>
  </rv>
  <rv s="1">
    <v>3</v>
    <v>CVX</v>
    <v>Daily</v>
    <v>45715</v>
    <v>46080</v>
    <v>0</v>
    <v>1</v>
    <v>639076608000000000,639078376803749190,0</v>
    <v>0</v>
    <v>a1qlz2</v>
    <v>XNYS:CVX</v>
    <v>1</v>
    <v>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0">
      <v>3</v>
    </spb>
    <spb s="1">
      <v>1</v>
      <v>2</v>
      <v>3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0" formatCode="General"/>
    </x:dxf>
    <x:dxf>
      <x:numFmt numFmtId="19" formatCode="m/d/yyyy"/>
    </x:dxf>
    <x:dxf>
      <x:numFmt numFmtId="3" formatCode="#,##0"/>
    </x:dxf>
  </dxfs>
  <richProperties>
    <rPr n="NumberFormat" t="s"/>
  </richProperties>
  <richStyles>
    <rSty dxfid="1"/>
    <rSty dxfid="0">
      <rpv i="0">_([$$-en-US]* #,##0.00_);_([$$-en-US]* (#,##0.00);_([$$-en-US]* "-"??_);_(@_)</rpv>
    </rSty>
    <rSty dxfid="2">
      <rpv i="0">#,##0</rpv>
    </rSty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B5453E-509B-4A0A-BD88-5C677C9C42A1}" name="Forecast" displayName="Forecast" ref="A1:B54" tableType="queryTable" totalsRowShown="0">
  <autoFilter ref="A1:B54" xr:uid="{5DB5453E-509B-4A0A-BD88-5C677C9C42A1}"/>
  <tableColumns count="2">
    <tableColumn id="1" xr3:uid="{02CFDD11-2C93-466A-9BFF-194EA1622D32}" uniqueName="1" name="Week" queryTableFieldId="1" dataDxfId="0"/>
    <tableColumn id="2" xr3:uid="{22B2B4F6-1F0B-47FA-B8B3-8C8AF54F6F46}" uniqueName="2" name="Averag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F68B5E-CE72-4077-B444-85FF75926D19}" name="Table1" displayName="Table1" ref="A1:B252" totalsRowShown="0">
  <autoFilter ref="A1:B252" xr:uid="{96F68B5E-CE72-4077-B444-85FF75926D19}"/>
  <tableColumns count="2">
    <tableColumn id="1" xr3:uid="{16154CE7-E465-48A5-AD2C-18A7401F057F}" name="Week" dataDxfId="1"/>
    <tableColumn id="2" xr3:uid="{1E4E3D20-39A9-4E06-A118-21DCD3DEE728}" name="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B0CA-D215-4909-9549-33E0F6F82D2C}">
  <dimension ref="A1:B9"/>
  <sheetViews>
    <sheetView workbookViewId="0">
      <selection activeCell="A3" sqref="A3:B3"/>
    </sheetView>
  </sheetViews>
  <sheetFormatPr defaultRowHeight="15" x14ac:dyDescent="0.25"/>
  <cols>
    <col min="1" max="1" width="15" bestFit="1" customWidth="1"/>
    <col min="2" max="2" width="14.5703125" bestFit="1" customWidth="1"/>
  </cols>
  <sheetData>
    <row r="1" spans="1:2" x14ac:dyDescent="0.25">
      <c r="A1" t="s">
        <v>24</v>
      </c>
      <c r="B1" t="s">
        <v>25</v>
      </c>
    </row>
    <row r="2" spans="1:2" x14ac:dyDescent="0.25">
      <c r="A2" s="12" t="s">
        <v>26</v>
      </c>
      <c r="B2" s="12" t="s">
        <v>27</v>
      </c>
    </row>
    <row r="3" spans="1:2" x14ac:dyDescent="0.25">
      <c r="A3" s="13" t="s">
        <v>1</v>
      </c>
      <c r="B3" s="13" t="s">
        <v>28</v>
      </c>
    </row>
    <row r="4" spans="1:2" x14ac:dyDescent="0.25">
      <c r="A4" s="14" t="s">
        <v>29</v>
      </c>
      <c r="B4" s="14" t="s">
        <v>30</v>
      </c>
    </row>
    <row r="5" spans="1:2" x14ac:dyDescent="0.25">
      <c r="A5" s="15" t="s">
        <v>15</v>
      </c>
      <c r="B5" s="15" t="s">
        <v>31</v>
      </c>
    </row>
    <row r="6" spans="1:2" x14ac:dyDescent="0.25">
      <c r="A6" s="9" t="s">
        <v>20</v>
      </c>
      <c r="B6" s="9" t="s">
        <v>32</v>
      </c>
    </row>
    <row r="7" spans="1:2" x14ac:dyDescent="0.25">
      <c r="A7" s="16" t="s">
        <v>23</v>
      </c>
      <c r="B7" s="16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0568-B321-401D-B457-33B556BF8509}">
  <dimension ref="A1"/>
  <sheetViews>
    <sheetView tabSelected="1" topLeftCell="A83" workbookViewId="0">
      <selection activeCell="O89" sqref="O89"/>
    </sheetView>
  </sheetViews>
  <sheetFormatPr defaultRowHeight="15" x14ac:dyDescent="0.25"/>
  <cols>
    <col min="1" max="16384" width="9.140625" style="2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F43F9-2C8F-4F53-A4E1-034AE0838EB4}">
  <dimension ref="A1:AE252"/>
  <sheetViews>
    <sheetView zoomScale="70" zoomScaleNormal="70" workbookViewId="0">
      <selection activeCell="C1" activeCellId="1" sqref="A1:A1048576 C1:C1048576"/>
    </sheetView>
  </sheetViews>
  <sheetFormatPr defaultRowHeight="15" x14ac:dyDescent="0.25"/>
  <cols>
    <col min="1" max="1" width="13.28515625" style="20" customWidth="1"/>
    <col min="2" max="2" width="12" bestFit="1" customWidth="1"/>
    <col min="3" max="3" width="10.5703125" bestFit="1" customWidth="1"/>
    <col min="4" max="4" width="12.42578125" bestFit="1" customWidth="1"/>
    <col min="5" max="5" width="14.85546875" bestFit="1" customWidth="1"/>
    <col min="8" max="8" width="14.85546875" bestFit="1" customWidth="1"/>
    <col min="9" max="9" width="13.5703125" bestFit="1" customWidth="1"/>
    <col min="10" max="10" width="11.7109375" bestFit="1" customWidth="1"/>
    <col min="14" max="14" width="10.5703125" bestFit="1" customWidth="1"/>
    <col min="15" max="15" width="10" bestFit="1" customWidth="1"/>
    <col min="17" max="18" width="11.42578125" bestFit="1" customWidth="1"/>
    <col min="23" max="23" width="9.7109375" bestFit="1" customWidth="1"/>
    <col min="24" max="24" width="10.140625" bestFit="1" customWidth="1"/>
    <col min="25" max="25" width="8.5703125" bestFit="1" customWidth="1"/>
    <col min="26" max="26" width="8.85546875" bestFit="1" customWidth="1"/>
    <col min="27" max="27" width="13" bestFit="1" customWidth="1"/>
    <col min="28" max="28" width="12.85546875" bestFit="1" customWidth="1"/>
    <col min="31" max="31" width="16.85546875" style="18" bestFit="1" customWidth="1"/>
  </cols>
  <sheetData>
    <row r="1" spans="1:31" s="8" customFormat="1" x14ac:dyDescent="0.25">
      <c r="A1" s="19" t="s">
        <v>45</v>
      </c>
      <c r="B1" s="4" t="str" cm="1">
        <f t="array" aca="1" ref="B1:D252" ca="1">_xlfn.STOCKHISTORY("CVX",TODAY()-365,TODAY(),0,1,0,1,5)</f>
        <v>Date</v>
      </c>
      <c r="C1" s="4" t="str">
        <f ca="1"/>
        <v>Close</v>
      </c>
      <c r="D1" s="4" t="str">
        <f ca="1"/>
        <v>Volume</v>
      </c>
      <c r="E1" s="5" t="s">
        <v>0</v>
      </c>
      <c r="F1" s="5" t="s">
        <v>1</v>
      </c>
      <c r="G1" s="6" t="s">
        <v>2</v>
      </c>
      <c r="H1" s="6" t="s">
        <v>3</v>
      </c>
      <c r="I1" s="6" t="s">
        <v>4</v>
      </c>
      <c r="J1" s="7" t="s">
        <v>7</v>
      </c>
      <c r="K1" s="7" t="s">
        <v>8</v>
      </c>
      <c r="L1" s="7" t="s">
        <v>6</v>
      </c>
      <c r="M1" s="7" t="s">
        <v>5</v>
      </c>
      <c r="N1" s="3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3" t="s">
        <v>14</v>
      </c>
      <c r="T1" s="3" t="s">
        <v>15</v>
      </c>
      <c r="U1" s="1" t="s">
        <v>16</v>
      </c>
      <c r="V1" s="3" t="s">
        <v>17</v>
      </c>
      <c r="W1" s="10" t="s">
        <v>18</v>
      </c>
      <c r="X1" s="10" t="s">
        <v>19</v>
      </c>
      <c r="Y1" s="10" t="s">
        <v>20</v>
      </c>
      <c r="Z1" s="10" t="s">
        <v>21</v>
      </c>
      <c r="AA1" s="10" t="s">
        <v>22</v>
      </c>
      <c r="AB1" s="11" t="s">
        <v>23</v>
      </c>
      <c r="AC1" s="7" t="s">
        <v>38</v>
      </c>
      <c r="AD1" s="7" t="s">
        <v>43</v>
      </c>
      <c r="AE1" s="17" t="s">
        <v>44</v>
      </c>
    </row>
    <row r="2" spans="1:31" x14ac:dyDescent="0.25">
      <c r="A2" s="20">
        <f ca="1">B2 - WEEKDAY(B2, 2) + 1</f>
        <v>45712</v>
      </c>
      <c r="B2" vm="1">
        <f ca="1"/>
        <v>45715</v>
      </c>
      <c r="C2" vm="2">
        <f ca="1"/>
        <v>156.66999999999999</v>
      </c>
      <c r="D2" vm="3">
        <f ca="1"/>
        <v>7517237</v>
      </c>
      <c r="E2">
        <f ca="1">C2*D2</f>
        <v>1177725520.79</v>
      </c>
      <c r="F2">
        <f ca="1">SUM($E$2:E2)/SUM($D$2:D2)</f>
        <v>156.66999999999999</v>
      </c>
      <c r="G2">
        <f ca="1">_xlfn.STDEV.P($C$2:C2)</f>
        <v>0</v>
      </c>
      <c r="H2">
        <f ca="1">F2 + G2</f>
        <v>156.66999999999999</v>
      </c>
      <c r="I2">
        <f ca="1">F2 - G2</f>
        <v>156.66999999999999</v>
      </c>
      <c r="AC2" t="s">
        <v>39</v>
      </c>
      <c r="AD2">
        <f ca="1">MIN(C:C)</f>
        <v>133.72999999999999</v>
      </c>
      <c r="AE2" s="18">
        <f ca="1">MIN(D:D)</f>
        <v>2227609</v>
      </c>
    </row>
    <row r="3" spans="1:31" x14ac:dyDescent="0.25">
      <c r="A3" s="20">
        <f t="shared" ref="A3:A66" ca="1" si="0">B3 - WEEKDAY(B3, 2) + 1</f>
        <v>45712</v>
      </c>
      <c r="B3" vm="4">
        <f ca="1"/>
        <v>45716</v>
      </c>
      <c r="C3" vm="5">
        <f ca="1"/>
        <v>158.62</v>
      </c>
      <c r="D3" vm="6">
        <f ca="1"/>
        <v>8828547</v>
      </c>
      <c r="E3">
        <f t="shared" ref="E3:E66" ca="1" si="1">C3*D3</f>
        <v>1400384125.1400001</v>
      </c>
      <c r="F3">
        <f ca="1">SUM($E$2:E3)/SUM($D$2:D3)</f>
        <v>157.72321755444707</v>
      </c>
      <c r="G3">
        <f ca="1">_xlfn.STDEV.P($C$2:C3)</f>
        <v>0.97500000000000853</v>
      </c>
      <c r="H3">
        <f t="shared" ref="H3:H66" ca="1" si="2">F3 + G3</f>
        <v>158.69821755444707</v>
      </c>
      <c r="I3">
        <f t="shared" ref="I3:I66" ca="1" si="3">F3 - G3</f>
        <v>156.74821755444708</v>
      </c>
      <c r="N3">
        <f ca="1">C3-C2</f>
        <v>1.9500000000000171</v>
      </c>
      <c r="O3">
        <f ca="1">MAX(N3,0)</f>
        <v>1.9500000000000171</v>
      </c>
      <c r="P3">
        <f ca="1">MAX(-N3,0)</f>
        <v>0</v>
      </c>
      <c r="AC3" t="s">
        <v>40</v>
      </c>
      <c r="AD3">
        <f ca="1">MAX(C:C)</f>
        <v>185.82</v>
      </c>
      <c r="AE3" s="18">
        <f ca="1">MAX(D:D)</f>
        <v>45782636</v>
      </c>
    </row>
    <row r="4" spans="1:31" x14ac:dyDescent="0.25">
      <c r="A4" s="20">
        <f t="shared" ca="1" si="0"/>
        <v>45719</v>
      </c>
      <c r="B4" vm="7">
        <f ca="1"/>
        <v>45719</v>
      </c>
      <c r="C4" vm="8">
        <f ca="1"/>
        <v>153.09</v>
      </c>
      <c r="D4" vm="9">
        <f ca="1"/>
        <v>9059814</v>
      </c>
      <c r="E4">
        <f t="shared" ca="1" si="1"/>
        <v>1386966925.26</v>
      </c>
      <c r="F4">
        <f ca="1">SUM($E$2:E4)/SUM($D$2:D4)</f>
        <v>156.07097975768966</v>
      </c>
      <c r="G4">
        <f ca="1">_xlfn.STDEV.P($C$2:C4)</f>
        <v>2.2900703531163007</v>
      </c>
      <c r="H4">
        <f t="shared" ca="1" si="2"/>
        <v>158.36105011080596</v>
      </c>
      <c r="I4">
        <f t="shared" ca="1" si="3"/>
        <v>153.78090940457335</v>
      </c>
      <c r="N4">
        <f t="shared" ref="N4:N67" ca="1" si="4">C4-C3</f>
        <v>-5.5300000000000011</v>
      </c>
      <c r="O4">
        <f t="shared" ref="O4:O67" ca="1" si="5">MAX(N4,0)</f>
        <v>0</v>
      </c>
      <c r="P4">
        <f t="shared" ref="P4:P67" ca="1" si="6">MAX(-N4,0)</f>
        <v>5.5300000000000011</v>
      </c>
      <c r="AC4" t="s">
        <v>41</v>
      </c>
      <c r="AD4">
        <f ca="1">MEDIAN(C:C)</f>
        <v>153.37</v>
      </c>
      <c r="AE4" s="18">
        <f ca="1">MEDIAN(D:D)</f>
        <v>8484812</v>
      </c>
    </row>
    <row r="5" spans="1:31" x14ac:dyDescent="0.25">
      <c r="A5" s="20">
        <f t="shared" ca="1" si="0"/>
        <v>45719</v>
      </c>
      <c r="B5" vm="10">
        <f ca="1"/>
        <v>45720</v>
      </c>
      <c r="C5" vm="11">
        <f ca="1"/>
        <v>152</v>
      </c>
      <c r="D5" vm="12">
        <f ca="1"/>
        <v>8826344</v>
      </c>
      <c r="E5">
        <f t="shared" ca="1" si="1"/>
        <v>1341604288</v>
      </c>
      <c r="F5">
        <f ca="1">SUM($E$2:E5)/SUM($D$2:D5)</f>
        <v>155.02132070654946</v>
      </c>
      <c r="G5">
        <f ca="1">_xlfn.STDEV.P($C$2:C5)</f>
        <v>2.669517746710067</v>
      </c>
      <c r="H5">
        <f t="shared" ca="1" si="2"/>
        <v>157.69083845325952</v>
      </c>
      <c r="I5">
        <f t="shared" ca="1" si="3"/>
        <v>152.3518029598394</v>
      </c>
      <c r="N5">
        <f t="shared" ca="1" si="4"/>
        <v>-1.0900000000000034</v>
      </c>
      <c r="O5">
        <f t="shared" ca="1" si="5"/>
        <v>0</v>
      </c>
      <c r="P5">
        <f t="shared" ca="1" si="6"/>
        <v>1.0900000000000034</v>
      </c>
      <c r="AC5" t="s">
        <v>42</v>
      </c>
      <c r="AD5">
        <f ca="1">AVERAGE(C:C)</f>
        <v>153.97490039840659</v>
      </c>
      <c r="AE5" s="18">
        <f ca="1">AVERAGE(D:D)</f>
        <v>9473859.4462151397</v>
      </c>
    </row>
    <row r="6" spans="1:31" x14ac:dyDescent="0.25">
      <c r="A6" s="20">
        <f t="shared" ca="1" si="0"/>
        <v>45719</v>
      </c>
      <c r="B6" vm="13">
        <f ca="1"/>
        <v>45721</v>
      </c>
      <c r="C6" vm="14">
        <f ca="1"/>
        <v>150.81</v>
      </c>
      <c r="D6" vm="15">
        <f ca="1"/>
        <v>9288538</v>
      </c>
      <c r="E6">
        <f t="shared" ca="1" si="1"/>
        <v>1400804415.78</v>
      </c>
      <c r="F6">
        <f ca="1">SUM($E$2:E6)/SUM($D$2:D6)</f>
        <v>154.12250220976424</v>
      </c>
      <c r="G6">
        <f ca="1">_xlfn.STDEV.P($C$2:C6)</f>
        <v>2.9391930865460321</v>
      </c>
      <c r="H6">
        <f t="shared" ca="1" si="2"/>
        <v>157.06169529631026</v>
      </c>
      <c r="I6">
        <f t="shared" ca="1" si="3"/>
        <v>151.18330912321821</v>
      </c>
      <c r="N6">
        <f t="shared" ca="1" si="4"/>
        <v>-1.1899999999999977</v>
      </c>
      <c r="O6">
        <f t="shared" ca="1" si="5"/>
        <v>0</v>
      </c>
      <c r="P6">
        <f t="shared" ca="1" si="6"/>
        <v>1.1899999999999977</v>
      </c>
    </row>
    <row r="7" spans="1:31" x14ac:dyDescent="0.25">
      <c r="A7" s="20">
        <f t="shared" ca="1" si="0"/>
        <v>45719</v>
      </c>
      <c r="B7" vm="16">
        <f ca="1"/>
        <v>45722</v>
      </c>
      <c r="C7" vm="17">
        <f ca="1"/>
        <v>152.94999999999999</v>
      </c>
      <c r="D7" vm="18">
        <f ca="1"/>
        <v>7314687</v>
      </c>
      <c r="E7">
        <f t="shared" ca="1" si="1"/>
        <v>1118781376.6499999</v>
      </c>
      <c r="F7">
        <f ca="1">SUM($E$2:E7)/SUM($D$2:D7)</f>
        <v>153.95379052497259</v>
      </c>
      <c r="G7">
        <f ca="1">_xlfn.STDEV.P($C$2:C7)</f>
        <v>2.7257027636108</v>
      </c>
      <c r="H7">
        <f t="shared" ca="1" si="2"/>
        <v>156.67949328858339</v>
      </c>
      <c r="I7">
        <f t="shared" ca="1" si="3"/>
        <v>151.22808776136179</v>
      </c>
      <c r="N7">
        <f t="shared" ca="1" si="4"/>
        <v>2.1399999999999864</v>
      </c>
      <c r="O7">
        <f t="shared" ca="1" si="5"/>
        <v>2.1399999999999864</v>
      </c>
      <c r="P7">
        <f t="shared" ca="1" si="6"/>
        <v>0</v>
      </c>
    </row>
    <row r="8" spans="1:31" x14ac:dyDescent="0.25">
      <c r="A8" s="20">
        <f t="shared" ca="1" si="0"/>
        <v>45719</v>
      </c>
      <c r="B8" vm="19">
        <f ca="1"/>
        <v>45723</v>
      </c>
      <c r="C8" vm="20">
        <f ca="1"/>
        <v>156.34</v>
      </c>
      <c r="D8" vm="21">
        <f ca="1"/>
        <v>8562635</v>
      </c>
      <c r="E8">
        <f t="shared" ca="1" si="1"/>
        <v>1338682355.9000001</v>
      </c>
      <c r="F8">
        <f ca="1">SUM($E$2:E8)/SUM($D$2:D8)</f>
        <v>154.2977803710649</v>
      </c>
      <c r="G8">
        <f ca="1">_xlfn.STDEV.P($C$2:C8)</f>
        <v>2.6505247843876241</v>
      </c>
      <c r="H8">
        <f t="shared" ca="1" si="2"/>
        <v>156.94830515545252</v>
      </c>
      <c r="I8">
        <f t="shared" ca="1" si="3"/>
        <v>151.64725558667729</v>
      </c>
      <c r="N8">
        <f t="shared" ca="1" si="4"/>
        <v>3.3900000000000148</v>
      </c>
      <c r="O8">
        <f t="shared" ca="1" si="5"/>
        <v>3.3900000000000148</v>
      </c>
      <c r="P8">
        <f t="shared" ca="1" si="6"/>
        <v>0</v>
      </c>
    </row>
    <row r="9" spans="1:31" x14ac:dyDescent="0.25">
      <c r="A9" s="20">
        <f t="shared" ca="1" si="0"/>
        <v>45726</v>
      </c>
      <c r="B9" vm="22">
        <f ca="1"/>
        <v>45726</v>
      </c>
      <c r="C9" vm="23">
        <f ca="1"/>
        <v>157.57</v>
      </c>
      <c r="D9" vm="24">
        <f ca="1"/>
        <v>11750302</v>
      </c>
      <c r="E9">
        <f t="shared" ca="1" si="1"/>
        <v>1851495086.1399999</v>
      </c>
      <c r="F9">
        <f ca="1">SUM($E$2:E9)/SUM($D$2:D9)</f>
        <v>154.83819630190004</v>
      </c>
      <c r="G9">
        <f ca="1">_xlfn.STDEV.P($C$2:C9)</f>
        <v>2.6978043734674308</v>
      </c>
      <c r="H9">
        <f t="shared" ca="1" si="2"/>
        <v>157.53600067536746</v>
      </c>
      <c r="I9">
        <f t="shared" ca="1" si="3"/>
        <v>152.14039192843262</v>
      </c>
      <c r="N9">
        <f t="shared" ca="1" si="4"/>
        <v>1.2299999999999898</v>
      </c>
      <c r="O9">
        <f t="shared" ca="1" si="5"/>
        <v>1.2299999999999898</v>
      </c>
      <c r="P9">
        <f t="shared" ca="1" si="6"/>
        <v>0</v>
      </c>
    </row>
    <row r="10" spans="1:31" x14ac:dyDescent="0.25">
      <c r="A10" s="20">
        <f t="shared" ca="1" si="0"/>
        <v>45726</v>
      </c>
      <c r="B10" vm="25">
        <f ca="1"/>
        <v>45727</v>
      </c>
      <c r="C10" vm="26">
        <f ca="1"/>
        <v>154.08000000000001</v>
      </c>
      <c r="D10" vm="27">
        <f ca="1"/>
        <v>10466294</v>
      </c>
      <c r="E10">
        <f t="shared" ca="1" si="1"/>
        <v>1612646579.5200002</v>
      </c>
      <c r="F10">
        <f ca="1">SUM($E$2:E10)/SUM($D$2:D10)</f>
        <v>154.74096461729707</v>
      </c>
      <c r="G10">
        <f ca="1">_xlfn.STDEV.P($C$2:C10)</f>
        <v>2.5523777343421226</v>
      </c>
      <c r="H10">
        <f t="shared" ca="1" si="2"/>
        <v>157.29334235163918</v>
      </c>
      <c r="I10">
        <f t="shared" ca="1" si="3"/>
        <v>152.18858688295495</v>
      </c>
      <c r="N10">
        <f t="shared" ca="1" si="4"/>
        <v>-3.4899999999999807</v>
      </c>
      <c r="O10">
        <f t="shared" ca="1" si="5"/>
        <v>0</v>
      </c>
      <c r="P10">
        <f t="shared" ca="1" si="6"/>
        <v>3.4899999999999807</v>
      </c>
    </row>
    <row r="11" spans="1:31" x14ac:dyDescent="0.25">
      <c r="A11" s="20">
        <f t="shared" ca="1" si="0"/>
        <v>45726</v>
      </c>
      <c r="B11" vm="28">
        <f ca="1"/>
        <v>45728</v>
      </c>
      <c r="C11" vm="29">
        <f ca="1"/>
        <v>152.66999999999999</v>
      </c>
      <c r="D11" vm="30">
        <f ca="1"/>
        <v>9710223</v>
      </c>
      <c r="E11">
        <f t="shared" ca="1" si="1"/>
        <v>1482459745.4099998</v>
      </c>
      <c r="F11">
        <f ca="1">SUM($E$2:E11)/SUM($D$2:D11)</f>
        <v>154.52076629576158</v>
      </c>
      <c r="G11">
        <f ca="1">_xlfn.STDEV.P($C$2:C11)</f>
        <v>2.4954318263579149</v>
      </c>
      <c r="H11">
        <f t="shared" ca="1" si="2"/>
        <v>157.01619812211948</v>
      </c>
      <c r="I11">
        <f t="shared" ca="1" si="3"/>
        <v>152.02533446940367</v>
      </c>
      <c r="N11">
        <f t="shared" ca="1" si="4"/>
        <v>-1.410000000000025</v>
      </c>
      <c r="O11">
        <f t="shared" ca="1" si="5"/>
        <v>0</v>
      </c>
      <c r="P11">
        <f t="shared" ca="1" si="6"/>
        <v>1.410000000000025</v>
      </c>
    </row>
    <row r="12" spans="1:31" x14ac:dyDescent="0.25">
      <c r="A12" s="20">
        <f t="shared" ca="1" si="0"/>
        <v>45726</v>
      </c>
      <c r="B12" vm="31">
        <f ca="1"/>
        <v>45729</v>
      </c>
      <c r="C12" vm="32">
        <f ca="1"/>
        <v>153.61000000000001</v>
      </c>
      <c r="D12" vm="33">
        <f ca="1"/>
        <v>9022758</v>
      </c>
      <c r="E12">
        <f t="shared" ca="1" si="1"/>
        <v>1385985856.3800001</v>
      </c>
      <c r="F12">
        <f ca="1">SUM($E$2:E12)/SUM($D$2:D12)</f>
        <v>154.4388745317404</v>
      </c>
      <c r="G12">
        <f ca="1">_xlfn.STDEV.P($C$2:C12)</f>
        <v>2.3924101751750242</v>
      </c>
      <c r="H12">
        <f t="shared" ca="1" si="2"/>
        <v>156.83128470691543</v>
      </c>
      <c r="I12">
        <f t="shared" ca="1" si="3"/>
        <v>152.04646435656537</v>
      </c>
      <c r="N12">
        <f t="shared" ca="1" si="4"/>
        <v>0.94000000000002615</v>
      </c>
      <c r="O12">
        <f t="shared" ca="1" si="5"/>
        <v>0.94000000000002615</v>
      </c>
      <c r="P12">
        <f t="shared" ca="1" si="6"/>
        <v>0</v>
      </c>
    </row>
    <row r="13" spans="1:31" x14ac:dyDescent="0.25">
      <c r="A13" s="20">
        <f t="shared" ca="1" si="0"/>
        <v>45726</v>
      </c>
      <c r="B13" vm="34">
        <f ca="1"/>
        <v>45730</v>
      </c>
      <c r="C13" vm="35">
        <f ca="1"/>
        <v>157.02000000000001</v>
      </c>
      <c r="D13" vm="36">
        <f ca="1"/>
        <v>6671549</v>
      </c>
      <c r="E13">
        <f t="shared" ca="1" si="1"/>
        <v>1047566623.98</v>
      </c>
      <c r="F13">
        <f ca="1">SUM($E$2:E13)/SUM($D$2:D13)</f>
        <v>154.59978162881617</v>
      </c>
      <c r="G13">
        <f ca="1">_xlfn.STDEV.P($C$2:C13)</f>
        <v>2.4022193153184186</v>
      </c>
      <c r="H13">
        <f t="shared" ca="1" si="2"/>
        <v>157.00200094413458</v>
      </c>
      <c r="I13">
        <f t="shared" ca="1" si="3"/>
        <v>152.19756231349777</v>
      </c>
      <c r="N13">
        <f t="shared" ca="1" si="4"/>
        <v>3.4099999999999966</v>
      </c>
      <c r="O13">
        <f t="shared" ca="1" si="5"/>
        <v>3.4099999999999966</v>
      </c>
      <c r="P13">
        <f t="shared" ca="1" si="6"/>
        <v>0</v>
      </c>
      <c r="W13" s="9">
        <f ca="1">AVERAGE(C2:C13)</f>
        <v>154.61916666666664</v>
      </c>
    </row>
    <row r="14" spans="1:31" x14ac:dyDescent="0.25">
      <c r="A14" s="20">
        <f t="shared" ca="1" si="0"/>
        <v>45733</v>
      </c>
      <c r="B14" vm="37">
        <f ca="1"/>
        <v>45733</v>
      </c>
      <c r="C14" vm="38">
        <f ca="1"/>
        <v>158.72</v>
      </c>
      <c r="D14" vm="39">
        <f ca="1"/>
        <v>7615153</v>
      </c>
      <c r="E14">
        <f t="shared" ca="1" si="1"/>
        <v>1208677084.1600001</v>
      </c>
      <c r="F14">
        <f ca="1">SUM($E$2:E14)/SUM($D$2:D14)</f>
        <v>154.87348813054993</v>
      </c>
      <c r="G14">
        <f ca="1">_xlfn.STDEV.P($C$2:C14)</f>
        <v>2.5535966050458669</v>
      </c>
      <c r="H14">
        <f t="shared" ca="1" si="2"/>
        <v>157.4270847355958</v>
      </c>
      <c r="I14">
        <f t="shared" ca="1" si="3"/>
        <v>152.31989152550406</v>
      </c>
      <c r="N14">
        <f t="shared" ca="1" si="4"/>
        <v>1.6999999999999886</v>
      </c>
      <c r="O14">
        <f t="shared" ca="1" si="5"/>
        <v>1.6999999999999886</v>
      </c>
      <c r="P14">
        <f t="shared" ca="1" si="6"/>
        <v>0</v>
      </c>
      <c r="W14">
        <f ca="1">C14*(2/(12+1)) + W13*(1-(2/(12+1)))</f>
        <v>155.2500641025641</v>
      </c>
    </row>
    <row r="15" spans="1:31" x14ac:dyDescent="0.25">
      <c r="A15" s="20">
        <f t="shared" ca="1" si="0"/>
        <v>45733</v>
      </c>
      <c r="B15" vm="40">
        <f ca="1"/>
        <v>45734</v>
      </c>
      <c r="C15" vm="41">
        <f ca="1"/>
        <v>160.81</v>
      </c>
      <c r="D15" vm="42">
        <f ca="1"/>
        <v>9289469</v>
      </c>
      <c r="E15">
        <f t="shared" ca="1" si="1"/>
        <v>1493839509.8900001</v>
      </c>
      <c r="F15">
        <f ca="1">SUM($E$2:E15)/SUM($D$2:D15)</f>
        <v>155.31849671027015</v>
      </c>
      <c r="G15">
        <f ca="1">_xlfn.STDEV.P($C$2:C15)</f>
        <v>2.8887162603227514</v>
      </c>
      <c r="H15">
        <f t="shared" ca="1" si="2"/>
        <v>158.20721297059291</v>
      </c>
      <c r="I15">
        <f t="shared" ca="1" si="3"/>
        <v>152.4297804499474</v>
      </c>
      <c r="N15">
        <f t="shared" ca="1" si="4"/>
        <v>2.0900000000000034</v>
      </c>
      <c r="O15">
        <f t="shared" ca="1" si="5"/>
        <v>2.0900000000000034</v>
      </c>
      <c r="P15">
        <f t="shared" ca="1" si="6"/>
        <v>0</v>
      </c>
      <c r="Q15" s="2">
        <f ca="1">AVERAGE(O3:O16)</f>
        <v>1.4350000000000023</v>
      </c>
      <c r="R15" s="2">
        <f ca="1">AVERAGE(P3:P16)</f>
        <v>0.90785714285714347</v>
      </c>
      <c r="S15">
        <f ca="1">IF(R15=0,NA(),Q15/R15)</f>
        <v>1.5806451612903241</v>
      </c>
      <c r="T15">
        <f ca="1">100-(100/(1+S15))</f>
        <v>61.250000000000021</v>
      </c>
      <c r="U15">
        <f>70</f>
        <v>70</v>
      </c>
      <c r="V15">
        <f>30</f>
        <v>30</v>
      </c>
      <c r="W15">
        <f t="shared" ref="W15:W78" ca="1" si="7">C15*(2/(12+1)) + W14*(1-(2/(12+1)))</f>
        <v>156.10543885601578</v>
      </c>
    </row>
    <row r="16" spans="1:31" x14ac:dyDescent="0.25">
      <c r="A16" s="20">
        <f t="shared" ca="1" si="0"/>
        <v>45733</v>
      </c>
      <c r="B16" vm="43">
        <f ca="1"/>
        <v>45735</v>
      </c>
      <c r="C16" vm="44">
        <f ca="1"/>
        <v>164.05</v>
      </c>
      <c r="D16" vm="45">
        <f ca="1"/>
        <v>11503859</v>
      </c>
      <c r="E16">
        <f t="shared" ca="1" si="1"/>
        <v>1887208068.95</v>
      </c>
      <c r="F16">
        <f ca="1">SUM($E$2:E16)/SUM($D$2:D16)</f>
        <v>156.06019282219305</v>
      </c>
      <c r="G16">
        <f ca="1">_xlfn.STDEV.P($C$2:C16)</f>
        <v>3.5345905939255085</v>
      </c>
      <c r="H16">
        <f t="shared" ca="1" si="2"/>
        <v>159.59478341611856</v>
      </c>
      <c r="I16">
        <f t="shared" ca="1" si="3"/>
        <v>152.52560222826753</v>
      </c>
      <c r="N16">
        <f t="shared" ca="1" si="4"/>
        <v>3.2400000000000091</v>
      </c>
      <c r="O16">
        <f t="shared" ca="1" si="5"/>
        <v>3.2400000000000091</v>
      </c>
      <c r="P16">
        <f t="shared" ca="1" si="6"/>
        <v>0</v>
      </c>
      <c r="Q16">
        <f ca="1">(Q15*13+O16)/14</f>
        <v>1.5639285714285742</v>
      </c>
      <c r="R16">
        <f ca="1">(R15*13+P16)/14</f>
        <v>0.84301020408163319</v>
      </c>
      <c r="S16">
        <f t="shared" ref="S16:S79" ca="1" si="8">IF(R16=0,NA(),Q16/R16)</f>
        <v>1.8551715790110777</v>
      </c>
      <c r="T16">
        <f t="shared" ref="T16:T79" ca="1" si="9">100-(100/(1+S16))</f>
        <v>64.975835170425668</v>
      </c>
      <c r="U16">
        <f>70</f>
        <v>70</v>
      </c>
      <c r="V16">
        <f>30</f>
        <v>30</v>
      </c>
      <c r="W16">
        <f t="shared" ca="1" si="7"/>
        <v>157.32767903201335</v>
      </c>
    </row>
    <row r="17" spans="1:25" x14ac:dyDescent="0.25">
      <c r="A17" s="20">
        <f t="shared" ca="1" si="0"/>
        <v>45733</v>
      </c>
      <c r="B17" vm="46">
        <f ca="1"/>
        <v>45736</v>
      </c>
      <c r="C17" vm="47">
        <f ca="1"/>
        <v>164.77</v>
      </c>
      <c r="D17" vm="48">
        <f ca="1"/>
        <v>9545886</v>
      </c>
      <c r="E17">
        <f t="shared" ca="1" si="1"/>
        <v>1572875636.22</v>
      </c>
      <c r="F17">
        <f ca="1">SUM($E$2:E17)/SUM($D$2:D17)</f>
        <v>156.63369724865535</v>
      </c>
      <c r="G17">
        <f ca="1">_xlfn.STDEV.P($C$2:C17)</f>
        <v>4.0357401350309985</v>
      </c>
      <c r="H17">
        <f t="shared" ca="1" si="2"/>
        <v>160.66943738368636</v>
      </c>
      <c r="I17">
        <f t="shared" ca="1" si="3"/>
        <v>152.59795711362435</v>
      </c>
      <c r="N17">
        <f t="shared" ca="1" si="4"/>
        <v>0.71999999999999886</v>
      </c>
      <c r="O17">
        <f t="shared" ca="1" si="5"/>
        <v>0.71999999999999886</v>
      </c>
      <c r="P17">
        <f t="shared" ca="1" si="6"/>
        <v>0</v>
      </c>
      <c r="Q17">
        <f t="shared" ref="Q17:Q80" ca="1" si="10">(Q16*13+O17)/14</f>
        <v>1.503647959183676</v>
      </c>
      <c r="R17">
        <f t="shared" ref="R17:R80" ca="1" si="11">(R16*13+P17)/14</f>
        <v>0.78279518950437377</v>
      </c>
      <c r="S17">
        <f t="shared" ca="1" si="8"/>
        <v>1.9208702088929668</v>
      </c>
      <c r="T17">
        <f t="shared" ca="1" si="9"/>
        <v>65.763627669748189</v>
      </c>
      <c r="U17">
        <f>70</f>
        <v>70</v>
      </c>
      <c r="V17">
        <f>30</f>
        <v>30</v>
      </c>
      <c r="W17">
        <f t="shared" ca="1" si="7"/>
        <v>158.4726514886267</v>
      </c>
    </row>
    <row r="18" spans="1:25" x14ac:dyDescent="0.25">
      <c r="A18" s="20">
        <f t="shared" ca="1" si="0"/>
        <v>45733</v>
      </c>
      <c r="B18" vm="49">
        <f ca="1"/>
        <v>45737</v>
      </c>
      <c r="C18" vm="50">
        <f ca="1"/>
        <v>164.75</v>
      </c>
      <c r="D18" vm="51">
        <f ca="1"/>
        <v>21625460</v>
      </c>
      <c r="E18">
        <f t="shared" ca="1" si="1"/>
        <v>3562794535</v>
      </c>
      <c r="F18">
        <f ca="1">SUM($E$2:E18)/SUM($D$2:D18)</f>
        <v>157.68723921838432</v>
      </c>
      <c r="G18">
        <f ca="1">_xlfn.STDEV.P($C$2:C18)</f>
        <v>4.3714831638590512</v>
      </c>
      <c r="H18">
        <f t="shared" ca="1" si="2"/>
        <v>162.05872238224336</v>
      </c>
      <c r="I18">
        <f t="shared" ca="1" si="3"/>
        <v>153.31575605452528</v>
      </c>
      <c r="N18">
        <f t="shared" ca="1" si="4"/>
        <v>-2.0000000000010232E-2</v>
      </c>
      <c r="O18">
        <f t="shared" ca="1" si="5"/>
        <v>0</v>
      </c>
      <c r="P18">
        <f t="shared" ca="1" si="6"/>
        <v>2.0000000000010232E-2</v>
      </c>
      <c r="Q18">
        <f t="shared" ca="1" si="10"/>
        <v>1.3962445335276992</v>
      </c>
      <c r="R18">
        <f t="shared" ca="1" si="11"/>
        <v>0.72830981882549062</v>
      </c>
      <c r="S18">
        <f t="shared" ca="1" si="8"/>
        <v>1.9171024438189697</v>
      </c>
      <c r="T18">
        <f t="shared" ca="1" si="9"/>
        <v>65.719407553927567</v>
      </c>
      <c r="U18">
        <f>70</f>
        <v>70</v>
      </c>
      <c r="V18">
        <f>30</f>
        <v>30</v>
      </c>
      <c r="W18">
        <f t="shared" ca="1" si="7"/>
        <v>159.43839741345334</v>
      </c>
    </row>
    <row r="19" spans="1:25" x14ac:dyDescent="0.25">
      <c r="A19" s="20">
        <f t="shared" ca="1" si="0"/>
        <v>45740</v>
      </c>
      <c r="B19" vm="52">
        <f ca="1"/>
        <v>45740</v>
      </c>
      <c r="C19" vm="53">
        <f ca="1"/>
        <v>165.02</v>
      </c>
      <c r="D19" vm="54">
        <f ca="1"/>
        <v>8068002</v>
      </c>
      <c r="E19">
        <f t="shared" ca="1" si="1"/>
        <v>1331381690.0400002</v>
      </c>
      <c r="F19">
        <f ca="1">SUM($E$2:E19)/SUM($D$2:D19)</f>
        <v>158.02594550495951</v>
      </c>
      <c r="G19">
        <f ca="1">_xlfn.STDEV.P($C$2:C19)</f>
        <v>4.6310203725915571</v>
      </c>
      <c r="H19">
        <f t="shared" ca="1" si="2"/>
        <v>162.65696587755107</v>
      </c>
      <c r="I19">
        <f t="shared" ca="1" si="3"/>
        <v>153.39492513236794</v>
      </c>
      <c r="N19">
        <f t="shared" ca="1" si="4"/>
        <v>0.27000000000001023</v>
      </c>
      <c r="O19">
        <f t="shared" ca="1" si="5"/>
        <v>0.27000000000001023</v>
      </c>
      <c r="P19">
        <f t="shared" ca="1" si="6"/>
        <v>0</v>
      </c>
      <c r="Q19">
        <f t="shared" ca="1" si="10"/>
        <v>1.3157984954185784</v>
      </c>
      <c r="R19">
        <f t="shared" ca="1" si="11"/>
        <v>0.67628768890938418</v>
      </c>
      <c r="S19">
        <f t="shared" ca="1" si="8"/>
        <v>1.9456194708209191</v>
      </c>
      <c r="T19">
        <f t="shared" ca="1" si="9"/>
        <v>66.051283612634847</v>
      </c>
      <c r="U19">
        <f>70</f>
        <v>70</v>
      </c>
      <c r="V19">
        <f>30</f>
        <v>30</v>
      </c>
      <c r="W19">
        <f t="shared" ca="1" si="7"/>
        <v>160.29710550369128</v>
      </c>
    </row>
    <row r="20" spans="1:25" x14ac:dyDescent="0.25">
      <c r="A20" s="20">
        <f t="shared" ca="1" si="0"/>
        <v>45740</v>
      </c>
      <c r="B20" vm="55">
        <f ca="1"/>
        <v>45741</v>
      </c>
      <c r="C20" vm="56">
        <f ca="1"/>
        <v>165.94</v>
      </c>
      <c r="D20" vm="57">
        <f ca="1"/>
        <v>7869159</v>
      </c>
      <c r="E20">
        <f t="shared" ca="1" si="1"/>
        <v>1305808244.46</v>
      </c>
      <c r="F20">
        <f ca="1">SUM($E$2:E20)/SUM($D$2:D20)</f>
        <v>158.36712194037474</v>
      </c>
      <c r="G20">
        <f ca="1">_xlfn.STDEV.P($C$2:C20)</f>
        <v>4.8925997598385589</v>
      </c>
      <c r="H20">
        <f t="shared" ca="1" si="2"/>
        <v>163.2597217002133</v>
      </c>
      <c r="I20">
        <f t="shared" ca="1" si="3"/>
        <v>153.47452218053618</v>
      </c>
      <c r="N20">
        <f t="shared" ca="1" si="4"/>
        <v>0.91999999999998749</v>
      </c>
      <c r="O20">
        <f t="shared" ca="1" si="5"/>
        <v>0.91999999999998749</v>
      </c>
      <c r="P20">
        <f t="shared" ca="1" si="6"/>
        <v>0</v>
      </c>
      <c r="Q20">
        <f t="shared" ca="1" si="10"/>
        <v>1.2875271743172505</v>
      </c>
      <c r="R20">
        <f t="shared" ca="1" si="11"/>
        <v>0.62798142541585666</v>
      </c>
      <c r="S20">
        <f t="shared" ca="1" si="8"/>
        <v>2.0502631482525695</v>
      </c>
      <c r="T20">
        <f t="shared" ca="1" si="9"/>
        <v>67.215943300731993</v>
      </c>
      <c r="U20">
        <f>70</f>
        <v>70</v>
      </c>
      <c r="V20">
        <f>30</f>
        <v>30</v>
      </c>
      <c r="W20">
        <f t="shared" ca="1" si="7"/>
        <v>161.16524311850802</v>
      </c>
    </row>
    <row r="21" spans="1:25" x14ac:dyDescent="0.25">
      <c r="A21" s="20">
        <f t="shared" ca="1" si="0"/>
        <v>45740</v>
      </c>
      <c r="B21" vm="58">
        <f ca="1"/>
        <v>45742</v>
      </c>
      <c r="C21" vm="59">
        <f ca="1"/>
        <v>167.97</v>
      </c>
      <c r="D21" vm="60">
        <f ca="1"/>
        <v>10077764</v>
      </c>
      <c r="E21">
        <f t="shared" ca="1" si="1"/>
        <v>1692762019.0799999</v>
      </c>
      <c r="F21">
        <f ca="1">SUM($E$2:E21)/SUM($D$2:D21)</f>
        <v>158.86955530235443</v>
      </c>
      <c r="G21">
        <f ca="1">_xlfn.STDEV.P($C$2:C21)</f>
        <v>5.2524423842627748</v>
      </c>
      <c r="H21">
        <f t="shared" ca="1" si="2"/>
        <v>164.12199768661719</v>
      </c>
      <c r="I21">
        <f t="shared" ca="1" si="3"/>
        <v>153.61711291809166</v>
      </c>
      <c r="J21">
        <f ca="1">AVERAGE(C2:C21)</f>
        <v>158.37299999999999</v>
      </c>
      <c r="K21">
        <f ca="1">_xlfn.STDEV.S(C2:C21)</f>
        <v>5.3888921818281386</v>
      </c>
      <c r="L21">
        <f ca="1">J21 + 2*K21</f>
        <v>169.15078436365627</v>
      </c>
      <c r="M21">
        <f ca="1">J21-2*K21</f>
        <v>147.59521563634371</v>
      </c>
      <c r="N21">
        <f t="shared" ca="1" si="4"/>
        <v>2.0300000000000011</v>
      </c>
      <c r="O21">
        <f t="shared" ca="1" si="5"/>
        <v>2.0300000000000011</v>
      </c>
      <c r="P21">
        <f t="shared" ca="1" si="6"/>
        <v>0</v>
      </c>
      <c r="Q21">
        <f t="shared" ca="1" si="10"/>
        <v>1.3405609475803042</v>
      </c>
      <c r="R21">
        <f t="shared" ca="1" si="11"/>
        <v>0.58312560931472401</v>
      </c>
      <c r="S21">
        <f t="shared" ca="1" si="8"/>
        <v>2.2989231242231001</v>
      </c>
      <c r="T21">
        <f t="shared" ca="1" si="9"/>
        <v>69.687077802532883</v>
      </c>
      <c r="U21">
        <f>70</f>
        <v>70</v>
      </c>
      <c r="V21">
        <f>30</f>
        <v>30</v>
      </c>
      <c r="W21">
        <f t="shared" ca="1" si="7"/>
        <v>162.21212879258371</v>
      </c>
    </row>
    <row r="22" spans="1:25" x14ac:dyDescent="0.25">
      <c r="A22" s="20">
        <f t="shared" ca="1" si="0"/>
        <v>45740</v>
      </c>
      <c r="B22" vm="61">
        <f ca="1"/>
        <v>45743</v>
      </c>
      <c r="C22" vm="62">
        <f ca="1"/>
        <v>166.65</v>
      </c>
      <c r="D22" vm="63">
        <f ca="1"/>
        <v>6862691</v>
      </c>
      <c r="E22">
        <f t="shared" ca="1" si="1"/>
        <v>1143667455.1500001</v>
      </c>
      <c r="F22">
        <f ca="1">SUM($E$2:E22)/SUM($D$2:D22)</f>
        <v>159.13723005267627</v>
      </c>
      <c r="G22">
        <f ca="1">_xlfn.STDEV.P($C$2:C22)</f>
        <v>5.4204613604880745</v>
      </c>
      <c r="H22">
        <f t="shared" ca="1" si="2"/>
        <v>164.55769141316435</v>
      </c>
      <c r="I22">
        <f t="shared" ca="1" si="3"/>
        <v>153.7167686921882</v>
      </c>
      <c r="J22">
        <f t="shared" ref="J22:J85" ca="1" si="12">AVERAGE(C3:C22)</f>
        <v>158.87200000000001</v>
      </c>
      <c r="K22">
        <f t="shared" ref="K22:K85" ca="1" si="13">_xlfn.STDEV.S(C3:C22)</f>
        <v>5.6772469236046943</v>
      </c>
      <c r="L22">
        <f t="shared" ref="L22:L85" ca="1" si="14">J22 + 2*K22</f>
        <v>170.22649384720941</v>
      </c>
      <c r="M22">
        <f t="shared" ref="M22:M85" ca="1" si="15">J22-2*K22</f>
        <v>147.51750615279062</v>
      </c>
      <c r="N22">
        <f t="shared" ca="1" si="4"/>
        <v>-1.3199999999999932</v>
      </c>
      <c r="O22">
        <f t="shared" ca="1" si="5"/>
        <v>0</v>
      </c>
      <c r="P22">
        <f t="shared" ca="1" si="6"/>
        <v>1.3199999999999932</v>
      </c>
      <c r="Q22">
        <f t="shared" ca="1" si="10"/>
        <v>1.244806594181711</v>
      </c>
      <c r="R22">
        <f t="shared" ca="1" si="11"/>
        <v>0.63575949436367185</v>
      </c>
      <c r="S22">
        <f t="shared" ca="1" si="8"/>
        <v>1.9579834909545961</v>
      </c>
      <c r="T22">
        <f t="shared" ca="1" si="9"/>
        <v>66.193185220338023</v>
      </c>
      <c r="U22">
        <f>70</f>
        <v>70</v>
      </c>
      <c r="V22">
        <f>30</f>
        <v>30</v>
      </c>
      <c r="W22">
        <f t="shared" ca="1" si="7"/>
        <v>162.89487820910929</v>
      </c>
    </row>
    <row r="23" spans="1:25" x14ac:dyDescent="0.25">
      <c r="A23" s="20">
        <f t="shared" ca="1" si="0"/>
        <v>45740</v>
      </c>
      <c r="B23" vm="64">
        <f ca="1"/>
        <v>45744</v>
      </c>
      <c r="C23" vm="65">
        <f ca="1"/>
        <v>166.09</v>
      </c>
      <c r="D23" vm="66">
        <f ca="1"/>
        <v>4923025</v>
      </c>
      <c r="E23">
        <f t="shared" ca="1" si="1"/>
        <v>817665222.25</v>
      </c>
      <c r="F23">
        <f ca="1">SUM($E$2:E23)/SUM($D$2:D23)</f>
        <v>159.30468974649025</v>
      </c>
      <c r="G23">
        <f ca="1">_xlfn.STDEV.P($C$2:C23)</f>
        <v>5.5111300606549429</v>
      </c>
      <c r="H23">
        <f t="shared" ca="1" si="2"/>
        <v>164.8158198071452</v>
      </c>
      <c r="I23">
        <f t="shared" ca="1" si="3"/>
        <v>153.79355968583531</v>
      </c>
      <c r="J23">
        <f t="shared" ca="1" si="12"/>
        <v>159.24549999999999</v>
      </c>
      <c r="K23">
        <f t="shared" ca="1" si="13"/>
        <v>5.9011037995134092</v>
      </c>
      <c r="L23">
        <f t="shared" ca="1" si="14"/>
        <v>171.04770759902681</v>
      </c>
      <c r="M23">
        <f t="shared" ca="1" si="15"/>
        <v>147.44329240097318</v>
      </c>
      <c r="N23">
        <f t="shared" ca="1" si="4"/>
        <v>-0.56000000000000227</v>
      </c>
      <c r="O23">
        <f t="shared" ca="1" si="5"/>
        <v>0</v>
      </c>
      <c r="P23">
        <f t="shared" ca="1" si="6"/>
        <v>0.56000000000000227</v>
      </c>
      <c r="Q23">
        <f t="shared" ca="1" si="10"/>
        <v>1.155891837454446</v>
      </c>
      <c r="R23">
        <f t="shared" ca="1" si="11"/>
        <v>0.63034810190912405</v>
      </c>
      <c r="S23">
        <f t="shared" ca="1" si="8"/>
        <v>1.833735731024837</v>
      </c>
      <c r="T23">
        <f t="shared" ca="1" si="9"/>
        <v>64.710894207543333</v>
      </c>
      <c r="U23">
        <f>70</f>
        <v>70</v>
      </c>
      <c r="V23">
        <f>30</f>
        <v>30</v>
      </c>
      <c r="W23">
        <f t="shared" ca="1" si="7"/>
        <v>163.38643540770786</v>
      </c>
    </row>
    <row r="24" spans="1:25" x14ac:dyDescent="0.25">
      <c r="A24" s="20">
        <f t="shared" ca="1" si="0"/>
        <v>45747</v>
      </c>
      <c r="B24" vm="67">
        <f ca="1"/>
        <v>45747</v>
      </c>
      <c r="C24" vm="68">
        <f ca="1"/>
        <v>167.29</v>
      </c>
      <c r="D24" vm="69">
        <f ca="1"/>
        <v>10675731</v>
      </c>
      <c r="E24">
        <f t="shared" ca="1" si="1"/>
        <v>1785943038.99</v>
      </c>
      <c r="F24">
        <f ca="1">SUM($E$2:E24)/SUM($D$2:D24)</f>
        <v>159.70105833363056</v>
      </c>
      <c r="G24">
        <f ca="1">_xlfn.STDEV.P($C$2:C24)</f>
        <v>5.642832883309616</v>
      </c>
      <c r="H24">
        <f t="shared" ca="1" si="2"/>
        <v>165.34389121694016</v>
      </c>
      <c r="I24">
        <f t="shared" ca="1" si="3"/>
        <v>154.05822545032095</v>
      </c>
      <c r="J24">
        <f t="shared" ca="1" si="12"/>
        <v>159.9555</v>
      </c>
      <c r="K24">
        <f t="shared" ca="1" si="13"/>
        <v>5.9752969316221138</v>
      </c>
      <c r="L24">
        <f t="shared" ca="1" si="14"/>
        <v>171.90609386324422</v>
      </c>
      <c r="M24">
        <f t="shared" ca="1" si="15"/>
        <v>148.00490613675578</v>
      </c>
      <c r="N24">
        <f t="shared" ca="1" si="4"/>
        <v>1.1999999999999886</v>
      </c>
      <c r="O24">
        <f t="shared" ca="1" si="5"/>
        <v>1.1999999999999886</v>
      </c>
      <c r="P24">
        <f t="shared" ca="1" si="6"/>
        <v>0</v>
      </c>
      <c r="Q24">
        <f t="shared" ca="1" si="10"/>
        <v>1.1590424204934133</v>
      </c>
      <c r="R24">
        <f t="shared" ca="1" si="11"/>
        <v>0.58532323748704385</v>
      </c>
      <c r="S24">
        <f t="shared" ca="1" si="8"/>
        <v>1.9801749636141326</v>
      </c>
      <c r="T24">
        <f t="shared" ca="1" si="9"/>
        <v>66.444923126685325</v>
      </c>
      <c r="U24">
        <f>70</f>
        <v>70</v>
      </c>
      <c r="V24">
        <f>30</f>
        <v>30</v>
      </c>
      <c r="W24">
        <f t="shared" ca="1" si="7"/>
        <v>163.98698380652206</v>
      </c>
    </row>
    <row r="25" spans="1:25" x14ac:dyDescent="0.25">
      <c r="A25" s="20">
        <f t="shared" ca="1" si="0"/>
        <v>45747</v>
      </c>
      <c r="B25" vm="70">
        <f ca="1"/>
        <v>45748</v>
      </c>
      <c r="C25" vm="71">
        <f ca="1"/>
        <v>168.51</v>
      </c>
      <c r="D25" vm="72">
        <f ca="1"/>
        <v>6378587</v>
      </c>
      <c r="E25">
        <f t="shared" ca="1" si="1"/>
        <v>1074855695.3699999</v>
      </c>
      <c r="F25">
        <f ca="1">SUM($E$2:E25)/SUM($D$2:D25)</f>
        <v>159.95478449510222</v>
      </c>
      <c r="G25">
        <f ca="1">_xlfn.STDEV.P($C$2:C25)</f>
        <v>5.8127508309080493</v>
      </c>
      <c r="H25">
        <f t="shared" ca="1" si="2"/>
        <v>165.76753532601026</v>
      </c>
      <c r="I25">
        <f t="shared" ca="1" si="3"/>
        <v>154.14203366419417</v>
      </c>
      <c r="J25">
        <f t="shared" ca="1" si="12"/>
        <v>160.78100000000001</v>
      </c>
      <c r="K25">
        <f t="shared" ca="1" si="13"/>
        <v>5.9588049843995785</v>
      </c>
      <c r="L25">
        <f t="shared" ca="1" si="14"/>
        <v>172.69860996879916</v>
      </c>
      <c r="M25">
        <f t="shared" ca="1" si="15"/>
        <v>148.86339003120085</v>
      </c>
      <c r="N25">
        <f t="shared" ca="1" si="4"/>
        <v>1.2199999999999989</v>
      </c>
      <c r="O25">
        <f t="shared" ca="1" si="5"/>
        <v>1.2199999999999989</v>
      </c>
      <c r="P25">
        <f t="shared" ca="1" si="6"/>
        <v>0</v>
      </c>
      <c r="Q25">
        <f t="shared" ca="1" si="10"/>
        <v>1.1633965333153122</v>
      </c>
      <c r="R25">
        <f t="shared" ca="1" si="11"/>
        <v>0.54351443480939787</v>
      </c>
      <c r="S25">
        <f t="shared" ca="1" si="8"/>
        <v>2.1405071490388243</v>
      </c>
      <c r="T25">
        <f t="shared" ca="1" si="9"/>
        <v>68.158009119448835</v>
      </c>
      <c r="U25">
        <f>70</f>
        <v>70</v>
      </c>
      <c r="V25">
        <f>30</f>
        <v>30</v>
      </c>
      <c r="W25">
        <f t="shared" ca="1" si="7"/>
        <v>164.68283245167251</v>
      </c>
    </row>
    <row r="26" spans="1:25" x14ac:dyDescent="0.25">
      <c r="A26" s="20">
        <f t="shared" ca="1" si="0"/>
        <v>45747</v>
      </c>
      <c r="B26" vm="73">
        <f ca="1"/>
        <v>45749</v>
      </c>
      <c r="C26" vm="74">
        <f ca="1"/>
        <v>166.47</v>
      </c>
      <c r="D26" vm="75">
        <f ca="1"/>
        <v>7044869</v>
      </c>
      <c r="E26">
        <f t="shared" ca="1" si="1"/>
        <v>1172759342.4300001</v>
      </c>
      <c r="F26">
        <f ca="1">SUM($E$2:E26)/SUM($D$2:D26)</f>
        <v>160.1556559365622</v>
      </c>
      <c r="G26">
        <f ca="1">_xlfn.STDEV.P($C$2:C26)</f>
        <v>5.8419081266312292</v>
      </c>
      <c r="H26">
        <f t="shared" ca="1" si="2"/>
        <v>165.99756406319344</v>
      </c>
      <c r="I26">
        <f t="shared" ca="1" si="3"/>
        <v>154.31374780993096</v>
      </c>
      <c r="J26">
        <f t="shared" ca="1" si="12"/>
        <v>161.56400000000002</v>
      </c>
      <c r="K26">
        <f t="shared" ca="1" si="13"/>
        <v>5.5975646960366428</v>
      </c>
      <c r="L26">
        <f t="shared" ca="1" si="14"/>
        <v>172.75912939207331</v>
      </c>
      <c r="M26">
        <f t="shared" ca="1" si="15"/>
        <v>150.36887060792674</v>
      </c>
      <c r="N26">
        <f t="shared" ca="1" si="4"/>
        <v>-2.039999999999992</v>
      </c>
      <c r="O26">
        <f t="shared" ca="1" si="5"/>
        <v>0</v>
      </c>
      <c r="P26">
        <f t="shared" ca="1" si="6"/>
        <v>2.039999999999992</v>
      </c>
      <c r="Q26">
        <f t="shared" ca="1" si="10"/>
        <v>1.080296780935647</v>
      </c>
      <c r="R26">
        <f t="shared" ca="1" si="11"/>
        <v>0.65040626089444031</v>
      </c>
      <c r="S26">
        <f t="shared" ca="1" si="8"/>
        <v>1.6609569216784907</v>
      </c>
      <c r="T26">
        <f t="shared" ca="1" si="9"/>
        <v>62.419534421879497</v>
      </c>
      <c r="U26">
        <f>70</f>
        <v>70</v>
      </c>
      <c r="V26">
        <f>30</f>
        <v>30</v>
      </c>
      <c r="W26">
        <f t="shared" ca="1" si="7"/>
        <v>164.95778130526134</v>
      </c>
    </row>
    <row r="27" spans="1:25" x14ac:dyDescent="0.25">
      <c r="A27" s="20">
        <f t="shared" ca="1" si="0"/>
        <v>45747</v>
      </c>
      <c r="B27" vm="76">
        <f ca="1"/>
        <v>45750</v>
      </c>
      <c r="C27" vm="77">
        <f ca="1"/>
        <v>156.12</v>
      </c>
      <c r="D27" vm="78">
        <f ca="1"/>
        <v>15500988</v>
      </c>
      <c r="E27">
        <f t="shared" ca="1" si="1"/>
        <v>2420014246.5599999</v>
      </c>
      <c r="F27">
        <f ca="1">SUM($E$2:E27)/SUM($D$2:D27)</f>
        <v>159.89927575528401</v>
      </c>
      <c r="G27">
        <f ca="1">_xlfn.STDEV.P($C$2:C27)</f>
        <v>5.7793373143379867</v>
      </c>
      <c r="H27">
        <f t="shared" ca="1" si="2"/>
        <v>165.678613069622</v>
      </c>
      <c r="I27">
        <f t="shared" ca="1" si="3"/>
        <v>154.11993844094602</v>
      </c>
      <c r="J27">
        <f t="shared" ca="1" si="12"/>
        <v>161.72249999999997</v>
      </c>
      <c r="K27">
        <f t="shared" ca="1" si="13"/>
        <v>5.3815257814900495</v>
      </c>
      <c r="L27">
        <f t="shared" ca="1" si="14"/>
        <v>172.48555156298008</v>
      </c>
      <c r="M27">
        <f t="shared" ca="1" si="15"/>
        <v>150.95944843701986</v>
      </c>
      <c r="N27">
        <f t="shared" ca="1" si="4"/>
        <v>-10.349999999999994</v>
      </c>
      <c r="O27">
        <f t="shared" ca="1" si="5"/>
        <v>0</v>
      </c>
      <c r="P27">
        <f t="shared" ca="1" si="6"/>
        <v>10.349999999999994</v>
      </c>
      <c r="Q27">
        <f t="shared" ca="1" si="10"/>
        <v>1.0031327251545294</v>
      </c>
      <c r="R27">
        <f t="shared" ca="1" si="11"/>
        <v>1.3432343851162654</v>
      </c>
      <c r="S27">
        <f t="shared" ca="1" si="8"/>
        <v>0.74680393553780411</v>
      </c>
      <c r="T27">
        <f t="shared" ca="1" si="9"/>
        <v>42.752590622477548</v>
      </c>
      <c r="U27">
        <f>70</f>
        <v>70</v>
      </c>
      <c r="V27">
        <f>30</f>
        <v>30</v>
      </c>
      <c r="W27">
        <f t="shared" ca="1" si="7"/>
        <v>163.59812264291344</v>
      </c>
      <c r="X27" s="9">
        <f ca="1">AVERAGE(C2:C27)</f>
        <v>159.94576923076923</v>
      </c>
      <c r="Y27">
        <f ca="1">W28-X28</f>
        <v>1.7609898146589558</v>
      </c>
    </row>
    <row r="28" spans="1:25" x14ac:dyDescent="0.25">
      <c r="A28" s="20">
        <f t="shared" ca="1" si="0"/>
        <v>45747</v>
      </c>
      <c r="B28" vm="79">
        <f ca="1"/>
        <v>45751</v>
      </c>
      <c r="C28" vm="80">
        <f ca="1"/>
        <v>143.28</v>
      </c>
      <c r="D28" vm="81">
        <f ca="1"/>
        <v>20374716</v>
      </c>
      <c r="E28">
        <f t="shared" ca="1" si="1"/>
        <v>2919289308.48</v>
      </c>
      <c r="F28">
        <f ca="1">SUM($E$2:E28)/SUM($D$2:D28)</f>
        <v>158.61846653785966</v>
      </c>
      <c r="G28">
        <f ca="1">_xlfn.STDEV.P($C$2:C28)</f>
        <v>6.4861109181272614</v>
      </c>
      <c r="H28">
        <f t="shared" ca="1" si="2"/>
        <v>165.10457745598691</v>
      </c>
      <c r="I28">
        <f t="shared" ca="1" si="3"/>
        <v>152.13235561973241</v>
      </c>
      <c r="J28">
        <f t="shared" ca="1" si="12"/>
        <v>161.06950000000001</v>
      </c>
      <c r="K28">
        <f t="shared" ca="1" si="13"/>
        <v>6.6998896102453562</v>
      </c>
      <c r="L28">
        <f t="shared" ca="1" si="14"/>
        <v>174.46927922049071</v>
      </c>
      <c r="M28">
        <f t="shared" ca="1" si="15"/>
        <v>147.6697207795093</v>
      </c>
      <c r="N28">
        <f t="shared" ca="1" si="4"/>
        <v>-12.840000000000003</v>
      </c>
      <c r="O28">
        <f t="shared" ca="1" si="5"/>
        <v>0</v>
      </c>
      <c r="P28">
        <f t="shared" ca="1" si="6"/>
        <v>12.840000000000003</v>
      </c>
      <c r="Q28">
        <f t="shared" ca="1" si="10"/>
        <v>0.93148038764349173</v>
      </c>
      <c r="R28">
        <f t="shared" ca="1" si="11"/>
        <v>2.1644319290365326</v>
      </c>
      <c r="S28">
        <f t="shared" ca="1" si="8"/>
        <v>0.43035790368243532</v>
      </c>
      <c r="T28">
        <f t="shared" ca="1" si="9"/>
        <v>30.087427948940984</v>
      </c>
      <c r="U28">
        <f>70</f>
        <v>70</v>
      </c>
      <c r="V28">
        <f>30</f>
        <v>30</v>
      </c>
      <c r="W28">
        <f t="shared" ca="1" si="7"/>
        <v>160.47225762092677</v>
      </c>
      <c r="X28">
        <f ca="1">C28*(2/(26+1)) + X27*(1-(2/(26+1)))</f>
        <v>158.71126780626781</v>
      </c>
      <c r="Y28">
        <f t="shared" ref="Y28:Y91" ca="1" si="16">W29-X29</f>
        <v>9.397368598911271E-3</v>
      </c>
    </row>
    <row r="29" spans="1:25" x14ac:dyDescent="0.25">
      <c r="A29" s="20">
        <f t="shared" ca="1" si="0"/>
        <v>45754</v>
      </c>
      <c r="B29" vm="82">
        <f ca="1"/>
        <v>45754</v>
      </c>
      <c r="C29" vm="83">
        <f ca="1"/>
        <v>140.15</v>
      </c>
      <c r="D29" vm="84">
        <f ca="1"/>
        <v>17816954</v>
      </c>
      <c r="E29">
        <f t="shared" ca="1" si="1"/>
        <v>2497046103.0999999</v>
      </c>
      <c r="F29">
        <f ca="1">SUM($E$2:E29)/SUM($D$2:D29)</f>
        <v>157.4524068912543</v>
      </c>
      <c r="G29">
        <f ca="1">_xlfn.STDEV.P($C$2:C29)</f>
        <v>7.2961815915125454</v>
      </c>
      <c r="H29">
        <f t="shared" ca="1" si="2"/>
        <v>164.74858848276685</v>
      </c>
      <c r="I29">
        <f t="shared" ca="1" si="3"/>
        <v>150.15622529974175</v>
      </c>
      <c r="J29">
        <f t="shared" ca="1" si="12"/>
        <v>160.1985</v>
      </c>
      <c r="K29">
        <f t="shared" ca="1" si="13"/>
        <v>8.1534237400131779</v>
      </c>
      <c r="L29">
        <f t="shared" ca="1" si="14"/>
        <v>176.50534748002636</v>
      </c>
      <c r="M29">
        <f t="shared" ca="1" si="15"/>
        <v>143.89165251997363</v>
      </c>
      <c r="N29">
        <f t="shared" ca="1" si="4"/>
        <v>-3.1299999999999955</v>
      </c>
      <c r="O29">
        <f t="shared" ca="1" si="5"/>
        <v>0</v>
      </c>
      <c r="P29">
        <f t="shared" ca="1" si="6"/>
        <v>3.1299999999999955</v>
      </c>
      <c r="Q29">
        <f t="shared" ca="1" si="10"/>
        <v>0.86494607424038517</v>
      </c>
      <c r="R29">
        <f t="shared" ca="1" si="11"/>
        <v>2.2334010769624943</v>
      </c>
      <c r="S29">
        <f t="shared" ca="1" si="8"/>
        <v>0.38727753969597922</v>
      </c>
      <c r="T29">
        <f t="shared" ca="1" si="9"/>
        <v>27.916370633438689</v>
      </c>
      <c r="U29">
        <f>70</f>
        <v>70</v>
      </c>
      <c r="V29">
        <f>30</f>
        <v>30</v>
      </c>
      <c r="W29">
        <f t="shared" ca="1" si="7"/>
        <v>157.34575644847652</v>
      </c>
      <c r="X29">
        <f t="shared" ref="X29:X92" ca="1" si="17">C29*(2/(26+1)) + X28*(1-(2/(26+1)))</f>
        <v>157.33635907987761</v>
      </c>
      <c r="Y29">
        <f t="shared" ca="1" si="16"/>
        <v>-1.6199060847940245</v>
      </c>
    </row>
    <row r="30" spans="1:25" x14ac:dyDescent="0.25">
      <c r="A30" s="20">
        <f t="shared" ca="1" si="0"/>
        <v>45754</v>
      </c>
      <c r="B30" vm="85">
        <f ca="1"/>
        <v>45755</v>
      </c>
      <c r="C30" vm="86">
        <f ca="1"/>
        <v>136.93</v>
      </c>
      <c r="D30" vm="87">
        <f ca="1"/>
        <v>12904424</v>
      </c>
      <c r="E30">
        <f t="shared" ca="1" si="1"/>
        <v>1767002778.3200002</v>
      </c>
      <c r="F30">
        <f ca="1">SUM($E$2:E30)/SUM($D$2:D30)</f>
        <v>156.55496964823254</v>
      </c>
      <c r="G30">
        <f ca="1">_xlfn.STDEV.P($C$2:C30)</f>
        <v>8.1912079108785303</v>
      </c>
      <c r="H30">
        <f t="shared" ca="1" si="2"/>
        <v>164.74617755911106</v>
      </c>
      <c r="I30">
        <f t="shared" ca="1" si="3"/>
        <v>148.36376173735403</v>
      </c>
      <c r="J30">
        <f t="shared" ca="1" si="12"/>
        <v>159.34099999999998</v>
      </c>
      <c r="K30">
        <f t="shared" ca="1" si="13"/>
        <v>9.6036423463074403</v>
      </c>
      <c r="L30">
        <f t="shared" ca="1" si="14"/>
        <v>178.54828469261486</v>
      </c>
      <c r="M30">
        <f t="shared" ca="1" si="15"/>
        <v>140.1337153073851</v>
      </c>
      <c r="N30">
        <f t="shared" ca="1" si="4"/>
        <v>-3.2199999999999989</v>
      </c>
      <c r="O30">
        <f t="shared" ca="1" si="5"/>
        <v>0</v>
      </c>
      <c r="P30">
        <f t="shared" ca="1" si="6"/>
        <v>3.2199999999999989</v>
      </c>
      <c r="Q30">
        <f t="shared" ca="1" si="10"/>
        <v>0.80316421179464348</v>
      </c>
      <c r="R30">
        <f t="shared" ca="1" si="11"/>
        <v>2.3038724286080305</v>
      </c>
      <c r="S30">
        <f t="shared" ca="1" si="8"/>
        <v>0.34861488067718432</v>
      </c>
      <c r="T30">
        <f t="shared" ca="1" si="9"/>
        <v>25.849846807424612</v>
      </c>
      <c r="U30">
        <f>70</f>
        <v>70</v>
      </c>
      <c r="V30">
        <f>30</f>
        <v>30</v>
      </c>
      <c r="W30">
        <f t="shared" ca="1" si="7"/>
        <v>154.20487084101859</v>
      </c>
      <c r="X30">
        <f t="shared" ca="1" si="17"/>
        <v>155.82477692581261</v>
      </c>
      <c r="Y30">
        <f t="shared" ca="1" si="16"/>
        <v>-2.1520394903321289</v>
      </c>
    </row>
    <row r="31" spans="1:25" x14ac:dyDescent="0.25">
      <c r="A31" s="20">
        <f t="shared" ca="1" si="0"/>
        <v>45754</v>
      </c>
      <c r="B31" vm="88">
        <f ca="1"/>
        <v>45756</v>
      </c>
      <c r="C31" vm="89">
        <f ca="1"/>
        <v>146.03</v>
      </c>
      <c r="D31" vm="90">
        <f ca="1"/>
        <v>16846839</v>
      </c>
      <c r="E31">
        <f t="shared" ca="1" si="1"/>
        <v>2460143899.1700001</v>
      </c>
      <c r="F31">
        <f ca="1">SUM($E$2:E31)/SUM($D$2:D31)</f>
        <v>155.98655570377161</v>
      </c>
      <c r="G31">
        <f ca="1">_xlfn.STDEV.P($C$2:C31)</f>
        <v>8.3303909205324143</v>
      </c>
      <c r="H31">
        <f t="shared" ca="1" si="2"/>
        <v>164.31694662430402</v>
      </c>
      <c r="I31">
        <f t="shared" ca="1" si="3"/>
        <v>147.65616478323921</v>
      </c>
      <c r="J31">
        <f t="shared" ca="1" si="12"/>
        <v>159.00899999999999</v>
      </c>
      <c r="K31">
        <f t="shared" ca="1" si="13"/>
        <v>9.954752845275781</v>
      </c>
      <c r="L31">
        <f t="shared" ca="1" si="14"/>
        <v>178.91850569055154</v>
      </c>
      <c r="M31">
        <f t="shared" ca="1" si="15"/>
        <v>139.09949430944843</v>
      </c>
      <c r="N31">
        <f t="shared" ca="1" si="4"/>
        <v>9.0999999999999943</v>
      </c>
      <c r="O31">
        <f t="shared" ca="1" si="5"/>
        <v>9.0999999999999943</v>
      </c>
      <c r="P31">
        <f t="shared" ca="1" si="6"/>
        <v>0</v>
      </c>
      <c r="Q31">
        <f t="shared" ca="1" si="10"/>
        <v>1.3957953395235971</v>
      </c>
      <c r="R31">
        <f t="shared" ca="1" si="11"/>
        <v>2.1393101122788853</v>
      </c>
      <c r="S31">
        <f t="shared" ca="1" si="8"/>
        <v>0.65245114839228979</v>
      </c>
      <c r="T31">
        <f t="shared" ca="1" si="9"/>
        <v>39.483838843107428</v>
      </c>
      <c r="U31">
        <f>70</f>
        <v>70</v>
      </c>
      <c r="V31">
        <f>30</f>
        <v>30</v>
      </c>
      <c r="W31">
        <f t="shared" ca="1" si="7"/>
        <v>152.94719840393881</v>
      </c>
      <c r="X31">
        <f t="shared" ca="1" si="17"/>
        <v>155.09923789427094</v>
      </c>
      <c r="Y31">
        <f t="shared" ca="1" si="16"/>
        <v>-3.4259099420747248</v>
      </c>
    </row>
    <row r="32" spans="1:25" x14ac:dyDescent="0.25">
      <c r="A32" s="20">
        <f t="shared" ca="1" si="0"/>
        <v>45754</v>
      </c>
      <c r="B32" vm="91">
        <f ca="1"/>
        <v>45757</v>
      </c>
      <c r="C32" vm="92">
        <f ca="1"/>
        <v>134.97999999999999</v>
      </c>
      <c r="D32" vm="93">
        <f ca="1"/>
        <v>20991216</v>
      </c>
      <c r="E32">
        <f t="shared" ca="1" si="1"/>
        <v>2833394335.6799998</v>
      </c>
      <c r="F32">
        <f ca="1">SUM($E$2:E32)/SUM($D$2:D32)</f>
        <v>154.66210845885482</v>
      </c>
      <c r="G32">
        <f ca="1">_xlfn.STDEV.P($C$2:C32)</f>
        <v>9.1097679562347373</v>
      </c>
      <c r="H32">
        <f t="shared" ca="1" si="2"/>
        <v>163.77187641508957</v>
      </c>
      <c r="I32">
        <f t="shared" ca="1" si="3"/>
        <v>145.55234050262007</v>
      </c>
      <c r="J32">
        <f t="shared" ca="1" si="12"/>
        <v>158.07750000000001</v>
      </c>
      <c r="K32">
        <f t="shared" ca="1" si="13"/>
        <v>11.27114334787829</v>
      </c>
      <c r="L32">
        <f t="shared" ca="1" si="14"/>
        <v>180.6197866957566</v>
      </c>
      <c r="M32">
        <f t="shared" ca="1" si="15"/>
        <v>135.53521330424343</v>
      </c>
      <c r="N32">
        <f t="shared" ca="1" si="4"/>
        <v>-11.050000000000011</v>
      </c>
      <c r="O32">
        <f t="shared" ca="1" si="5"/>
        <v>0</v>
      </c>
      <c r="P32">
        <f t="shared" ca="1" si="6"/>
        <v>11.050000000000011</v>
      </c>
      <c r="Q32">
        <f t="shared" ca="1" si="10"/>
        <v>1.2960956724147688</v>
      </c>
      <c r="R32">
        <f t="shared" ca="1" si="11"/>
        <v>2.7757879614018228</v>
      </c>
      <c r="S32">
        <f t="shared" ca="1" si="8"/>
        <v>0.46692891908077055</v>
      </c>
      <c r="T32">
        <f t="shared" ca="1" si="9"/>
        <v>31.830371124823472</v>
      </c>
      <c r="U32">
        <f>70</f>
        <v>70</v>
      </c>
      <c r="V32">
        <f>30</f>
        <v>30</v>
      </c>
      <c r="W32">
        <f t="shared" ca="1" si="7"/>
        <v>150.18301403410209</v>
      </c>
      <c r="X32">
        <f t="shared" ca="1" si="17"/>
        <v>153.60892397617681</v>
      </c>
      <c r="Y32">
        <f t="shared" ca="1" si="16"/>
        <v>-4.3330630317069563</v>
      </c>
    </row>
    <row r="33" spans="1:27" x14ac:dyDescent="0.25">
      <c r="A33" s="20">
        <f t="shared" ca="1" si="0"/>
        <v>45754</v>
      </c>
      <c r="B33" vm="94">
        <f ca="1"/>
        <v>45758</v>
      </c>
      <c r="C33" vm="95">
        <f ca="1"/>
        <v>135.63</v>
      </c>
      <c r="D33" vm="96">
        <f ca="1"/>
        <v>17224405</v>
      </c>
      <c r="E33">
        <f t="shared" ca="1" si="1"/>
        <v>2336146050.1500001</v>
      </c>
      <c r="F33">
        <f ca="1">SUM($E$2:E33)/SUM($D$2:D33)</f>
        <v>153.72591215011789</v>
      </c>
      <c r="G33">
        <f ca="1">_xlfn.STDEV.P($C$2:C33)</f>
        <v>9.6916151693019543</v>
      </c>
      <c r="H33">
        <f t="shared" ca="1" si="2"/>
        <v>163.41752731941983</v>
      </c>
      <c r="I33">
        <f t="shared" ca="1" si="3"/>
        <v>144.03429698081595</v>
      </c>
      <c r="J33">
        <f t="shared" ca="1" si="12"/>
        <v>157.00800000000001</v>
      </c>
      <c r="K33">
        <f t="shared" ca="1" si="13"/>
        <v>12.340839602930716</v>
      </c>
      <c r="L33">
        <f t="shared" ca="1" si="14"/>
        <v>181.68967920586144</v>
      </c>
      <c r="M33">
        <f t="shared" ca="1" si="15"/>
        <v>132.32632079413858</v>
      </c>
      <c r="N33">
        <f t="shared" ca="1" si="4"/>
        <v>0.65000000000000568</v>
      </c>
      <c r="O33">
        <f t="shared" ca="1" si="5"/>
        <v>0.65000000000000568</v>
      </c>
      <c r="P33">
        <f t="shared" ca="1" si="6"/>
        <v>0</v>
      </c>
      <c r="Q33">
        <f t="shared" ca="1" si="10"/>
        <v>1.2499459815280001</v>
      </c>
      <c r="R33">
        <f t="shared" ca="1" si="11"/>
        <v>2.5775173927302641</v>
      </c>
      <c r="S33">
        <f t="shared" ca="1" si="8"/>
        <v>0.48494182233392452</v>
      </c>
      <c r="T33">
        <f t="shared" ca="1" si="9"/>
        <v>32.657294382868685</v>
      </c>
      <c r="U33">
        <f>70</f>
        <v>70</v>
      </c>
      <c r="V33">
        <f>30</f>
        <v>30</v>
      </c>
      <c r="W33">
        <f t="shared" ca="1" si="7"/>
        <v>147.94408879808637</v>
      </c>
      <c r="X33">
        <f t="shared" ca="1" si="17"/>
        <v>152.27715182979333</v>
      </c>
      <c r="Y33">
        <f t="shared" ca="1" si="16"/>
        <v>-5.0191452183794354</v>
      </c>
    </row>
    <row r="34" spans="1:27" x14ac:dyDescent="0.25">
      <c r="A34" s="20">
        <f t="shared" ca="1" si="0"/>
        <v>45761</v>
      </c>
      <c r="B34" vm="97">
        <f ca="1"/>
        <v>45761</v>
      </c>
      <c r="C34" vm="98">
        <f ca="1"/>
        <v>135.32</v>
      </c>
      <c r="D34" vm="99">
        <f ca="1"/>
        <v>9628152</v>
      </c>
      <c r="E34">
        <f t="shared" ca="1" si="1"/>
        <v>1302881528.6399999</v>
      </c>
      <c r="F34">
        <f ca="1">SUM($E$2:E34)/SUM($D$2:D34)</f>
        <v>153.23335606555111</v>
      </c>
      <c r="G34">
        <f ca="1">_xlfn.STDEV.P($C$2:C34)</f>
        <v>10.187472329786036</v>
      </c>
      <c r="H34">
        <f t="shared" ca="1" si="2"/>
        <v>163.42082839533714</v>
      </c>
      <c r="I34">
        <f t="shared" ca="1" si="3"/>
        <v>143.04588373576507</v>
      </c>
      <c r="J34">
        <f t="shared" ca="1" si="12"/>
        <v>155.83800000000002</v>
      </c>
      <c r="K34">
        <f t="shared" ca="1" si="13"/>
        <v>13.246033209586701</v>
      </c>
      <c r="L34">
        <f t="shared" ca="1" si="14"/>
        <v>182.33006641917342</v>
      </c>
      <c r="M34">
        <f t="shared" ca="1" si="15"/>
        <v>129.34593358082662</v>
      </c>
      <c r="N34">
        <f t="shared" ca="1" si="4"/>
        <v>-0.31000000000000227</v>
      </c>
      <c r="O34">
        <f t="shared" ca="1" si="5"/>
        <v>0</v>
      </c>
      <c r="P34">
        <f t="shared" ca="1" si="6"/>
        <v>0.31000000000000227</v>
      </c>
      <c r="Q34">
        <f t="shared" ca="1" si="10"/>
        <v>1.1606641257045713</v>
      </c>
      <c r="R34">
        <f t="shared" ca="1" si="11"/>
        <v>2.4155518646781027</v>
      </c>
      <c r="S34">
        <f t="shared" ca="1" si="8"/>
        <v>0.48049646239297034</v>
      </c>
      <c r="T34">
        <f t="shared" ca="1" si="9"/>
        <v>32.455090207802982</v>
      </c>
      <c r="U34">
        <f>70</f>
        <v>70</v>
      </c>
      <c r="V34">
        <f>30</f>
        <v>30</v>
      </c>
      <c r="W34">
        <f t="shared" ca="1" si="7"/>
        <v>146.00192129068847</v>
      </c>
      <c r="X34">
        <f t="shared" ca="1" si="17"/>
        <v>151.02106650906791</v>
      </c>
      <c r="Y34">
        <f t="shared" ca="1" si="16"/>
        <v>-5.5616979832267646</v>
      </c>
    </row>
    <row r="35" spans="1:27" x14ac:dyDescent="0.25">
      <c r="A35" s="20">
        <f t="shared" ca="1" si="0"/>
        <v>45761</v>
      </c>
      <c r="B35" vm="100">
        <f ca="1"/>
        <v>45762</v>
      </c>
      <c r="C35" vm="101">
        <f ca="1"/>
        <v>134.54</v>
      </c>
      <c r="D35" vm="102">
        <f ca="1"/>
        <v>9334825</v>
      </c>
      <c r="E35">
        <f t="shared" ca="1" si="1"/>
        <v>1255907355.5</v>
      </c>
      <c r="F35">
        <f ca="1">SUM($E$2:E35)/SUM($D$2:D35)</f>
        <v>152.76061363335441</v>
      </c>
      <c r="G35">
        <f ca="1">_xlfn.STDEV.P($C$2:C35)</f>
        <v>10.641987876748317</v>
      </c>
      <c r="H35">
        <f t="shared" ca="1" si="2"/>
        <v>163.40260151010273</v>
      </c>
      <c r="I35">
        <f t="shared" ca="1" si="3"/>
        <v>142.11862575660609</v>
      </c>
      <c r="J35">
        <f t="shared" ca="1" si="12"/>
        <v>154.52450000000005</v>
      </c>
      <c r="K35">
        <f t="shared" ca="1" si="13"/>
        <v>14.007646210852883</v>
      </c>
      <c r="L35">
        <f t="shared" ca="1" si="14"/>
        <v>182.53979242170581</v>
      </c>
      <c r="M35">
        <f t="shared" ca="1" si="15"/>
        <v>126.50920757829428</v>
      </c>
      <c r="N35">
        <f t="shared" ca="1" si="4"/>
        <v>-0.78000000000000114</v>
      </c>
      <c r="O35">
        <f t="shared" ca="1" si="5"/>
        <v>0</v>
      </c>
      <c r="P35">
        <f t="shared" ca="1" si="6"/>
        <v>0.78000000000000114</v>
      </c>
      <c r="Q35">
        <f t="shared" ca="1" si="10"/>
        <v>1.0777595452971018</v>
      </c>
      <c r="R35">
        <f t="shared" ca="1" si="11"/>
        <v>2.2987267314868096</v>
      </c>
      <c r="S35">
        <f t="shared" ca="1" si="8"/>
        <v>0.46885066003474463</v>
      </c>
      <c r="T35">
        <f t="shared" ca="1" si="9"/>
        <v>31.919559475410139</v>
      </c>
      <c r="U35">
        <f>70</f>
        <v>70</v>
      </c>
      <c r="V35">
        <f>30</f>
        <v>30</v>
      </c>
      <c r="W35">
        <f t="shared" ca="1" si="7"/>
        <v>144.2385487844287</v>
      </c>
      <c r="X35">
        <f t="shared" ca="1" si="17"/>
        <v>149.80024676765547</v>
      </c>
      <c r="Y35">
        <f t="shared" ca="1" si="16"/>
        <v>-5.8579806567313426</v>
      </c>
    </row>
    <row r="36" spans="1:27" x14ac:dyDescent="0.25">
      <c r="A36" s="20">
        <f t="shared" ca="1" si="0"/>
        <v>45761</v>
      </c>
      <c r="B36" vm="103">
        <f ca="1"/>
        <v>45763</v>
      </c>
      <c r="C36" vm="104">
        <f ca="1"/>
        <v>135.36000000000001</v>
      </c>
      <c r="D36" vm="105">
        <f ca="1"/>
        <v>8637220</v>
      </c>
      <c r="E36">
        <f t="shared" ca="1" si="1"/>
        <v>1169134099.2</v>
      </c>
      <c r="F36">
        <f ca="1">SUM($E$2:E36)/SUM($D$2:D36)</f>
        <v>152.36275892219788</v>
      </c>
      <c r="G36">
        <f ca="1">_xlfn.STDEV.P($C$2:C36)</f>
        <v>10.980742304189659</v>
      </c>
      <c r="H36">
        <f t="shared" ca="1" si="2"/>
        <v>163.34350122638753</v>
      </c>
      <c r="I36">
        <f t="shared" ca="1" si="3"/>
        <v>141.38201661800824</v>
      </c>
      <c r="J36">
        <f t="shared" ca="1" si="12"/>
        <v>153.09</v>
      </c>
      <c r="K36">
        <f t="shared" ca="1" si="13"/>
        <v>14.443093414100078</v>
      </c>
      <c r="L36">
        <f t="shared" ca="1" si="14"/>
        <v>181.97618682820016</v>
      </c>
      <c r="M36">
        <f t="shared" ca="1" si="15"/>
        <v>124.20381317179985</v>
      </c>
      <c r="N36">
        <f t="shared" ca="1" si="4"/>
        <v>0.8200000000000216</v>
      </c>
      <c r="O36">
        <f t="shared" ca="1" si="5"/>
        <v>0.8200000000000216</v>
      </c>
      <c r="P36">
        <f t="shared" ca="1" si="6"/>
        <v>0</v>
      </c>
      <c r="Q36">
        <f t="shared" ca="1" si="10"/>
        <v>1.0593481492044532</v>
      </c>
      <c r="R36">
        <f t="shared" ca="1" si="11"/>
        <v>2.1345319649520378</v>
      </c>
      <c r="S36">
        <f t="shared" ca="1" si="8"/>
        <v>0.49629059981224333</v>
      </c>
      <c r="T36">
        <f t="shared" ca="1" si="9"/>
        <v>33.168062398742507</v>
      </c>
      <c r="U36">
        <f>70</f>
        <v>70</v>
      </c>
      <c r="V36">
        <f>30</f>
        <v>30</v>
      </c>
      <c r="W36">
        <f t="shared" ca="1" si="7"/>
        <v>142.87261820220891</v>
      </c>
      <c r="X36">
        <f t="shared" ca="1" si="17"/>
        <v>148.73059885894025</v>
      </c>
      <c r="Y36">
        <f t="shared" ca="1" si="16"/>
        <v>-5.8231254219359982</v>
      </c>
      <c r="Z36" s="9">
        <f ca="1">AVERAGE(Y28:Y36)</f>
        <v>-3.7537189400647182</v>
      </c>
    </row>
    <row r="37" spans="1:27" x14ac:dyDescent="0.25">
      <c r="A37" s="20">
        <f t="shared" ca="1" si="0"/>
        <v>45761</v>
      </c>
      <c r="B37" vm="106">
        <f ca="1"/>
        <v>45764</v>
      </c>
      <c r="C37" vm="107">
        <f ca="1"/>
        <v>137.87</v>
      </c>
      <c r="D37" vm="108">
        <f ca="1"/>
        <v>8434434</v>
      </c>
      <c r="E37">
        <f t="shared" ca="1" si="1"/>
        <v>1162855415.5799999</v>
      </c>
      <c r="F37">
        <f ca="1">SUM($E$2:E37)/SUM($D$2:D37)</f>
        <v>152.04623765993168</v>
      </c>
      <c r="G37">
        <f ca="1">_xlfn.STDEV.P($C$2:C37)</f>
        <v>11.159094475188068</v>
      </c>
      <c r="H37">
        <f t="shared" ca="1" si="2"/>
        <v>163.20533213511973</v>
      </c>
      <c r="I37">
        <f t="shared" ca="1" si="3"/>
        <v>140.88714318474362</v>
      </c>
      <c r="J37">
        <f t="shared" ca="1" si="12"/>
        <v>151.74500000000003</v>
      </c>
      <c r="K37">
        <f t="shared" ca="1" si="13"/>
        <v>14.550278528714077</v>
      </c>
      <c r="L37">
        <f t="shared" ca="1" si="14"/>
        <v>180.84555705742818</v>
      </c>
      <c r="M37">
        <f t="shared" ca="1" si="15"/>
        <v>122.64444294257189</v>
      </c>
      <c r="N37">
        <f t="shared" ca="1" si="4"/>
        <v>2.5099999999999909</v>
      </c>
      <c r="O37">
        <f t="shared" ca="1" si="5"/>
        <v>2.5099999999999909</v>
      </c>
      <c r="P37">
        <f t="shared" ca="1" si="6"/>
        <v>0</v>
      </c>
      <c r="Q37">
        <f t="shared" ca="1" si="10"/>
        <v>1.1629661385469916</v>
      </c>
      <c r="R37">
        <f t="shared" ca="1" si="11"/>
        <v>1.9820653960268921</v>
      </c>
      <c r="S37">
        <f t="shared" ca="1" si="8"/>
        <v>0.5867445851575791</v>
      </c>
      <c r="T37">
        <f t="shared" ca="1" si="9"/>
        <v>36.977884824438192</v>
      </c>
      <c r="U37">
        <f>70</f>
        <v>70</v>
      </c>
      <c r="V37">
        <f>30</f>
        <v>30</v>
      </c>
      <c r="W37">
        <f t="shared" ca="1" si="7"/>
        <v>142.10298463263831</v>
      </c>
      <c r="X37">
        <f t="shared" ca="1" si="17"/>
        <v>147.92611005457431</v>
      </c>
      <c r="Y37">
        <f t="shared" ca="1" si="16"/>
        <v>-6.059713196134112</v>
      </c>
      <c r="Z37">
        <f ca="1">Y37*(2/(9+1)) + Z36*(1-(2/(9+1)))</f>
        <v>-4.2149177912785971</v>
      </c>
      <c r="AA37">
        <f ca="1">Y37-Z37</f>
        <v>-1.8447954048555149</v>
      </c>
    </row>
    <row r="38" spans="1:27" x14ac:dyDescent="0.25">
      <c r="A38" s="20">
        <f t="shared" ca="1" si="0"/>
        <v>45768</v>
      </c>
      <c r="B38" vm="109">
        <f ca="1"/>
        <v>45768</v>
      </c>
      <c r="C38" vm="110">
        <f ca="1"/>
        <v>133.72999999999999</v>
      </c>
      <c r="D38" vm="111">
        <f ca="1"/>
        <v>9967487</v>
      </c>
      <c r="E38">
        <f t="shared" ca="1" si="1"/>
        <v>1332952036.51</v>
      </c>
      <c r="F38">
        <f ca="1">SUM($E$2:E38)/SUM($D$2:D38)</f>
        <v>151.58539671490962</v>
      </c>
      <c r="G38">
        <f ca="1">_xlfn.STDEV.P($C$2:C38)</f>
        <v>11.480741221365673</v>
      </c>
      <c r="H38">
        <f t="shared" ca="1" si="2"/>
        <v>163.06613793627528</v>
      </c>
      <c r="I38">
        <f t="shared" ca="1" si="3"/>
        <v>140.10465549354396</v>
      </c>
      <c r="J38">
        <f t="shared" ca="1" si="12"/>
        <v>150.19400000000002</v>
      </c>
      <c r="K38">
        <f t="shared" ca="1" si="13"/>
        <v>14.74306202573729</v>
      </c>
      <c r="L38">
        <f t="shared" ca="1" si="14"/>
        <v>179.68012405147459</v>
      </c>
      <c r="M38">
        <f t="shared" ca="1" si="15"/>
        <v>120.70787594852544</v>
      </c>
      <c r="N38">
        <f t="shared" ca="1" si="4"/>
        <v>-4.1400000000000148</v>
      </c>
      <c r="O38">
        <f t="shared" ca="1" si="5"/>
        <v>0</v>
      </c>
      <c r="P38">
        <f t="shared" ca="1" si="6"/>
        <v>4.1400000000000148</v>
      </c>
      <c r="Q38">
        <f t="shared" ca="1" si="10"/>
        <v>1.0798971286507779</v>
      </c>
      <c r="R38">
        <f t="shared" ca="1" si="11"/>
        <v>2.1362035820249723</v>
      </c>
      <c r="S38">
        <f t="shared" ca="1" si="8"/>
        <v>0.50552163554894458</v>
      </c>
      <c r="T38">
        <f t="shared" ca="1" si="9"/>
        <v>33.577839309138909</v>
      </c>
      <c r="U38">
        <f>70</f>
        <v>70</v>
      </c>
      <c r="V38">
        <f>30</f>
        <v>30</v>
      </c>
      <c r="W38">
        <f t="shared" ca="1" si="7"/>
        <v>140.81483315069394</v>
      </c>
      <c r="X38">
        <f t="shared" ca="1" si="17"/>
        <v>146.87454634682805</v>
      </c>
      <c r="Y38">
        <f t="shared" ca="1" si="16"/>
        <v>-5.8912311024587325</v>
      </c>
      <c r="Z38">
        <f t="shared" ref="Z38:Z101" ca="1" si="18">Y38*(2/(9+1)) + Z37*(1-(2/(9+1)))</f>
        <v>-4.5501804535146242</v>
      </c>
      <c r="AA38">
        <f t="shared" ref="AA38:AA101" ca="1" si="19">Y38-Z38</f>
        <v>-1.3410506489441083</v>
      </c>
    </row>
    <row r="39" spans="1:27" x14ac:dyDescent="0.25">
      <c r="A39" s="20">
        <f t="shared" ca="1" si="0"/>
        <v>45768</v>
      </c>
      <c r="B39" vm="112">
        <f ca="1"/>
        <v>45769</v>
      </c>
      <c r="C39" vm="113">
        <f ca="1"/>
        <v>137.30000000000001</v>
      </c>
      <c r="D39" vm="114">
        <f ca="1"/>
        <v>7984676</v>
      </c>
      <c r="E39">
        <f t="shared" ca="1" si="1"/>
        <v>1096296014.8000002</v>
      </c>
      <c r="F39">
        <f ca="1">SUM($E$2:E39)/SUM($D$2:D39)</f>
        <v>151.30316066804247</v>
      </c>
      <c r="G39">
        <f ca="1">_xlfn.STDEV.P($C$2:C39)</f>
        <v>11.614871118276898</v>
      </c>
      <c r="H39">
        <f t="shared" ca="1" si="2"/>
        <v>162.91803178631937</v>
      </c>
      <c r="I39">
        <f t="shared" ca="1" si="3"/>
        <v>139.68828954976556</v>
      </c>
      <c r="J39">
        <f t="shared" ca="1" si="12"/>
        <v>148.80800000000002</v>
      </c>
      <c r="K39">
        <f t="shared" ca="1" si="13"/>
        <v>14.57796592554379</v>
      </c>
      <c r="L39">
        <f t="shared" ca="1" si="14"/>
        <v>177.96393185108761</v>
      </c>
      <c r="M39">
        <f t="shared" ca="1" si="15"/>
        <v>119.65206814891243</v>
      </c>
      <c r="N39">
        <f t="shared" ca="1" si="4"/>
        <v>3.5700000000000216</v>
      </c>
      <c r="O39">
        <f t="shared" ca="1" si="5"/>
        <v>3.5700000000000216</v>
      </c>
      <c r="P39">
        <f t="shared" ca="1" si="6"/>
        <v>0</v>
      </c>
      <c r="Q39">
        <f t="shared" ca="1" si="10"/>
        <v>1.2577616194614383</v>
      </c>
      <c r="R39">
        <f t="shared" ca="1" si="11"/>
        <v>1.9836176118803315</v>
      </c>
      <c r="S39">
        <f t="shared" ca="1" si="8"/>
        <v>0.6340746381401442</v>
      </c>
      <c r="T39">
        <f t="shared" ca="1" si="9"/>
        <v>38.803284950424874</v>
      </c>
      <c r="U39">
        <f>70</f>
        <v>70</v>
      </c>
      <c r="V39">
        <f>30</f>
        <v>30</v>
      </c>
      <c r="W39">
        <f t="shared" ca="1" si="7"/>
        <v>140.27408958904871</v>
      </c>
      <c r="X39">
        <f t="shared" ca="1" si="17"/>
        <v>146.16532069150745</v>
      </c>
      <c r="Y39">
        <f t="shared" ca="1" si="16"/>
        <v>-5.741551614793309</v>
      </c>
      <c r="Z39">
        <f t="shared" ca="1" si="18"/>
        <v>-4.7884546857703612</v>
      </c>
      <c r="AA39">
        <f t="shared" ca="1" si="19"/>
        <v>-0.95309692902294785</v>
      </c>
    </row>
    <row r="40" spans="1:27" x14ac:dyDescent="0.25">
      <c r="A40" s="20">
        <f t="shared" ca="1" si="0"/>
        <v>45768</v>
      </c>
      <c r="B40" vm="115">
        <f ca="1"/>
        <v>45770</v>
      </c>
      <c r="C40" vm="116">
        <f ca="1"/>
        <v>136.68</v>
      </c>
      <c r="D40" vm="117">
        <f ca="1"/>
        <v>10001966</v>
      </c>
      <c r="E40">
        <f t="shared" ca="1" si="1"/>
        <v>1367068712.8800001</v>
      </c>
      <c r="F40">
        <f ca="1">SUM($E$2:E40)/SUM($D$2:D40)</f>
        <v>150.95000008393157</v>
      </c>
      <c r="G40">
        <f ca="1">_xlfn.STDEV.P($C$2:C40)</f>
        <v>11.747704530490211</v>
      </c>
      <c r="H40">
        <f t="shared" ca="1" si="2"/>
        <v>162.69770461442178</v>
      </c>
      <c r="I40">
        <f t="shared" ca="1" si="3"/>
        <v>139.20229555344136</v>
      </c>
      <c r="J40">
        <f t="shared" ca="1" si="12"/>
        <v>147.345</v>
      </c>
      <c r="K40">
        <f t="shared" ca="1" si="13"/>
        <v>14.232284093788873</v>
      </c>
      <c r="L40">
        <f t="shared" ca="1" si="14"/>
        <v>175.80956818757775</v>
      </c>
      <c r="M40">
        <f t="shared" ca="1" si="15"/>
        <v>118.88043181242224</v>
      </c>
      <c r="N40">
        <f t="shared" ca="1" si="4"/>
        <v>-0.62000000000000455</v>
      </c>
      <c r="O40">
        <f t="shared" ca="1" si="5"/>
        <v>0</v>
      </c>
      <c r="P40">
        <f t="shared" ca="1" si="6"/>
        <v>0.62000000000000455</v>
      </c>
      <c r="Q40">
        <f t="shared" ca="1" si="10"/>
        <v>1.1679215037856212</v>
      </c>
      <c r="R40">
        <f t="shared" ca="1" si="11"/>
        <v>1.8862163538888796</v>
      </c>
      <c r="S40">
        <f t="shared" ca="1" si="8"/>
        <v>0.61918745502215355</v>
      </c>
      <c r="T40">
        <f t="shared" ca="1" si="9"/>
        <v>38.240628230020583</v>
      </c>
      <c r="U40">
        <f>70</f>
        <v>70</v>
      </c>
      <c r="V40">
        <f>30</f>
        <v>30</v>
      </c>
      <c r="W40">
        <f t="shared" ca="1" si="7"/>
        <v>139.72115272919507</v>
      </c>
      <c r="X40">
        <f t="shared" ca="1" si="17"/>
        <v>145.46270434398838</v>
      </c>
      <c r="Y40">
        <f t="shared" ca="1" si="16"/>
        <v>-5.3681953026361668</v>
      </c>
      <c r="Z40">
        <f t="shared" ca="1" si="18"/>
        <v>-4.904402809143523</v>
      </c>
      <c r="AA40">
        <f t="shared" ca="1" si="19"/>
        <v>-0.46379249349264384</v>
      </c>
    </row>
    <row r="41" spans="1:27" x14ac:dyDescent="0.25">
      <c r="A41" s="20">
        <f t="shared" ca="1" si="0"/>
        <v>45768</v>
      </c>
      <c r="B41" vm="118">
        <f ca="1"/>
        <v>45771</v>
      </c>
      <c r="C41" vm="119">
        <f ca="1"/>
        <v>139.07</v>
      </c>
      <c r="D41" vm="120">
        <f ca="1"/>
        <v>7745778</v>
      </c>
      <c r="E41">
        <f t="shared" ca="1" si="1"/>
        <v>1077205346.46</v>
      </c>
      <c r="F41">
        <f ca="1">SUM($E$2:E41)/SUM($D$2:D41)</f>
        <v>150.73188810579055</v>
      </c>
      <c r="G41">
        <f ca="1">_xlfn.STDEV.P($C$2:C41)</f>
        <v>11.787117024531488</v>
      </c>
      <c r="H41">
        <f t="shared" ca="1" si="2"/>
        <v>162.51900513032203</v>
      </c>
      <c r="I41">
        <f t="shared" ca="1" si="3"/>
        <v>138.94477108125906</v>
      </c>
      <c r="J41">
        <f t="shared" ca="1" si="12"/>
        <v>145.90000000000003</v>
      </c>
      <c r="K41">
        <f t="shared" ca="1" si="13"/>
        <v>13.47497641829789</v>
      </c>
      <c r="L41">
        <f t="shared" ca="1" si="14"/>
        <v>172.8499528365958</v>
      </c>
      <c r="M41">
        <f t="shared" ca="1" si="15"/>
        <v>118.95004716340425</v>
      </c>
      <c r="N41">
        <f t="shared" ca="1" si="4"/>
        <v>2.3899999999999864</v>
      </c>
      <c r="O41">
        <f t="shared" ca="1" si="5"/>
        <v>2.3899999999999864</v>
      </c>
      <c r="P41">
        <f t="shared" ca="1" si="6"/>
        <v>0</v>
      </c>
      <c r="Q41">
        <f t="shared" ca="1" si="10"/>
        <v>1.2552128249437902</v>
      </c>
      <c r="R41">
        <f t="shared" ca="1" si="11"/>
        <v>1.7514866143253882</v>
      </c>
      <c r="S41">
        <f t="shared" ca="1" si="8"/>
        <v>0.7166556767704757</v>
      </c>
      <c r="T41">
        <f t="shared" ca="1" si="9"/>
        <v>41.747199888023651</v>
      </c>
      <c r="U41">
        <f>70</f>
        <v>70</v>
      </c>
      <c r="V41">
        <f>30</f>
        <v>30</v>
      </c>
      <c r="W41">
        <f t="shared" ca="1" si="7"/>
        <v>139.62097538624198</v>
      </c>
      <c r="X41">
        <f t="shared" ca="1" si="17"/>
        <v>144.98917068887815</v>
      </c>
      <c r="Y41">
        <f t="shared" ca="1" si="16"/>
        <v>-5.041626165730861</v>
      </c>
      <c r="Z41">
        <f t="shared" ca="1" si="18"/>
        <v>-4.9318474804609913</v>
      </c>
      <c r="AA41">
        <f t="shared" ca="1" si="19"/>
        <v>-0.10977868526986967</v>
      </c>
    </row>
    <row r="42" spans="1:27" x14ac:dyDescent="0.25">
      <c r="A42" s="20">
        <f t="shared" ca="1" si="0"/>
        <v>45768</v>
      </c>
      <c r="B42" vm="121">
        <f ca="1"/>
        <v>45772</v>
      </c>
      <c r="C42" vm="122">
        <f ca="1"/>
        <v>138.72999999999999</v>
      </c>
      <c r="D42" vm="123">
        <f ca="1"/>
        <v>6878491</v>
      </c>
      <c r="E42">
        <f t="shared" ca="1" si="1"/>
        <v>954253056.42999995</v>
      </c>
      <c r="F42">
        <f ca="1">SUM($E$2:E42)/SUM($D$2:D42)</f>
        <v>150.53934978191188</v>
      </c>
      <c r="G42">
        <f ca="1">_xlfn.STDEV.P($C$2:C42)</f>
        <v>11.824731823127141</v>
      </c>
      <c r="H42">
        <f t="shared" ca="1" si="2"/>
        <v>162.36408160503902</v>
      </c>
      <c r="I42">
        <f t="shared" ca="1" si="3"/>
        <v>138.71461795878474</v>
      </c>
      <c r="J42">
        <f t="shared" ca="1" si="12"/>
        <v>144.50399999999999</v>
      </c>
      <c r="K42">
        <f t="shared" ca="1" si="13"/>
        <v>12.632028799007204</v>
      </c>
      <c r="L42">
        <f t="shared" ca="1" si="14"/>
        <v>169.76805759801439</v>
      </c>
      <c r="M42">
        <f t="shared" ca="1" si="15"/>
        <v>119.23994240198559</v>
      </c>
      <c r="N42">
        <f t="shared" ca="1" si="4"/>
        <v>-0.34000000000000341</v>
      </c>
      <c r="O42">
        <f t="shared" ca="1" si="5"/>
        <v>0</v>
      </c>
      <c r="P42">
        <f t="shared" ca="1" si="6"/>
        <v>0.34000000000000341</v>
      </c>
      <c r="Q42">
        <f t="shared" ca="1" si="10"/>
        <v>1.1655547660192338</v>
      </c>
      <c r="R42">
        <f t="shared" ca="1" si="11"/>
        <v>1.6506661418735751</v>
      </c>
      <c r="S42">
        <f t="shared" ca="1" si="8"/>
        <v>0.7061117547951159</v>
      </c>
      <c r="T42">
        <f t="shared" ca="1" si="9"/>
        <v>41.387192416355617</v>
      </c>
      <c r="U42">
        <f>70</f>
        <v>70</v>
      </c>
      <c r="V42">
        <f>30</f>
        <v>30</v>
      </c>
      <c r="W42">
        <f t="shared" ca="1" si="7"/>
        <v>139.48390224989706</v>
      </c>
      <c r="X42">
        <f t="shared" ca="1" si="17"/>
        <v>144.52552841562792</v>
      </c>
      <c r="Y42">
        <f t="shared" ca="1" si="16"/>
        <v>-4.6190249768080776</v>
      </c>
      <c r="Z42">
        <f t="shared" ca="1" si="18"/>
        <v>-4.8692829797304089</v>
      </c>
      <c r="AA42">
        <f t="shared" ca="1" si="19"/>
        <v>0.25025800292233136</v>
      </c>
    </row>
    <row r="43" spans="1:27" x14ac:dyDescent="0.25">
      <c r="A43" s="20">
        <f t="shared" ca="1" si="0"/>
        <v>45775</v>
      </c>
      <c r="B43" vm="124">
        <f ca="1"/>
        <v>45775</v>
      </c>
      <c r="C43" vm="125">
        <f ca="1"/>
        <v>140.1</v>
      </c>
      <c r="D43" vm="126">
        <f ca="1"/>
        <v>6715539</v>
      </c>
      <c r="E43">
        <f t="shared" ca="1" si="1"/>
        <v>940847013.89999998</v>
      </c>
      <c r="F43">
        <f ca="1">SUM($E$2:E43)/SUM($D$2:D43)</f>
        <v>150.37836699708296</v>
      </c>
      <c r="G43">
        <f ca="1">_xlfn.STDEV.P($C$2:C43)</f>
        <v>11.818713650264096</v>
      </c>
      <c r="H43">
        <f t="shared" ca="1" si="2"/>
        <v>162.19708064734706</v>
      </c>
      <c r="I43">
        <f t="shared" ca="1" si="3"/>
        <v>138.55965334681886</v>
      </c>
      <c r="J43">
        <f t="shared" ca="1" si="12"/>
        <v>143.2045</v>
      </c>
      <c r="K43">
        <f t="shared" ca="1" si="13"/>
        <v>11.58824425873048</v>
      </c>
      <c r="L43">
        <f t="shared" ca="1" si="14"/>
        <v>166.38098851746096</v>
      </c>
      <c r="M43">
        <f t="shared" ca="1" si="15"/>
        <v>120.02801148253903</v>
      </c>
      <c r="N43">
        <f t="shared" ca="1" si="4"/>
        <v>1.3700000000000045</v>
      </c>
      <c r="O43">
        <f t="shared" ca="1" si="5"/>
        <v>1.3700000000000045</v>
      </c>
      <c r="P43">
        <f t="shared" ca="1" si="6"/>
        <v>0</v>
      </c>
      <c r="Q43">
        <f t="shared" ca="1" si="10"/>
        <v>1.1801579970178602</v>
      </c>
      <c r="R43">
        <f t="shared" ca="1" si="11"/>
        <v>1.532761417454034</v>
      </c>
      <c r="S43">
        <f t="shared" ca="1" si="8"/>
        <v>0.76995544354067869</v>
      </c>
      <c r="T43">
        <f t="shared" ca="1" si="9"/>
        <v>43.501402611606643</v>
      </c>
      <c r="U43">
        <f>70</f>
        <v>70</v>
      </c>
      <c r="V43">
        <f>30</f>
        <v>30</v>
      </c>
      <c r="W43">
        <f t="shared" ca="1" si="7"/>
        <v>139.57868651914367</v>
      </c>
      <c r="X43">
        <f t="shared" ca="1" si="17"/>
        <v>144.19771149595175</v>
      </c>
      <c r="Y43">
        <f t="shared" ca="1" si="16"/>
        <v>-4.2991063817625275</v>
      </c>
      <c r="Z43">
        <f t="shared" ca="1" si="18"/>
        <v>-4.755247660136833</v>
      </c>
      <c r="AA43">
        <f t="shared" ca="1" si="19"/>
        <v>0.45614127837430551</v>
      </c>
    </row>
    <row r="44" spans="1:27" x14ac:dyDescent="0.25">
      <c r="A44" s="20">
        <f t="shared" ca="1" si="0"/>
        <v>45775</v>
      </c>
      <c r="B44" vm="127">
        <f ca="1"/>
        <v>45776</v>
      </c>
      <c r="C44" vm="128">
        <f ca="1"/>
        <v>139.30000000000001</v>
      </c>
      <c r="D44" vm="129">
        <f ca="1"/>
        <v>7343820</v>
      </c>
      <c r="E44">
        <f t="shared" ca="1" si="1"/>
        <v>1022994126.0000001</v>
      </c>
      <c r="F44">
        <f ca="1">SUM($E$2:E44)/SUM($D$2:D44)</f>
        <v>150.19464539088796</v>
      </c>
      <c r="G44">
        <f ca="1">_xlfn.STDEV.P($C$2:C44)</f>
        <v>11.825037690732168</v>
      </c>
      <c r="H44">
        <f t="shared" ca="1" si="2"/>
        <v>162.01968308162012</v>
      </c>
      <c r="I44">
        <f t="shared" ca="1" si="3"/>
        <v>138.3696077001558</v>
      </c>
      <c r="J44">
        <f t="shared" ca="1" si="12"/>
        <v>141.80500000000001</v>
      </c>
      <c r="K44">
        <f t="shared" ca="1" si="13"/>
        <v>10.124026918802199</v>
      </c>
      <c r="L44">
        <f t="shared" ca="1" si="14"/>
        <v>162.05305383760441</v>
      </c>
      <c r="M44">
        <f t="shared" ca="1" si="15"/>
        <v>121.5569461623956</v>
      </c>
      <c r="N44">
        <f t="shared" ca="1" si="4"/>
        <v>-0.79999999999998295</v>
      </c>
      <c r="O44">
        <f t="shared" ca="1" si="5"/>
        <v>0</v>
      </c>
      <c r="P44">
        <f t="shared" ca="1" si="6"/>
        <v>0.79999999999998295</v>
      </c>
      <c r="Q44">
        <f t="shared" ca="1" si="10"/>
        <v>1.0958609972308702</v>
      </c>
      <c r="R44">
        <f t="shared" ca="1" si="11"/>
        <v>1.4804213162073161</v>
      </c>
      <c r="S44">
        <f t="shared" ca="1" si="8"/>
        <v>0.74023589449410987</v>
      </c>
      <c r="T44">
        <f t="shared" ca="1" si="9"/>
        <v>42.536526044321015</v>
      </c>
      <c r="U44">
        <f>70</f>
        <v>70</v>
      </c>
      <c r="V44">
        <f>30</f>
        <v>30</v>
      </c>
      <c r="W44">
        <f t="shared" ca="1" si="7"/>
        <v>139.53581167004464</v>
      </c>
      <c r="X44">
        <f t="shared" ca="1" si="17"/>
        <v>143.83491805180716</v>
      </c>
      <c r="Y44">
        <f t="shared" ca="1" si="16"/>
        <v>-4.2579267830030574</v>
      </c>
      <c r="Z44">
        <f t="shared" ca="1" si="18"/>
        <v>-4.6557834847100779</v>
      </c>
      <c r="AA44">
        <f t="shared" ca="1" si="19"/>
        <v>0.39785670170702048</v>
      </c>
    </row>
    <row r="45" spans="1:27" x14ac:dyDescent="0.25">
      <c r="A45" s="20">
        <f t="shared" ca="1" si="0"/>
        <v>45775</v>
      </c>
      <c r="B45" vm="130">
        <f ca="1"/>
        <v>45777</v>
      </c>
      <c r="C45" vm="131">
        <f ca="1"/>
        <v>136.06</v>
      </c>
      <c r="D45" vm="132">
        <f ca="1"/>
        <v>13858040</v>
      </c>
      <c r="E45">
        <f t="shared" ca="1" si="1"/>
        <v>1885524922.4000001</v>
      </c>
      <c r="F45">
        <f ca="1">SUM($E$2:E45)/SUM($D$2:D45)</f>
        <v>149.76573496621012</v>
      </c>
      <c r="G45">
        <f ca="1">_xlfn.STDEV.P($C$2:C45)</f>
        <v>11.906965916850579</v>
      </c>
      <c r="H45">
        <f t="shared" ca="1" si="2"/>
        <v>161.67270088306068</v>
      </c>
      <c r="I45">
        <f t="shared" ca="1" si="3"/>
        <v>137.85876904935955</v>
      </c>
      <c r="J45">
        <f t="shared" ca="1" si="12"/>
        <v>140.1825</v>
      </c>
      <c r="K45">
        <f t="shared" ca="1" si="13"/>
        <v>7.9954604719112163</v>
      </c>
      <c r="L45">
        <f t="shared" ca="1" si="14"/>
        <v>156.17342094382244</v>
      </c>
      <c r="M45">
        <f t="shared" ca="1" si="15"/>
        <v>124.19157905617757</v>
      </c>
      <c r="N45">
        <f t="shared" ca="1" si="4"/>
        <v>-3.2400000000000091</v>
      </c>
      <c r="O45">
        <f t="shared" ca="1" si="5"/>
        <v>0</v>
      </c>
      <c r="P45">
        <f t="shared" ca="1" si="6"/>
        <v>3.2400000000000091</v>
      </c>
      <c r="Q45">
        <f t="shared" ca="1" si="10"/>
        <v>1.0175852117143793</v>
      </c>
      <c r="R45">
        <f t="shared" ca="1" si="11"/>
        <v>1.6061055079067941</v>
      </c>
      <c r="S45">
        <f t="shared" ca="1" si="8"/>
        <v>0.63357307891968961</v>
      </c>
      <c r="T45">
        <f t="shared" ca="1" si="9"/>
        <v>38.784495600201893</v>
      </c>
      <c r="U45">
        <f>70</f>
        <v>70</v>
      </c>
      <c r="V45">
        <f>30</f>
        <v>30</v>
      </c>
      <c r="W45">
        <f t="shared" ca="1" si="7"/>
        <v>139.00107141311469</v>
      </c>
      <c r="X45">
        <f t="shared" ca="1" si="17"/>
        <v>143.25899819611774</v>
      </c>
      <c r="Y45">
        <f t="shared" ca="1" si="16"/>
        <v>-4.1611857665048717</v>
      </c>
      <c r="Z45">
        <f t="shared" ca="1" si="18"/>
        <v>-4.5568639410690368</v>
      </c>
      <c r="AA45">
        <f t="shared" ca="1" si="19"/>
        <v>0.3956781745641651</v>
      </c>
    </row>
    <row r="46" spans="1:27" x14ac:dyDescent="0.25">
      <c r="A46" s="20">
        <f t="shared" ca="1" si="0"/>
        <v>45775</v>
      </c>
      <c r="B46" vm="133">
        <f ca="1"/>
        <v>45778</v>
      </c>
      <c r="C46" vm="134">
        <f ca="1"/>
        <v>136.26</v>
      </c>
      <c r="D46" vm="135">
        <f ca="1"/>
        <v>10199849</v>
      </c>
      <c r="E46">
        <f t="shared" ca="1" si="1"/>
        <v>1389831424.74</v>
      </c>
      <c r="F46">
        <f ca="1">SUM($E$2:E46)/SUM($D$2:D46)</f>
        <v>149.47068275094998</v>
      </c>
      <c r="G46">
        <f ca="1">_xlfn.STDEV.P($C$2:C46)</f>
        <v>11.970088737977749</v>
      </c>
      <c r="H46">
        <f t="shared" ca="1" si="2"/>
        <v>161.44077148892774</v>
      </c>
      <c r="I46">
        <f t="shared" ca="1" si="3"/>
        <v>137.50059401297221</v>
      </c>
      <c r="J46">
        <f t="shared" ca="1" si="12"/>
        <v>138.67200000000003</v>
      </c>
      <c r="K46">
        <f t="shared" ca="1" si="13"/>
        <v>5.0956199973992122</v>
      </c>
      <c r="L46">
        <f t="shared" ca="1" si="14"/>
        <v>148.86323999479845</v>
      </c>
      <c r="M46">
        <f t="shared" ca="1" si="15"/>
        <v>128.4807600052016</v>
      </c>
      <c r="N46">
        <f t="shared" ca="1" si="4"/>
        <v>0.19999999999998863</v>
      </c>
      <c r="O46">
        <f t="shared" ca="1" si="5"/>
        <v>0.19999999999998863</v>
      </c>
      <c r="P46">
        <f t="shared" ca="1" si="6"/>
        <v>0</v>
      </c>
      <c r="Q46">
        <f t="shared" ca="1" si="10"/>
        <v>0.95918626802049434</v>
      </c>
      <c r="R46">
        <f t="shared" ca="1" si="11"/>
        <v>1.4913836859134515</v>
      </c>
      <c r="S46">
        <f t="shared" ca="1" si="8"/>
        <v>0.64315191126219562</v>
      </c>
      <c r="T46">
        <f t="shared" ca="1" si="9"/>
        <v>39.141354299259838</v>
      </c>
      <c r="U46">
        <f>70</f>
        <v>70</v>
      </c>
      <c r="V46">
        <f>30</f>
        <v>30</v>
      </c>
      <c r="W46">
        <f t="shared" ca="1" si="7"/>
        <v>138.57936811878935</v>
      </c>
      <c r="X46">
        <f t="shared" ca="1" si="17"/>
        <v>142.74055388529422</v>
      </c>
      <c r="Y46">
        <f t="shared" ca="1" si="16"/>
        <v>-3.8592811437042371</v>
      </c>
      <c r="Z46">
        <f t="shared" ca="1" si="18"/>
        <v>-4.4173473815960769</v>
      </c>
      <c r="AA46">
        <f t="shared" ca="1" si="19"/>
        <v>0.55806623789183973</v>
      </c>
    </row>
    <row r="47" spans="1:27" x14ac:dyDescent="0.25">
      <c r="A47" s="20">
        <f t="shared" ca="1" si="0"/>
        <v>45775</v>
      </c>
      <c r="B47" vm="136">
        <f ca="1"/>
        <v>45779</v>
      </c>
      <c r="C47" vm="137">
        <f ca="1"/>
        <v>138.5</v>
      </c>
      <c r="D47" vm="138">
        <f ca="1"/>
        <v>12393235</v>
      </c>
      <c r="E47">
        <f t="shared" ca="1" si="1"/>
        <v>1716463047.5</v>
      </c>
      <c r="F47">
        <f ca="1">SUM($E$2:E47)/SUM($D$2:D47)</f>
        <v>149.18700351321826</v>
      </c>
      <c r="G47">
        <f ca="1">_xlfn.STDEV.P($C$2:C47)</f>
        <v>11.969517816438307</v>
      </c>
      <c r="H47">
        <f t="shared" ca="1" si="2"/>
        <v>161.15652132965656</v>
      </c>
      <c r="I47">
        <f t="shared" ca="1" si="3"/>
        <v>137.21748569677996</v>
      </c>
      <c r="J47">
        <f t="shared" ca="1" si="12"/>
        <v>137.791</v>
      </c>
      <c r="K47">
        <f t="shared" ca="1" si="13"/>
        <v>3.0211115068534151</v>
      </c>
      <c r="L47">
        <f t="shared" ca="1" si="14"/>
        <v>143.83322301370683</v>
      </c>
      <c r="M47">
        <f t="shared" ca="1" si="15"/>
        <v>131.74877698629317</v>
      </c>
      <c r="N47">
        <f t="shared" ca="1" si="4"/>
        <v>2.2400000000000091</v>
      </c>
      <c r="O47">
        <f t="shared" ca="1" si="5"/>
        <v>2.2400000000000091</v>
      </c>
      <c r="P47">
        <f t="shared" ca="1" si="6"/>
        <v>0</v>
      </c>
      <c r="Q47">
        <f t="shared" ca="1" si="10"/>
        <v>1.0506729631618883</v>
      </c>
      <c r="R47">
        <f t="shared" ca="1" si="11"/>
        <v>1.3848562797767765</v>
      </c>
      <c r="S47">
        <f t="shared" ca="1" si="8"/>
        <v>0.75868736597796638</v>
      </c>
      <c r="T47">
        <f t="shared" ca="1" si="9"/>
        <v>43.139410713630582</v>
      </c>
      <c r="U47">
        <f>70</f>
        <v>70</v>
      </c>
      <c r="V47">
        <f>30</f>
        <v>30</v>
      </c>
      <c r="W47">
        <f t="shared" ca="1" si="7"/>
        <v>138.5671576389756</v>
      </c>
      <c r="X47">
        <f t="shared" ca="1" si="17"/>
        <v>142.42643878267984</v>
      </c>
      <c r="Y47">
        <f t="shared" ca="1" si="16"/>
        <v>-3.8180820102427049</v>
      </c>
      <c r="Z47">
        <f t="shared" ca="1" si="18"/>
        <v>-4.2974943073254028</v>
      </c>
      <c r="AA47">
        <f t="shared" ca="1" si="19"/>
        <v>0.47941229708269795</v>
      </c>
    </row>
    <row r="48" spans="1:27" x14ac:dyDescent="0.25">
      <c r="A48" s="20">
        <f t="shared" ca="1" si="0"/>
        <v>45782</v>
      </c>
      <c r="B48" vm="139">
        <f ca="1"/>
        <v>45782</v>
      </c>
      <c r="C48" vm="140">
        <f ca="1"/>
        <v>135.5</v>
      </c>
      <c r="D48" vm="141">
        <f ca="1"/>
        <v>9664980</v>
      </c>
      <c r="E48">
        <f t="shared" ca="1" si="1"/>
        <v>1309604790</v>
      </c>
      <c r="F48">
        <f ca="1">SUM($E$2:E48)/SUM($D$2:D48)</f>
        <v>148.91645329236422</v>
      </c>
      <c r="G48">
        <f ca="1">_xlfn.STDEV.P($C$2:C48)</f>
        <v>12.032893152096806</v>
      </c>
      <c r="H48">
        <f t="shared" ca="1" si="2"/>
        <v>160.94934644446104</v>
      </c>
      <c r="I48">
        <f t="shared" ca="1" si="3"/>
        <v>136.88356014026741</v>
      </c>
      <c r="J48">
        <f t="shared" ca="1" si="12"/>
        <v>137.40199999999999</v>
      </c>
      <c r="K48">
        <f t="shared" ca="1" si="13"/>
        <v>2.7673692618765129</v>
      </c>
      <c r="L48">
        <f t="shared" ca="1" si="14"/>
        <v>142.93673852375301</v>
      </c>
      <c r="M48">
        <f t="shared" ca="1" si="15"/>
        <v>131.86726147624697</v>
      </c>
      <c r="N48">
        <f t="shared" ca="1" si="4"/>
        <v>-3</v>
      </c>
      <c r="O48">
        <f t="shared" ca="1" si="5"/>
        <v>0</v>
      </c>
      <c r="P48">
        <f t="shared" ca="1" si="6"/>
        <v>3</v>
      </c>
      <c r="Q48">
        <f t="shared" ca="1" si="10"/>
        <v>0.97562489436461053</v>
      </c>
      <c r="R48">
        <f t="shared" ca="1" si="11"/>
        <v>1.5002236883641495</v>
      </c>
      <c r="S48">
        <f t="shared" ca="1" si="8"/>
        <v>0.6503196169555463</v>
      </c>
      <c r="T48">
        <f t="shared" ca="1" si="9"/>
        <v>39.405676953366999</v>
      </c>
      <c r="U48">
        <f>70</f>
        <v>70</v>
      </c>
      <c r="V48">
        <f>30</f>
        <v>30</v>
      </c>
      <c r="W48">
        <f t="shared" ca="1" si="7"/>
        <v>138.09528723297936</v>
      </c>
      <c r="X48">
        <f t="shared" ca="1" si="17"/>
        <v>141.91336924322206</v>
      </c>
      <c r="Y48">
        <f t="shared" ca="1" si="16"/>
        <v>-3.7343153727985907</v>
      </c>
      <c r="Z48">
        <f t="shared" ca="1" si="18"/>
        <v>-4.1848585204200406</v>
      </c>
      <c r="AA48">
        <f t="shared" ca="1" si="19"/>
        <v>0.45054314762144987</v>
      </c>
    </row>
    <row r="49" spans="1:27" x14ac:dyDescent="0.25">
      <c r="A49" s="20">
        <f t="shared" ca="1" si="0"/>
        <v>45782</v>
      </c>
      <c r="B49" vm="142">
        <f ca="1"/>
        <v>45783</v>
      </c>
      <c r="C49" vm="143">
        <f ca="1"/>
        <v>135.6</v>
      </c>
      <c r="D49" vm="144">
        <f ca="1"/>
        <v>9916241</v>
      </c>
      <c r="E49">
        <f t="shared" ca="1" si="1"/>
        <v>1344642279.5999999</v>
      </c>
      <c r="F49">
        <f ca="1">SUM($E$2:E49)/SUM($D$2:D49)</f>
        <v>148.65175296842807</v>
      </c>
      <c r="G49">
        <f ca="1">_xlfn.STDEV.P($C$2:C49)</f>
        <v>12.083166951081509</v>
      </c>
      <c r="H49">
        <f t="shared" ca="1" si="2"/>
        <v>160.73491991950959</v>
      </c>
      <c r="I49">
        <f t="shared" ca="1" si="3"/>
        <v>136.56858601734655</v>
      </c>
      <c r="J49">
        <f t="shared" ca="1" si="12"/>
        <v>137.17450000000002</v>
      </c>
      <c r="K49">
        <f t="shared" ca="1" si="13"/>
        <v>2.716120443418867</v>
      </c>
      <c r="L49">
        <f t="shared" ca="1" si="14"/>
        <v>142.60674088683777</v>
      </c>
      <c r="M49">
        <f t="shared" ca="1" si="15"/>
        <v>131.74225911316228</v>
      </c>
      <c r="N49">
        <f t="shared" ca="1" si="4"/>
        <v>9.9999999999994316E-2</v>
      </c>
      <c r="O49">
        <f t="shared" ca="1" si="5"/>
        <v>9.9999999999994316E-2</v>
      </c>
      <c r="P49">
        <f t="shared" ca="1" si="6"/>
        <v>0</v>
      </c>
      <c r="Q49">
        <f t="shared" ca="1" si="10"/>
        <v>0.91308025905285217</v>
      </c>
      <c r="R49">
        <f t="shared" ca="1" si="11"/>
        <v>1.3930648534809962</v>
      </c>
      <c r="S49">
        <f t="shared" ca="1" si="8"/>
        <v>0.65544705745123311</v>
      </c>
      <c r="T49">
        <f t="shared" ca="1" si="9"/>
        <v>39.593356640494171</v>
      </c>
      <c r="U49">
        <f>70</f>
        <v>70</v>
      </c>
      <c r="V49">
        <f>30</f>
        <v>30</v>
      </c>
      <c r="W49">
        <f t="shared" ca="1" si="7"/>
        <v>137.71139688944407</v>
      </c>
      <c r="X49">
        <f t="shared" ca="1" si="17"/>
        <v>141.44571226224267</v>
      </c>
      <c r="Y49">
        <f t="shared" ca="1" si="16"/>
        <v>-3.6109732451965328</v>
      </c>
      <c r="Z49">
        <f t="shared" ca="1" si="18"/>
        <v>-4.0700814653753392</v>
      </c>
      <c r="AA49">
        <f t="shared" ca="1" si="19"/>
        <v>0.45910822017880637</v>
      </c>
    </row>
    <row r="50" spans="1:27" x14ac:dyDescent="0.25">
      <c r="A50" s="20">
        <f t="shared" ca="1" si="0"/>
        <v>45782</v>
      </c>
      <c r="B50" vm="145">
        <f ca="1"/>
        <v>45784</v>
      </c>
      <c r="C50" vm="146">
        <f ca="1"/>
        <v>135.79</v>
      </c>
      <c r="D50" vm="147">
        <f ca="1"/>
        <v>8423485</v>
      </c>
      <c r="E50">
        <f t="shared" ca="1" si="1"/>
        <v>1143825028.1499999</v>
      </c>
      <c r="F50">
        <f ca="1">SUM($E$2:E50)/SUM($D$2:D50)</f>
        <v>148.43818368019816</v>
      </c>
      <c r="G50">
        <f ca="1">_xlfn.STDEV.P($C$2:C50)</f>
        <v>12.119834140442547</v>
      </c>
      <c r="H50">
        <f t="shared" ca="1" si="2"/>
        <v>160.55801782064071</v>
      </c>
      <c r="I50">
        <f t="shared" ca="1" si="3"/>
        <v>136.31834953975562</v>
      </c>
      <c r="J50">
        <f t="shared" ca="1" si="12"/>
        <v>137.11750000000001</v>
      </c>
      <c r="K50">
        <f t="shared" ca="1" si="13"/>
        <v>2.733428298521456</v>
      </c>
      <c r="L50">
        <f t="shared" ca="1" si="14"/>
        <v>142.58435659704293</v>
      </c>
      <c r="M50">
        <f t="shared" ca="1" si="15"/>
        <v>131.65064340295709</v>
      </c>
      <c r="N50">
        <f t="shared" ca="1" si="4"/>
        <v>0.18999999999999773</v>
      </c>
      <c r="O50">
        <f t="shared" ca="1" si="5"/>
        <v>0.18999999999999773</v>
      </c>
      <c r="P50">
        <f t="shared" ca="1" si="6"/>
        <v>0</v>
      </c>
      <c r="Q50">
        <f t="shared" ca="1" si="10"/>
        <v>0.86143166912050539</v>
      </c>
      <c r="R50">
        <f t="shared" ca="1" si="11"/>
        <v>1.2935602210894965</v>
      </c>
      <c r="S50">
        <f t="shared" ca="1" si="8"/>
        <v>0.66593858954240848</v>
      </c>
      <c r="T50">
        <f t="shared" ca="1" si="9"/>
        <v>39.973777768442538</v>
      </c>
      <c r="U50">
        <f>70</f>
        <v>70</v>
      </c>
      <c r="V50">
        <f>30</f>
        <v>30</v>
      </c>
      <c r="W50">
        <f t="shared" ca="1" si="7"/>
        <v>137.41579736799113</v>
      </c>
      <c r="X50">
        <f t="shared" ca="1" si="17"/>
        <v>141.02677061318767</v>
      </c>
      <c r="Y50">
        <f t="shared" ca="1" si="16"/>
        <v>-3.3734718831698558</v>
      </c>
      <c r="Z50">
        <f t="shared" ca="1" si="18"/>
        <v>-3.9307595489342426</v>
      </c>
      <c r="AA50">
        <f t="shared" ca="1" si="19"/>
        <v>0.55728766576438682</v>
      </c>
    </row>
    <row r="51" spans="1:27" x14ac:dyDescent="0.25">
      <c r="A51" s="20">
        <f t="shared" ca="1" si="0"/>
        <v>45782</v>
      </c>
      <c r="B51" vm="148">
        <f ca="1"/>
        <v>45785</v>
      </c>
      <c r="C51" vm="149">
        <f ca="1"/>
        <v>137.04</v>
      </c>
      <c r="D51" vm="150">
        <f ca="1"/>
        <v>8669305</v>
      </c>
      <c r="E51">
        <f t="shared" ca="1" si="1"/>
        <v>1188041557.2</v>
      </c>
      <c r="F51">
        <f ca="1">SUM($E$2:E51)/SUM($D$2:D51)</f>
        <v>148.24666657760864</v>
      </c>
      <c r="G51">
        <f ca="1">_xlfn.STDEV.P($C$2:C51)</f>
        <v>12.122449495048434</v>
      </c>
      <c r="H51">
        <f t="shared" ca="1" si="2"/>
        <v>160.36911607265708</v>
      </c>
      <c r="I51">
        <f t="shared" ca="1" si="3"/>
        <v>136.12421708256019</v>
      </c>
      <c r="J51">
        <f t="shared" ca="1" si="12"/>
        <v>136.66799999999998</v>
      </c>
      <c r="K51">
        <f t="shared" ca="1" si="13"/>
        <v>1.7545927702671325</v>
      </c>
      <c r="L51">
        <f t="shared" ca="1" si="14"/>
        <v>140.17718554053425</v>
      </c>
      <c r="M51">
        <f t="shared" ca="1" si="15"/>
        <v>133.1588144594657</v>
      </c>
      <c r="N51">
        <f t="shared" ca="1" si="4"/>
        <v>1.25</v>
      </c>
      <c r="O51">
        <f t="shared" ca="1" si="5"/>
        <v>1.25</v>
      </c>
      <c r="P51">
        <f t="shared" ca="1" si="6"/>
        <v>0</v>
      </c>
      <c r="Q51">
        <f t="shared" ca="1" si="10"/>
        <v>0.88918654989761214</v>
      </c>
      <c r="R51">
        <f t="shared" ca="1" si="11"/>
        <v>1.2011630624402467</v>
      </c>
      <c r="S51">
        <f t="shared" ca="1" si="8"/>
        <v>0.74027130678757924</v>
      </c>
      <c r="T51">
        <f t="shared" ca="1" si="9"/>
        <v>42.537695352460247</v>
      </c>
      <c r="U51">
        <f>70</f>
        <v>70</v>
      </c>
      <c r="V51">
        <f>30</f>
        <v>30</v>
      </c>
      <c r="W51">
        <f t="shared" ca="1" si="7"/>
        <v>137.3579823883002</v>
      </c>
      <c r="X51">
        <f t="shared" ca="1" si="17"/>
        <v>140.73145427147006</v>
      </c>
      <c r="Y51">
        <f t="shared" ca="1" si="16"/>
        <v>-3.0332816777851974</v>
      </c>
      <c r="Z51">
        <f t="shared" ca="1" si="18"/>
        <v>-3.7512639747044338</v>
      </c>
      <c r="AA51">
        <f t="shared" ca="1" si="19"/>
        <v>0.71798229691923643</v>
      </c>
    </row>
    <row r="52" spans="1:27" x14ac:dyDescent="0.25">
      <c r="A52" s="20">
        <f t="shared" ca="1" si="0"/>
        <v>45782</v>
      </c>
      <c r="B52" vm="151">
        <f ca="1"/>
        <v>45786</v>
      </c>
      <c r="C52" vm="152">
        <f ca="1"/>
        <v>138.49</v>
      </c>
      <c r="D52" vm="153">
        <f ca="1"/>
        <v>5965723</v>
      </c>
      <c r="E52">
        <f t="shared" ca="1" si="1"/>
        <v>826192978.2700001</v>
      </c>
      <c r="F52">
        <f ca="1">SUM($E$2:E52)/SUM($D$2:D52)</f>
        <v>148.1351448552966</v>
      </c>
      <c r="G52">
        <f ca="1">_xlfn.STDEV.P($C$2:C52)</f>
        <v>12.093952441586737</v>
      </c>
      <c r="H52">
        <f t="shared" ca="1" si="2"/>
        <v>160.22909729688334</v>
      </c>
      <c r="I52">
        <f t="shared" ca="1" si="3"/>
        <v>136.04119241370987</v>
      </c>
      <c r="J52">
        <f t="shared" ca="1" si="12"/>
        <v>136.84350000000001</v>
      </c>
      <c r="K52">
        <f t="shared" ca="1" si="13"/>
        <v>1.7524066909614111</v>
      </c>
      <c r="L52">
        <f t="shared" ca="1" si="14"/>
        <v>140.34831338192282</v>
      </c>
      <c r="M52">
        <f t="shared" ca="1" si="15"/>
        <v>133.33868661807719</v>
      </c>
      <c r="N52">
        <f t="shared" ca="1" si="4"/>
        <v>1.4500000000000171</v>
      </c>
      <c r="O52">
        <f t="shared" ca="1" si="5"/>
        <v>1.4500000000000171</v>
      </c>
      <c r="P52">
        <f t="shared" ca="1" si="6"/>
        <v>0</v>
      </c>
      <c r="Q52">
        <f t="shared" ca="1" si="10"/>
        <v>0.92924465347635532</v>
      </c>
      <c r="R52">
        <f t="shared" ca="1" si="11"/>
        <v>1.1153657008373721</v>
      </c>
      <c r="S52">
        <f t="shared" ca="1" si="8"/>
        <v>0.83313002433077821</v>
      </c>
      <c r="T52">
        <f t="shared" ca="1" si="9"/>
        <v>45.448495920791515</v>
      </c>
      <c r="U52">
        <f>70</f>
        <v>70</v>
      </c>
      <c r="V52">
        <f>30</f>
        <v>30</v>
      </c>
      <c r="W52">
        <f t="shared" ca="1" si="7"/>
        <v>137.53213894394634</v>
      </c>
      <c r="X52">
        <f t="shared" ca="1" si="17"/>
        <v>140.56542062173153</v>
      </c>
      <c r="Y52">
        <f t="shared" ca="1" si="16"/>
        <v>-2.4824969678366813</v>
      </c>
      <c r="Z52">
        <f t="shared" ca="1" si="18"/>
        <v>-3.4975105733308833</v>
      </c>
      <c r="AA52">
        <f t="shared" ca="1" si="19"/>
        <v>1.0150136054942021</v>
      </c>
    </row>
    <row r="53" spans="1:27" x14ac:dyDescent="0.25">
      <c r="A53" s="20">
        <f t="shared" ca="1" si="0"/>
        <v>45789</v>
      </c>
      <c r="B53" vm="154">
        <f ca="1"/>
        <v>45789</v>
      </c>
      <c r="C53" vm="155">
        <f ca="1"/>
        <v>141.62</v>
      </c>
      <c r="D53" vm="156">
        <f ca="1"/>
        <v>8028200</v>
      </c>
      <c r="E53">
        <f t="shared" ca="1" si="1"/>
        <v>1136953684</v>
      </c>
      <c r="F53">
        <f ca="1">SUM($E$2:E53)/SUM($D$2:D53)</f>
        <v>148.03644700027505</v>
      </c>
      <c r="G53">
        <f ca="1">_xlfn.STDEV.P($C$2:C53)</f>
        <v>12.019416027803025</v>
      </c>
      <c r="H53">
        <f t="shared" ca="1" si="2"/>
        <v>160.05586302807808</v>
      </c>
      <c r="I53">
        <f t="shared" ca="1" si="3"/>
        <v>136.01703097247201</v>
      </c>
      <c r="J53">
        <f t="shared" ca="1" si="12"/>
        <v>137.14299999999997</v>
      </c>
      <c r="K53">
        <f t="shared" ca="1" si="13"/>
        <v>2.0247939466315574</v>
      </c>
      <c r="L53">
        <f t="shared" ca="1" si="14"/>
        <v>141.1925878932631</v>
      </c>
      <c r="M53">
        <f t="shared" ca="1" si="15"/>
        <v>133.09341210673685</v>
      </c>
      <c r="N53">
        <f t="shared" ca="1" si="4"/>
        <v>3.1299999999999955</v>
      </c>
      <c r="O53">
        <f t="shared" ca="1" si="5"/>
        <v>3.1299999999999955</v>
      </c>
      <c r="P53">
        <f t="shared" ca="1" si="6"/>
        <v>0</v>
      </c>
      <c r="Q53">
        <f t="shared" ca="1" si="10"/>
        <v>1.0864414639423297</v>
      </c>
      <c r="R53">
        <f t="shared" ca="1" si="11"/>
        <v>1.0356967222061313</v>
      </c>
      <c r="S53">
        <f t="shared" ca="1" si="8"/>
        <v>1.0489957539192625</v>
      </c>
      <c r="T53">
        <f t="shared" ca="1" si="9"/>
        <v>51.195604086185753</v>
      </c>
      <c r="U53">
        <f>70</f>
        <v>70</v>
      </c>
      <c r="V53">
        <f>30</f>
        <v>30</v>
      </c>
      <c r="W53">
        <f t="shared" ca="1" si="7"/>
        <v>138.16104064487769</v>
      </c>
      <c r="X53">
        <f t="shared" ca="1" si="17"/>
        <v>140.64353761271437</v>
      </c>
      <c r="Y53">
        <f t="shared" ca="1" si="16"/>
        <v>-1.9644463037136575</v>
      </c>
      <c r="Z53">
        <f t="shared" ca="1" si="18"/>
        <v>-3.1908977194074386</v>
      </c>
      <c r="AA53">
        <f t="shared" ca="1" si="19"/>
        <v>1.2264514156937811</v>
      </c>
    </row>
    <row r="54" spans="1:27" x14ac:dyDescent="0.25">
      <c r="A54" s="20">
        <f t="shared" ca="1" si="0"/>
        <v>45789</v>
      </c>
      <c r="B54" vm="157">
        <f ca="1"/>
        <v>45790</v>
      </c>
      <c r="C54" vm="158">
        <f ca="1"/>
        <v>142.35</v>
      </c>
      <c r="D54" vm="159">
        <f ca="1"/>
        <v>8536797</v>
      </c>
      <c r="E54">
        <f t="shared" ca="1" si="1"/>
        <v>1215213052.95</v>
      </c>
      <c r="F54">
        <f ca="1">SUM($E$2:E54)/SUM($D$2:D54)</f>
        <v>147.94629793322827</v>
      </c>
      <c r="G54">
        <f ca="1">_xlfn.STDEV.P($C$2:C54)</f>
        <v>11.937949242272374</v>
      </c>
      <c r="H54">
        <f t="shared" ca="1" si="2"/>
        <v>159.88424717550063</v>
      </c>
      <c r="I54">
        <f t="shared" ca="1" si="3"/>
        <v>136.0083486909559</v>
      </c>
      <c r="J54">
        <f t="shared" ca="1" si="12"/>
        <v>137.49449999999999</v>
      </c>
      <c r="K54">
        <f t="shared" ca="1" si="13"/>
        <v>2.2851292143587409</v>
      </c>
      <c r="L54">
        <f t="shared" ca="1" si="14"/>
        <v>142.06475842871748</v>
      </c>
      <c r="M54">
        <f t="shared" ca="1" si="15"/>
        <v>132.92424157128249</v>
      </c>
      <c r="N54">
        <f t="shared" ca="1" si="4"/>
        <v>0.72999999999998977</v>
      </c>
      <c r="O54">
        <f t="shared" ca="1" si="5"/>
        <v>0.72999999999998977</v>
      </c>
      <c r="P54">
        <f t="shared" ca="1" si="6"/>
        <v>0</v>
      </c>
      <c r="Q54">
        <f t="shared" ca="1" si="10"/>
        <v>1.0609813593750197</v>
      </c>
      <c r="R54">
        <f t="shared" ca="1" si="11"/>
        <v>0.96171838490569339</v>
      </c>
      <c r="S54">
        <f t="shared" ca="1" si="8"/>
        <v>1.1032141799795789</v>
      </c>
      <c r="T54">
        <f t="shared" ca="1" si="9"/>
        <v>52.453724897874672</v>
      </c>
      <c r="U54">
        <f>70</f>
        <v>70</v>
      </c>
      <c r="V54">
        <f>30</f>
        <v>30</v>
      </c>
      <c r="W54">
        <f t="shared" ca="1" si="7"/>
        <v>138.80549593028113</v>
      </c>
      <c r="X54">
        <f t="shared" ca="1" si="17"/>
        <v>140.76994223399478</v>
      </c>
      <c r="Y54">
        <f t="shared" ca="1" si="16"/>
        <v>-1.5904243155407585</v>
      </c>
      <c r="Z54">
        <f t="shared" ca="1" si="18"/>
        <v>-2.870803038634103</v>
      </c>
      <c r="AA54">
        <f t="shared" ca="1" si="19"/>
        <v>1.2803787230933446</v>
      </c>
    </row>
    <row r="55" spans="1:27" x14ac:dyDescent="0.25">
      <c r="A55" s="20">
        <f t="shared" ca="1" si="0"/>
        <v>45789</v>
      </c>
      <c r="B55" vm="160">
        <f ca="1"/>
        <v>45791</v>
      </c>
      <c r="C55" vm="161">
        <f ca="1"/>
        <v>141.66999999999999</v>
      </c>
      <c r="D55" vm="162">
        <f ca="1"/>
        <v>6453620</v>
      </c>
      <c r="E55">
        <f t="shared" ca="1" si="1"/>
        <v>914284345.39999998</v>
      </c>
      <c r="F55">
        <f ca="1">SUM($E$2:E55)/SUM($D$2:D55)</f>
        <v>147.87196893781632</v>
      </c>
      <c r="G55">
        <f ca="1">_xlfn.STDEV.P($C$2:C55)</f>
        <v>11.864749470884702</v>
      </c>
      <c r="H55">
        <f t="shared" ca="1" si="2"/>
        <v>159.73671840870102</v>
      </c>
      <c r="I55">
        <f t="shared" ca="1" si="3"/>
        <v>136.00721946693162</v>
      </c>
      <c r="J55">
        <f t="shared" ca="1" si="12"/>
        <v>137.851</v>
      </c>
      <c r="K55">
        <f t="shared" ca="1" si="13"/>
        <v>2.3550436357562012</v>
      </c>
      <c r="L55">
        <f t="shared" ca="1" si="14"/>
        <v>142.56108727151241</v>
      </c>
      <c r="M55">
        <f t="shared" ca="1" si="15"/>
        <v>133.14091272848759</v>
      </c>
      <c r="N55">
        <f t="shared" ca="1" si="4"/>
        <v>-0.68000000000000682</v>
      </c>
      <c r="O55">
        <f t="shared" ca="1" si="5"/>
        <v>0</v>
      </c>
      <c r="P55">
        <f t="shared" ca="1" si="6"/>
        <v>0.68000000000000682</v>
      </c>
      <c r="Q55">
        <f t="shared" ca="1" si="10"/>
        <v>0.98519697656251826</v>
      </c>
      <c r="R55">
        <f t="shared" ca="1" si="11"/>
        <v>0.94159564312671584</v>
      </c>
      <c r="S55">
        <f t="shared" ca="1" si="8"/>
        <v>1.0463057935262077</v>
      </c>
      <c r="T55">
        <f t="shared" ca="1" si="9"/>
        <v>51.131448527211887</v>
      </c>
      <c r="U55">
        <f>70</f>
        <v>70</v>
      </c>
      <c r="V55">
        <f>30</f>
        <v>30</v>
      </c>
      <c r="W55">
        <f t="shared" ca="1" si="7"/>
        <v>139.24618886408402</v>
      </c>
      <c r="X55">
        <f t="shared" ca="1" si="17"/>
        <v>140.83661317962478</v>
      </c>
      <c r="Y55">
        <f t="shared" ca="1" si="16"/>
        <v>-1.2321971246299199</v>
      </c>
      <c r="Z55">
        <f t="shared" ca="1" si="18"/>
        <v>-2.5430818558332664</v>
      </c>
      <c r="AA55">
        <f t="shared" ca="1" si="19"/>
        <v>1.3108847312033465</v>
      </c>
    </row>
    <row r="56" spans="1:27" x14ac:dyDescent="0.25">
      <c r="A56" s="20">
        <f t="shared" ca="1" si="0"/>
        <v>45789</v>
      </c>
      <c r="B56" vm="163">
        <f ca="1"/>
        <v>45792</v>
      </c>
      <c r="C56" vm="164">
        <f ca="1"/>
        <v>142.26</v>
      </c>
      <c r="D56" vm="165">
        <f ca="1"/>
        <v>7545407</v>
      </c>
      <c r="E56">
        <f t="shared" ca="1" si="1"/>
        <v>1073409599.8199999</v>
      </c>
      <c r="F56">
        <f ca="1">SUM($E$2:E56)/SUM($D$2:D56)</f>
        <v>147.79532512045861</v>
      </c>
      <c r="G56">
        <f ca="1">_xlfn.STDEV.P($C$2:C56)</f>
        <v>11.786528668339411</v>
      </c>
      <c r="H56">
        <f t="shared" ca="1" si="2"/>
        <v>159.58185378879801</v>
      </c>
      <c r="I56">
        <f t="shared" ca="1" si="3"/>
        <v>136.00879645211921</v>
      </c>
      <c r="J56">
        <f t="shared" ca="1" si="12"/>
        <v>138.196</v>
      </c>
      <c r="K56">
        <f t="shared" ca="1" si="13"/>
        <v>2.4733535725279636</v>
      </c>
      <c r="L56">
        <f t="shared" ca="1" si="14"/>
        <v>143.14270714505594</v>
      </c>
      <c r="M56">
        <f t="shared" ca="1" si="15"/>
        <v>133.24929285494406</v>
      </c>
      <c r="N56">
        <f t="shared" ca="1" si="4"/>
        <v>0.59000000000000341</v>
      </c>
      <c r="O56">
        <f t="shared" ca="1" si="5"/>
        <v>0.59000000000000341</v>
      </c>
      <c r="P56">
        <f t="shared" ca="1" si="6"/>
        <v>0</v>
      </c>
      <c r="Q56">
        <f t="shared" ca="1" si="10"/>
        <v>0.95696862109376724</v>
      </c>
      <c r="R56">
        <f t="shared" ca="1" si="11"/>
        <v>0.87433881147480752</v>
      </c>
      <c r="S56">
        <f t="shared" ca="1" si="8"/>
        <v>1.0945054806380863</v>
      </c>
      <c r="T56">
        <f t="shared" ca="1" si="9"/>
        <v>52.256033262068513</v>
      </c>
      <c r="U56">
        <f>70</f>
        <v>70</v>
      </c>
      <c r="V56">
        <f>30</f>
        <v>30</v>
      </c>
      <c r="W56">
        <f t="shared" ca="1" si="7"/>
        <v>139.7098521157634</v>
      </c>
      <c r="X56">
        <f t="shared" ca="1" si="17"/>
        <v>140.94204924039332</v>
      </c>
      <c r="Y56">
        <f t="shared" ca="1" si="16"/>
        <v>-0.95025619585783261</v>
      </c>
      <c r="Z56">
        <f t="shared" ca="1" si="18"/>
        <v>-2.2245167238381796</v>
      </c>
      <c r="AA56">
        <f t="shared" ca="1" si="19"/>
        <v>1.2742605279803469</v>
      </c>
    </row>
    <row r="57" spans="1:27" x14ac:dyDescent="0.25">
      <c r="A57" s="20">
        <f t="shared" ca="1" si="0"/>
        <v>45789</v>
      </c>
      <c r="B57" vm="166">
        <f ca="1"/>
        <v>45793</v>
      </c>
      <c r="C57" vm="167">
        <f ca="1"/>
        <v>142.1</v>
      </c>
      <c r="D57" vm="168">
        <f ca="1"/>
        <v>8200079</v>
      </c>
      <c r="E57">
        <f t="shared" ca="1" si="1"/>
        <v>1165231225.8999999</v>
      </c>
      <c r="F57">
        <f ca="1">SUM($E$2:E57)/SUM($D$2:D57)</f>
        <v>147.71203044263279</v>
      </c>
      <c r="G57">
        <f ca="1">_xlfn.STDEV.P($C$2:C57)</f>
        <v>11.711046458441954</v>
      </c>
      <c r="H57">
        <f t="shared" ca="1" si="2"/>
        <v>159.42307690107475</v>
      </c>
      <c r="I57">
        <f t="shared" ca="1" si="3"/>
        <v>136.00098398419084</v>
      </c>
      <c r="J57">
        <f t="shared" ca="1" si="12"/>
        <v>138.40749999999997</v>
      </c>
      <c r="K57">
        <f t="shared" ca="1" si="13"/>
        <v>2.62048985979018</v>
      </c>
      <c r="L57">
        <f t="shared" ca="1" si="14"/>
        <v>143.64847971958034</v>
      </c>
      <c r="M57">
        <f t="shared" ca="1" si="15"/>
        <v>133.1665202804196</v>
      </c>
      <c r="N57">
        <f t="shared" ca="1" si="4"/>
        <v>-0.15999999999999659</v>
      </c>
      <c r="O57">
        <f t="shared" ca="1" si="5"/>
        <v>0</v>
      </c>
      <c r="P57">
        <f t="shared" ca="1" si="6"/>
        <v>0.15999999999999659</v>
      </c>
      <c r="Q57">
        <f t="shared" ca="1" si="10"/>
        <v>0.88861371958706958</v>
      </c>
      <c r="R57">
        <f t="shared" ca="1" si="11"/>
        <v>0.82331461065517808</v>
      </c>
      <c r="S57">
        <f t="shared" ca="1" si="8"/>
        <v>1.0793124621946497</v>
      </c>
      <c r="T57">
        <f t="shared" ca="1" si="9"/>
        <v>51.907179984650739</v>
      </c>
      <c r="U57">
        <f>70</f>
        <v>70</v>
      </c>
      <c r="V57">
        <f>30</f>
        <v>30</v>
      </c>
      <c r="W57">
        <f t="shared" ca="1" si="7"/>
        <v>140.07756717487672</v>
      </c>
      <c r="X57">
        <f t="shared" ca="1" si="17"/>
        <v>141.02782337073455</v>
      </c>
      <c r="Y57">
        <f t="shared" ca="1" si="16"/>
        <v>-1.0065103833343017</v>
      </c>
      <c r="Z57">
        <f t="shared" ca="1" si="18"/>
        <v>-1.980915455737404</v>
      </c>
      <c r="AA57">
        <f t="shared" ca="1" si="19"/>
        <v>0.97440507240310237</v>
      </c>
    </row>
    <row r="58" spans="1:27" x14ac:dyDescent="0.25">
      <c r="A58" s="20">
        <f t="shared" ca="1" si="0"/>
        <v>45796</v>
      </c>
      <c r="B58" vm="169">
        <f ca="1"/>
        <v>45796</v>
      </c>
      <c r="C58" vm="152">
        <f ca="1"/>
        <v>138.49</v>
      </c>
      <c r="D58" vm="170">
        <f ca="1"/>
        <v>7713568</v>
      </c>
      <c r="E58">
        <f t="shared" ca="1" si="1"/>
        <v>1068252032.3200001</v>
      </c>
      <c r="F58">
        <f ca="1">SUM($E$2:E58)/SUM($D$2:D58)</f>
        <v>147.58688111326902</v>
      </c>
      <c r="G58">
        <f ca="1">_xlfn.STDEV.P($C$2:C58)</f>
        <v>11.679619299735981</v>
      </c>
      <c r="H58">
        <f t="shared" ca="1" si="2"/>
        <v>159.26650041300499</v>
      </c>
      <c r="I58">
        <f t="shared" ca="1" si="3"/>
        <v>135.90726181353304</v>
      </c>
      <c r="J58">
        <f t="shared" ca="1" si="12"/>
        <v>138.6455</v>
      </c>
      <c r="K58">
        <f t="shared" ca="1" si="13"/>
        <v>2.3782710991501004</v>
      </c>
      <c r="L58">
        <f t="shared" ca="1" si="14"/>
        <v>143.40204219830019</v>
      </c>
      <c r="M58">
        <f t="shared" ca="1" si="15"/>
        <v>133.8889578016998</v>
      </c>
      <c r="N58">
        <f t="shared" ca="1" si="4"/>
        <v>-3.6099999999999852</v>
      </c>
      <c r="O58">
        <f t="shared" ca="1" si="5"/>
        <v>0</v>
      </c>
      <c r="P58">
        <f t="shared" ca="1" si="6"/>
        <v>3.6099999999999852</v>
      </c>
      <c r="Q58">
        <f t="shared" ca="1" si="10"/>
        <v>0.82514131104513599</v>
      </c>
      <c r="R58">
        <f t="shared" ca="1" si="11"/>
        <v>1.02236356703695</v>
      </c>
      <c r="S58">
        <f t="shared" ca="1" si="8"/>
        <v>0.8070918581699752</v>
      </c>
      <c r="T58">
        <f t="shared" ca="1" si="9"/>
        <v>44.662469952540739</v>
      </c>
      <c r="U58">
        <f>70</f>
        <v>70</v>
      </c>
      <c r="V58">
        <f>30</f>
        <v>30</v>
      </c>
      <c r="W58">
        <f t="shared" ca="1" si="7"/>
        <v>139.83332607104953</v>
      </c>
      <c r="X58">
        <f t="shared" ca="1" si="17"/>
        <v>140.83983645438383</v>
      </c>
      <c r="Y58">
        <f t="shared" ca="1" si="16"/>
        <v>-1.1364359104645132</v>
      </c>
      <c r="Z58">
        <f t="shared" ca="1" si="18"/>
        <v>-1.8120195466828259</v>
      </c>
      <c r="AA58">
        <f t="shared" ca="1" si="19"/>
        <v>0.67558363621831274</v>
      </c>
    </row>
    <row r="59" spans="1:27" x14ac:dyDescent="0.25">
      <c r="A59" s="20">
        <f t="shared" ca="1" si="0"/>
        <v>45796</v>
      </c>
      <c r="B59" vm="171">
        <f ca="1"/>
        <v>45797</v>
      </c>
      <c r="C59" vm="172">
        <f ca="1"/>
        <v>137.27000000000001</v>
      </c>
      <c r="D59" vm="173">
        <f ca="1"/>
        <v>6503930</v>
      </c>
      <c r="E59">
        <f t="shared" ca="1" si="1"/>
        <v>892794471.10000002</v>
      </c>
      <c r="F59">
        <f ca="1">SUM($E$2:E59)/SUM($D$2:D59)</f>
        <v>147.4701652919095</v>
      </c>
      <c r="G59">
        <f ca="1">_xlfn.STDEV.P($C$2:C59)</f>
        <v>11.665002492287149</v>
      </c>
      <c r="H59">
        <f t="shared" ca="1" si="2"/>
        <v>159.13516778419665</v>
      </c>
      <c r="I59">
        <f t="shared" ca="1" si="3"/>
        <v>135.80516279962234</v>
      </c>
      <c r="J59">
        <f t="shared" ca="1" si="12"/>
        <v>138.64399999999998</v>
      </c>
      <c r="K59">
        <f t="shared" ca="1" si="13"/>
        <v>2.3791736734465281</v>
      </c>
      <c r="L59">
        <f t="shared" ca="1" si="14"/>
        <v>143.40234734689304</v>
      </c>
      <c r="M59">
        <f t="shared" ca="1" si="15"/>
        <v>133.88565265310692</v>
      </c>
      <c r="N59">
        <f t="shared" ca="1" si="4"/>
        <v>-1.2199999999999989</v>
      </c>
      <c r="O59">
        <f t="shared" ca="1" si="5"/>
        <v>0</v>
      </c>
      <c r="P59">
        <f t="shared" ca="1" si="6"/>
        <v>1.2199999999999989</v>
      </c>
      <c r="Q59">
        <f t="shared" ca="1" si="10"/>
        <v>0.76620264597048338</v>
      </c>
      <c r="R59">
        <f t="shared" ca="1" si="11"/>
        <v>1.0364804551057392</v>
      </c>
      <c r="S59">
        <f t="shared" ca="1" si="8"/>
        <v>0.73923501615118958</v>
      </c>
      <c r="T59">
        <f t="shared" ca="1" si="9"/>
        <v>42.503457513583591</v>
      </c>
      <c r="U59">
        <f>70</f>
        <v>70</v>
      </c>
      <c r="V59">
        <f>30</f>
        <v>30</v>
      </c>
      <c r="W59">
        <f t="shared" ca="1" si="7"/>
        <v>139.43896821396498</v>
      </c>
      <c r="X59">
        <f t="shared" ca="1" si="17"/>
        <v>140.5754041244295</v>
      </c>
      <c r="Y59">
        <f t="shared" ca="1" si="16"/>
        <v>-1.3616888344500921</v>
      </c>
      <c r="Z59">
        <f t="shared" ca="1" si="18"/>
        <v>-1.7219534042362792</v>
      </c>
      <c r="AA59">
        <f t="shared" ca="1" si="19"/>
        <v>0.36026456978618704</v>
      </c>
    </row>
    <row r="60" spans="1:27" x14ac:dyDescent="0.25">
      <c r="A60" s="20">
        <f t="shared" ca="1" si="0"/>
        <v>45796</v>
      </c>
      <c r="B60" vm="174">
        <f ca="1"/>
        <v>45798</v>
      </c>
      <c r="C60" vm="175">
        <f ca="1"/>
        <v>135.56</v>
      </c>
      <c r="D60" vm="176">
        <f ca="1"/>
        <v>9073206</v>
      </c>
      <c r="E60">
        <f t="shared" ca="1" si="1"/>
        <v>1229963805.3600001</v>
      </c>
      <c r="F60">
        <f ca="1">SUM($E$2:E60)/SUM($D$2:D60)</f>
        <v>147.28511770391088</v>
      </c>
      <c r="G60">
        <f ca="1">_xlfn.STDEV.P($C$2:C60)</f>
        <v>11.676231885204162</v>
      </c>
      <c r="H60">
        <f t="shared" ca="1" si="2"/>
        <v>158.96134958911506</v>
      </c>
      <c r="I60">
        <f t="shared" ca="1" si="3"/>
        <v>135.60888581870671</v>
      </c>
      <c r="J60">
        <f t="shared" ca="1" si="12"/>
        <v>138.58800000000002</v>
      </c>
      <c r="K60">
        <f t="shared" ca="1" si="13"/>
        <v>2.4402320855973803</v>
      </c>
      <c r="L60">
        <f t="shared" ca="1" si="14"/>
        <v>143.4684641711948</v>
      </c>
      <c r="M60">
        <f t="shared" ca="1" si="15"/>
        <v>133.70753582880525</v>
      </c>
      <c r="N60">
        <f t="shared" ca="1" si="4"/>
        <v>-1.710000000000008</v>
      </c>
      <c r="O60">
        <f t="shared" ca="1" si="5"/>
        <v>0</v>
      </c>
      <c r="P60">
        <f t="shared" ca="1" si="6"/>
        <v>1.710000000000008</v>
      </c>
      <c r="Q60">
        <f t="shared" ca="1" si="10"/>
        <v>0.71147388554402025</v>
      </c>
      <c r="R60">
        <f t="shared" ca="1" si="11"/>
        <v>1.0845889940267583</v>
      </c>
      <c r="S60">
        <f t="shared" ca="1" si="8"/>
        <v>0.65598479190031977</v>
      </c>
      <c r="T60">
        <f t="shared" ca="1" si="9"/>
        <v>39.612971997620015</v>
      </c>
      <c r="U60">
        <f>70</f>
        <v>70</v>
      </c>
      <c r="V60">
        <f>30</f>
        <v>30</v>
      </c>
      <c r="W60">
        <f t="shared" ca="1" si="7"/>
        <v>138.84220387335498</v>
      </c>
      <c r="X60">
        <f t="shared" ca="1" si="17"/>
        <v>140.20389270780507</v>
      </c>
      <c r="Y60">
        <f t="shared" ca="1" si="16"/>
        <v>-1.5441896856131621</v>
      </c>
      <c r="Z60">
        <f t="shared" ca="1" si="18"/>
        <v>-1.6864006605116559</v>
      </c>
      <c r="AA60">
        <f t="shared" ca="1" si="19"/>
        <v>0.14221097489849388</v>
      </c>
    </row>
    <row r="61" spans="1:27" x14ac:dyDescent="0.25">
      <c r="A61" s="20">
        <f t="shared" ca="1" si="0"/>
        <v>45796</v>
      </c>
      <c r="B61" vm="177">
        <f ca="1"/>
        <v>45799</v>
      </c>
      <c r="C61" vm="178">
        <f ca="1"/>
        <v>135.29</v>
      </c>
      <c r="D61" vm="179">
        <f ca="1"/>
        <v>8877579</v>
      </c>
      <c r="E61">
        <f t="shared" ca="1" si="1"/>
        <v>1201047662.9099998</v>
      </c>
      <c r="F61">
        <f ca="1">SUM($E$2:E61)/SUM($D$2:D61)</f>
        <v>147.10549903105365</v>
      </c>
      <c r="G61">
        <f ca="1">_xlfn.STDEV.P($C$2:C61)</f>
        <v>11.688147253616473</v>
      </c>
      <c r="H61">
        <f t="shared" ca="1" si="2"/>
        <v>158.79364628467013</v>
      </c>
      <c r="I61">
        <f t="shared" ca="1" si="3"/>
        <v>135.41735177743718</v>
      </c>
      <c r="J61">
        <f t="shared" ca="1" si="12"/>
        <v>138.39899999999997</v>
      </c>
      <c r="K61">
        <f t="shared" ca="1" si="13"/>
        <v>2.5450672620622519</v>
      </c>
      <c r="L61">
        <f t="shared" ca="1" si="14"/>
        <v>143.48913452412447</v>
      </c>
      <c r="M61">
        <f t="shared" ca="1" si="15"/>
        <v>133.30886547587548</v>
      </c>
      <c r="N61">
        <f t="shared" ca="1" si="4"/>
        <v>-0.27000000000001023</v>
      </c>
      <c r="O61">
        <f t="shared" ca="1" si="5"/>
        <v>0</v>
      </c>
      <c r="P61">
        <f t="shared" ca="1" si="6"/>
        <v>0.27000000000001023</v>
      </c>
      <c r="Q61">
        <f t="shared" ca="1" si="10"/>
        <v>0.66065432229087595</v>
      </c>
      <c r="R61">
        <f t="shared" ca="1" si="11"/>
        <v>1.0264040658819906</v>
      </c>
      <c r="S61">
        <f t="shared" ca="1" si="8"/>
        <v>0.64365910488007927</v>
      </c>
      <c r="T61">
        <f t="shared" ca="1" si="9"/>
        <v>39.160133811751699</v>
      </c>
      <c r="U61">
        <f>70</f>
        <v>70</v>
      </c>
      <c r="V61">
        <f>30</f>
        <v>30</v>
      </c>
      <c r="W61">
        <f t="shared" ca="1" si="7"/>
        <v>138.2957109697619</v>
      </c>
      <c r="X61">
        <f t="shared" ca="1" si="17"/>
        <v>139.83990065537506</v>
      </c>
      <c r="Y61">
        <f t="shared" ca="1" si="16"/>
        <v>-1.5698619799931919</v>
      </c>
      <c r="Z61">
        <f t="shared" ca="1" si="18"/>
        <v>-1.6630929244079633</v>
      </c>
      <c r="AA61">
        <f t="shared" ca="1" si="19"/>
        <v>9.3230944414771422E-2</v>
      </c>
    </row>
    <row r="62" spans="1:27" x14ac:dyDescent="0.25">
      <c r="A62" s="20">
        <f t="shared" ca="1" si="0"/>
        <v>45796</v>
      </c>
      <c r="B62" vm="180">
        <f ca="1"/>
        <v>45800</v>
      </c>
      <c r="C62" vm="181">
        <f ca="1"/>
        <v>136.54</v>
      </c>
      <c r="D62" vm="182">
        <f ca="1"/>
        <v>7025946</v>
      </c>
      <c r="E62">
        <f t="shared" ca="1" si="1"/>
        <v>959322666.83999991</v>
      </c>
      <c r="F62">
        <f ca="1">SUM($E$2:E62)/SUM($D$2:D62)</f>
        <v>146.98175317787008</v>
      </c>
      <c r="G62">
        <f ca="1">_xlfn.STDEV.P($C$2:C62)</f>
        <v>11.67606416974929</v>
      </c>
      <c r="H62">
        <f t="shared" ca="1" si="2"/>
        <v>158.65781734761936</v>
      </c>
      <c r="I62">
        <f t="shared" ca="1" si="3"/>
        <v>135.30568900812079</v>
      </c>
      <c r="J62">
        <f t="shared" ca="1" si="12"/>
        <v>138.2895</v>
      </c>
      <c r="K62">
        <f t="shared" ca="1" si="13"/>
        <v>2.5769881951407414</v>
      </c>
      <c r="L62">
        <f t="shared" ca="1" si="14"/>
        <v>143.44347639028149</v>
      </c>
      <c r="M62">
        <f t="shared" ca="1" si="15"/>
        <v>133.13552360971852</v>
      </c>
      <c r="N62">
        <f t="shared" ca="1" si="4"/>
        <v>1.25</v>
      </c>
      <c r="O62">
        <f t="shared" ca="1" si="5"/>
        <v>1.25</v>
      </c>
      <c r="P62">
        <f t="shared" ca="1" si="6"/>
        <v>0</v>
      </c>
      <c r="Q62">
        <f t="shared" ca="1" si="10"/>
        <v>0.70275044212724203</v>
      </c>
      <c r="R62">
        <f t="shared" ca="1" si="11"/>
        <v>0.95308948974756269</v>
      </c>
      <c r="S62">
        <f t="shared" ca="1" si="8"/>
        <v>0.73733941008348969</v>
      </c>
      <c r="T62">
        <f t="shared" ca="1" si="9"/>
        <v>42.440723200313293</v>
      </c>
      <c r="U62">
        <f>70</f>
        <v>70</v>
      </c>
      <c r="V62">
        <f>30</f>
        <v>30</v>
      </c>
      <c r="W62">
        <f t="shared" ca="1" si="7"/>
        <v>138.02560158979853</v>
      </c>
      <c r="X62">
        <f t="shared" ca="1" si="17"/>
        <v>139.59546356979172</v>
      </c>
      <c r="Y62">
        <f t="shared" ca="1" si="16"/>
        <v>-1.4691794530260722</v>
      </c>
      <c r="Z62">
        <f t="shared" ca="1" si="18"/>
        <v>-1.6243102301315853</v>
      </c>
      <c r="AA62">
        <f t="shared" ca="1" si="19"/>
        <v>0.15513077710551304</v>
      </c>
    </row>
    <row r="63" spans="1:27" x14ac:dyDescent="0.25">
      <c r="A63" s="20">
        <f t="shared" ca="1" si="0"/>
        <v>45803</v>
      </c>
      <c r="B63" vm="183">
        <f ca="1"/>
        <v>45804</v>
      </c>
      <c r="C63" vm="184">
        <f ca="1"/>
        <v>137.83000000000001</v>
      </c>
      <c r="D63" vm="185">
        <f ca="1"/>
        <v>8348877</v>
      </c>
      <c r="E63">
        <f t="shared" ca="1" si="1"/>
        <v>1150725716.9100001</v>
      </c>
      <c r="F63">
        <f ca="1">SUM($E$2:E63)/SUM($D$2:D63)</f>
        <v>146.85613122564877</v>
      </c>
      <c r="G63">
        <f ca="1">_xlfn.STDEV.P($C$2:C63)</f>
        <v>11.643791668407406</v>
      </c>
      <c r="H63">
        <f t="shared" ca="1" si="2"/>
        <v>158.49992289405617</v>
      </c>
      <c r="I63">
        <f t="shared" ca="1" si="3"/>
        <v>135.21233955724136</v>
      </c>
      <c r="J63">
        <f t="shared" ca="1" si="12"/>
        <v>138.17599999999999</v>
      </c>
      <c r="K63">
        <f t="shared" ca="1" si="13"/>
        <v>2.5428131955313624</v>
      </c>
      <c r="L63">
        <f t="shared" ca="1" si="14"/>
        <v>143.26162639106272</v>
      </c>
      <c r="M63">
        <f t="shared" ca="1" si="15"/>
        <v>133.09037360893726</v>
      </c>
      <c r="N63">
        <f t="shared" ca="1" si="4"/>
        <v>1.2900000000000205</v>
      </c>
      <c r="O63">
        <f t="shared" ca="1" si="5"/>
        <v>1.2900000000000205</v>
      </c>
      <c r="P63">
        <f t="shared" ca="1" si="6"/>
        <v>0</v>
      </c>
      <c r="Q63">
        <f t="shared" ca="1" si="10"/>
        <v>0.74469683911815476</v>
      </c>
      <c r="R63">
        <f t="shared" ca="1" si="11"/>
        <v>0.88501166905130824</v>
      </c>
      <c r="S63">
        <f t="shared" ca="1" si="8"/>
        <v>0.8414542600510968</v>
      </c>
      <c r="T63">
        <f t="shared" ca="1" si="9"/>
        <v>45.695094269012586</v>
      </c>
      <c r="U63">
        <f>70</f>
        <v>70</v>
      </c>
      <c r="V63">
        <f>30</f>
        <v>30</v>
      </c>
      <c r="W63">
        <f t="shared" ca="1" si="7"/>
        <v>137.99550903752183</v>
      </c>
      <c r="X63">
        <f t="shared" ca="1" si="17"/>
        <v>139.4646884905479</v>
      </c>
      <c r="Y63">
        <f t="shared" ca="1" si="16"/>
        <v>-1.5179418099261568</v>
      </c>
      <c r="Z63">
        <f t="shared" ca="1" si="18"/>
        <v>-1.6030365460904996</v>
      </c>
      <c r="AA63">
        <f t="shared" ca="1" si="19"/>
        <v>8.5094736164342821E-2</v>
      </c>
    </row>
    <row r="64" spans="1:27" x14ac:dyDescent="0.25">
      <c r="A64" s="20">
        <f t="shared" ca="1" si="0"/>
        <v>45803</v>
      </c>
      <c r="B64" vm="186">
        <f ca="1"/>
        <v>45805</v>
      </c>
      <c r="C64" vm="187">
        <f ca="1"/>
        <v>136.02000000000001</v>
      </c>
      <c r="D64" vm="188">
        <f ca="1"/>
        <v>6876282</v>
      </c>
      <c r="E64">
        <f t="shared" ca="1" si="1"/>
        <v>935311877.6400001</v>
      </c>
      <c r="F64">
        <f ca="1">SUM($E$2:E64)/SUM($D$2:D64)</f>
        <v>146.73499367870386</v>
      </c>
      <c r="G64">
        <f ca="1">_xlfn.STDEV.P($C$2:C64)</f>
        <v>11.635562738080028</v>
      </c>
      <c r="H64">
        <f t="shared" ca="1" si="2"/>
        <v>158.3705564167839</v>
      </c>
      <c r="I64">
        <f t="shared" ca="1" si="3"/>
        <v>135.09943094062382</v>
      </c>
      <c r="J64">
        <f t="shared" ca="1" si="12"/>
        <v>138.01199999999997</v>
      </c>
      <c r="K64">
        <f t="shared" ca="1" si="13"/>
        <v>2.5721086986934925</v>
      </c>
      <c r="L64">
        <f t="shared" ca="1" si="14"/>
        <v>143.15621739738697</v>
      </c>
      <c r="M64">
        <f t="shared" ca="1" si="15"/>
        <v>132.86778260261298</v>
      </c>
      <c r="N64">
        <f t="shared" ca="1" si="4"/>
        <v>-1.8100000000000023</v>
      </c>
      <c r="O64">
        <f t="shared" ca="1" si="5"/>
        <v>0</v>
      </c>
      <c r="P64">
        <f t="shared" ca="1" si="6"/>
        <v>1.8100000000000023</v>
      </c>
      <c r="Q64">
        <f t="shared" ca="1" si="10"/>
        <v>0.69150420775257238</v>
      </c>
      <c r="R64">
        <f t="shared" ca="1" si="11"/>
        <v>0.95108226411907204</v>
      </c>
      <c r="S64">
        <f t="shared" ca="1" si="8"/>
        <v>0.72707086846275015</v>
      </c>
      <c r="T64">
        <f t="shared" ca="1" si="9"/>
        <v>42.098496462389477</v>
      </c>
      <c r="U64">
        <f>70</f>
        <v>70</v>
      </c>
      <c r="V64">
        <f>30</f>
        <v>30</v>
      </c>
      <c r="W64">
        <f t="shared" ca="1" si="7"/>
        <v>137.69158457021078</v>
      </c>
      <c r="X64">
        <f t="shared" ca="1" si="17"/>
        <v>139.20952638013694</v>
      </c>
      <c r="Y64">
        <f t="shared" ca="1" si="16"/>
        <v>-1.3880782227689679</v>
      </c>
      <c r="Z64">
        <f t="shared" ca="1" si="18"/>
        <v>-1.5600448814261934</v>
      </c>
      <c r="AA64">
        <f t="shared" ca="1" si="19"/>
        <v>0.17196665865722549</v>
      </c>
    </row>
    <row r="65" spans="1:27" x14ac:dyDescent="0.25">
      <c r="A65" s="20">
        <f t="shared" ca="1" si="0"/>
        <v>45803</v>
      </c>
      <c r="B65" vm="189">
        <f ca="1"/>
        <v>45806</v>
      </c>
      <c r="C65" vm="190">
        <f ca="1"/>
        <v>137.91</v>
      </c>
      <c r="D65" vm="191">
        <f ca="1"/>
        <v>7556199</v>
      </c>
      <c r="E65">
        <f t="shared" ca="1" si="1"/>
        <v>1042075404.09</v>
      </c>
      <c r="F65">
        <f ca="1">SUM($E$2:E65)/SUM($D$2:D65)</f>
        <v>146.62789944624464</v>
      </c>
      <c r="G65">
        <f ca="1">_xlfn.STDEV.P($C$2:C65)</f>
        <v>11.599758277216113</v>
      </c>
      <c r="H65">
        <f t="shared" ca="1" si="2"/>
        <v>158.22765772346077</v>
      </c>
      <c r="I65">
        <f t="shared" ca="1" si="3"/>
        <v>135.02814116902852</v>
      </c>
      <c r="J65">
        <f t="shared" ca="1" si="12"/>
        <v>138.10449999999997</v>
      </c>
      <c r="K65">
        <f t="shared" ca="1" si="13"/>
        <v>2.5311542509505931</v>
      </c>
      <c r="L65">
        <f t="shared" ca="1" si="14"/>
        <v>143.16680850190116</v>
      </c>
      <c r="M65">
        <f t="shared" ca="1" si="15"/>
        <v>133.04219149809879</v>
      </c>
      <c r="N65">
        <f t="shared" ca="1" si="4"/>
        <v>1.8899999999999864</v>
      </c>
      <c r="O65">
        <f t="shared" ca="1" si="5"/>
        <v>1.8899999999999864</v>
      </c>
      <c r="P65">
        <f t="shared" ca="1" si="6"/>
        <v>0</v>
      </c>
      <c r="Q65">
        <f t="shared" ca="1" si="10"/>
        <v>0.77711105005595904</v>
      </c>
      <c r="R65">
        <f t="shared" ca="1" si="11"/>
        <v>0.88314781668199538</v>
      </c>
      <c r="S65">
        <f t="shared" ca="1" si="8"/>
        <v>0.87993316110499076</v>
      </c>
      <c r="T65">
        <f t="shared" ca="1" si="9"/>
        <v>46.806619475119099</v>
      </c>
      <c r="U65">
        <f>70</f>
        <v>70</v>
      </c>
      <c r="V65">
        <f>30</f>
        <v>30</v>
      </c>
      <c r="W65">
        <f t="shared" ca="1" si="7"/>
        <v>137.7251869440245</v>
      </c>
      <c r="X65">
        <f t="shared" ca="1" si="17"/>
        <v>139.11326516679347</v>
      </c>
      <c r="Y65">
        <f t="shared" ca="1" si="16"/>
        <v>-1.3670389083549992</v>
      </c>
      <c r="Z65">
        <f t="shared" ca="1" si="18"/>
        <v>-1.5214436868119547</v>
      </c>
      <c r="AA65">
        <f t="shared" ca="1" si="19"/>
        <v>0.15440477845695555</v>
      </c>
    </row>
    <row r="66" spans="1:27" x14ac:dyDescent="0.25">
      <c r="A66" s="20">
        <f t="shared" ca="1" si="0"/>
        <v>45803</v>
      </c>
      <c r="B66" vm="192">
        <f ca="1"/>
        <v>45807</v>
      </c>
      <c r="C66" vm="193">
        <f ca="1"/>
        <v>136.69999999999999</v>
      </c>
      <c r="D66" vm="194">
        <f ca="1"/>
        <v>12858865</v>
      </c>
      <c r="E66">
        <f t="shared" ca="1" si="1"/>
        <v>1757806845.4999998</v>
      </c>
      <c r="F66">
        <f ca="1">SUM($E$2:E66)/SUM($D$2:D66)</f>
        <v>146.42702215901883</v>
      </c>
      <c r="G66">
        <f ca="1">_xlfn.STDEV.P($C$2:C66)</f>
        <v>11.578471017392223</v>
      </c>
      <c r="H66">
        <f t="shared" ca="1" si="2"/>
        <v>158.00549317641105</v>
      </c>
      <c r="I66">
        <f t="shared" ca="1" si="3"/>
        <v>134.84855114162661</v>
      </c>
      <c r="J66">
        <f t="shared" ca="1" si="12"/>
        <v>138.12649999999996</v>
      </c>
      <c r="K66">
        <f t="shared" ca="1" si="13"/>
        <v>2.516146332871172</v>
      </c>
      <c r="L66">
        <f t="shared" ca="1" si="14"/>
        <v>143.15879266574231</v>
      </c>
      <c r="M66">
        <f t="shared" ca="1" si="15"/>
        <v>133.09420733425762</v>
      </c>
      <c r="N66">
        <f t="shared" ca="1" si="4"/>
        <v>-1.210000000000008</v>
      </c>
      <c r="O66">
        <f t="shared" ca="1" si="5"/>
        <v>0</v>
      </c>
      <c r="P66">
        <f t="shared" ca="1" si="6"/>
        <v>1.210000000000008</v>
      </c>
      <c r="Q66">
        <f t="shared" ca="1" si="10"/>
        <v>0.72160311790910481</v>
      </c>
      <c r="R66">
        <f t="shared" ca="1" si="11"/>
        <v>0.90649440120471059</v>
      </c>
      <c r="S66">
        <f t="shared" ca="1" si="8"/>
        <v>0.79603703779097867</v>
      </c>
      <c r="T66">
        <f t="shared" ca="1" si="9"/>
        <v>44.321860910510956</v>
      </c>
      <c r="U66">
        <f>70</f>
        <v>70</v>
      </c>
      <c r="V66">
        <f>30</f>
        <v>30</v>
      </c>
      <c r="W66">
        <f t="shared" ca="1" si="7"/>
        <v>137.56746587571303</v>
      </c>
      <c r="X66">
        <f t="shared" ca="1" si="17"/>
        <v>138.93450478406803</v>
      </c>
      <c r="Y66">
        <f t="shared" ca="1" si="16"/>
        <v>-1.2440361530921678</v>
      </c>
      <c r="Z66">
        <f t="shared" ca="1" si="18"/>
        <v>-1.4659621800679976</v>
      </c>
      <c r="AA66">
        <f t="shared" ca="1" si="19"/>
        <v>0.22192602697582986</v>
      </c>
    </row>
    <row r="67" spans="1:27" x14ac:dyDescent="0.25">
      <c r="A67" s="20">
        <f t="shared" ref="A67:A130" ca="1" si="20">B67 - WEEKDAY(B67, 2) + 1</f>
        <v>45810</v>
      </c>
      <c r="B67" vm="195">
        <f ca="1"/>
        <v>45810</v>
      </c>
      <c r="C67" vm="196">
        <f ca="1"/>
        <v>137.84</v>
      </c>
      <c r="D67" vm="197">
        <f ca="1"/>
        <v>9076639</v>
      </c>
      <c r="E67">
        <f t="shared" ref="E67:E130" ca="1" si="21">C67*D67</f>
        <v>1251123919.76</v>
      </c>
      <c r="F67">
        <f ca="1">SUM($E$2:E67)/SUM($D$2:D67)</f>
        <v>146.30610730396927</v>
      </c>
      <c r="G67">
        <f ca="1">_xlfn.STDEV.P($C$2:C67)</f>
        <v>11.5417988684734</v>
      </c>
      <c r="H67">
        <f t="shared" ref="H67:H130" ca="1" si="22">F67 + G67</f>
        <v>157.84790617244266</v>
      </c>
      <c r="I67">
        <f t="shared" ref="I67:I130" ca="1" si="23">F67 - G67</f>
        <v>134.76430843549588</v>
      </c>
      <c r="J67">
        <f t="shared" ca="1" si="12"/>
        <v>138.09349999999998</v>
      </c>
      <c r="K67">
        <f t="shared" ca="1" si="13"/>
        <v>2.5153178620938577</v>
      </c>
      <c r="L67">
        <f t="shared" ca="1" si="14"/>
        <v>143.12413572418768</v>
      </c>
      <c r="M67">
        <f t="shared" ca="1" si="15"/>
        <v>133.06286427581227</v>
      </c>
      <c r="N67">
        <f t="shared" ca="1" si="4"/>
        <v>1.1400000000000148</v>
      </c>
      <c r="O67">
        <f t="shared" ca="1" si="5"/>
        <v>1.1400000000000148</v>
      </c>
      <c r="P67">
        <f t="shared" ca="1" si="6"/>
        <v>0</v>
      </c>
      <c r="Q67">
        <f t="shared" ca="1" si="10"/>
        <v>0.751488609487027</v>
      </c>
      <c r="R67">
        <f t="shared" ca="1" si="11"/>
        <v>0.84174480111865979</v>
      </c>
      <c r="S67">
        <f t="shared" ca="1" si="8"/>
        <v>0.8927748748650608</v>
      </c>
      <c r="T67">
        <f t="shared" ca="1" si="9"/>
        <v>47.167515097573784</v>
      </c>
      <c r="U67">
        <f>70</f>
        <v>70</v>
      </c>
      <c r="V67">
        <f>30</f>
        <v>30</v>
      </c>
      <c r="W67">
        <f t="shared" ca="1" si="7"/>
        <v>137.6093942025264</v>
      </c>
      <c r="X67">
        <f t="shared" ca="1" si="17"/>
        <v>138.85343035561857</v>
      </c>
      <c r="Y67">
        <f t="shared" ca="1" si="16"/>
        <v>-0.99707916645499495</v>
      </c>
      <c r="Z67">
        <f t="shared" ca="1" si="18"/>
        <v>-1.372185577345397</v>
      </c>
      <c r="AA67">
        <f t="shared" ca="1" si="19"/>
        <v>0.37510641089040209</v>
      </c>
    </row>
    <row r="68" spans="1:27" x14ac:dyDescent="0.25">
      <c r="A68" s="20">
        <f t="shared" ca="1" si="20"/>
        <v>45810</v>
      </c>
      <c r="B68" vm="198">
        <f ca="1"/>
        <v>45811</v>
      </c>
      <c r="C68" vm="199">
        <f ca="1"/>
        <v>139.55000000000001</v>
      </c>
      <c r="D68" vm="200">
        <f ca="1"/>
        <v>9001305</v>
      </c>
      <c r="E68">
        <f t="shared" ca="1" si="21"/>
        <v>1256132112.75</v>
      </c>
      <c r="F68">
        <f ca="1">SUM($E$2:E68)/SUM($D$2:D68)</f>
        <v>146.21306265794593</v>
      </c>
      <c r="G68">
        <f ca="1">_xlfn.STDEV.P($C$2:C68)</f>
        <v>11.487286856468284</v>
      </c>
      <c r="H68">
        <f t="shared" ca="1" si="22"/>
        <v>157.7003495144142</v>
      </c>
      <c r="I68">
        <f t="shared" ca="1" si="23"/>
        <v>134.72577580147765</v>
      </c>
      <c r="J68">
        <f t="shared" ca="1" si="12"/>
        <v>138.29599999999999</v>
      </c>
      <c r="K68">
        <f t="shared" ca="1" si="13"/>
        <v>2.4579053983765151</v>
      </c>
      <c r="L68">
        <f t="shared" ca="1" si="14"/>
        <v>143.21181079675301</v>
      </c>
      <c r="M68">
        <f t="shared" ca="1" si="15"/>
        <v>133.38018920324697</v>
      </c>
      <c r="N68">
        <f t="shared" ref="N68:N131" ca="1" si="24">C68-C67</f>
        <v>1.710000000000008</v>
      </c>
      <c r="O68">
        <f t="shared" ref="O68:O131" ca="1" si="25">MAX(N68,0)</f>
        <v>1.710000000000008</v>
      </c>
      <c r="P68">
        <f t="shared" ref="P68:P131" ca="1" si="26">MAX(-N68,0)</f>
        <v>0</v>
      </c>
      <c r="Q68">
        <f t="shared" ca="1" si="10"/>
        <v>0.81995370880938279</v>
      </c>
      <c r="R68">
        <f t="shared" ca="1" si="11"/>
        <v>0.78162017246732696</v>
      </c>
      <c r="S68">
        <f t="shared" ca="1" si="8"/>
        <v>1.0490436886001151</v>
      </c>
      <c r="T68">
        <f t="shared" ca="1" si="9"/>
        <v>51.196745800808692</v>
      </c>
      <c r="U68">
        <f>70</f>
        <v>70</v>
      </c>
      <c r="V68">
        <f>30</f>
        <v>30</v>
      </c>
      <c r="W68">
        <f t="shared" ca="1" si="7"/>
        <v>137.90794894059925</v>
      </c>
      <c r="X68">
        <f t="shared" ca="1" si="17"/>
        <v>138.90502810705425</v>
      </c>
      <c r="Y68">
        <f t="shared" ca="1" si="16"/>
        <v>-0.96613475622405076</v>
      </c>
      <c r="Z68">
        <f t="shared" ca="1" si="18"/>
        <v>-1.2909754131211277</v>
      </c>
      <c r="AA68">
        <f t="shared" ca="1" si="19"/>
        <v>0.32484065689707697</v>
      </c>
    </row>
    <row r="69" spans="1:27" x14ac:dyDescent="0.25">
      <c r="A69" s="20">
        <f t="shared" ca="1" si="20"/>
        <v>45810</v>
      </c>
      <c r="B69" vm="201">
        <f ca="1"/>
        <v>45812</v>
      </c>
      <c r="C69" vm="202">
        <f ca="1"/>
        <v>137.37</v>
      </c>
      <c r="D69" vm="203">
        <f ca="1"/>
        <v>8735619</v>
      </c>
      <c r="E69">
        <f t="shared" ca="1" si="21"/>
        <v>1200011982.03</v>
      </c>
      <c r="F69">
        <f ca="1">SUM($E$2:E69)/SUM($D$2:D69)</f>
        <v>146.09643013451793</v>
      </c>
      <c r="G69">
        <f ca="1">_xlfn.STDEV.P($C$2:C69)</f>
        <v>11.455405593039387</v>
      </c>
      <c r="H69">
        <f t="shared" ca="1" si="22"/>
        <v>157.55183572755732</v>
      </c>
      <c r="I69">
        <f t="shared" ca="1" si="23"/>
        <v>134.64102454147854</v>
      </c>
      <c r="J69">
        <f t="shared" ca="1" si="12"/>
        <v>138.38449999999997</v>
      </c>
      <c r="K69">
        <f t="shared" ca="1" si="13"/>
        <v>2.3865532843302204</v>
      </c>
      <c r="L69">
        <f t="shared" ca="1" si="14"/>
        <v>143.15760656866041</v>
      </c>
      <c r="M69">
        <f t="shared" ca="1" si="15"/>
        <v>133.61139343133954</v>
      </c>
      <c r="N69">
        <f t="shared" ca="1" si="24"/>
        <v>-2.1800000000000068</v>
      </c>
      <c r="O69">
        <f t="shared" ca="1" si="25"/>
        <v>0</v>
      </c>
      <c r="P69">
        <f t="shared" ca="1" si="26"/>
        <v>2.1800000000000068</v>
      </c>
      <c r="Q69">
        <f t="shared" ca="1" si="10"/>
        <v>0.76138558675156975</v>
      </c>
      <c r="R69">
        <f t="shared" ca="1" si="11"/>
        <v>0.8815044458625183</v>
      </c>
      <c r="S69">
        <f t="shared" ca="1" si="8"/>
        <v>0.86373425604970511</v>
      </c>
      <c r="T69">
        <f t="shared" ca="1" si="9"/>
        <v>46.344281822690796</v>
      </c>
      <c r="U69">
        <f>70</f>
        <v>70</v>
      </c>
      <c r="V69">
        <f>30</f>
        <v>30</v>
      </c>
      <c r="W69">
        <f t="shared" ca="1" si="7"/>
        <v>137.82518756512246</v>
      </c>
      <c r="X69">
        <f t="shared" ca="1" si="17"/>
        <v>138.79132232134651</v>
      </c>
      <c r="Y69">
        <f t="shared" ca="1" si="16"/>
        <v>-0.96837335497505705</v>
      </c>
      <c r="Z69">
        <f t="shared" ca="1" si="18"/>
        <v>-1.2264550014919138</v>
      </c>
      <c r="AA69">
        <f t="shared" ca="1" si="19"/>
        <v>0.25808164651685672</v>
      </c>
    </row>
    <row r="70" spans="1:27" x14ac:dyDescent="0.25">
      <c r="A70" s="20">
        <f t="shared" ca="1" si="20"/>
        <v>45810</v>
      </c>
      <c r="B70" vm="204">
        <f ca="1"/>
        <v>45813</v>
      </c>
      <c r="C70" vm="205">
        <f ca="1"/>
        <v>136.9</v>
      </c>
      <c r="D70" vm="206">
        <f ca="1"/>
        <v>6350526</v>
      </c>
      <c r="E70">
        <f t="shared" ca="1" si="21"/>
        <v>869387009.4000001</v>
      </c>
      <c r="F70">
        <f ca="1">SUM($E$2:E70)/SUM($D$2:D70)</f>
        <v>146.00909117117149</v>
      </c>
      <c r="G70">
        <f ca="1">_xlfn.STDEV.P($C$2:C70)</f>
        <v>11.428277751575246</v>
      </c>
      <c r="H70">
        <f t="shared" ca="1" si="22"/>
        <v>157.43736892274674</v>
      </c>
      <c r="I70">
        <f t="shared" ca="1" si="23"/>
        <v>134.58081341959624</v>
      </c>
      <c r="J70">
        <f t="shared" ca="1" si="12"/>
        <v>138.44</v>
      </c>
      <c r="K70">
        <f t="shared" ca="1" si="13"/>
        <v>2.3354003375956975</v>
      </c>
      <c r="L70">
        <f t="shared" ca="1" si="14"/>
        <v>143.1108006751914</v>
      </c>
      <c r="M70">
        <f t="shared" ca="1" si="15"/>
        <v>133.7691993248086</v>
      </c>
      <c r="N70">
        <f t="shared" ca="1" si="24"/>
        <v>-0.46999999999999886</v>
      </c>
      <c r="O70">
        <f t="shared" ca="1" si="25"/>
        <v>0</v>
      </c>
      <c r="P70">
        <f t="shared" ca="1" si="26"/>
        <v>0.46999999999999886</v>
      </c>
      <c r="Q70">
        <f t="shared" ca="1" si="10"/>
        <v>0.70700090198360044</v>
      </c>
      <c r="R70">
        <f t="shared" ca="1" si="11"/>
        <v>0.85211127115805263</v>
      </c>
      <c r="S70">
        <f t="shared" ca="1" si="8"/>
        <v>0.82970490581911738</v>
      </c>
      <c r="T70">
        <f t="shared" ca="1" si="9"/>
        <v>45.346378160782017</v>
      </c>
      <c r="U70">
        <f>70</f>
        <v>70</v>
      </c>
      <c r="V70">
        <f>30</f>
        <v>30</v>
      </c>
      <c r="W70">
        <f t="shared" ca="1" si="7"/>
        <v>137.68285101664208</v>
      </c>
      <c r="X70">
        <f t="shared" ca="1" si="17"/>
        <v>138.65122437161713</v>
      </c>
      <c r="Y70">
        <f t="shared" ca="1" si="16"/>
        <v>-0.69504606505091715</v>
      </c>
      <c r="Z70">
        <f t="shared" ca="1" si="18"/>
        <v>-1.1201732142037146</v>
      </c>
      <c r="AA70">
        <f t="shared" ca="1" si="19"/>
        <v>0.42512714915279748</v>
      </c>
    </row>
    <row r="71" spans="1:27" x14ac:dyDescent="0.25">
      <c r="A71" s="20">
        <f t="shared" ca="1" si="20"/>
        <v>45810</v>
      </c>
      <c r="B71" vm="207">
        <f ca="1"/>
        <v>45814</v>
      </c>
      <c r="C71" vm="208">
        <f ca="1"/>
        <v>140.21</v>
      </c>
      <c r="D71" vm="209">
        <f ca="1"/>
        <v>6563518</v>
      </c>
      <c r="E71">
        <f t="shared" ca="1" si="21"/>
        <v>920270858.78000009</v>
      </c>
      <c r="F71">
        <f ca="1">SUM($E$2:E71)/SUM($D$2:D71)</f>
        <v>145.95272304329913</v>
      </c>
      <c r="G71">
        <f ca="1">_xlfn.STDEV.P($C$2:C71)</f>
        <v>11.368844635535256</v>
      </c>
      <c r="H71">
        <f t="shared" ca="1" si="22"/>
        <v>157.32156767883438</v>
      </c>
      <c r="I71">
        <f t="shared" ca="1" si="23"/>
        <v>134.58387840776388</v>
      </c>
      <c r="J71">
        <f t="shared" ca="1" si="12"/>
        <v>138.5985</v>
      </c>
      <c r="K71">
        <f t="shared" ca="1" si="13"/>
        <v>2.3429429873783216</v>
      </c>
      <c r="L71">
        <f t="shared" ca="1" si="14"/>
        <v>143.28438597475665</v>
      </c>
      <c r="M71">
        <f t="shared" ca="1" si="15"/>
        <v>133.91261402524336</v>
      </c>
      <c r="N71">
        <f t="shared" ca="1" si="24"/>
        <v>3.3100000000000023</v>
      </c>
      <c r="O71">
        <f t="shared" ca="1" si="25"/>
        <v>3.3100000000000023</v>
      </c>
      <c r="P71">
        <f t="shared" ca="1" si="26"/>
        <v>0</v>
      </c>
      <c r="Q71">
        <f t="shared" ca="1" si="10"/>
        <v>0.89292940898477202</v>
      </c>
      <c r="R71">
        <f t="shared" ca="1" si="11"/>
        <v>0.79124618036104888</v>
      </c>
      <c r="S71">
        <f t="shared" ca="1" si="8"/>
        <v>1.1285102299986138</v>
      </c>
      <c r="T71">
        <f t="shared" ca="1" si="9"/>
        <v>53.018783470885587</v>
      </c>
      <c r="U71">
        <f>70</f>
        <v>70</v>
      </c>
      <c r="V71">
        <f>30</f>
        <v>30</v>
      </c>
      <c r="W71">
        <f t="shared" ca="1" si="7"/>
        <v>138.0716431679279</v>
      </c>
      <c r="X71">
        <f t="shared" ca="1" si="17"/>
        <v>138.76668923297882</v>
      </c>
      <c r="Y71">
        <f t="shared" ca="1" si="16"/>
        <v>-0.42910535567958163</v>
      </c>
      <c r="Z71">
        <f t="shared" ca="1" si="18"/>
        <v>-0.98195964249888801</v>
      </c>
      <c r="AA71">
        <f t="shared" ca="1" si="19"/>
        <v>0.55285428681930637</v>
      </c>
    </row>
    <row r="72" spans="1:27" x14ac:dyDescent="0.25">
      <c r="A72" s="20">
        <f t="shared" ca="1" si="20"/>
        <v>45817</v>
      </c>
      <c r="B72" vm="210">
        <f ca="1"/>
        <v>45817</v>
      </c>
      <c r="C72" vm="211">
        <f ca="1"/>
        <v>140.76</v>
      </c>
      <c r="D72" vm="212">
        <f ca="1"/>
        <v>7159471</v>
      </c>
      <c r="E72">
        <f t="shared" ca="1" si="21"/>
        <v>1007767137.9599999</v>
      </c>
      <c r="F72">
        <f ca="1">SUM($E$2:E72)/SUM($D$2:D72)</f>
        <v>145.89824360533675</v>
      </c>
      <c r="G72">
        <f ca="1">_xlfn.STDEV.P($C$2:C72)</f>
        <v>11.306335042832123</v>
      </c>
      <c r="H72">
        <f t="shared" ca="1" si="22"/>
        <v>157.20457864816888</v>
      </c>
      <c r="I72">
        <f t="shared" ca="1" si="23"/>
        <v>134.59190856250461</v>
      </c>
      <c r="J72">
        <f t="shared" ca="1" si="12"/>
        <v>138.71199999999999</v>
      </c>
      <c r="K72">
        <f t="shared" ca="1" si="13"/>
        <v>2.391882324160528</v>
      </c>
      <c r="L72">
        <f t="shared" ca="1" si="14"/>
        <v>143.49576464832106</v>
      </c>
      <c r="M72">
        <f t="shared" ca="1" si="15"/>
        <v>133.92823535167892</v>
      </c>
      <c r="N72">
        <f t="shared" ca="1" si="24"/>
        <v>0.54999999999998295</v>
      </c>
      <c r="O72">
        <f t="shared" ca="1" si="25"/>
        <v>0.54999999999998295</v>
      </c>
      <c r="P72">
        <f t="shared" ca="1" si="26"/>
        <v>0</v>
      </c>
      <c r="Q72">
        <f t="shared" ca="1" si="10"/>
        <v>0.86843445120014429</v>
      </c>
      <c r="R72">
        <f t="shared" ca="1" si="11"/>
        <v>0.73472859604954543</v>
      </c>
      <c r="S72">
        <f t="shared" ca="1" si="8"/>
        <v>1.1819799254711227</v>
      </c>
      <c r="T72">
        <f t="shared" ca="1" si="9"/>
        <v>54.170064154733936</v>
      </c>
      <c r="U72">
        <f>70</f>
        <v>70</v>
      </c>
      <c r="V72">
        <f>30</f>
        <v>30</v>
      </c>
      <c r="W72">
        <f t="shared" ca="1" si="7"/>
        <v>138.48523652670823</v>
      </c>
      <c r="X72">
        <f t="shared" ca="1" si="17"/>
        <v>138.91434188238782</v>
      </c>
      <c r="Y72">
        <f t="shared" ca="1" si="16"/>
        <v>-9.2474739136889639E-3</v>
      </c>
      <c r="Z72">
        <f t="shared" ca="1" si="18"/>
        <v>-0.78741720878184818</v>
      </c>
      <c r="AA72">
        <f t="shared" ca="1" si="19"/>
        <v>0.77816973486815921</v>
      </c>
    </row>
    <row r="73" spans="1:27" x14ac:dyDescent="0.25">
      <c r="A73" s="20">
        <f t="shared" ca="1" si="20"/>
        <v>45817</v>
      </c>
      <c r="B73" vm="213">
        <f ca="1"/>
        <v>45818</v>
      </c>
      <c r="C73" vm="214">
        <f ca="1"/>
        <v>143.35</v>
      </c>
      <c r="D73" vm="215">
        <f ca="1"/>
        <v>9841523</v>
      </c>
      <c r="E73">
        <f t="shared" ca="1" si="21"/>
        <v>1410782322.05</v>
      </c>
      <c r="F73">
        <f ca="1">SUM($E$2:E73)/SUM($D$2:D73)</f>
        <v>145.86201586764807</v>
      </c>
      <c r="G73">
        <f ca="1">_xlfn.STDEV.P($C$2:C73)</f>
        <v>11.232060549253584</v>
      </c>
      <c r="H73">
        <f t="shared" ca="1" si="22"/>
        <v>157.09407641690166</v>
      </c>
      <c r="I73">
        <f t="shared" ca="1" si="23"/>
        <v>134.62995531839448</v>
      </c>
      <c r="J73">
        <f t="shared" ca="1" si="12"/>
        <v>138.79849999999999</v>
      </c>
      <c r="K73">
        <f t="shared" ca="1" si="13"/>
        <v>2.529883032453224</v>
      </c>
      <c r="L73">
        <f t="shared" ca="1" si="14"/>
        <v>143.85826606490645</v>
      </c>
      <c r="M73">
        <f t="shared" ca="1" si="15"/>
        <v>133.73873393509353</v>
      </c>
      <c r="N73">
        <f t="shared" ca="1" si="24"/>
        <v>2.5900000000000034</v>
      </c>
      <c r="O73">
        <f t="shared" ca="1" si="25"/>
        <v>2.5900000000000034</v>
      </c>
      <c r="P73">
        <f t="shared" ca="1" si="26"/>
        <v>0</v>
      </c>
      <c r="Q73">
        <f t="shared" ca="1" si="10"/>
        <v>0.9914034189715627</v>
      </c>
      <c r="R73">
        <f t="shared" ca="1" si="11"/>
        <v>0.68224798204600645</v>
      </c>
      <c r="S73">
        <f t="shared" ca="1" si="8"/>
        <v>1.4531423251680777</v>
      </c>
      <c r="T73">
        <f t="shared" ca="1" si="9"/>
        <v>59.235956685412262</v>
      </c>
      <c r="U73">
        <f>70</f>
        <v>70</v>
      </c>
      <c r="V73">
        <f>30</f>
        <v>30</v>
      </c>
      <c r="W73">
        <f t="shared" ca="1" si="7"/>
        <v>139.23366167644542</v>
      </c>
      <c r="X73">
        <f t="shared" ca="1" si="17"/>
        <v>139.24290915035911</v>
      </c>
      <c r="Y73">
        <f t="shared" ca="1" si="16"/>
        <v>0.4338804673435277</v>
      </c>
      <c r="Z73">
        <f t="shared" ca="1" si="18"/>
        <v>-0.54315767355677302</v>
      </c>
      <c r="AA73">
        <f t="shared" ca="1" si="19"/>
        <v>0.97703814090030072</v>
      </c>
    </row>
    <row r="74" spans="1:27" x14ac:dyDescent="0.25">
      <c r="A74" s="20">
        <f t="shared" ca="1" si="20"/>
        <v>45817</v>
      </c>
      <c r="B74" vm="216">
        <f ca="1"/>
        <v>45819</v>
      </c>
      <c r="C74" vm="217">
        <f ca="1"/>
        <v>144.78</v>
      </c>
      <c r="D74" vm="218">
        <f ca="1"/>
        <v>9256663</v>
      </c>
      <c r="E74">
        <f t="shared" ca="1" si="21"/>
        <v>1340179669.1400001</v>
      </c>
      <c r="F74">
        <f ca="1">SUM($E$2:E74)/SUM($D$2:D74)</f>
        <v>145.84773820243583</v>
      </c>
      <c r="G74">
        <f ca="1">_xlfn.STDEV.P($C$2:C74)</f>
        <v>11.155815041156851</v>
      </c>
      <c r="H74">
        <f t="shared" ca="1" si="22"/>
        <v>157.00355324359268</v>
      </c>
      <c r="I74">
        <f t="shared" ca="1" si="23"/>
        <v>134.69192316127899</v>
      </c>
      <c r="J74">
        <f t="shared" ca="1" si="12"/>
        <v>138.91999999999999</v>
      </c>
      <c r="K74">
        <f t="shared" ca="1" si="13"/>
        <v>2.7575332225893847</v>
      </c>
      <c r="L74">
        <f t="shared" ca="1" si="14"/>
        <v>144.43506644517876</v>
      </c>
      <c r="M74">
        <f t="shared" ca="1" si="15"/>
        <v>133.40493355482121</v>
      </c>
      <c r="N74">
        <f t="shared" ca="1" si="24"/>
        <v>1.4300000000000068</v>
      </c>
      <c r="O74">
        <f t="shared" ca="1" si="25"/>
        <v>1.4300000000000068</v>
      </c>
      <c r="P74">
        <f t="shared" ca="1" si="26"/>
        <v>0</v>
      </c>
      <c r="Q74">
        <f t="shared" ca="1" si="10"/>
        <v>1.0227317461878802</v>
      </c>
      <c r="R74">
        <f t="shared" ca="1" si="11"/>
        <v>0.63351598332843462</v>
      </c>
      <c r="S74">
        <f t="shared" ca="1" si="8"/>
        <v>1.6143740222851866</v>
      </c>
      <c r="T74">
        <f t="shared" ca="1" si="9"/>
        <v>61.749925929652775</v>
      </c>
      <c r="U74">
        <f>70</f>
        <v>70</v>
      </c>
      <c r="V74">
        <f>30</f>
        <v>30</v>
      </c>
      <c r="W74">
        <f t="shared" ca="1" si="7"/>
        <v>140.08694449545382</v>
      </c>
      <c r="X74">
        <f t="shared" ca="1" si="17"/>
        <v>139.65306402811029</v>
      </c>
      <c r="Y74">
        <f t="shared" ca="1" si="16"/>
        <v>0.79127266670639074</v>
      </c>
      <c r="Z74">
        <f t="shared" ca="1" si="18"/>
        <v>-0.27627160550414032</v>
      </c>
      <c r="AA74">
        <f t="shared" ca="1" si="19"/>
        <v>1.0675442722105311</v>
      </c>
    </row>
    <row r="75" spans="1:27" x14ac:dyDescent="0.25">
      <c r="A75" s="20">
        <f t="shared" ca="1" si="20"/>
        <v>45817</v>
      </c>
      <c r="B75" vm="219">
        <f ca="1"/>
        <v>45820</v>
      </c>
      <c r="C75" vm="220">
        <f ca="1"/>
        <v>144.97</v>
      </c>
      <c r="D75" vm="221">
        <f ca="1"/>
        <v>6999389</v>
      </c>
      <c r="E75">
        <f t="shared" ca="1" si="21"/>
        <v>1014701423.33</v>
      </c>
      <c r="F75">
        <f ca="1">SUM($E$2:E75)/SUM($D$2:D75)</f>
        <v>145.83906693720888</v>
      </c>
      <c r="G75">
        <f ca="1">_xlfn.STDEV.P($C$2:C75)</f>
        <v>11.080840238813158</v>
      </c>
      <c r="H75">
        <f t="shared" ca="1" si="22"/>
        <v>156.91990717602204</v>
      </c>
      <c r="I75">
        <f t="shared" ca="1" si="23"/>
        <v>134.75822669839573</v>
      </c>
      <c r="J75">
        <f t="shared" ca="1" si="12"/>
        <v>139.08500000000001</v>
      </c>
      <c r="K75">
        <f t="shared" ca="1" si="13"/>
        <v>3.0172425543165962</v>
      </c>
      <c r="L75">
        <f t="shared" ca="1" si="14"/>
        <v>145.1194851086332</v>
      </c>
      <c r="M75">
        <f t="shared" ca="1" si="15"/>
        <v>133.05051489136682</v>
      </c>
      <c r="N75">
        <f t="shared" ca="1" si="24"/>
        <v>0.18999999999999773</v>
      </c>
      <c r="O75">
        <f t="shared" ca="1" si="25"/>
        <v>0.18999999999999773</v>
      </c>
      <c r="P75">
        <f t="shared" ca="1" si="26"/>
        <v>0</v>
      </c>
      <c r="Q75">
        <f t="shared" ca="1" si="10"/>
        <v>0.96325090717446005</v>
      </c>
      <c r="R75">
        <f t="shared" ca="1" si="11"/>
        <v>0.58826484166211779</v>
      </c>
      <c r="S75">
        <f t="shared" ca="1" si="8"/>
        <v>1.6374442920179195</v>
      </c>
      <c r="T75">
        <f t="shared" ca="1" si="9"/>
        <v>62.084507224420051</v>
      </c>
      <c r="U75">
        <f>70</f>
        <v>70</v>
      </c>
      <c r="V75">
        <f>30</f>
        <v>30</v>
      </c>
      <c r="W75">
        <f t="shared" ca="1" si="7"/>
        <v>140.83818380384554</v>
      </c>
      <c r="X75">
        <f t="shared" ca="1" si="17"/>
        <v>140.04691113713915</v>
      </c>
      <c r="Y75">
        <f t="shared" ca="1" si="16"/>
        <v>1.1372492027689134</v>
      </c>
      <c r="Z75">
        <f t="shared" ca="1" si="18"/>
        <v>6.4325561504704476E-3</v>
      </c>
      <c r="AA75">
        <f t="shared" ca="1" si="19"/>
        <v>1.1308166466184431</v>
      </c>
    </row>
    <row r="76" spans="1:27" x14ac:dyDescent="0.25">
      <c r="A76" s="20">
        <f t="shared" ca="1" si="20"/>
        <v>45817</v>
      </c>
      <c r="B76" vm="222">
        <f ca="1"/>
        <v>45821</v>
      </c>
      <c r="C76" vm="223">
        <f ca="1"/>
        <v>145.91</v>
      </c>
      <c r="D76" vm="224">
        <f ca="1"/>
        <v>14148022</v>
      </c>
      <c r="E76">
        <f t="shared" ca="1" si="21"/>
        <v>2064337890.02</v>
      </c>
      <c r="F76">
        <f ca="1">SUM($E$2:E76)/SUM($D$2:D76)</f>
        <v>145.84045565778018</v>
      </c>
      <c r="G76">
        <f ca="1">_xlfn.STDEV.P($C$2:C76)</f>
        <v>11.006725165198876</v>
      </c>
      <c r="H76">
        <f t="shared" ca="1" si="22"/>
        <v>156.84718082297906</v>
      </c>
      <c r="I76">
        <f t="shared" ca="1" si="23"/>
        <v>134.83373049258131</v>
      </c>
      <c r="J76">
        <f t="shared" ca="1" si="12"/>
        <v>139.26749999999998</v>
      </c>
      <c r="K76">
        <f t="shared" ca="1" si="13"/>
        <v>3.3150785892089449</v>
      </c>
      <c r="L76">
        <f t="shared" ca="1" si="14"/>
        <v>145.89765717841789</v>
      </c>
      <c r="M76">
        <f t="shared" ca="1" si="15"/>
        <v>132.63734282158208</v>
      </c>
      <c r="N76">
        <f t="shared" ca="1" si="24"/>
        <v>0.93999999999999773</v>
      </c>
      <c r="O76">
        <f t="shared" ca="1" si="25"/>
        <v>0.93999999999999773</v>
      </c>
      <c r="P76">
        <f t="shared" ca="1" si="26"/>
        <v>0</v>
      </c>
      <c r="Q76">
        <f t="shared" ca="1" si="10"/>
        <v>0.96159012809056998</v>
      </c>
      <c r="R76">
        <f t="shared" ca="1" si="11"/>
        <v>0.54624592440053799</v>
      </c>
      <c r="S76">
        <f t="shared" ca="1" si="8"/>
        <v>1.7603611947234932</v>
      </c>
      <c r="T76">
        <f t="shared" ca="1" si="9"/>
        <v>63.772856903236878</v>
      </c>
      <c r="U76">
        <f>70</f>
        <v>70</v>
      </c>
      <c r="V76">
        <f>30</f>
        <v>30</v>
      </c>
      <c r="W76">
        <f t="shared" ca="1" si="7"/>
        <v>141.61846321863851</v>
      </c>
      <c r="X76">
        <f t="shared" ca="1" si="17"/>
        <v>140.4812140158696</v>
      </c>
      <c r="Y76">
        <f t="shared" ca="1" si="16"/>
        <v>1.40492598512256</v>
      </c>
      <c r="Z76">
        <f t="shared" ca="1" si="18"/>
        <v>0.28613124194488837</v>
      </c>
      <c r="AA76">
        <f t="shared" ca="1" si="19"/>
        <v>1.1187947431776717</v>
      </c>
    </row>
    <row r="77" spans="1:27" x14ac:dyDescent="0.25">
      <c r="A77" s="20">
        <f t="shared" ca="1" si="20"/>
        <v>45824</v>
      </c>
      <c r="B77" vm="225">
        <f ca="1"/>
        <v>45824</v>
      </c>
      <c r="C77" vm="89">
        <f ca="1"/>
        <v>146.03</v>
      </c>
      <c r="D77" vm="226">
        <f ca="1"/>
        <v>10105077</v>
      </c>
      <c r="E77">
        <f t="shared" ca="1" si="21"/>
        <v>1475644394.3099999</v>
      </c>
      <c r="F77">
        <f ca="1">SUM($E$2:E77)/SUM($D$2:D77)</f>
        <v>145.84306956443794</v>
      </c>
      <c r="G77">
        <f ca="1">_xlfn.STDEV.P($C$2:C77)</f>
        <v>10.934073217042721</v>
      </c>
      <c r="H77">
        <f t="shared" ca="1" si="22"/>
        <v>156.77714278148065</v>
      </c>
      <c r="I77">
        <f t="shared" ca="1" si="23"/>
        <v>134.90899634739523</v>
      </c>
      <c r="J77">
        <f t="shared" ca="1" si="12"/>
        <v>139.464</v>
      </c>
      <c r="K77">
        <f t="shared" ca="1" si="13"/>
        <v>3.5963525381902368</v>
      </c>
      <c r="L77">
        <f t="shared" ca="1" si="14"/>
        <v>146.65670507638046</v>
      </c>
      <c r="M77">
        <f t="shared" ca="1" si="15"/>
        <v>132.27129492361954</v>
      </c>
      <c r="N77">
        <f t="shared" ca="1" si="24"/>
        <v>0.12000000000000455</v>
      </c>
      <c r="O77">
        <f t="shared" ca="1" si="25"/>
        <v>0.12000000000000455</v>
      </c>
      <c r="P77">
        <f t="shared" ca="1" si="26"/>
        <v>0</v>
      </c>
      <c r="Q77">
        <f t="shared" ca="1" si="10"/>
        <v>0.90147654751267248</v>
      </c>
      <c r="R77">
        <f t="shared" ca="1" si="11"/>
        <v>0.50722835837192815</v>
      </c>
      <c r="S77">
        <f t="shared" ca="1" si="8"/>
        <v>1.7772597541789246</v>
      </c>
      <c r="T77">
        <f t="shared" ca="1" si="9"/>
        <v>63.993285161918813</v>
      </c>
      <c r="U77">
        <f>70</f>
        <v>70</v>
      </c>
      <c r="V77">
        <f>30</f>
        <v>30</v>
      </c>
      <c r="W77">
        <f t="shared" ca="1" si="7"/>
        <v>142.29716118500181</v>
      </c>
      <c r="X77">
        <f t="shared" ca="1" si="17"/>
        <v>140.89223519987925</v>
      </c>
      <c r="Y77">
        <f t="shared" ca="1" si="16"/>
        <v>1.8235909743156071</v>
      </c>
      <c r="Z77">
        <f t="shared" ca="1" si="18"/>
        <v>0.59362318841903217</v>
      </c>
      <c r="AA77">
        <f t="shared" ca="1" si="19"/>
        <v>1.229967785896575</v>
      </c>
    </row>
    <row r="78" spans="1:27" x14ac:dyDescent="0.25">
      <c r="A78" s="20">
        <f t="shared" ca="1" si="20"/>
        <v>45824</v>
      </c>
      <c r="B78" vm="227">
        <f ca="1"/>
        <v>45825</v>
      </c>
      <c r="C78" vm="228">
        <f ca="1"/>
        <v>148.85</v>
      </c>
      <c r="D78" vm="229">
        <f ca="1"/>
        <v>11330273</v>
      </c>
      <c r="E78">
        <f t="shared" ca="1" si="21"/>
        <v>1686511136.05</v>
      </c>
      <c r="F78">
        <f ca="1">SUM($E$2:E78)/SUM($D$2:D78)</f>
        <v>145.88885627914166</v>
      </c>
      <c r="G78">
        <f ca="1">_xlfn.STDEV.P($C$2:C78)</f>
        <v>10.867627139775363</v>
      </c>
      <c r="H78">
        <f t="shared" ca="1" si="22"/>
        <v>156.75648341891701</v>
      </c>
      <c r="I78">
        <f t="shared" ca="1" si="23"/>
        <v>135.02122913936631</v>
      </c>
      <c r="J78">
        <f t="shared" ca="1" si="12"/>
        <v>139.982</v>
      </c>
      <c r="K78">
        <f t="shared" ca="1" si="13"/>
        <v>4.1518741487873179</v>
      </c>
      <c r="L78">
        <f t="shared" ca="1" si="14"/>
        <v>148.28574829757463</v>
      </c>
      <c r="M78">
        <f t="shared" ca="1" si="15"/>
        <v>131.67825170242537</v>
      </c>
      <c r="N78">
        <f t="shared" ca="1" si="24"/>
        <v>2.8199999999999932</v>
      </c>
      <c r="O78">
        <f t="shared" ca="1" si="25"/>
        <v>2.8199999999999932</v>
      </c>
      <c r="P78">
        <f t="shared" ca="1" si="26"/>
        <v>0</v>
      </c>
      <c r="Q78">
        <f t="shared" ca="1" si="10"/>
        <v>1.0385139369760525</v>
      </c>
      <c r="R78">
        <f t="shared" ca="1" si="11"/>
        <v>0.47099776134536187</v>
      </c>
      <c r="S78">
        <f t="shared" ca="1" si="8"/>
        <v>2.2049232973202098</v>
      </c>
      <c r="T78">
        <f t="shared" ca="1" si="9"/>
        <v>68.798005217904972</v>
      </c>
      <c r="U78">
        <f>70</f>
        <v>70</v>
      </c>
      <c r="V78">
        <f>30</f>
        <v>30</v>
      </c>
      <c r="W78">
        <f t="shared" ca="1" si="7"/>
        <v>143.30529023346307</v>
      </c>
      <c r="X78">
        <f t="shared" ca="1" si="17"/>
        <v>141.48169925914746</v>
      </c>
      <c r="Y78">
        <f t="shared" ca="1" si="16"/>
        <v>2.0781736185629711</v>
      </c>
      <c r="Z78">
        <f t="shared" ca="1" si="18"/>
        <v>0.89053327444782004</v>
      </c>
      <c r="AA78">
        <f t="shared" ca="1" si="19"/>
        <v>1.1876403441151511</v>
      </c>
    </row>
    <row r="79" spans="1:27" x14ac:dyDescent="0.25">
      <c r="A79" s="20">
        <f t="shared" ca="1" si="20"/>
        <v>45824</v>
      </c>
      <c r="B79" vm="230">
        <f ca="1"/>
        <v>45826</v>
      </c>
      <c r="C79" vm="231">
        <f ca="1"/>
        <v>148.19</v>
      </c>
      <c r="D79" vm="232">
        <f ca="1"/>
        <v>9841924</v>
      </c>
      <c r="E79">
        <f t="shared" ca="1" si="21"/>
        <v>1458474717.5599999</v>
      </c>
      <c r="F79">
        <f ca="1">SUM($E$2:E79)/SUM($D$2:D79)</f>
        <v>145.91889578595092</v>
      </c>
      <c r="G79">
        <f ca="1">_xlfn.STDEV.P($C$2:C79)</f>
        <v>10.800450766915858</v>
      </c>
      <c r="H79">
        <f t="shared" ca="1" si="22"/>
        <v>156.7193465528668</v>
      </c>
      <c r="I79">
        <f t="shared" ca="1" si="23"/>
        <v>135.11844501903505</v>
      </c>
      <c r="J79">
        <f t="shared" ca="1" si="12"/>
        <v>140.52799999999996</v>
      </c>
      <c r="K79">
        <f t="shared" ca="1" si="13"/>
        <v>4.4814067340277726</v>
      </c>
      <c r="L79">
        <f t="shared" ca="1" si="14"/>
        <v>149.49081346805551</v>
      </c>
      <c r="M79">
        <f t="shared" ca="1" si="15"/>
        <v>131.56518653194442</v>
      </c>
      <c r="N79">
        <f t="shared" ca="1" si="24"/>
        <v>-0.65999999999999659</v>
      </c>
      <c r="O79">
        <f t="shared" ca="1" si="25"/>
        <v>0</v>
      </c>
      <c r="P79">
        <f t="shared" ca="1" si="26"/>
        <v>0.65999999999999659</v>
      </c>
      <c r="Q79">
        <f t="shared" ca="1" si="10"/>
        <v>0.96433437004919165</v>
      </c>
      <c r="R79">
        <f t="shared" ca="1" si="11"/>
        <v>0.48449792124926433</v>
      </c>
      <c r="S79">
        <f t="shared" ca="1" si="8"/>
        <v>1.9903787565541715</v>
      </c>
      <c r="T79">
        <f t="shared" ca="1" si="9"/>
        <v>66.559420012991765</v>
      </c>
      <c r="U79">
        <f>70</f>
        <v>70</v>
      </c>
      <c r="V79">
        <f>30</f>
        <v>30</v>
      </c>
      <c r="W79">
        <f t="shared" ref="W79:W142" ca="1" si="27">C79*(2/(12+1)) + W78*(1-(2/(12+1)))</f>
        <v>144.05678404369951</v>
      </c>
      <c r="X79">
        <f t="shared" ca="1" si="17"/>
        <v>141.97861042513654</v>
      </c>
      <c r="Y79">
        <f t="shared" ca="1" si="16"/>
        <v>2.3624400934739924</v>
      </c>
      <c r="Z79">
        <f t="shared" ca="1" si="18"/>
        <v>1.1849146382530544</v>
      </c>
      <c r="AA79">
        <f t="shared" ca="1" si="19"/>
        <v>1.177525455220938</v>
      </c>
    </row>
    <row r="80" spans="1:27" x14ac:dyDescent="0.25">
      <c r="A80" s="20">
        <f t="shared" ca="1" si="20"/>
        <v>45824</v>
      </c>
      <c r="B80" vm="233">
        <f ca="1"/>
        <v>45828</v>
      </c>
      <c r="C80" vm="234">
        <f ca="1"/>
        <v>149.55000000000001</v>
      </c>
      <c r="D80" vm="235">
        <f ca="1"/>
        <v>23705877</v>
      </c>
      <c r="E80">
        <f t="shared" ca="1" si="21"/>
        <v>3545213905.3500004</v>
      </c>
      <c r="F80">
        <f ca="1">SUM($E$2:E80)/SUM($D$2:D80)</f>
        <v>146.02958836875857</v>
      </c>
      <c r="G80">
        <f ca="1">_xlfn.STDEV.P($C$2:C80)</f>
        <v>10.738941264279635</v>
      </c>
      <c r="H80">
        <f t="shared" ca="1" si="22"/>
        <v>156.76852963303821</v>
      </c>
      <c r="I80">
        <f t="shared" ca="1" si="23"/>
        <v>135.29064710447892</v>
      </c>
      <c r="J80">
        <f t="shared" ca="1" si="12"/>
        <v>141.22750000000002</v>
      </c>
      <c r="K80">
        <f t="shared" ca="1" si="13"/>
        <v>4.7489975396475987</v>
      </c>
      <c r="L80">
        <f t="shared" ca="1" si="14"/>
        <v>150.72549507929523</v>
      </c>
      <c r="M80">
        <f t="shared" ca="1" si="15"/>
        <v>131.72950492070481</v>
      </c>
      <c r="N80">
        <f t="shared" ca="1" si="24"/>
        <v>1.3600000000000136</v>
      </c>
      <c r="O80">
        <f t="shared" ca="1" si="25"/>
        <v>1.3600000000000136</v>
      </c>
      <c r="P80">
        <f t="shared" ca="1" si="26"/>
        <v>0</v>
      </c>
      <c r="Q80">
        <f t="shared" ca="1" si="10"/>
        <v>0.99259620075996469</v>
      </c>
      <c r="R80">
        <f t="shared" ca="1" si="11"/>
        <v>0.44989092687431687</v>
      </c>
      <c r="S80">
        <f t="shared" ref="S80:S143" ca="1" si="28">IF(R80=0,NA(),Q80/R80)</f>
        <v>2.2063041094341962</v>
      </c>
      <c r="T80">
        <f t="shared" ref="T80:T143" ca="1" si="29">100-(100/(1+S80))</f>
        <v>68.811442524818204</v>
      </c>
      <c r="U80">
        <f>70</f>
        <v>70</v>
      </c>
      <c r="V80">
        <f>30</f>
        <v>30</v>
      </c>
      <c r="W80">
        <f t="shared" ca="1" si="27"/>
        <v>144.90189419082265</v>
      </c>
      <c r="X80">
        <f t="shared" ca="1" si="17"/>
        <v>142.53945409734865</v>
      </c>
      <c r="Y80">
        <f t="shared" ca="1" si="16"/>
        <v>2.3436467038063142</v>
      </c>
      <c r="Z80">
        <f t="shared" ca="1" si="18"/>
        <v>1.4166610513637066</v>
      </c>
      <c r="AA80">
        <f t="shared" ca="1" si="19"/>
        <v>0.92698565244260767</v>
      </c>
    </row>
    <row r="81" spans="1:27" x14ac:dyDescent="0.25">
      <c r="A81" s="20">
        <f t="shared" ca="1" si="20"/>
        <v>45831</v>
      </c>
      <c r="B81" vm="236">
        <f ca="1"/>
        <v>45831</v>
      </c>
      <c r="C81" vm="237">
        <f ca="1"/>
        <v>146.86000000000001</v>
      </c>
      <c r="D81" vm="238">
        <f ca="1"/>
        <v>10540614</v>
      </c>
      <c r="E81">
        <f t="shared" ca="1" si="21"/>
        <v>1547994572.0400002</v>
      </c>
      <c r="F81">
        <f ca="1">SUM($E$2:E81)/SUM($D$2:D81)</f>
        <v>146.04069381272211</v>
      </c>
      <c r="G81">
        <f ca="1">_xlfn.STDEV.P($C$2:C81)</f>
        <v>10.671937019585526</v>
      </c>
      <c r="H81">
        <f t="shared" ca="1" si="22"/>
        <v>156.71263083230764</v>
      </c>
      <c r="I81">
        <f t="shared" ca="1" si="23"/>
        <v>135.36875679313658</v>
      </c>
      <c r="J81">
        <f t="shared" ca="1" si="12"/>
        <v>141.80600000000004</v>
      </c>
      <c r="K81">
        <f t="shared" ca="1" si="13"/>
        <v>4.6920115762409349</v>
      </c>
      <c r="L81">
        <f t="shared" ca="1" si="14"/>
        <v>151.1900231524819</v>
      </c>
      <c r="M81">
        <f t="shared" ca="1" si="15"/>
        <v>132.42197684751818</v>
      </c>
      <c r="N81">
        <f t="shared" ca="1" si="24"/>
        <v>-2.6899999999999977</v>
      </c>
      <c r="O81">
        <f t="shared" ca="1" si="25"/>
        <v>0</v>
      </c>
      <c r="P81">
        <f t="shared" ca="1" si="26"/>
        <v>2.6899999999999977</v>
      </c>
      <c r="Q81">
        <f t="shared" ref="Q81:Q144" ca="1" si="30">(Q80*13+O81)/14</f>
        <v>0.92169647213425299</v>
      </c>
      <c r="R81">
        <f t="shared" ref="R81:R144" ca="1" si="31">(R80*13+P81)/14</f>
        <v>0.60989871781186544</v>
      </c>
      <c r="S81">
        <f t="shared" ca="1" si="28"/>
        <v>1.5112287421115178</v>
      </c>
      <c r="T81">
        <f t="shared" ca="1" si="29"/>
        <v>60.178856540198353</v>
      </c>
      <c r="U81">
        <f>70</f>
        <v>70</v>
      </c>
      <c r="V81">
        <f>30</f>
        <v>30</v>
      </c>
      <c r="W81">
        <f t="shared" ca="1" si="27"/>
        <v>145.20314123838841</v>
      </c>
      <c r="X81">
        <f t="shared" ca="1" si="17"/>
        <v>142.8594945345821</v>
      </c>
      <c r="Y81">
        <f t="shared" ca="1" si="16"/>
        <v>2.0381687295218853</v>
      </c>
      <c r="Z81">
        <f t="shared" ca="1" si="18"/>
        <v>1.5409625869953423</v>
      </c>
      <c r="AA81">
        <f t="shared" ca="1" si="19"/>
        <v>0.49720614252654305</v>
      </c>
    </row>
    <row r="82" spans="1:27" x14ac:dyDescent="0.25">
      <c r="A82" s="20">
        <f t="shared" ca="1" si="20"/>
        <v>45831</v>
      </c>
      <c r="B82" vm="239">
        <f ca="1"/>
        <v>45832</v>
      </c>
      <c r="C82" vm="240">
        <f ca="1"/>
        <v>143.55000000000001</v>
      </c>
      <c r="D82" vm="241">
        <f ca="1"/>
        <v>10778352</v>
      </c>
      <c r="E82">
        <f t="shared" ca="1" si="21"/>
        <v>1547232429.6000001</v>
      </c>
      <c r="F82">
        <f ca="1">SUM($E$2:E82)/SUM($D$2:D82)</f>
        <v>146.00709294144255</v>
      </c>
      <c r="G82">
        <f ca="1">_xlfn.STDEV.P($C$2:C82)</f>
        <v>10.60965085938386</v>
      </c>
      <c r="H82">
        <f t="shared" ca="1" si="22"/>
        <v>156.61674380082641</v>
      </c>
      <c r="I82">
        <f t="shared" ca="1" si="23"/>
        <v>135.39744208205869</v>
      </c>
      <c r="J82">
        <f t="shared" ca="1" si="12"/>
        <v>142.15650000000002</v>
      </c>
      <c r="K82">
        <f t="shared" ca="1" si="13"/>
        <v>4.5372044198347972</v>
      </c>
      <c r="L82">
        <f t="shared" ca="1" si="14"/>
        <v>151.23090883966961</v>
      </c>
      <c r="M82">
        <f t="shared" ca="1" si="15"/>
        <v>133.08209116033044</v>
      </c>
      <c r="N82">
        <f t="shared" ca="1" si="24"/>
        <v>-3.3100000000000023</v>
      </c>
      <c r="O82">
        <f t="shared" ca="1" si="25"/>
        <v>0</v>
      </c>
      <c r="P82">
        <f t="shared" ca="1" si="26"/>
        <v>3.3100000000000023</v>
      </c>
      <c r="Q82">
        <f t="shared" ca="1" si="30"/>
        <v>0.85586100983894919</v>
      </c>
      <c r="R82">
        <f t="shared" ca="1" si="31"/>
        <v>0.80276309511101807</v>
      </c>
      <c r="S82">
        <f t="shared" ca="1" si="28"/>
        <v>1.0661439409102234</v>
      </c>
      <c r="T82">
        <f t="shared" ca="1" si="29"/>
        <v>51.600661493145637</v>
      </c>
      <c r="U82">
        <f>70</f>
        <v>70</v>
      </c>
      <c r="V82">
        <f>30</f>
        <v>30</v>
      </c>
      <c r="W82">
        <f t="shared" ca="1" si="27"/>
        <v>144.94881181709789</v>
      </c>
      <c r="X82">
        <f t="shared" ca="1" si="17"/>
        <v>142.91064308757601</v>
      </c>
      <c r="Y82">
        <f t="shared" ca="1" si="16"/>
        <v>1.7500800746890661</v>
      </c>
      <c r="Z82">
        <f t="shared" ca="1" si="18"/>
        <v>1.5827860845340873</v>
      </c>
      <c r="AA82">
        <f t="shared" ca="1" si="19"/>
        <v>0.16729399015497881</v>
      </c>
    </row>
    <row r="83" spans="1:27" x14ac:dyDescent="0.25">
      <c r="A83" s="20">
        <f t="shared" ca="1" si="20"/>
        <v>45831</v>
      </c>
      <c r="B83" vm="242">
        <f ca="1"/>
        <v>45833</v>
      </c>
      <c r="C83" vm="243">
        <f ca="1"/>
        <v>143.22999999999999</v>
      </c>
      <c r="D83" vm="244">
        <f ca="1"/>
        <v>7386088</v>
      </c>
      <c r="E83">
        <f t="shared" ca="1" si="21"/>
        <v>1057909384.2399999</v>
      </c>
      <c r="F83">
        <f ca="1">SUM($E$2:E83)/SUM($D$2:D83)</f>
        <v>145.98165474868702</v>
      </c>
      <c r="G83">
        <f ca="1">_xlfn.STDEV.P($C$2:C83)</f>
        <v>10.549423344291624</v>
      </c>
      <c r="H83">
        <f t="shared" ca="1" si="22"/>
        <v>156.53107809297865</v>
      </c>
      <c r="I83">
        <f t="shared" ca="1" si="23"/>
        <v>135.4322314043954</v>
      </c>
      <c r="J83">
        <f t="shared" ca="1" si="12"/>
        <v>142.42650000000003</v>
      </c>
      <c r="K83">
        <f t="shared" ca="1" si="13"/>
        <v>4.4254887033137811</v>
      </c>
      <c r="L83">
        <f t="shared" ca="1" si="14"/>
        <v>151.27747740662758</v>
      </c>
      <c r="M83">
        <f t="shared" ca="1" si="15"/>
        <v>133.57552259337248</v>
      </c>
      <c r="N83">
        <f t="shared" ca="1" si="24"/>
        <v>-0.3200000000000216</v>
      </c>
      <c r="O83">
        <f t="shared" ca="1" si="25"/>
        <v>0</v>
      </c>
      <c r="P83">
        <f t="shared" ca="1" si="26"/>
        <v>0.3200000000000216</v>
      </c>
      <c r="Q83">
        <f t="shared" ca="1" si="30"/>
        <v>0.79472808056473865</v>
      </c>
      <c r="R83">
        <f t="shared" ca="1" si="31"/>
        <v>0.76828001688880398</v>
      </c>
      <c r="S83">
        <f t="shared" ca="1" si="28"/>
        <v>1.0344250313616612</v>
      </c>
      <c r="T83">
        <f t="shared" ca="1" si="29"/>
        <v>50.846062912886509</v>
      </c>
      <c r="U83">
        <f>70</f>
        <v>70</v>
      </c>
      <c r="V83">
        <f>30</f>
        <v>30</v>
      </c>
      <c r="W83">
        <f t="shared" ca="1" si="27"/>
        <v>144.68437922985206</v>
      </c>
      <c r="X83">
        <f t="shared" ca="1" si="17"/>
        <v>142.93429915516299</v>
      </c>
      <c r="Y83">
        <f t="shared" ca="1" si="16"/>
        <v>1.6009498741825894</v>
      </c>
      <c r="Z83">
        <f t="shared" ca="1" si="18"/>
        <v>1.5864188424637877</v>
      </c>
      <c r="AA83">
        <f t="shared" ca="1" si="19"/>
        <v>1.4531031718801657E-2</v>
      </c>
    </row>
    <row r="84" spans="1:27" x14ac:dyDescent="0.25">
      <c r="A84" s="20">
        <f t="shared" ca="1" si="20"/>
        <v>45831</v>
      </c>
      <c r="B84" vm="245">
        <f ca="1"/>
        <v>45834</v>
      </c>
      <c r="C84" vm="246">
        <f ca="1"/>
        <v>144.44</v>
      </c>
      <c r="D84" vm="247">
        <f ca="1"/>
        <v>7415714</v>
      </c>
      <c r="E84">
        <f t="shared" ca="1" si="21"/>
        <v>1071125730.16</v>
      </c>
      <c r="F84">
        <f ca="1">SUM($E$2:E84)/SUM($D$2:D84)</f>
        <v>145.96760574210825</v>
      </c>
      <c r="G84">
        <f ca="1">_xlfn.STDEV.P($C$2:C84)</f>
        <v>10.487156509157</v>
      </c>
      <c r="H84">
        <f t="shared" ca="1" si="22"/>
        <v>156.45476225126524</v>
      </c>
      <c r="I84">
        <f t="shared" ca="1" si="23"/>
        <v>135.48044923295126</v>
      </c>
      <c r="J84">
        <f t="shared" ca="1" si="12"/>
        <v>142.84750000000003</v>
      </c>
      <c r="K84">
        <f t="shared" ca="1" si="13"/>
        <v>4.1775098034468741</v>
      </c>
      <c r="L84">
        <f t="shared" ca="1" si="14"/>
        <v>151.20251960689376</v>
      </c>
      <c r="M84">
        <f t="shared" ca="1" si="15"/>
        <v>134.49248039310629</v>
      </c>
      <c r="N84">
        <f t="shared" ca="1" si="24"/>
        <v>1.210000000000008</v>
      </c>
      <c r="O84">
        <f t="shared" ca="1" si="25"/>
        <v>1.210000000000008</v>
      </c>
      <c r="P84">
        <f t="shared" ca="1" si="26"/>
        <v>0</v>
      </c>
      <c r="Q84">
        <f t="shared" ca="1" si="30"/>
        <v>0.82439036052440073</v>
      </c>
      <c r="R84">
        <f t="shared" ca="1" si="31"/>
        <v>0.713402872825318</v>
      </c>
      <c r="S84">
        <f t="shared" ca="1" si="28"/>
        <v>1.1555747697784486</v>
      </c>
      <c r="T84">
        <f t="shared" ca="1" si="29"/>
        <v>53.608660946482473</v>
      </c>
      <c r="U84">
        <f>70</f>
        <v>70</v>
      </c>
      <c r="V84">
        <f>30</f>
        <v>30</v>
      </c>
      <c r="W84">
        <f t="shared" ca="1" si="27"/>
        <v>144.64678242525943</v>
      </c>
      <c r="X84">
        <f t="shared" ca="1" si="17"/>
        <v>143.04583255107684</v>
      </c>
      <c r="Y84">
        <f t="shared" ca="1" si="16"/>
        <v>1.4140136786383835</v>
      </c>
      <c r="Z84">
        <f t="shared" ca="1" si="18"/>
        <v>1.5519378096987071</v>
      </c>
      <c r="AA84">
        <f t="shared" ca="1" si="19"/>
        <v>-0.13792413106032364</v>
      </c>
    </row>
    <row r="85" spans="1:27" x14ac:dyDescent="0.25">
      <c r="A85" s="20">
        <f t="shared" ca="1" si="20"/>
        <v>45831</v>
      </c>
      <c r="B85" vm="248">
        <f ca="1"/>
        <v>45835</v>
      </c>
      <c r="C85" vm="249">
        <f ca="1"/>
        <v>143.79</v>
      </c>
      <c r="D85" vm="250">
        <f ca="1"/>
        <v>9213512</v>
      </c>
      <c r="E85">
        <f t="shared" ca="1" si="21"/>
        <v>1324810890.48</v>
      </c>
      <c r="F85">
        <f ca="1">SUM($E$2:E85)/SUM($D$2:D85)</f>
        <v>145.94322648666022</v>
      </c>
      <c r="G85">
        <f ca="1">_xlfn.STDEV.P($C$2:C85)</f>
        <v>10.427385436883005</v>
      </c>
      <c r="H85">
        <f t="shared" ca="1" si="22"/>
        <v>156.37061192354324</v>
      </c>
      <c r="I85">
        <f t="shared" ca="1" si="23"/>
        <v>135.51584104977721</v>
      </c>
      <c r="J85">
        <f t="shared" ca="1" si="12"/>
        <v>143.14150000000001</v>
      </c>
      <c r="K85">
        <f t="shared" ca="1" si="13"/>
        <v>4.0155019021681202</v>
      </c>
      <c r="L85">
        <f t="shared" ca="1" si="14"/>
        <v>151.17250380433626</v>
      </c>
      <c r="M85">
        <f t="shared" ca="1" si="15"/>
        <v>135.11049619566376</v>
      </c>
      <c r="N85">
        <f t="shared" ca="1" si="24"/>
        <v>-0.65000000000000568</v>
      </c>
      <c r="O85">
        <f t="shared" ca="1" si="25"/>
        <v>0</v>
      </c>
      <c r="P85">
        <f t="shared" ca="1" si="26"/>
        <v>0.65000000000000568</v>
      </c>
      <c r="Q85">
        <f t="shared" ca="1" si="30"/>
        <v>0.76550533477265781</v>
      </c>
      <c r="R85">
        <f t="shared" ca="1" si="31"/>
        <v>0.70887409619493857</v>
      </c>
      <c r="S85">
        <f t="shared" ca="1" si="28"/>
        <v>1.0798889942257754</v>
      </c>
      <c r="T85">
        <f t="shared" ca="1" si="29"/>
        <v>51.920511009182817</v>
      </c>
      <c r="U85">
        <f>70</f>
        <v>70</v>
      </c>
      <c r="V85">
        <f>30</f>
        <v>30</v>
      </c>
      <c r="W85">
        <f t="shared" ca="1" si="27"/>
        <v>144.51496974445027</v>
      </c>
      <c r="X85">
        <f t="shared" ca="1" si="17"/>
        <v>143.10095606581189</v>
      </c>
      <c r="Y85">
        <f t="shared" ca="1" si="16"/>
        <v>1.2035763325152971</v>
      </c>
      <c r="Z85">
        <f t="shared" ca="1" si="18"/>
        <v>1.4822655142620251</v>
      </c>
      <c r="AA85">
        <f t="shared" ca="1" si="19"/>
        <v>-0.27868918174672808</v>
      </c>
    </row>
    <row r="86" spans="1:27" x14ac:dyDescent="0.25">
      <c r="A86" s="20">
        <f t="shared" ca="1" si="20"/>
        <v>45838</v>
      </c>
      <c r="B86" vm="251">
        <f ca="1"/>
        <v>45838</v>
      </c>
      <c r="C86" vm="252">
        <f ca="1"/>
        <v>143.19</v>
      </c>
      <c r="D86" vm="253">
        <f ca="1"/>
        <v>6980319</v>
      </c>
      <c r="E86">
        <f t="shared" ca="1" si="21"/>
        <v>999511877.61000001</v>
      </c>
      <c r="F86">
        <f ca="1">SUM($E$2:E86)/SUM($D$2:D86)</f>
        <v>145.92007040372951</v>
      </c>
      <c r="G86">
        <f ca="1">_xlfn.STDEV.P($C$2:C86)</f>
        <v>10.370314970207749</v>
      </c>
      <c r="H86">
        <f t="shared" ca="1" si="22"/>
        <v>156.29038537393726</v>
      </c>
      <c r="I86">
        <f t="shared" ca="1" si="23"/>
        <v>135.54975543352177</v>
      </c>
      <c r="J86">
        <f t="shared" ref="J86:J149" ca="1" si="32">AVERAGE(C67:C86)</f>
        <v>143.46600000000001</v>
      </c>
      <c r="K86">
        <f t="shared" ref="K86:K149" ca="1" si="33">_xlfn.STDEV.S(C67:C86)</f>
        <v>3.718830319787179</v>
      </c>
      <c r="L86">
        <f t="shared" ref="L86:L149" ca="1" si="34">J86 + 2*K86</f>
        <v>150.90366063957435</v>
      </c>
      <c r="M86">
        <f t="shared" ref="M86:M149" ca="1" si="35">J86-2*K86</f>
        <v>136.02833936042566</v>
      </c>
      <c r="N86">
        <f t="shared" ca="1" si="24"/>
        <v>-0.59999999999999432</v>
      </c>
      <c r="O86">
        <f t="shared" ca="1" si="25"/>
        <v>0</v>
      </c>
      <c r="P86">
        <f t="shared" ca="1" si="26"/>
        <v>0.59999999999999432</v>
      </c>
      <c r="Q86">
        <f t="shared" ca="1" si="30"/>
        <v>0.7108263822888965</v>
      </c>
      <c r="R86">
        <f t="shared" ca="1" si="31"/>
        <v>0.70109737503815683</v>
      </c>
      <c r="S86">
        <f t="shared" ca="1" si="28"/>
        <v>1.0138768273810899</v>
      </c>
      <c r="T86">
        <f t="shared" ca="1" si="29"/>
        <v>50.344530191529529</v>
      </c>
      <c r="U86">
        <f>70</f>
        <v>70</v>
      </c>
      <c r="V86">
        <f>30</f>
        <v>30</v>
      </c>
      <c r="W86">
        <f t="shared" ca="1" si="27"/>
        <v>144.31112824530408</v>
      </c>
      <c r="X86">
        <f t="shared" ca="1" si="17"/>
        <v>143.10755191278878</v>
      </c>
      <c r="Y86">
        <f t="shared" ca="1" si="16"/>
        <v>1.2148453481451895</v>
      </c>
      <c r="Z86">
        <f t="shared" ca="1" si="18"/>
        <v>1.4287814810386581</v>
      </c>
      <c r="AA86">
        <f t="shared" ca="1" si="19"/>
        <v>-0.21393613289346858</v>
      </c>
    </row>
    <row r="87" spans="1:27" x14ac:dyDescent="0.25">
      <c r="A87" s="20">
        <f t="shared" ca="1" si="20"/>
        <v>45838</v>
      </c>
      <c r="B87" vm="254">
        <f ca="1"/>
        <v>45839</v>
      </c>
      <c r="C87" vm="255">
        <f ca="1"/>
        <v>145.57</v>
      </c>
      <c r="D87" vm="256">
        <f ca="1"/>
        <v>8508150</v>
      </c>
      <c r="E87">
        <f t="shared" ca="1" si="21"/>
        <v>1238531395.5</v>
      </c>
      <c r="F87">
        <f ca="1">SUM($E$2:E87)/SUM($D$2:D87)</f>
        <v>145.9165181092487</v>
      </c>
      <c r="G87">
        <f ca="1">_xlfn.STDEV.P($C$2:C87)</f>
        <v>10.309936957499019</v>
      </c>
      <c r="H87">
        <f t="shared" ca="1" si="22"/>
        <v>156.22645506674772</v>
      </c>
      <c r="I87">
        <f t="shared" ca="1" si="23"/>
        <v>135.60658115174968</v>
      </c>
      <c r="J87">
        <f t="shared" ca="1" si="32"/>
        <v>143.85250000000002</v>
      </c>
      <c r="K87">
        <f t="shared" ca="1" si="33"/>
        <v>3.4985077645972669</v>
      </c>
      <c r="L87">
        <f t="shared" ca="1" si="34"/>
        <v>150.84951552919455</v>
      </c>
      <c r="M87">
        <f t="shared" ca="1" si="35"/>
        <v>136.85548447080549</v>
      </c>
      <c r="N87">
        <f t="shared" ca="1" si="24"/>
        <v>2.3799999999999955</v>
      </c>
      <c r="O87">
        <f t="shared" ca="1" si="25"/>
        <v>2.3799999999999955</v>
      </c>
      <c r="P87">
        <f t="shared" ca="1" si="26"/>
        <v>0</v>
      </c>
      <c r="Q87">
        <f t="shared" ca="1" si="30"/>
        <v>0.83005306926826072</v>
      </c>
      <c r="R87">
        <f t="shared" ca="1" si="31"/>
        <v>0.6510189911068599</v>
      </c>
      <c r="S87">
        <f t="shared" ca="1" si="28"/>
        <v>1.2750059224186499</v>
      </c>
      <c r="T87">
        <f t="shared" ca="1" si="29"/>
        <v>56.044070472710686</v>
      </c>
      <c r="U87">
        <f>70</f>
        <v>70</v>
      </c>
      <c r="V87">
        <f>30</f>
        <v>30</v>
      </c>
      <c r="W87">
        <f t="shared" ca="1" si="27"/>
        <v>144.50480082294962</v>
      </c>
      <c r="X87">
        <f t="shared" ca="1" si="17"/>
        <v>143.28995547480443</v>
      </c>
      <c r="Y87">
        <f t="shared" ca="1" si="16"/>
        <v>1.402080669813671</v>
      </c>
      <c r="Z87">
        <f t="shared" ca="1" si="18"/>
        <v>1.4234413187936608</v>
      </c>
      <c r="AA87">
        <f t="shared" ca="1" si="19"/>
        <v>-2.1360648979989794E-2</v>
      </c>
    </row>
    <row r="88" spans="1:27" x14ac:dyDescent="0.25">
      <c r="A88" s="20">
        <f t="shared" ca="1" si="20"/>
        <v>45838</v>
      </c>
      <c r="B88" vm="257">
        <f ca="1"/>
        <v>45840</v>
      </c>
      <c r="C88" vm="258">
        <f ca="1"/>
        <v>147.97999999999999</v>
      </c>
      <c r="D88" vm="259">
        <f ca="1"/>
        <v>8228683</v>
      </c>
      <c r="E88">
        <f t="shared" ca="1" si="21"/>
        <v>1217680510.3399999</v>
      </c>
      <c r="F88">
        <f ca="1">SUM($E$2:E88)/SUM($D$2:D88)</f>
        <v>145.93657243235185</v>
      </c>
      <c r="G88">
        <f ca="1">_xlfn.STDEV.P($C$2:C88)</f>
        <v>10.252754397276664</v>
      </c>
      <c r="H88">
        <f t="shared" ca="1" si="22"/>
        <v>156.18932682962853</v>
      </c>
      <c r="I88">
        <f t="shared" ca="1" si="23"/>
        <v>135.68381803507518</v>
      </c>
      <c r="J88">
        <f t="shared" ca="1" si="32"/>
        <v>144.274</v>
      </c>
      <c r="K88">
        <f t="shared" ca="1" si="33"/>
        <v>3.4604766936606319</v>
      </c>
      <c r="L88">
        <f t="shared" ca="1" si="34"/>
        <v>151.19495338732128</v>
      </c>
      <c r="M88">
        <f t="shared" ca="1" si="35"/>
        <v>137.35304661267872</v>
      </c>
      <c r="N88">
        <f t="shared" ca="1" si="24"/>
        <v>2.4099999999999966</v>
      </c>
      <c r="O88">
        <f t="shared" ca="1" si="25"/>
        <v>2.4099999999999966</v>
      </c>
      <c r="P88">
        <f t="shared" ca="1" si="26"/>
        <v>0</v>
      </c>
      <c r="Q88">
        <f t="shared" ca="1" si="30"/>
        <v>0.94290642146338477</v>
      </c>
      <c r="R88">
        <f t="shared" ca="1" si="31"/>
        <v>0.60451763459922703</v>
      </c>
      <c r="S88">
        <f t="shared" ca="1" si="28"/>
        <v>1.5597666097673015</v>
      </c>
      <c r="T88">
        <f t="shared" ca="1" si="29"/>
        <v>60.933938422967934</v>
      </c>
      <c r="U88">
        <f>70</f>
        <v>70</v>
      </c>
      <c r="V88">
        <f>30</f>
        <v>30</v>
      </c>
      <c r="W88">
        <f t="shared" ca="1" si="27"/>
        <v>145.03944685018814</v>
      </c>
      <c r="X88">
        <f t="shared" ca="1" si="17"/>
        <v>143.63736618037447</v>
      </c>
      <c r="Y88">
        <f t="shared" ca="1" si="16"/>
        <v>1.5639079939720091</v>
      </c>
      <c r="Z88">
        <f t="shared" ca="1" si="18"/>
        <v>1.4515346538293306</v>
      </c>
      <c r="AA88">
        <f t="shared" ca="1" si="19"/>
        <v>0.11237334014267852</v>
      </c>
    </row>
    <row r="89" spans="1:27" x14ac:dyDescent="0.25">
      <c r="A89" s="20">
        <f t="shared" ca="1" si="20"/>
        <v>45838</v>
      </c>
      <c r="B89" vm="260">
        <f ca="1"/>
        <v>45841</v>
      </c>
      <c r="C89" vm="261">
        <f ca="1"/>
        <v>148.37</v>
      </c>
      <c r="D89" vm="262">
        <f ca="1"/>
        <v>5173309</v>
      </c>
      <c r="E89">
        <f t="shared" ca="1" si="21"/>
        <v>767563856.33000004</v>
      </c>
      <c r="F89">
        <f ca="1">SUM($E$2:E89)/SUM($D$2:D89)</f>
        <v>145.95135052435165</v>
      </c>
      <c r="G89">
        <f ca="1">_xlfn.STDEV.P($C$2:C89)</f>
        <v>10.197448949744475</v>
      </c>
      <c r="H89">
        <f t="shared" ca="1" si="22"/>
        <v>156.14879947409614</v>
      </c>
      <c r="I89">
        <f t="shared" ca="1" si="23"/>
        <v>135.75390157460717</v>
      </c>
      <c r="J89">
        <f t="shared" ca="1" si="32"/>
        <v>144.82400000000001</v>
      </c>
      <c r="K89">
        <f t="shared" ca="1" si="33"/>
        <v>3.1671428266200006</v>
      </c>
      <c r="L89">
        <f t="shared" ca="1" si="34"/>
        <v>151.15828565324</v>
      </c>
      <c r="M89">
        <f t="shared" ca="1" si="35"/>
        <v>138.48971434676002</v>
      </c>
      <c r="N89">
        <f t="shared" ca="1" si="24"/>
        <v>0.39000000000001478</v>
      </c>
      <c r="O89">
        <f t="shared" ca="1" si="25"/>
        <v>0.39000000000001478</v>
      </c>
      <c r="P89">
        <f t="shared" ca="1" si="26"/>
        <v>0</v>
      </c>
      <c r="Q89">
        <f t="shared" ca="1" si="30"/>
        <v>0.90341310564457267</v>
      </c>
      <c r="R89">
        <f t="shared" ca="1" si="31"/>
        <v>0.56133780355642515</v>
      </c>
      <c r="S89">
        <f t="shared" ca="1" si="28"/>
        <v>1.6093929536205955</v>
      </c>
      <c r="T89">
        <f t="shared" ca="1" si="29"/>
        <v>61.676910385901216</v>
      </c>
      <c r="U89">
        <f>70</f>
        <v>70</v>
      </c>
      <c r="V89">
        <f>30</f>
        <v>30</v>
      </c>
      <c r="W89">
        <f t="shared" ca="1" si="27"/>
        <v>145.55183964246689</v>
      </c>
      <c r="X89">
        <f t="shared" ca="1" si="17"/>
        <v>143.98793164849488</v>
      </c>
      <c r="Y89">
        <f t="shared" ca="1" si="16"/>
        <v>1.5954945528542339</v>
      </c>
      <c r="Z89">
        <f t="shared" ca="1" si="18"/>
        <v>1.4803266336343113</v>
      </c>
      <c r="AA89">
        <f t="shared" ca="1" si="19"/>
        <v>0.11516791921992264</v>
      </c>
    </row>
    <row r="90" spans="1:27" x14ac:dyDescent="0.25">
      <c r="A90" s="20">
        <f t="shared" ca="1" si="20"/>
        <v>45845</v>
      </c>
      <c r="B90" vm="263">
        <f ca="1"/>
        <v>45845</v>
      </c>
      <c r="C90" vm="264">
        <f ca="1"/>
        <v>147.4</v>
      </c>
      <c r="D90" vm="265">
        <f ca="1"/>
        <v>9460902</v>
      </c>
      <c r="E90">
        <f t="shared" ca="1" si="21"/>
        <v>1394536954.8</v>
      </c>
      <c r="F90">
        <f ca="1">SUM($E$2:E90)/SUM($D$2:D90)</f>
        <v>145.9672627387713</v>
      </c>
      <c r="G90">
        <f ca="1">_xlfn.STDEV.P($C$2:C90)</f>
        <v>10.141042658112742</v>
      </c>
      <c r="H90">
        <f t="shared" ca="1" si="22"/>
        <v>156.10830539688405</v>
      </c>
      <c r="I90">
        <f t="shared" ca="1" si="23"/>
        <v>135.82622008065854</v>
      </c>
      <c r="J90">
        <f t="shared" ca="1" si="32"/>
        <v>145.34900000000002</v>
      </c>
      <c r="K90">
        <f t="shared" ca="1" si="33"/>
        <v>2.6048394232759606</v>
      </c>
      <c r="L90">
        <f t="shared" ca="1" si="34"/>
        <v>150.55867884655194</v>
      </c>
      <c r="M90">
        <f t="shared" ca="1" si="35"/>
        <v>140.13932115344809</v>
      </c>
      <c r="N90">
        <f t="shared" ca="1" si="24"/>
        <v>-0.96999999999999886</v>
      </c>
      <c r="O90">
        <f t="shared" ca="1" si="25"/>
        <v>0</v>
      </c>
      <c r="P90">
        <f t="shared" ca="1" si="26"/>
        <v>0.96999999999999886</v>
      </c>
      <c r="Q90">
        <f t="shared" ca="1" si="30"/>
        <v>0.83888359809853175</v>
      </c>
      <c r="R90">
        <f t="shared" ca="1" si="31"/>
        <v>0.5905279604452518</v>
      </c>
      <c r="S90">
        <f t="shared" ca="1" si="28"/>
        <v>1.4205654165232455</v>
      </c>
      <c r="T90">
        <f t="shared" ca="1" si="29"/>
        <v>58.687338372522078</v>
      </c>
      <c r="U90">
        <f>70</f>
        <v>70</v>
      </c>
      <c r="V90">
        <f>30</f>
        <v>30</v>
      </c>
      <c r="W90">
        <f t="shared" ca="1" si="27"/>
        <v>145.83617200516429</v>
      </c>
      <c r="X90">
        <f t="shared" ca="1" si="17"/>
        <v>144.24067745231005</v>
      </c>
      <c r="Y90">
        <f t="shared" ca="1" si="16"/>
        <v>2.0679285285841047</v>
      </c>
      <c r="Z90">
        <f t="shared" ca="1" si="18"/>
        <v>1.5978470126242699</v>
      </c>
      <c r="AA90">
        <f t="shared" ca="1" si="19"/>
        <v>0.47008151595983483</v>
      </c>
    </row>
    <row r="91" spans="1:27" x14ac:dyDescent="0.25">
      <c r="A91" s="20">
        <f t="shared" ca="1" si="20"/>
        <v>45845</v>
      </c>
      <c r="B91" vm="266">
        <f ca="1"/>
        <v>45846</v>
      </c>
      <c r="C91" vm="267">
        <f ca="1"/>
        <v>153.24</v>
      </c>
      <c r="D91" vm="268">
        <f ca="1"/>
        <v>14082097</v>
      </c>
      <c r="E91">
        <f t="shared" ca="1" si="21"/>
        <v>2157940544.2800002</v>
      </c>
      <c r="F91">
        <f ca="1">SUM($E$2:E91)/SUM($D$2:D91)</f>
        <v>146.08425495150985</v>
      </c>
      <c r="G91">
        <f ca="1">_xlfn.STDEV.P($C$2:C91)</f>
        <v>10.112790163396497</v>
      </c>
      <c r="H91">
        <f t="shared" ca="1" si="22"/>
        <v>156.19704511490636</v>
      </c>
      <c r="I91">
        <f t="shared" ca="1" si="23"/>
        <v>135.97146478811334</v>
      </c>
      <c r="J91">
        <f t="shared" ca="1" si="32"/>
        <v>146.00050000000002</v>
      </c>
      <c r="K91">
        <f t="shared" ca="1" si="33"/>
        <v>2.8680462357720691</v>
      </c>
      <c r="L91">
        <f t="shared" ca="1" si="34"/>
        <v>151.73659247154416</v>
      </c>
      <c r="M91">
        <f t="shared" ca="1" si="35"/>
        <v>140.26440752845588</v>
      </c>
      <c r="N91">
        <f t="shared" ca="1" si="24"/>
        <v>5.8400000000000034</v>
      </c>
      <c r="O91">
        <f t="shared" ca="1" si="25"/>
        <v>5.8400000000000034</v>
      </c>
      <c r="P91">
        <f t="shared" ca="1" si="26"/>
        <v>0</v>
      </c>
      <c r="Q91">
        <f t="shared" ca="1" si="30"/>
        <v>1.1961061982343513</v>
      </c>
      <c r="R91">
        <f t="shared" ca="1" si="31"/>
        <v>0.54834739184201953</v>
      </c>
      <c r="S91">
        <f t="shared" ca="1" si="28"/>
        <v>2.1812927644578877</v>
      </c>
      <c r="T91">
        <f t="shared" ca="1" si="29"/>
        <v>68.566237877499901</v>
      </c>
      <c r="U91">
        <f>70</f>
        <v>70</v>
      </c>
      <c r="V91">
        <f>30</f>
        <v>30</v>
      </c>
      <c r="W91">
        <f t="shared" ca="1" si="27"/>
        <v>146.97522246590825</v>
      </c>
      <c r="X91">
        <f t="shared" ca="1" si="17"/>
        <v>144.90729393732414</v>
      </c>
      <c r="Y91">
        <f t="shared" ca="1" si="16"/>
        <v>2.3969531132319162</v>
      </c>
      <c r="Z91">
        <f t="shared" ca="1" si="18"/>
        <v>1.7576682327457993</v>
      </c>
      <c r="AA91">
        <f t="shared" ca="1" si="19"/>
        <v>0.63928488048611687</v>
      </c>
    </row>
    <row r="92" spans="1:27" x14ac:dyDescent="0.25">
      <c r="A92" s="20">
        <f t="shared" ca="1" si="20"/>
        <v>45845</v>
      </c>
      <c r="B92" vm="269">
        <f ca="1"/>
        <v>45847</v>
      </c>
      <c r="C92" vm="270">
        <f ca="1"/>
        <v>153.02000000000001</v>
      </c>
      <c r="D92" vm="271">
        <f ca="1"/>
        <v>9495898</v>
      </c>
      <c r="E92">
        <f t="shared" ca="1" si="21"/>
        <v>1453062311.96</v>
      </c>
      <c r="F92">
        <f ca="1">SUM($E$2:E92)/SUM($D$2:D92)</f>
        <v>146.15868276587921</v>
      </c>
      <c r="G92">
        <f ca="1">_xlfn.STDEV.P($C$2:C92)</f>
        <v>10.082803809711717</v>
      </c>
      <c r="H92">
        <f t="shared" ca="1" si="22"/>
        <v>156.24148657559093</v>
      </c>
      <c r="I92">
        <f t="shared" ca="1" si="23"/>
        <v>136.07587895616749</v>
      </c>
      <c r="J92">
        <f t="shared" ca="1" si="32"/>
        <v>146.61349999999999</v>
      </c>
      <c r="K92">
        <f t="shared" ca="1" si="33"/>
        <v>2.9963421120812623</v>
      </c>
      <c r="L92">
        <f t="shared" ca="1" si="34"/>
        <v>152.60618422416252</v>
      </c>
      <c r="M92">
        <f t="shared" ca="1" si="35"/>
        <v>140.62081577583746</v>
      </c>
      <c r="N92">
        <f t="shared" ca="1" si="24"/>
        <v>-0.21999999999999886</v>
      </c>
      <c r="O92">
        <f t="shared" ca="1" si="25"/>
        <v>0</v>
      </c>
      <c r="P92">
        <f t="shared" ca="1" si="26"/>
        <v>0.21999999999999886</v>
      </c>
      <c r="Q92">
        <f t="shared" ca="1" si="30"/>
        <v>1.1106700412176118</v>
      </c>
      <c r="R92">
        <f t="shared" ca="1" si="31"/>
        <v>0.52489400671044661</v>
      </c>
      <c r="S92">
        <f t="shared" ca="1" si="28"/>
        <v>2.1159891845179777</v>
      </c>
      <c r="T92">
        <f t="shared" ca="1" si="29"/>
        <v>67.907462420968159</v>
      </c>
      <c r="U92">
        <f>70</f>
        <v>70</v>
      </c>
      <c r="V92">
        <f>30</f>
        <v>30</v>
      </c>
      <c r="W92">
        <f t="shared" ca="1" si="27"/>
        <v>147.90518824038389</v>
      </c>
      <c r="X92">
        <f t="shared" ca="1" si="17"/>
        <v>145.50823512715198</v>
      </c>
      <c r="Y92">
        <f t="shared" ref="Y92:Y155" ca="1" si="36">W93-X93</f>
        <v>2.7191580942154587</v>
      </c>
      <c r="Z92">
        <f t="shared" ca="1" si="18"/>
        <v>1.9499662050397313</v>
      </c>
      <c r="AA92">
        <f t="shared" ca="1" si="19"/>
        <v>0.76919188917572745</v>
      </c>
    </row>
    <row r="93" spans="1:27" x14ac:dyDescent="0.25">
      <c r="A93" s="20">
        <f t="shared" ca="1" si="20"/>
        <v>45845</v>
      </c>
      <c r="B93" vm="272">
        <f ca="1"/>
        <v>45848</v>
      </c>
      <c r="C93" vm="273">
        <f ca="1"/>
        <v>154.16999999999999</v>
      </c>
      <c r="D93" vm="274">
        <f ca="1"/>
        <v>8398810</v>
      </c>
      <c r="E93">
        <f t="shared" ca="1" si="21"/>
        <v>1294844537.6999998</v>
      </c>
      <c r="F93">
        <f ca="1">SUM($E$2:E93)/SUM($D$2:D93)</f>
        <v>146.23400535278142</v>
      </c>
      <c r="G93">
        <f ca="1">_xlfn.STDEV.P($C$2:C93)</f>
        <v>10.061931280526883</v>
      </c>
      <c r="H93">
        <f t="shared" ca="1" si="22"/>
        <v>156.29593663330832</v>
      </c>
      <c r="I93">
        <f t="shared" ca="1" si="23"/>
        <v>136.17207407225453</v>
      </c>
      <c r="J93">
        <f t="shared" ca="1" si="32"/>
        <v>147.15449999999998</v>
      </c>
      <c r="K93">
        <f t="shared" ca="1" si="33"/>
        <v>3.3338763198099421</v>
      </c>
      <c r="L93">
        <f t="shared" ca="1" si="34"/>
        <v>153.82225263961988</v>
      </c>
      <c r="M93">
        <f t="shared" ca="1" si="35"/>
        <v>140.48674736038009</v>
      </c>
      <c r="N93">
        <f t="shared" ca="1" si="24"/>
        <v>1.1499999999999773</v>
      </c>
      <c r="O93">
        <f t="shared" ca="1" si="25"/>
        <v>1.1499999999999773</v>
      </c>
      <c r="P93">
        <f t="shared" ca="1" si="26"/>
        <v>0</v>
      </c>
      <c r="Q93">
        <f t="shared" ca="1" si="30"/>
        <v>1.1134793239877807</v>
      </c>
      <c r="R93">
        <f t="shared" ca="1" si="31"/>
        <v>0.48740157765970044</v>
      </c>
      <c r="S93">
        <f t="shared" ca="1" si="28"/>
        <v>2.2845213783144591</v>
      </c>
      <c r="T93">
        <f t="shared" ca="1" si="29"/>
        <v>69.554163763331104</v>
      </c>
      <c r="U93">
        <f>70</f>
        <v>70</v>
      </c>
      <c r="V93">
        <f>30</f>
        <v>30</v>
      </c>
      <c r="W93">
        <f t="shared" ca="1" si="27"/>
        <v>148.86900543417099</v>
      </c>
      <c r="X93">
        <f t="shared" ref="X93:X156" ca="1" si="37">C93*(2/(26+1)) + X92*(1-(2/(26+1)))</f>
        <v>146.14984733995553</v>
      </c>
      <c r="Y93">
        <f t="shared" ca="1" si="36"/>
        <v>3.0315505084422796</v>
      </c>
      <c r="Z93">
        <f t="shared" ca="1" si="18"/>
        <v>2.1662830657202412</v>
      </c>
      <c r="AA93">
        <f t="shared" ca="1" si="19"/>
        <v>0.86526744272203837</v>
      </c>
    </row>
    <row r="94" spans="1:27" x14ac:dyDescent="0.25">
      <c r="A94" s="20">
        <f t="shared" ca="1" si="20"/>
        <v>45845</v>
      </c>
      <c r="B94" vm="275">
        <f ca="1"/>
        <v>45849</v>
      </c>
      <c r="C94" vm="276">
        <f ca="1"/>
        <v>155.31</v>
      </c>
      <c r="D94" vm="277">
        <f ca="1"/>
        <v>8333214</v>
      </c>
      <c r="E94">
        <f t="shared" ca="1" si="21"/>
        <v>1294231466.3399999</v>
      </c>
      <c r="F94">
        <f ca="1">SUM($E$2:E94)/SUM($D$2:D94)</f>
        <v>146.31788908230078</v>
      </c>
      <c r="G94">
        <f ca="1">_xlfn.STDEV.P($C$2:C94)</f>
        <v>10.050955709371818</v>
      </c>
      <c r="H94">
        <f t="shared" ca="1" si="22"/>
        <v>156.36884479167259</v>
      </c>
      <c r="I94">
        <f t="shared" ca="1" si="23"/>
        <v>136.26693337292897</v>
      </c>
      <c r="J94">
        <f t="shared" ca="1" si="32"/>
        <v>147.68099999999998</v>
      </c>
      <c r="K94">
        <f t="shared" ca="1" si="33"/>
        <v>3.7452410504953884</v>
      </c>
      <c r="L94">
        <f t="shared" ca="1" si="34"/>
        <v>155.17148210099077</v>
      </c>
      <c r="M94">
        <f t="shared" ca="1" si="35"/>
        <v>140.19051789900919</v>
      </c>
      <c r="N94">
        <f t="shared" ca="1" si="24"/>
        <v>1.1400000000000148</v>
      </c>
      <c r="O94">
        <f t="shared" ca="1" si="25"/>
        <v>1.1400000000000148</v>
      </c>
      <c r="P94">
        <f t="shared" ca="1" si="26"/>
        <v>0</v>
      </c>
      <c r="Q94">
        <f t="shared" ca="1" si="30"/>
        <v>1.1153736579886546</v>
      </c>
      <c r="R94">
        <f t="shared" ca="1" si="31"/>
        <v>0.45258717925543612</v>
      </c>
      <c r="S94">
        <f t="shared" ca="1" si="28"/>
        <v>2.4644393591165952</v>
      </c>
      <c r="T94">
        <f t="shared" ca="1" si="29"/>
        <v>71.135300799290306</v>
      </c>
      <c r="U94">
        <f>70</f>
        <v>70</v>
      </c>
      <c r="V94">
        <f>30</f>
        <v>30</v>
      </c>
      <c r="W94">
        <f t="shared" ca="1" si="27"/>
        <v>149.85992767506775</v>
      </c>
      <c r="X94">
        <f t="shared" ca="1" si="37"/>
        <v>146.82837716662547</v>
      </c>
      <c r="Y94">
        <f t="shared" ca="1" si="36"/>
        <v>2.9497890038229286</v>
      </c>
      <c r="Z94">
        <f t="shared" ca="1" si="18"/>
        <v>2.322984253340779</v>
      </c>
      <c r="AA94">
        <f t="shared" ca="1" si="19"/>
        <v>0.62680475048214968</v>
      </c>
    </row>
    <row r="95" spans="1:27" x14ac:dyDescent="0.25">
      <c r="A95" s="20">
        <f t="shared" ca="1" si="20"/>
        <v>45852</v>
      </c>
      <c r="B95" vm="278">
        <f ca="1"/>
        <v>45852</v>
      </c>
      <c r="C95" vm="279">
        <f ca="1"/>
        <v>151.65</v>
      </c>
      <c r="D95" vm="280">
        <f ca="1"/>
        <v>10706325</v>
      </c>
      <c r="E95">
        <f t="shared" ca="1" si="21"/>
        <v>1623614186.25</v>
      </c>
      <c r="F95">
        <f ca="1">SUM($E$2:E95)/SUM($D$2:D95)</f>
        <v>146.38046164724094</v>
      </c>
      <c r="G95">
        <f ca="1">_xlfn.STDEV.P($C$2:C95)</f>
        <v>10.011990084980479</v>
      </c>
      <c r="H95">
        <f t="shared" ca="1" si="22"/>
        <v>156.39245173222142</v>
      </c>
      <c r="I95">
        <f t="shared" ca="1" si="23"/>
        <v>136.36847156226045</v>
      </c>
      <c r="J95">
        <f t="shared" ca="1" si="32"/>
        <v>148.01500000000004</v>
      </c>
      <c r="K95">
        <f t="shared" ca="1" si="33"/>
        <v>3.7883623735968324</v>
      </c>
      <c r="L95">
        <f t="shared" ca="1" si="34"/>
        <v>155.59172474719369</v>
      </c>
      <c r="M95">
        <f t="shared" ca="1" si="35"/>
        <v>140.43827525280639</v>
      </c>
      <c r="N95">
        <f t="shared" ca="1" si="24"/>
        <v>-3.6599999999999966</v>
      </c>
      <c r="O95">
        <f t="shared" ca="1" si="25"/>
        <v>0</v>
      </c>
      <c r="P95">
        <f t="shared" ca="1" si="26"/>
        <v>3.6599999999999966</v>
      </c>
      <c r="Q95">
        <f t="shared" ca="1" si="30"/>
        <v>1.0357041109894651</v>
      </c>
      <c r="R95">
        <f t="shared" ca="1" si="31"/>
        <v>0.68168809502290473</v>
      </c>
      <c r="S95">
        <f t="shared" ca="1" si="28"/>
        <v>1.5193225736979687</v>
      </c>
      <c r="T95">
        <f t="shared" ca="1" si="29"/>
        <v>60.306789990288642</v>
      </c>
      <c r="U95">
        <f>70</f>
        <v>70</v>
      </c>
      <c r="V95">
        <f>30</f>
        <v>30</v>
      </c>
      <c r="W95">
        <f t="shared" ca="1" si="27"/>
        <v>150.13532341736502</v>
      </c>
      <c r="X95">
        <f t="shared" ca="1" si="37"/>
        <v>147.18553441354209</v>
      </c>
      <c r="Y95">
        <f t="shared" ca="1" si="36"/>
        <v>2.7755338192484942</v>
      </c>
      <c r="Z95">
        <f t="shared" ca="1" si="18"/>
        <v>2.4134941665223222</v>
      </c>
      <c r="AA95">
        <f t="shared" ca="1" si="19"/>
        <v>0.362039652726172</v>
      </c>
    </row>
    <row r="96" spans="1:27" x14ac:dyDescent="0.25">
      <c r="A96" s="20">
        <f t="shared" ca="1" si="20"/>
        <v>45852</v>
      </c>
      <c r="B96" vm="281">
        <f ca="1"/>
        <v>45853</v>
      </c>
      <c r="C96" vm="282">
        <f ca="1"/>
        <v>150.69</v>
      </c>
      <c r="D96" vm="283">
        <f ca="1"/>
        <v>7346346</v>
      </c>
      <c r="E96">
        <f t="shared" ca="1" si="21"/>
        <v>1107020878.74</v>
      </c>
      <c r="F96">
        <f ca="1">SUM($E$2:E96)/SUM($D$2:D96)</f>
        <v>146.41488581566574</v>
      </c>
      <c r="G96">
        <f ca="1">_xlfn.STDEV.P($C$2:C96)</f>
        <v>9.9686386982298085</v>
      </c>
      <c r="H96">
        <f t="shared" ca="1" si="22"/>
        <v>156.38352451389554</v>
      </c>
      <c r="I96">
        <f t="shared" ca="1" si="23"/>
        <v>136.44624711743595</v>
      </c>
      <c r="J96">
        <f t="shared" ca="1" si="32"/>
        <v>148.25399999999999</v>
      </c>
      <c r="K96">
        <f t="shared" ca="1" si="33"/>
        <v>3.7993370612862405</v>
      </c>
      <c r="L96">
        <f t="shared" ca="1" si="34"/>
        <v>155.85267412257247</v>
      </c>
      <c r="M96">
        <f t="shared" ca="1" si="35"/>
        <v>140.65532587742752</v>
      </c>
      <c r="N96">
        <f t="shared" ca="1" si="24"/>
        <v>-0.96000000000000796</v>
      </c>
      <c r="O96">
        <f t="shared" ca="1" si="25"/>
        <v>0</v>
      </c>
      <c r="P96">
        <f t="shared" ca="1" si="26"/>
        <v>0.96000000000000796</v>
      </c>
      <c r="Q96">
        <f t="shared" ca="1" si="30"/>
        <v>0.96172524591878905</v>
      </c>
      <c r="R96">
        <f t="shared" ca="1" si="31"/>
        <v>0.70156751680698359</v>
      </c>
      <c r="S96">
        <f t="shared" ca="1" si="28"/>
        <v>1.3708235100391351</v>
      </c>
      <c r="T96">
        <f t="shared" ca="1" si="29"/>
        <v>57.820563371100825</v>
      </c>
      <c r="U96">
        <f>70</f>
        <v>70</v>
      </c>
      <c r="V96">
        <f>30</f>
        <v>30</v>
      </c>
      <c r="W96">
        <f t="shared" ca="1" si="27"/>
        <v>150.22065827623192</v>
      </c>
      <c r="X96">
        <f t="shared" ca="1" si="37"/>
        <v>147.44512445698342</v>
      </c>
      <c r="Y96">
        <f t="shared" ca="1" si="36"/>
        <v>2.5459545855306942</v>
      </c>
      <c r="Z96">
        <f t="shared" ca="1" si="18"/>
        <v>2.4399862503239964</v>
      </c>
      <c r="AA96">
        <f t="shared" ca="1" si="19"/>
        <v>0.10596833520669779</v>
      </c>
    </row>
    <row r="97" spans="1:28" x14ac:dyDescent="0.25">
      <c r="A97" s="20">
        <f t="shared" ca="1" si="20"/>
        <v>45852</v>
      </c>
      <c r="B97" vm="284">
        <f ca="1"/>
        <v>45854</v>
      </c>
      <c r="C97" vm="285">
        <f ca="1"/>
        <v>149.91999999999999</v>
      </c>
      <c r="D97" vm="286">
        <f ca="1"/>
        <v>7923427</v>
      </c>
      <c r="E97">
        <f t="shared" ca="1" si="21"/>
        <v>1187880175.8399999</v>
      </c>
      <c r="F97">
        <f ca="1">SUM($E$2:E97)/SUM($D$2:D97)</f>
        <v>146.44482575902211</v>
      </c>
      <c r="G97">
        <f ca="1">_xlfn.STDEV.P($C$2:C97)</f>
        <v>9.9227478815514285</v>
      </c>
      <c r="H97">
        <f t="shared" ca="1" si="22"/>
        <v>156.36757364057354</v>
      </c>
      <c r="I97">
        <f t="shared" ca="1" si="23"/>
        <v>136.52207787747068</v>
      </c>
      <c r="J97">
        <f t="shared" ca="1" si="32"/>
        <v>148.44850000000002</v>
      </c>
      <c r="K97">
        <f t="shared" ca="1" si="33"/>
        <v>3.7790074929244262</v>
      </c>
      <c r="L97">
        <f t="shared" ca="1" si="34"/>
        <v>156.00651498584887</v>
      </c>
      <c r="M97">
        <f t="shared" ca="1" si="35"/>
        <v>140.89048501415118</v>
      </c>
      <c r="N97">
        <f t="shared" ca="1" si="24"/>
        <v>-0.77000000000001023</v>
      </c>
      <c r="O97">
        <f t="shared" ca="1" si="25"/>
        <v>0</v>
      </c>
      <c r="P97">
        <f t="shared" ca="1" si="26"/>
        <v>0.77000000000001023</v>
      </c>
      <c r="Q97">
        <f t="shared" ca="1" si="30"/>
        <v>0.89303058549601844</v>
      </c>
      <c r="R97">
        <f t="shared" ca="1" si="31"/>
        <v>0.7064555513207712</v>
      </c>
      <c r="S97">
        <f t="shared" ca="1" si="28"/>
        <v>1.2641001742097311</v>
      </c>
      <c r="T97">
        <f t="shared" ca="1" si="29"/>
        <v>55.832342959425667</v>
      </c>
      <c r="U97">
        <f>70</f>
        <v>70</v>
      </c>
      <c r="V97">
        <f>30</f>
        <v>30</v>
      </c>
      <c r="W97">
        <f t="shared" ca="1" si="27"/>
        <v>150.17440315681162</v>
      </c>
      <c r="X97">
        <f t="shared" ca="1" si="37"/>
        <v>147.62844857128093</v>
      </c>
      <c r="Y97">
        <f t="shared" ca="1" si="36"/>
        <v>2.4535383245206503</v>
      </c>
      <c r="Z97">
        <f t="shared" ca="1" si="18"/>
        <v>2.4426966651633273</v>
      </c>
      <c r="AA97">
        <f t="shared" ca="1" si="19"/>
        <v>1.0841659357323064E-2</v>
      </c>
    </row>
    <row r="98" spans="1:28" x14ac:dyDescent="0.25">
      <c r="A98" s="20">
        <f t="shared" ca="1" si="20"/>
        <v>45852</v>
      </c>
      <c r="B98" vm="287">
        <f ca="1"/>
        <v>45855</v>
      </c>
      <c r="C98" vm="288">
        <f ca="1"/>
        <v>151.38</v>
      </c>
      <c r="D98" vm="289">
        <f ca="1"/>
        <v>8359596</v>
      </c>
      <c r="E98">
        <f t="shared" ca="1" si="21"/>
        <v>1265475642.48</v>
      </c>
      <c r="F98">
        <f ca="1">SUM($E$2:E98)/SUM($D$2:D98)</f>
        <v>146.48890429820534</v>
      </c>
      <c r="G98">
        <f ca="1">_xlfn.STDEV.P($C$2:C98)</f>
        <v>9.8837100164909728</v>
      </c>
      <c r="H98">
        <f t="shared" ca="1" si="22"/>
        <v>156.37261431469631</v>
      </c>
      <c r="I98">
        <f t="shared" ca="1" si="23"/>
        <v>136.60519428171438</v>
      </c>
      <c r="J98">
        <f t="shared" ca="1" si="32"/>
        <v>148.57500000000005</v>
      </c>
      <c r="K98">
        <f t="shared" ca="1" si="33"/>
        <v>3.8350838870946018</v>
      </c>
      <c r="L98">
        <f t="shared" ca="1" si="34"/>
        <v>156.24516777418924</v>
      </c>
      <c r="M98">
        <f t="shared" ca="1" si="35"/>
        <v>140.90483222581085</v>
      </c>
      <c r="N98">
        <f t="shared" ca="1" si="24"/>
        <v>1.460000000000008</v>
      </c>
      <c r="O98">
        <f t="shared" ca="1" si="25"/>
        <v>1.460000000000008</v>
      </c>
      <c r="P98">
        <f t="shared" ca="1" si="26"/>
        <v>0</v>
      </c>
      <c r="Q98">
        <f t="shared" ca="1" si="30"/>
        <v>0.93352840081773192</v>
      </c>
      <c r="R98">
        <f t="shared" ca="1" si="31"/>
        <v>0.65599444051214473</v>
      </c>
      <c r="S98">
        <f t="shared" ca="1" si="28"/>
        <v>1.4230736469182761</v>
      </c>
      <c r="T98">
        <f t="shared" ca="1" si="29"/>
        <v>58.730102930555809</v>
      </c>
      <c r="U98">
        <f>70</f>
        <v>70</v>
      </c>
      <c r="V98">
        <f>30</f>
        <v>30</v>
      </c>
      <c r="W98">
        <f t="shared" ca="1" si="27"/>
        <v>150.35987959422522</v>
      </c>
      <c r="X98">
        <f t="shared" ca="1" si="37"/>
        <v>147.90634126970457</v>
      </c>
      <c r="Y98">
        <f t="shared" ca="1" si="36"/>
        <v>2.2462772844185395</v>
      </c>
      <c r="Z98">
        <f t="shared" ca="1" si="18"/>
        <v>2.4034127890143697</v>
      </c>
      <c r="AA98">
        <f t="shared" ca="1" si="19"/>
        <v>-0.15713550459583026</v>
      </c>
    </row>
    <row r="99" spans="1:28" x14ac:dyDescent="0.25">
      <c r="A99" s="20">
        <f t="shared" ca="1" si="20"/>
        <v>45852</v>
      </c>
      <c r="B99" vm="290">
        <f ca="1"/>
        <v>45856</v>
      </c>
      <c r="C99" vm="291">
        <f ca="1"/>
        <v>150.04</v>
      </c>
      <c r="D99" vm="292">
        <f ca="1"/>
        <v>45782636</v>
      </c>
      <c r="E99">
        <f t="shared" ca="1" si="21"/>
        <v>6869226705.4399996</v>
      </c>
      <c r="F99">
        <f ca="1">SUM($E$2:E99)/SUM($D$2:D99)</f>
        <v>146.65450507672352</v>
      </c>
      <c r="G99">
        <f ca="1">_xlfn.STDEV.P($C$2:C99)</f>
        <v>9.8393660000005028</v>
      </c>
      <c r="H99">
        <f t="shared" ca="1" si="22"/>
        <v>156.49387107672402</v>
      </c>
      <c r="I99">
        <f t="shared" ca="1" si="23"/>
        <v>136.81513907672303</v>
      </c>
      <c r="J99">
        <f t="shared" ca="1" si="32"/>
        <v>148.66750000000002</v>
      </c>
      <c r="K99">
        <f t="shared" ca="1" si="33"/>
        <v>3.8475992172836957</v>
      </c>
      <c r="L99">
        <f t="shared" ca="1" si="34"/>
        <v>156.36269843456742</v>
      </c>
      <c r="M99">
        <f t="shared" ca="1" si="35"/>
        <v>140.97230156543262</v>
      </c>
      <c r="N99">
        <f t="shared" ca="1" si="24"/>
        <v>-1.3400000000000034</v>
      </c>
      <c r="O99">
        <f t="shared" ca="1" si="25"/>
        <v>0</v>
      </c>
      <c r="P99">
        <f t="shared" ca="1" si="26"/>
        <v>1.3400000000000034</v>
      </c>
      <c r="Q99">
        <f t="shared" ca="1" si="30"/>
        <v>0.86684780075932255</v>
      </c>
      <c r="R99">
        <f t="shared" ca="1" si="31"/>
        <v>0.7048519804755633</v>
      </c>
      <c r="S99">
        <f t="shared" ca="1" si="28"/>
        <v>1.2298295596395441</v>
      </c>
      <c r="T99">
        <f t="shared" ca="1" si="29"/>
        <v>55.153523027040158</v>
      </c>
      <c r="U99">
        <f>70</f>
        <v>70</v>
      </c>
      <c r="V99">
        <f>30</f>
        <v>30</v>
      </c>
      <c r="W99">
        <f t="shared" ca="1" si="27"/>
        <v>150.31066734895981</v>
      </c>
      <c r="X99">
        <f t="shared" ca="1" si="37"/>
        <v>148.06439006454127</v>
      </c>
      <c r="Y99">
        <f t="shared" ca="1" si="36"/>
        <v>2.0295767283907367</v>
      </c>
      <c r="Z99">
        <f t="shared" ca="1" si="18"/>
        <v>2.328645576889643</v>
      </c>
      <c r="AA99">
        <f t="shared" ca="1" si="19"/>
        <v>-0.29906884849890636</v>
      </c>
    </row>
    <row r="100" spans="1:28" x14ac:dyDescent="0.25">
      <c r="A100" s="20">
        <f t="shared" ca="1" si="20"/>
        <v>45859</v>
      </c>
      <c r="B100" vm="293">
        <f ca="1"/>
        <v>45859</v>
      </c>
      <c r="C100" vm="294">
        <f ca="1"/>
        <v>149.68</v>
      </c>
      <c r="D100" vm="295">
        <f ca="1"/>
        <v>17982218</v>
      </c>
      <c r="E100">
        <f t="shared" ca="1" si="21"/>
        <v>2691578390.2400002</v>
      </c>
      <c r="F100">
        <f ca="1">SUM($E$2:E100)/SUM($D$2:D100)</f>
        <v>146.70892477253818</v>
      </c>
      <c r="G100">
        <f ca="1">_xlfn.STDEV.P($C$2:C100)</f>
        <v>9.7943992114198615</v>
      </c>
      <c r="H100">
        <f t="shared" ca="1" si="22"/>
        <v>156.50332398395804</v>
      </c>
      <c r="I100">
        <f t="shared" ca="1" si="23"/>
        <v>136.91452556111832</v>
      </c>
      <c r="J100">
        <f t="shared" ca="1" si="32"/>
        <v>148.67400000000004</v>
      </c>
      <c r="K100">
        <f t="shared" ca="1" si="33"/>
        <v>3.8492779910824297</v>
      </c>
      <c r="L100">
        <f t="shared" ca="1" si="34"/>
        <v>156.3725559821649</v>
      </c>
      <c r="M100">
        <f t="shared" ca="1" si="35"/>
        <v>140.97544401783517</v>
      </c>
      <c r="N100">
        <f t="shared" ca="1" si="24"/>
        <v>-0.35999999999998522</v>
      </c>
      <c r="O100">
        <f t="shared" ca="1" si="25"/>
        <v>0</v>
      </c>
      <c r="P100">
        <f t="shared" ca="1" si="26"/>
        <v>0.35999999999998522</v>
      </c>
      <c r="Q100">
        <f t="shared" ca="1" si="30"/>
        <v>0.80493010070508519</v>
      </c>
      <c r="R100">
        <f t="shared" ca="1" si="31"/>
        <v>0.68021969615587907</v>
      </c>
      <c r="S100">
        <f t="shared" ca="1" si="28"/>
        <v>1.1833384202985906</v>
      </c>
      <c r="T100">
        <f t="shared" ca="1" si="29"/>
        <v>54.198579995526245</v>
      </c>
      <c r="U100">
        <f>70</f>
        <v>70</v>
      </c>
      <c r="V100">
        <f>30</f>
        <v>30</v>
      </c>
      <c r="W100">
        <f t="shared" ca="1" si="27"/>
        <v>150.21364160296599</v>
      </c>
      <c r="X100">
        <f t="shared" ca="1" si="37"/>
        <v>148.18406487457526</v>
      </c>
      <c r="Y100">
        <f t="shared" ca="1" si="36"/>
        <v>1.8653859596693678</v>
      </c>
      <c r="Z100">
        <f t="shared" ca="1" si="18"/>
        <v>2.235993653445588</v>
      </c>
      <c r="AA100">
        <f t="shared" ca="1" si="19"/>
        <v>-0.37060769377622016</v>
      </c>
    </row>
    <row r="101" spans="1:28" x14ac:dyDescent="0.25">
      <c r="A101" s="20">
        <f t="shared" ca="1" si="20"/>
        <v>45859</v>
      </c>
      <c r="B101" vm="296">
        <f ca="1"/>
        <v>45860</v>
      </c>
      <c r="C101" vm="291">
        <f ca="1"/>
        <v>150.04</v>
      </c>
      <c r="D101" vm="297">
        <f ca="1"/>
        <v>26196489</v>
      </c>
      <c r="E101">
        <f t="shared" ca="1" si="21"/>
        <v>3930521209.5599999</v>
      </c>
      <c r="F101">
        <f ca="1">SUM($E$2:E101)/SUM($D$2:D101)</f>
        <v>146.79398184983177</v>
      </c>
      <c r="G101">
        <f ca="1">_xlfn.STDEV.P($C$2:C101)</f>
        <v>9.751215368352808</v>
      </c>
      <c r="H101">
        <f t="shared" ca="1" si="22"/>
        <v>156.54519721818457</v>
      </c>
      <c r="I101">
        <f t="shared" ca="1" si="23"/>
        <v>137.04276648147896</v>
      </c>
      <c r="J101">
        <f t="shared" ca="1" si="32"/>
        <v>148.833</v>
      </c>
      <c r="K101">
        <f t="shared" ca="1" si="33"/>
        <v>3.8360589699654821</v>
      </c>
      <c r="L101">
        <f t="shared" ca="1" si="34"/>
        <v>156.50511793993095</v>
      </c>
      <c r="M101">
        <f t="shared" ca="1" si="35"/>
        <v>141.16088206006904</v>
      </c>
      <c r="N101">
        <f t="shared" ca="1" si="24"/>
        <v>0.35999999999998522</v>
      </c>
      <c r="O101">
        <f t="shared" ca="1" si="25"/>
        <v>0.35999999999998522</v>
      </c>
      <c r="P101">
        <f t="shared" ca="1" si="26"/>
        <v>0</v>
      </c>
      <c r="Q101">
        <f t="shared" ca="1" si="30"/>
        <v>0.77314937922614946</v>
      </c>
      <c r="R101">
        <f t="shared" ca="1" si="31"/>
        <v>0.63163257500188774</v>
      </c>
      <c r="S101">
        <f t="shared" ca="1" si="28"/>
        <v>1.2240492492393047</v>
      </c>
      <c r="T101">
        <f t="shared" ca="1" si="29"/>
        <v>55.036966904306112</v>
      </c>
      <c r="U101">
        <f>70</f>
        <v>70</v>
      </c>
      <c r="V101">
        <f>30</f>
        <v>30</v>
      </c>
      <c r="W101">
        <f t="shared" ca="1" si="27"/>
        <v>150.186927510202</v>
      </c>
      <c r="X101">
        <f t="shared" ca="1" si="37"/>
        <v>148.32154155053263</v>
      </c>
      <c r="Y101">
        <f t="shared" ca="1" si="36"/>
        <v>1.9611865145495244</v>
      </c>
      <c r="Z101">
        <f t="shared" ca="1" si="18"/>
        <v>2.1810322256663754</v>
      </c>
      <c r="AA101">
        <f t="shared" ca="1" si="19"/>
        <v>-0.21984571111685103</v>
      </c>
      <c r="AB101">
        <f ca="1">AVERAGE(C2:C101)</f>
        <v>146.66220000000004</v>
      </c>
    </row>
    <row r="102" spans="1:28" x14ac:dyDescent="0.25">
      <c r="A102" s="20">
        <f t="shared" ca="1" si="20"/>
        <v>45859</v>
      </c>
      <c r="B102" vm="298">
        <f ca="1"/>
        <v>45861</v>
      </c>
      <c r="C102" vm="299">
        <f ca="1"/>
        <v>153.12</v>
      </c>
      <c r="D102" vm="300">
        <f ca="1"/>
        <v>13162816</v>
      </c>
      <c r="E102">
        <f t="shared" ca="1" si="21"/>
        <v>2015490385.9200001</v>
      </c>
      <c r="F102">
        <f ca="1">SUM($E$2:E102)/SUM($D$2:D102)</f>
        <v>146.87411746021345</v>
      </c>
      <c r="G102">
        <f ca="1">_xlfn.STDEV.P($C$2:C102)</f>
        <v>9.7238659111494297</v>
      </c>
      <c r="H102">
        <f t="shared" ca="1" si="22"/>
        <v>156.59798337136289</v>
      </c>
      <c r="I102">
        <f t="shared" ca="1" si="23"/>
        <v>137.15025154906402</v>
      </c>
      <c r="J102">
        <f t="shared" ca="1" si="32"/>
        <v>149.31149999999997</v>
      </c>
      <c r="K102">
        <f t="shared" ca="1" si="33"/>
        <v>3.7380029497890446</v>
      </c>
      <c r="L102">
        <f t="shared" ca="1" si="34"/>
        <v>156.78750589957806</v>
      </c>
      <c r="M102">
        <f t="shared" ca="1" si="35"/>
        <v>141.83549410042187</v>
      </c>
      <c r="N102">
        <f t="shared" ca="1" si="24"/>
        <v>3.0800000000000125</v>
      </c>
      <c r="O102">
        <f t="shared" ca="1" si="25"/>
        <v>3.0800000000000125</v>
      </c>
      <c r="P102">
        <f t="shared" ca="1" si="26"/>
        <v>0</v>
      </c>
      <c r="Q102">
        <f t="shared" ca="1" si="30"/>
        <v>0.93792442356713968</v>
      </c>
      <c r="R102">
        <f t="shared" ca="1" si="31"/>
        <v>0.58651596250175297</v>
      </c>
      <c r="S102">
        <f t="shared" ca="1" si="28"/>
        <v>1.5991456047785511</v>
      </c>
      <c r="T102">
        <f t="shared" ca="1" si="29"/>
        <v>61.525818401189539</v>
      </c>
      <c r="U102">
        <f>70</f>
        <v>70</v>
      </c>
      <c r="V102">
        <f>30</f>
        <v>30</v>
      </c>
      <c r="W102">
        <f t="shared" ca="1" si="27"/>
        <v>150.63816943170937</v>
      </c>
      <c r="X102">
        <f t="shared" ca="1" si="37"/>
        <v>148.67698291715985</v>
      </c>
      <c r="Y102">
        <f t="shared" ca="1" si="36"/>
        <v>2.2300765616544993</v>
      </c>
      <c r="Z102">
        <f t="shared" ref="Z102:Z165" ca="1" si="38">Y102*(2/(9+1)) + Z101*(1-(2/(9+1)))</f>
        <v>2.1908410928640003</v>
      </c>
      <c r="AA102">
        <f t="shared" ref="AA102:AA165" ca="1" si="39">Y102-Z102</f>
        <v>3.9235468790498995E-2</v>
      </c>
      <c r="AB102">
        <f t="shared" ref="AB102:AB165" ca="1" si="40">AVERAGE(C3:C102)</f>
        <v>146.62670000000006</v>
      </c>
    </row>
    <row r="103" spans="1:28" x14ac:dyDescent="0.25">
      <c r="A103" s="20">
        <f t="shared" ca="1" si="20"/>
        <v>45859</v>
      </c>
      <c r="B103" vm="301">
        <f ca="1"/>
        <v>45862</v>
      </c>
      <c r="C103" vm="302">
        <f ca="1"/>
        <v>155.83000000000001</v>
      </c>
      <c r="D103" vm="303">
        <f ca="1"/>
        <v>15701024</v>
      </c>
      <c r="E103">
        <f t="shared" ca="1" si="21"/>
        <v>2446690569.9200001</v>
      </c>
      <c r="F103">
        <f ca="1">SUM($E$2:E103)/SUM($D$2:D103)</f>
        <v>147.00742951406349</v>
      </c>
      <c r="G103">
        <f ca="1">_xlfn.STDEV.P($C$2:C103)</f>
        <v>9.7175695613433266</v>
      </c>
      <c r="H103">
        <f t="shared" ca="1" si="22"/>
        <v>156.72499907540683</v>
      </c>
      <c r="I103">
        <f t="shared" ca="1" si="23"/>
        <v>137.28985995272015</v>
      </c>
      <c r="J103">
        <f t="shared" ca="1" si="32"/>
        <v>149.94149999999999</v>
      </c>
      <c r="K103">
        <f t="shared" ca="1" si="33"/>
        <v>3.7208435305649972</v>
      </c>
      <c r="L103">
        <f t="shared" ca="1" si="34"/>
        <v>157.38318706112997</v>
      </c>
      <c r="M103">
        <f t="shared" ca="1" si="35"/>
        <v>142.49981293887001</v>
      </c>
      <c r="N103">
        <f t="shared" ca="1" si="24"/>
        <v>2.710000000000008</v>
      </c>
      <c r="O103">
        <f t="shared" ca="1" si="25"/>
        <v>2.710000000000008</v>
      </c>
      <c r="P103">
        <f t="shared" ca="1" si="26"/>
        <v>0</v>
      </c>
      <c r="Q103">
        <f t="shared" ca="1" si="30"/>
        <v>1.0645012504552016</v>
      </c>
      <c r="R103">
        <f t="shared" ca="1" si="31"/>
        <v>0.54462196518019923</v>
      </c>
      <c r="S103">
        <f t="shared" ca="1" si="28"/>
        <v>1.9545690745377664</v>
      </c>
      <c r="T103">
        <f t="shared" ca="1" si="29"/>
        <v>66.154116733370103</v>
      </c>
      <c r="U103">
        <f>70</f>
        <v>70</v>
      </c>
      <c r="V103">
        <f>30</f>
        <v>30</v>
      </c>
      <c r="W103">
        <f t="shared" ca="1" si="27"/>
        <v>151.43691259606177</v>
      </c>
      <c r="X103">
        <f t="shared" ca="1" si="37"/>
        <v>149.20683603440727</v>
      </c>
      <c r="Y103">
        <f t="shared" ca="1" si="36"/>
        <v>2.3363570650939778</v>
      </c>
      <c r="Z103">
        <f t="shared" ca="1" si="38"/>
        <v>2.2199442873099962</v>
      </c>
      <c r="AA103">
        <f t="shared" ca="1" si="39"/>
        <v>0.11641277778398162</v>
      </c>
      <c r="AB103">
        <f t="shared" ca="1" si="40"/>
        <v>146.59880000000004</v>
      </c>
    </row>
    <row r="104" spans="1:28" x14ac:dyDescent="0.25">
      <c r="A104" s="20">
        <f t="shared" ca="1" si="20"/>
        <v>45859</v>
      </c>
      <c r="B104" vm="304">
        <f ca="1"/>
        <v>45863</v>
      </c>
      <c r="C104" vm="305">
        <f ca="1"/>
        <v>154.84</v>
      </c>
      <c r="D104" vm="306">
        <f ca="1"/>
        <v>7875498</v>
      </c>
      <c r="E104">
        <f t="shared" ca="1" si="21"/>
        <v>1219442110.3199999</v>
      </c>
      <c r="F104">
        <f ca="1">SUM($E$2:E104)/SUM($D$2:D104)</f>
        <v>147.06547718788534</v>
      </c>
      <c r="G104">
        <f ca="1">_xlfn.STDEV.P($C$2:C104)</f>
        <v>9.7022403966940409</v>
      </c>
      <c r="H104">
        <f t="shared" ca="1" si="22"/>
        <v>156.76771758457937</v>
      </c>
      <c r="I104">
        <f t="shared" ca="1" si="23"/>
        <v>137.3632367911913</v>
      </c>
      <c r="J104">
        <f t="shared" ca="1" si="32"/>
        <v>150.4615</v>
      </c>
      <c r="K104">
        <f t="shared" ca="1" si="33"/>
        <v>3.6373041998305951</v>
      </c>
      <c r="L104">
        <f t="shared" ca="1" si="34"/>
        <v>157.73610839966119</v>
      </c>
      <c r="M104">
        <f t="shared" ca="1" si="35"/>
        <v>143.18689160033881</v>
      </c>
      <c r="N104">
        <f t="shared" ca="1" si="24"/>
        <v>-0.99000000000000909</v>
      </c>
      <c r="O104">
        <f t="shared" ca="1" si="25"/>
        <v>0</v>
      </c>
      <c r="P104">
        <f t="shared" ca="1" si="26"/>
        <v>0.99000000000000909</v>
      </c>
      <c r="Q104">
        <f t="shared" ca="1" si="30"/>
        <v>0.9884654468512587</v>
      </c>
      <c r="R104">
        <f t="shared" ca="1" si="31"/>
        <v>0.57643468195304293</v>
      </c>
      <c r="S104">
        <f t="shared" ca="1" si="28"/>
        <v>1.7147917670432264</v>
      </c>
      <c r="T104">
        <f t="shared" ca="1" si="29"/>
        <v>63.164762316590689</v>
      </c>
      <c r="U104">
        <f>70</f>
        <v>70</v>
      </c>
      <c r="V104">
        <f>30</f>
        <v>30</v>
      </c>
      <c r="W104">
        <f t="shared" ca="1" si="27"/>
        <v>151.96046450435998</v>
      </c>
      <c r="X104">
        <f t="shared" ca="1" si="37"/>
        <v>149.624107439266</v>
      </c>
      <c r="Y104">
        <f t="shared" ca="1" si="36"/>
        <v>2.5078719089272568</v>
      </c>
      <c r="Z104">
        <f t="shared" ca="1" si="38"/>
        <v>2.2775298116334484</v>
      </c>
      <c r="AA104">
        <f t="shared" ca="1" si="39"/>
        <v>0.23034209729380839</v>
      </c>
      <c r="AB104">
        <f t="shared" ca="1" si="40"/>
        <v>146.61630000000005</v>
      </c>
    </row>
    <row r="105" spans="1:28" x14ac:dyDescent="0.25">
      <c r="A105" s="20">
        <f t="shared" ca="1" si="20"/>
        <v>45866</v>
      </c>
      <c r="B105" vm="307">
        <f ca="1"/>
        <v>45866</v>
      </c>
      <c r="C105" vm="308">
        <f ca="1"/>
        <v>156.28</v>
      </c>
      <c r="D105" vm="309">
        <f ca="1"/>
        <v>8755412</v>
      </c>
      <c r="E105">
        <f t="shared" ca="1" si="21"/>
        <v>1368295787.3599999</v>
      </c>
      <c r="F105">
        <f ca="1">SUM($E$2:E105)/SUM($D$2:D105)</f>
        <v>147.14077604600988</v>
      </c>
      <c r="G105">
        <f ca="1">_xlfn.STDEV.P($C$2:C105)</f>
        <v>9.6988352709001209</v>
      </c>
      <c r="H105">
        <f t="shared" ca="1" si="22"/>
        <v>156.83961131691001</v>
      </c>
      <c r="I105">
        <f t="shared" ca="1" si="23"/>
        <v>137.44194077510974</v>
      </c>
      <c r="J105">
        <f t="shared" ca="1" si="32"/>
        <v>151.08600000000001</v>
      </c>
      <c r="K105">
        <f t="shared" ca="1" si="33"/>
        <v>3.501245492678287</v>
      </c>
      <c r="L105">
        <f t="shared" ca="1" si="34"/>
        <v>158.0884909853566</v>
      </c>
      <c r="M105">
        <f t="shared" ca="1" si="35"/>
        <v>144.08350901464343</v>
      </c>
      <c r="N105">
        <f t="shared" ca="1" si="24"/>
        <v>1.4399999999999977</v>
      </c>
      <c r="O105">
        <f t="shared" ca="1" si="25"/>
        <v>1.4399999999999977</v>
      </c>
      <c r="P105">
        <f t="shared" ca="1" si="26"/>
        <v>0</v>
      </c>
      <c r="Q105">
        <f t="shared" ca="1" si="30"/>
        <v>1.0207179149333114</v>
      </c>
      <c r="R105">
        <f t="shared" ca="1" si="31"/>
        <v>0.53526077609925415</v>
      </c>
      <c r="S105">
        <f t="shared" ca="1" si="28"/>
        <v>1.9069544426024565</v>
      </c>
      <c r="T105">
        <f t="shared" ca="1" si="29"/>
        <v>65.599736089955783</v>
      </c>
      <c r="U105">
        <f>70</f>
        <v>70</v>
      </c>
      <c r="V105">
        <f>30</f>
        <v>30</v>
      </c>
      <c r="W105">
        <f t="shared" ca="1" si="27"/>
        <v>152.62500842676616</v>
      </c>
      <c r="X105">
        <f t="shared" ca="1" si="37"/>
        <v>150.1171365178389</v>
      </c>
      <c r="Y105">
        <f t="shared" ca="1" si="36"/>
        <v>2.6734989585524431</v>
      </c>
      <c r="Z105">
        <f t="shared" ca="1" si="38"/>
        <v>2.3567236410172474</v>
      </c>
      <c r="AA105">
        <f t="shared" ca="1" si="39"/>
        <v>0.31677531753519572</v>
      </c>
      <c r="AB105">
        <f t="shared" ca="1" si="40"/>
        <v>146.65910000000008</v>
      </c>
    </row>
    <row r="106" spans="1:28" x14ac:dyDescent="0.25">
      <c r="A106" s="20">
        <f t="shared" ca="1" si="20"/>
        <v>45866</v>
      </c>
      <c r="B106" vm="310">
        <f ca="1"/>
        <v>45867</v>
      </c>
      <c r="C106" vm="311">
        <f ca="1"/>
        <v>157.03</v>
      </c>
      <c r="D106" vm="312">
        <f ca="1"/>
        <v>6446038</v>
      </c>
      <c r="E106">
        <f t="shared" ca="1" si="21"/>
        <v>1012221347.14</v>
      </c>
      <c r="F106">
        <f ca="1">SUM($E$2:E106)/SUM($D$2:D106)</f>
        <v>147.19991709122337</v>
      </c>
      <c r="G106">
        <f ca="1">_xlfn.STDEV.P($C$2:C106)</f>
        <v>9.7017327559111948</v>
      </c>
      <c r="H106">
        <f t="shared" ca="1" si="22"/>
        <v>156.90164984713456</v>
      </c>
      <c r="I106">
        <f t="shared" ca="1" si="23"/>
        <v>137.49818433531217</v>
      </c>
      <c r="J106">
        <f t="shared" ca="1" si="32"/>
        <v>151.77800000000002</v>
      </c>
      <c r="K106">
        <f t="shared" ca="1" si="33"/>
        <v>3.2144633668533418</v>
      </c>
      <c r="L106">
        <f t="shared" ca="1" si="34"/>
        <v>158.20692673370669</v>
      </c>
      <c r="M106">
        <f t="shared" ca="1" si="35"/>
        <v>145.34907326629335</v>
      </c>
      <c r="N106">
        <f t="shared" ca="1" si="24"/>
        <v>0.75</v>
      </c>
      <c r="O106">
        <f t="shared" ca="1" si="25"/>
        <v>0.75</v>
      </c>
      <c r="P106">
        <f t="shared" ca="1" si="26"/>
        <v>0</v>
      </c>
      <c r="Q106">
        <f t="shared" ca="1" si="30"/>
        <v>1.0013809210095035</v>
      </c>
      <c r="R106">
        <f t="shared" ca="1" si="31"/>
        <v>0.49702786352073597</v>
      </c>
      <c r="S106">
        <f t="shared" ca="1" si="28"/>
        <v>2.01473799459882</v>
      </c>
      <c r="T106">
        <f t="shared" ca="1" si="29"/>
        <v>66.829621619139317</v>
      </c>
      <c r="U106">
        <f>70</f>
        <v>70</v>
      </c>
      <c r="V106">
        <f>30</f>
        <v>30</v>
      </c>
      <c r="W106">
        <f t="shared" ca="1" si="27"/>
        <v>153.3026994380329</v>
      </c>
      <c r="X106">
        <f t="shared" ca="1" si="37"/>
        <v>150.62920047948046</v>
      </c>
      <c r="Y106">
        <f t="shared" ca="1" si="36"/>
        <v>2.4959873996143358</v>
      </c>
      <c r="Z106">
        <f t="shared" ca="1" si="38"/>
        <v>2.3845763927366654</v>
      </c>
      <c r="AA106">
        <f t="shared" ca="1" si="39"/>
        <v>0.11141100687767036</v>
      </c>
      <c r="AB106">
        <f t="shared" ca="1" si="40"/>
        <v>146.72130000000007</v>
      </c>
    </row>
    <row r="107" spans="1:28" x14ac:dyDescent="0.25">
      <c r="A107" s="20">
        <f t="shared" ca="1" si="20"/>
        <v>45866</v>
      </c>
      <c r="B107" vm="313">
        <f ca="1"/>
        <v>45868</v>
      </c>
      <c r="C107" vm="314">
        <f ca="1"/>
        <v>153.56</v>
      </c>
      <c r="D107" vm="315">
        <f ca="1"/>
        <v>9191661</v>
      </c>
      <c r="E107">
        <f t="shared" ca="1" si="21"/>
        <v>1411471463.1600001</v>
      </c>
      <c r="F107">
        <f ca="1">SUM($E$2:E107)/SUM($D$2:D107)</f>
        <v>147.25369487499739</v>
      </c>
      <c r="G107">
        <f ca="1">_xlfn.STDEV.P($C$2:C107)</f>
        <v>9.6761640540555547</v>
      </c>
      <c r="H107">
        <f t="shared" ca="1" si="22"/>
        <v>156.92985892905295</v>
      </c>
      <c r="I107">
        <f t="shared" ca="1" si="23"/>
        <v>137.57753082094183</v>
      </c>
      <c r="J107">
        <f t="shared" ca="1" si="32"/>
        <v>152.17750000000004</v>
      </c>
      <c r="K107">
        <f t="shared" ca="1" si="33"/>
        <v>2.8815837659176271</v>
      </c>
      <c r="L107">
        <f t="shared" ca="1" si="34"/>
        <v>157.94066753183529</v>
      </c>
      <c r="M107">
        <f t="shared" ca="1" si="35"/>
        <v>146.41433246816479</v>
      </c>
      <c r="N107">
        <f t="shared" ca="1" si="24"/>
        <v>-3.4699999999999989</v>
      </c>
      <c r="O107">
        <f t="shared" ca="1" si="25"/>
        <v>0</v>
      </c>
      <c r="P107">
        <f t="shared" ca="1" si="26"/>
        <v>3.4699999999999989</v>
      </c>
      <c r="Q107">
        <f t="shared" ca="1" si="30"/>
        <v>0.92985371236596748</v>
      </c>
      <c r="R107">
        <f t="shared" ca="1" si="31"/>
        <v>0.70938301612639765</v>
      </c>
      <c r="S107">
        <f t="shared" ca="1" si="28"/>
        <v>1.3107921831050526</v>
      </c>
      <c r="T107">
        <f t="shared" ca="1" si="29"/>
        <v>56.724797352556294</v>
      </c>
      <c r="U107">
        <f>70</f>
        <v>70</v>
      </c>
      <c r="V107">
        <f>30</f>
        <v>30</v>
      </c>
      <c r="W107">
        <f t="shared" ca="1" si="27"/>
        <v>153.34228413987401</v>
      </c>
      <c r="X107">
        <f t="shared" ca="1" si="37"/>
        <v>150.84629674025967</v>
      </c>
      <c r="Y107">
        <f t="shared" ca="1" si="36"/>
        <v>2.1753046978865598</v>
      </c>
      <c r="Z107">
        <f t="shared" ca="1" si="38"/>
        <v>2.3427220537666447</v>
      </c>
      <c r="AA107">
        <f t="shared" ca="1" si="39"/>
        <v>-0.16741735588008488</v>
      </c>
      <c r="AB107">
        <f t="shared" ca="1" si="40"/>
        <v>146.72740000000007</v>
      </c>
    </row>
    <row r="108" spans="1:28" x14ac:dyDescent="0.25">
      <c r="A108" s="20">
        <f t="shared" ca="1" si="20"/>
        <v>45866</v>
      </c>
      <c r="B108" vm="316">
        <f ca="1"/>
        <v>45869</v>
      </c>
      <c r="C108" vm="317">
        <f ca="1"/>
        <v>151.63999999999999</v>
      </c>
      <c r="D108" vm="318">
        <f ca="1"/>
        <v>10237099</v>
      </c>
      <c r="E108">
        <f t="shared" ca="1" si="21"/>
        <v>1552353692.3599999</v>
      </c>
      <c r="F108">
        <f ca="1">SUM($E$2:E108)/SUM($D$2:D108)</f>
        <v>147.29461633830979</v>
      </c>
      <c r="G108">
        <f ca="1">_xlfn.STDEV.P($C$2:C108)</f>
        <v>9.6405691499416406</v>
      </c>
      <c r="H108">
        <f t="shared" ca="1" si="22"/>
        <v>156.93518548825142</v>
      </c>
      <c r="I108">
        <f t="shared" ca="1" si="23"/>
        <v>137.65404718836817</v>
      </c>
      <c r="J108">
        <f t="shared" ca="1" si="32"/>
        <v>152.36050000000003</v>
      </c>
      <c r="K108">
        <f t="shared" ca="1" si="33"/>
        <v>2.7122247131712465</v>
      </c>
      <c r="L108">
        <f t="shared" ca="1" si="34"/>
        <v>157.78494942634254</v>
      </c>
      <c r="M108">
        <f t="shared" ca="1" si="35"/>
        <v>146.93605057365752</v>
      </c>
      <c r="N108">
        <f t="shared" ca="1" si="24"/>
        <v>-1.9200000000000159</v>
      </c>
      <c r="O108">
        <f t="shared" ca="1" si="25"/>
        <v>0</v>
      </c>
      <c r="P108">
        <f t="shared" ca="1" si="26"/>
        <v>1.9200000000000159</v>
      </c>
      <c r="Q108">
        <f t="shared" ca="1" si="30"/>
        <v>0.86343559005411274</v>
      </c>
      <c r="R108">
        <f t="shared" ca="1" si="31"/>
        <v>0.79585565783165613</v>
      </c>
      <c r="S108">
        <f t="shared" ca="1" si="28"/>
        <v>1.0849148103144497</v>
      </c>
      <c r="T108">
        <f t="shared" ca="1" si="29"/>
        <v>52.036409590798648</v>
      </c>
      <c r="U108">
        <f>70</f>
        <v>70</v>
      </c>
      <c r="V108">
        <f>30</f>
        <v>30</v>
      </c>
      <c r="W108">
        <f t="shared" ca="1" si="27"/>
        <v>153.08039427220109</v>
      </c>
      <c r="X108">
        <f t="shared" ca="1" si="37"/>
        <v>150.90508957431453</v>
      </c>
      <c r="Y108">
        <f t="shared" ca="1" si="36"/>
        <v>1.8801224706310791</v>
      </c>
      <c r="Z108">
        <f t="shared" ca="1" si="38"/>
        <v>2.2502021371395315</v>
      </c>
      <c r="AA108">
        <f t="shared" ca="1" si="39"/>
        <v>-0.37007966650845248</v>
      </c>
      <c r="AB108">
        <f t="shared" ca="1" si="40"/>
        <v>146.68040000000008</v>
      </c>
    </row>
    <row r="109" spans="1:28" x14ac:dyDescent="0.25">
      <c r="A109" s="20">
        <f t="shared" ca="1" si="20"/>
        <v>45866</v>
      </c>
      <c r="B109" vm="319">
        <f ca="1"/>
        <v>45870</v>
      </c>
      <c r="C109" vm="320">
        <f ca="1"/>
        <v>151.4</v>
      </c>
      <c r="D109" vm="321">
        <f ca="1"/>
        <v>10706494</v>
      </c>
      <c r="E109">
        <f t="shared" ca="1" si="21"/>
        <v>1620963191.6000001</v>
      </c>
      <c r="F109">
        <f ca="1">SUM($E$2:E109)/SUM($D$2:D109)</f>
        <v>147.3342860921955</v>
      </c>
      <c r="G109">
        <f ca="1">_xlfn.STDEV.P($C$2:C109)</f>
        <v>9.6043318558765538</v>
      </c>
      <c r="H109">
        <f t="shared" ca="1" si="22"/>
        <v>156.93861794807205</v>
      </c>
      <c r="I109">
        <f t="shared" ca="1" si="23"/>
        <v>137.72995423631895</v>
      </c>
      <c r="J109">
        <f t="shared" ca="1" si="32"/>
        <v>152.512</v>
      </c>
      <c r="K109">
        <f t="shared" ca="1" si="33"/>
        <v>2.5578210299105453</v>
      </c>
      <c r="L109">
        <f t="shared" ca="1" si="34"/>
        <v>157.62764205982108</v>
      </c>
      <c r="M109">
        <f t="shared" ca="1" si="35"/>
        <v>147.39635794017892</v>
      </c>
      <c r="N109">
        <f t="shared" ca="1" si="24"/>
        <v>-0.23999999999998067</v>
      </c>
      <c r="O109">
        <f t="shared" ca="1" si="25"/>
        <v>0</v>
      </c>
      <c r="P109">
        <f t="shared" ca="1" si="26"/>
        <v>0.23999999999998067</v>
      </c>
      <c r="Q109">
        <f t="shared" ca="1" si="30"/>
        <v>0.80176161933596191</v>
      </c>
      <c r="R109">
        <f t="shared" ca="1" si="31"/>
        <v>0.75615168227225082</v>
      </c>
      <c r="S109">
        <f t="shared" ca="1" si="28"/>
        <v>1.0603185024023913</v>
      </c>
      <c r="T109">
        <f t="shared" ca="1" si="29"/>
        <v>51.463814995886757</v>
      </c>
      <c r="U109">
        <f>70</f>
        <v>70</v>
      </c>
      <c r="V109">
        <f>30</f>
        <v>30</v>
      </c>
      <c r="W109">
        <f t="shared" ca="1" si="27"/>
        <v>152.82187207647786</v>
      </c>
      <c r="X109">
        <f t="shared" ca="1" si="37"/>
        <v>150.94174960584678</v>
      </c>
      <c r="Y109">
        <f t="shared" ca="1" si="36"/>
        <v>1.5987104980447668</v>
      </c>
      <c r="Z109">
        <f t="shared" ca="1" si="38"/>
        <v>2.1199038093205789</v>
      </c>
      <c r="AA109">
        <f t="shared" ca="1" si="39"/>
        <v>-0.52119331127581203</v>
      </c>
      <c r="AB109">
        <f t="shared" ca="1" si="40"/>
        <v>146.61870000000008</v>
      </c>
    </row>
    <row r="110" spans="1:28" x14ac:dyDescent="0.25">
      <c r="A110" s="20">
        <f t="shared" ca="1" si="20"/>
        <v>45873</v>
      </c>
      <c r="B110" vm="322">
        <f ca="1"/>
        <v>45873</v>
      </c>
      <c r="C110" vm="323">
        <f ca="1"/>
        <v>151.04</v>
      </c>
      <c r="D110" vm="324">
        <f ca="1"/>
        <v>10116631</v>
      </c>
      <c r="E110">
        <f t="shared" ca="1" si="21"/>
        <v>1528015946.24</v>
      </c>
      <c r="F110">
        <f ca="1">SUM($E$2:E110)/SUM($D$2:D110)</f>
        <v>147.36781496432943</v>
      </c>
      <c r="G110">
        <f ca="1">_xlfn.STDEV.P($C$2:C110)</f>
        <v>9.5671033623152386</v>
      </c>
      <c r="H110">
        <f t="shared" ca="1" si="22"/>
        <v>156.93491832664466</v>
      </c>
      <c r="I110">
        <f t="shared" ca="1" si="23"/>
        <v>137.80071160201419</v>
      </c>
      <c r="J110">
        <f t="shared" ca="1" si="32"/>
        <v>152.69400000000002</v>
      </c>
      <c r="K110">
        <f t="shared" ca="1" si="33"/>
        <v>2.2904639842525158</v>
      </c>
      <c r="L110">
        <f t="shared" ca="1" si="34"/>
        <v>157.27492796850504</v>
      </c>
      <c r="M110">
        <f t="shared" ca="1" si="35"/>
        <v>148.11307203149499</v>
      </c>
      <c r="N110">
        <f t="shared" ca="1" si="24"/>
        <v>-0.36000000000001364</v>
      </c>
      <c r="O110">
        <f t="shared" ca="1" si="25"/>
        <v>0</v>
      </c>
      <c r="P110">
        <f t="shared" ca="1" si="26"/>
        <v>0.36000000000001364</v>
      </c>
      <c r="Q110">
        <f t="shared" ca="1" si="30"/>
        <v>0.74449293224053614</v>
      </c>
      <c r="R110">
        <f t="shared" ca="1" si="31"/>
        <v>0.72785513353851961</v>
      </c>
      <c r="S110">
        <f t="shared" ca="1" si="28"/>
        <v>1.0228586677971627</v>
      </c>
      <c r="T110">
        <f t="shared" ca="1" si="29"/>
        <v>50.5650090182043</v>
      </c>
      <c r="U110">
        <f>70</f>
        <v>70</v>
      </c>
      <c r="V110">
        <f>30</f>
        <v>30</v>
      </c>
      <c r="W110">
        <f t="shared" ca="1" si="27"/>
        <v>152.54773791086586</v>
      </c>
      <c r="X110">
        <f t="shared" ca="1" si="37"/>
        <v>150.9490274128211</v>
      </c>
      <c r="Y110">
        <f t="shared" ca="1" si="36"/>
        <v>1.5195562688327868</v>
      </c>
      <c r="Z110">
        <f t="shared" ca="1" si="38"/>
        <v>1.9998343012230206</v>
      </c>
      <c r="AA110">
        <f t="shared" ca="1" si="39"/>
        <v>-0.48027803239023381</v>
      </c>
      <c r="AB110">
        <f t="shared" ca="1" si="40"/>
        <v>146.58830000000006</v>
      </c>
    </row>
    <row r="111" spans="1:28" x14ac:dyDescent="0.25">
      <c r="A111" s="20">
        <f t="shared" ca="1" si="20"/>
        <v>45873</v>
      </c>
      <c r="B111" vm="325">
        <f ca="1"/>
        <v>45874</v>
      </c>
      <c r="C111" vm="326">
        <f ca="1"/>
        <v>153.04</v>
      </c>
      <c r="D111" vm="327">
        <f ca="1"/>
        <v>8604079</v>
      </c>
      <c r="E111">
        <f t="shared" ca="1" si="21"/>
        <v>1316768250.1599998</v>
      </c>
      <c r="F111">
        <f ca="1">SUM($E$2:E111)/SUM($D$2:D111)</f>
        <v>147.41112980988322</v>
      </c>
      <c r="G111">
        <f ca="1">_xlfn.STDEV.P($C$2:C111)</f>
        <v>9.5393236414952476</v>
      </c>
      <c r="H111">
        <f t="shared" ca="1" si="22"/>
        <v>156.95045345137848</v>
      </c>
      <c r="I111">
        <f t="shared" ca="1" si="23"/>
        <v>137.87180616838796</v>
      </c>
      <c r="J111">
        <f t="shared" ca="1" si="32"/>
        <v>152.684</v>
      </c>
      <c r="K111">
        <f t="shared" ca="1" si="33"/>
        <v>2.2883903789161066</v>
      </c>
      <c r="L111">
        <f t="shared" ca="1" si="34"/>
        <v>157.26078075783221</v>
      </c>
      <c r="M111">
        <f t="shared" ca="1" si="35"/>
        <v>148.10721924216779</v>
      </c>
      <c r="N111">
        <f t="shared" ca="1" si="24"/>
        <v>2</v>
      </c>
      <c r="O111">
        <f t="shared" ca="1" si="25"/>
        <v>2</v>
      </c>
      <c r="P111">
        <f t="shared" ca="1" si="26"/>
        <v>0</v>
      </c>
      <c r="Q111">
        <f t="shared" ca="1" si="30"/>
        <v>0.83417200850906936</v>
      </c>
      <c r="R111">
        <f t="shared" ca="1" si="31"/>
        <v>0.67586548114291112</v>
      </c>
      <c r="S111">
        <f t="shared" ca="1" si="28"/>
        <v>1.2342278630630117</v>
      </c>
      <c r="T111">
        <f t="shared" ca="1" si="29"/>
        <v>55.241807850831684</v>
      </c>
      <c r="U111">
        <f>70</f>
        <v>70</v>
      </c>
      <c r="V111">
        <f>30</f>
        <v>30</v>
      </c>
      <c r="W111">
        <f t="shared" ca="1" si="27"/>
        <v>152.62347053996342</v>
      </c>
      <c r="X111">
        <f t="shared" ca="1" si="37"/>
        <v>151.10391427113063</v>
      </c>
      <c r="Y111">
        <f t="shared" ca="1" si="36"/>
        <v>1.4194832257882695</v>
      </c>
      <c r="Z111">
        <f t="shared" ca="1" si="38"/>
        <v>1.8837640861360705</v>
      </c>
      <c r="AA111">
        <f t="shared" ca="1" si="39"/>
        <v>-0.46428086034780103</v>
      </c>
      <c r="AB111">
        <f t="shared" ca="1" si="40"/>
        <v>146.59200000000007</v>
      </c>
    </row>
    <row r="112" spans="1:28" x14ac:dyDescent="0.25">
      <c r="A112" s="20">
        <f t="shared" ca="1" si="20"/>
        <v>45873</v>
      </c>
      <c r="B112" vm="328">
        <f ca="1"/>
        <v>45875</v>
      </c>
      <c r="C112" vm="329">
        <f ca="1"/>
        <v>152.78</v>
      </c>
      <c r="D112" vm="330">
        <f ca="1"/>
        <v>7840914</v>
      </c>
      <c r="E112">
        <f t="shared" ca="1" si="21"/>
        <v>1197934840.9200001</v>
      </c>
      <c r="F112">
        <f ca="1">SUM($E$2:E112)/SUM($D$2:D112)</f>
        <v>147.44823372900007</v>
      </c>
      <c r="G112">
        <f ca="1">_xlfn.STDEV.P($C$2:C112)</f>
        <v>9.5103157402081795</v>
      </c>
      <c r="H112">
        <f t="shared" ca="1" si="22"/>
        <v>156.95854946920824</v>
      </c>
      <c r="I112">
        <f t="shared" ca="1" si="23"/>
        <v>137.9379179887919</v>
      </c>
      <c r="J112">
        <f t="shared" ca="1" si="32"/>
        <v>152.672</v>
      </c>
      <c r="K112">
        <f t="shared" ca="1" si="33"/>
        <v>2.2871646432347563</v>
      </c>
      <c r="L112">
        <f t="shared" ca="1" si="34"/>
        <v>157.24632928646952</v>
      </c>
      <c r="M112">
        <f t="shared" ca="1" si="35"/>
        <v>148.09767071353048</v>
      </c>
      <c r="N112">
        <f t="shared" ca="1" si="24"/>
        <v>-0.25999999999999091</v>
      </c>
      <c r="O112">
        <f t="shared" ca="1" si="25"/>
        <v>0</v>
      </c>
      <c r="P112">
        <f t="shared" ca="1" si="26"/>
        <v>0.25999999999999091</v>
      </c>
      <c r="Q112">
        <f t="shared" ca="1" si="30"/>
        <v>0.77458829361556436</v>
      </c>
      <c r="R112">
        <f t="shared" ca="1" si="31"/>
        <v>0.6461608039184169</v>
      </c>
      <c r="S112">
        <f t="shared" ca="1" si="28"/>
        <v>1.1987546891088778</v>
      </c>
      <c r="T112">
        <f t="shared" ca="1" si="29"/>
        <v>54.519710409109578</v>
      </c>
      <c r="U112">
        <f>70</f>
        <v>70</v>
      </c>
      <c r="V112">
        <f>30</f>
        <v>30</v>
      </c>
      <c r="W112">
        <f t="shared" ca="1" si="27"/>
        <v>152.64755199535367</v>
      </c>
      <c r="X112">
        <f t="shared" ca="1" si="37"/>
        <v>151.2280687695654</v>
      </c>
      <c r="Y112">
        <f t="shared" ca="1" si="36"/>
        <v>1.3552153632799957</v>
      </c>
      <c r="Z112">
        <f t="shared" ca="1" si="38"/>
        <v>1.7780543415648555</v>
      </c>
      <c r="AA112">
        <f t="shared" ca="1" si="39"/>
        <v>-0.42283897828485983</v>
      </c>
      <c r="AB112">
        <f t="shared" ca="1" si="40"/>
        <v>146.58370000000008</v>
      </c>
    </row>
    <row r="113" spans="1:28" x14ac:dyDescent="0.25">
      <c r="A113" s="20">
        <f t="shared" ca="1" si="20"/>
        <v>45873</v>
      </c>
      <c r="B113" vm="331">
        <f ca="1"/>
        <v>45876</v>
      </c>
      <c r="C113" vm="332">
        <f ca="1"/>
        <v>153.16</v>
      </c>
      <c r="D113" vm="333">
        <f ca="1"/>
        <v>6510670</v>
      </c>
      <c r="E113">
        <f t="shared" ca="1" si="21"/>
        <v>997174217.19999993</v>
      </c>
      <c r="F113">
        <f ca="1">SUM($E$2:E113)/SUM($D$2:D113)</f>
        <v>147.48082349485219</v>
      </c>
      <c r="G113">
        <f ca="1">_xlfn.STDEV.P($C$2:C113)</f>
        <v>9.4834799955108835</v>
      </c>
      <c r="H113">
        <f t="shared" ca="1" si="22"/>
        <v>156.96430349036308</v>
      </c>
      <c r="I113">
        <f t="shared" ca="1" si="23"/>
        <v>137.9973434993413</v>
      </c>
      <c r="J113">
        <f t="shared" ca="1" si="32"/>
        <v>152.6215</v>
      </c>
      <c r="K113">
        <f t="shared" ca="1" si="33"/>
        <v>2.2633749253341993</v>
      </c>
      <c r="L113">
        <f t="shared" ca="1" si="34"/>
        <v>157.14824985066841</v>
      </c>
      <c r="M113">
        <f t="shared" ca="1" si="35"/>
        <v>148.09475014933159</v>
      </c>
      <c r="N113">
        <f t="shared" ca="1" si="24"/>
        <v>0.37999999999999545</v>
      </c>
      <c r="O113">
        <f t="shared" ca="1" si="25"/>
        <v>0.37999999999999545</v>
      </c>
      <c r="P113">
        <f t="shared" ca="1" si="26"/>
        <v>0</v>
      </c>
      <c r="Q113">
        <f t="shared" ca="1" si="30"/>
        <v>0.74640341550016664</v>
      </c>
      <c r="R113">
        <f t="shared" ca="1" si="31"/>
        <v>0.60000646078138709</v>
      </c>
      <c r="S113">
        <f t="shared" ca="1" si="28"/>
        <v>1.2439922972298116</v>
      </c>
      <c r="T113">
        <f t="shared" ca="1" si="29"/>
        <v>55.43656717384944</v>
      </c>
      <c r="U113">
        <f>70</f>
        <v>70</v>
      </c>
      <c r="V113">
        <f>30</f>
        <v>30</v>
      </c>
      <c r="W113">
        <f t="shared" ca="1" si="27"/>
        <v>152.72639014991464</v>
      </c>
      <c r="X113">
        <f t="shared" ca="1" si="37"/>
        <v>151.37117478663464</v>
      </c>
      <c r="Y113">
        <f t="shared" ca="1" si="36"/>
        <v>1.4369973472033735</v>
      </c>
      <c r="Z113">
        <f t="shared" ca="1" si="38"/>
        <v>1.7098429426925592</v>
      </c>
      <c r="AA113">
        <f t="shared" ca="1" si="39"/>
        <v>-0.27284559548918574</v>
      </c>
      <c r="AB113">
        <f t="shared" ca="1" si="40"/>
        <v>146.5451000000001</v>
      </c>
    </row>
    <row r="114" spans="1:28" x14ac:dyDescent="0.25">
      <c r="A114" s="20">
        <f t="shared" ca="1" si="20"/>
        <v>45873</v>
      </c>
      <c r="B114" vm="334">
        <f ca="1"/>
        <v>45877</v>
      </c>
      <c r="C114" vm="335">
        <f ca="1"/>
        <v>155.01</v>
      </c>
      <c r="D114" vm="336">
        <f ca="1"/>
        <v>6332807</v>
      </c>
      <c r="E114">
        <f t="shared" ca="1" si="21"/>
        <v>981648413.06999993</v>
      </c>
      <c r="F114">
        <f ca="1">SUM($E$2:E114)/SUM($D$2:D114)</f>
        <v>147.52237868310004</v>
      </c>
      <c r="G114">
        <f ca="1">_xlfn.STDEV.P($C$2:C114)</f>
        <v>9.4682151815149869</v>
      </c>
      <c r="H114">
        <f t="shared" ca="1" si="22"/>
        <v>156.99059386461502</v>
      </c>
      <c r="I114">
        <f t="shared" ca="1" si="23"/>
        <v>138.05416350158507</v>
      </c>
      <c r="J114">
        <f t="shared" ca="1" si="32"/>
        <v>152.60650000000001</v>
      </c>
      <c r="K114">
        <f t="shared" ca="1" si="33"/>
        <v>2.2455435984704439</v>
      </c>
      <c r="L114">
        <f t="shared" ca="1" si="34"/>
        <v>157.09758719694091</v>
      </c>
      <c r="M114">
        <f t="shared" ca="1" si="35"/>
        <v>148.11541280305912</v>
      </c>
      <c r="N114">
        <f t="shared" ca="1" si="24"/>
        <v>1.8499999999999943</v>
      </c>
      <c r="O114">
        <f t="shared" ca="1" si="25"/>
        <v>1.8499999999999943</v>
      </c>
      <c r="P114">
        <f t="shared" ca="1" si="26"/>
        <v>0</v>
      </c>
      <c r="Q114">
        <f t="shared" ca="1" si="30"/>
        <v>0.82523174296444002</v>
      </c>
      <c r="R114">
        <f t="shared" ca="1" si="31"/>
        <v>0.55714885643985945</v>
      </c>
      <c r="S114">
        <f t="shared" ca="1" si="28"/>
        <v>1.4811692304954382</v>
      </c>
      <c r="T114">
        <f t="shared" ca="1" si="29"/>
        <v>59.696421037741118</v>
      </c>
      <c r="U114">
        <f>70</f>
        <v>70</v>
      </c>
      <c r="V114">
        <f>30</f>
        <v>30</v>
      </c>
      <c r="W114">
        <f t="shared" ca="1" si="27"/>
        <v>153.07771474223546</v>
      </c>
      <c r="X114">
        <f t="shared" ca="1" si="37"/>
        <v>151.64071739503208</v>
      </c>
      <c r="Y114">
        <f t="shared" ca="1" si="36"/>
        <v>1.3602510685427376</v>
      </c>
      <c r="Z114">
        <f t="shared" ca="1" si="38"/>
        <v>1.6399245678625949</v>
      </c>
      <c r="AA114">
        <f t="shared" ca="1" si="39"/>
        <v>-0.2796734993198573</v>
      </c>
      <c r="AB114">
        <f t="shared" ca="1" si="40"/>
        <v>146.5080000000001</v>
      </c>
    </row>
    <row r="115" spans="1:28" x14ac:dyDescent="0.25">
      <c r="A115" s="20">
        <f t="shared" ca="1" si="20"/>
        <v>45880</v>
      </c>
      <c r="B115" vm="337">
        <f ca="1"/>
        <v>45880</v>
      </c>
      <c r="C115" vm="338">
        <f ca="1"/>
        <v>153.44999999999999</v>
      </c>
      <c r="D115" vm="339">
        <f ca="1"/>
        <v>6169716</v>
      </c>
      <c r="E115">
        <f t="shared" ca="1" si="21"/>
        <v>946742920.19999993</v>
      </c>
      <c r="F115">
        <f ca="1">SUM($E$2:E115)/SUM($D$2:D115)</f>
        <v>147.55408152291676</v>
      </c>
      <c r="G115">
        <f ca="1">_xlfn.STDEV.P($C$2:C115)</f>
        <v>9.4430336322469852</v>
      </c>
      <c r="H115">
        <f t="shared" ca="1" si="22"/>
        <v>156.99711515516375</v>
      </c>
      <c r="I115">
        <f t="shared" ca="1" si="23"/>
        <v>138.11104789066977</v>
      </c>
      <c r="J115">
        <f t="shared" ca="1" si="32"/>
        <v>152.69649999999996</v>
      </c>
      <c r="K115">
        <f t="shared" ca="1" si="33"/>
        <v>2.2412573421372706</v>
      </c>
      <c r="L115">
        <f t="shared" ca="1" si="34"/>
        <v>157.17901468427451</v>
      </c>
      <c r="M115">
        <f t="shared" ca="1" si="35"/>
        <v>148.21398531572541</v>
      </c>
      <c r="N115">
        <f t="shared" ca="1" si="24"/>
        <v>-1.5600000000000023</v>
      </c>
      <c r="O115">
        <f t="shared" ca="1" si="25"/>
        <v>0</v>
      </c>
      <c r="P115">
        <f t="shared" ca="1" si="26"/>
        <v>1.5600000000000023</v>
      </c>
      <c r="Q115">
        <f t="shared" ca="1" si="30"/>
        <v>0.76628661846697999</v>
      </c>
      <c r="R115">
        <f t="shared" ca="1" si="31"/>
        <v>0.62878108097986973</v>
      </c>
      <c r="S115">
        <f t="shared" ca="1" si="28"/>
        <v>1.218685869607951</v>
      </c>
      <c r="T115">
        <f t="shared" ca="1" si="29"/>
        <v>54.928274718912625</v>
      </c>
      <c r="U115">
        <f>70</f>
        <v>70</v>
      </c>
      <c r="V115">
        <f>30</f>
        <v>30</v>
      </c>
      <c r="W115">
        <f t="shared" ca="1" si="27"/>
        <v>153.13498939727614</v>
      </c>
      <c r="X115">
        <f t="shared" ca="1" si="37"/>
        <v>151.77473832873341</v>
      </c>
      <c r="Y115">
        <f t="shared" ca="1" si="36"/>
        <v>1.3635951400360398</v>
      </c>
      <c r="Z115">
        <f t="shared" ca="1" si="38"/>
        <v>1.5846586822972841</v>
      </c>
      <c r="AA115">
        <f t="shared" ca="1" si="39"/>
        <v>-0.22106354226124436</v>
      </c>
      <c r="AB115">
        <f t="shared" ca="1" si="40"/>
        <v>146.4344000000001</v>
      </c>
    </row>
    <row r="116" spans="1:28" x14ac:dyDescent="0.25">
      <c r="A116" s="20">
        <f t="shared" ca="1" si="20"/>
        <v>45880</v>
      </c>
      <c r="B116" vm="340">
        <f ca="1"/>
        <v>45881</v>
      </c>
      <c r="C116" vm="341">
        <f ca="1"/>
        <v>154.44</v>
      </c>
      <c r="D116" vm="342">
        <f ca="1"/>
        <v>6645373</v>
      </c>
      <c r="E116">
        <f t="shared" ca="1" si="21"/>
        <v>1026311406.12</v>
      </c>
      <c r="F116">
        <f ca="1">SUM($E$2:E116)/SUM($D$2:D116)</f>
        <v>147.59352172566221</v>
      </c>
      <c r="G116">
        <f ca="1">_xlfn.STDEV.P($C$2:C116)</f>
        <v>9.4237517218026117</v>
      </c>
      <c r="H116">
        <f t="shared" ca="1" si="22"/>
        <v>157.01727344746482</v>
      </c>
      <c r="I116">
        <f t="shared" ca="1" si="23"/>
        <v>138.16977000385961</v>
      </c>
      <c r="J116">
        <f t="shared" ca="1" si="32"/>
        <v>152.88399999999999</v>
      </c>
      <c r="K116">
        <f t="shared" ca="1" si="33"/>
        <v>2.2213329331732363</v>
      </c>
      <c r="L116">
        <f t="shared" ca="1" si="34"/>
        <v>157.32666586634645</v>
      </c>
      <c r="M116">
        <f t="shared" ca="1" si="35"/>
        <v>148.44133413365353</v>
      </c>
      <c r="N116">
        <f t="shared" ca="1" si="24"/>
        <v>0.99000000000000909</v>
      </c>
      <c r="O116">
        <f t="shared" ca="1" si="25"/>
        <v>0.99000000000000909</v>
      </c>
      <c r="P116">
        <f t="shared" ca="1" si="26"/>
        <v>0</v>
      </c>
      <c r="Q116">
        <f t="shared" ca="1" si="30"/>
        <v>0.78226614571933928</v>
      </c>
      <c r="R116">
        <f t="shared" ca="1" si="31"/>
        <v>0.58386814662416475</v>
      </c>
      <c r="S116">
        <f t="shared" ca="1" si="28"/>
        <v>1.339799319833221</v>
      </c>
      <c r="T116">
        <f t="shared" ca="1" si="29"/>
        <v>57.261291961086677</v>
      </c>
      <c r="U116">
        <f>70</f>
        <v>70</v>
      </c>
      <c r="V116">
        <f>30</f>
        <v>30</v>
      </c>
      <c r="W116">
        <f t="shared" ca="1" si="27"/>
        <v>153.33576025923364</v>
      </c>
      <c r="X116">
        <f t="shared" ca="1" si="37"/>
        <v>151.9721651191976</v>
      </c>
      <c r="Y116">
        <f t="shared" ca="1" si="36"/>
        <v>1.4647496673879346</v>
      </c>
      <c r="Z116">
        <f t="shared" ca="1" si="38"/>
        <v>1.5606768793154142</v>
      </c>
      <c r="AA116">
        <f t="shared" ca="1" si="39"/>
        <v>-9.5927211927479661E-2</v>
      </c>
      <c r="AB116">
        <f t="shared" ca="1" si="40"/>
        <v>146.33830000000009</v>
      </c>
    </row>
    <row r="117" spans="1:28" x14ac:dyDescent="0.25">
      <c r="A117" s="20">
        <f t="shared" ca="1" si="20"/>
        <v>45880</v>
      </c>
      <c r="B117" vm="343">
        <f ca="1"/>
        <v>45882</v>
      </c>
      <c r="C117" vm="344">
        <f ca="1"/>
        <v>155.87</v>
      </c>
      <c r="D117" vm="345">
        <f ca="1"/>
        <v>6582191</v>
      </c>
      <c r="E117">
        <f t="shared" ca="1" si="21"/>
        <v>1025966111.1700001</v>
      </c>
      <c r="F117">
        <f ca="1">SUM($E$2:E117)/SUM($D$2:D117)</f>
        <v>147.640210995346</v>
      </c>
      <c r="G117">
        <f ca="1">_xlfn.STDEV.P($C$2:C117)</f>
        <v>9.4142156384111004</v>
      </c>
      <c r="H117">
        <f t="shared" ca="1" si="22"/>
        <v>157.05442663375709</v>
      </c>
      <c r="I117">
        <f t="shared" ca="1" si="23"/>
        <v>138.2259953569349</v>
      </c>
      <c r="J117">
        <f t="shared" ca="1" si="32"/>
        <v>153.18149999999997</v>
      </c>
      <c r="K117">
        <f t="shared" ca="1" si="33"/>
        <v>2.2018276499308502</v>
      </c>
      <c r="L117">
        <f t="shared" ca="1" si="34"/>
        <v>157.58515529986167</v>
      </c>
      <c r="M117">
        <f t="shared" ca="1" si="35"/>
        <v>148.77784470013827</v>
      </c>
      <c r="N117">
        <f t="shared" ca="1" si="24"/>
        <v>1.4300000000000068</v>
      </c>
      <c r="O117">
        <f t="shared" ca="1" si="25"/>
        <v>1.4300000000000068</v>
      </c>
      <c r="P117">
        <f t="shared" ca="1" si="26"/>
        <v>0</v>
      </c>
      <c r="Q117">
        <f t="shared" ca="1" si="30"/>
        <v>0.82853284959652984</v>
      </c>
      <c r="R117">
        <f t="shared" ca="1" si="31"/>
        <v>0.54216327900815298</v>
      </c>
      <c r="S117">
        <f t="shared" ca="1" si="28"/>
        <v>1.52819802018364</v>
      </c>
      <c r="T117">
        <f t="shared" ca="1" si="29"/>
        <v>60.44613625924115</v>
      </c>
      <c r="U117">
        <f>70</f>
        <v>70</v>
      </c>
      <c r="V117">
        <f>30</f>
        <v>30</v>
      </c>
      <c r="W117">
        <f t="shared" ca="1" si="27"/>
        <v>153.7256432962746</v>
      </c>
      <c r="X117">
        <f t="shared" ca="1" si="37"/>
        <v>152.26089362888666</v>
      </c>
      <c r="Y117">
        <f t="shared" ca="1" si="36"/>
        <v>1.4706713094170709</v>
      </c>
      <c r="Z117">
        <f t="shared" ca="1" si="38"/>
        <v>1.5426757653357457</v>
      </c>
      <c r="AA117">
        <f t="shared" ca="1" si="39"/>
        <v>-7.200445591867477E-2</v>
      </c>
      <c r="AB117">
        <f t="shared" ca="1" si="40"/>
        <v>146.24930000000012</v>
      </c>
    </row>
    <row r="118" spans="1:28" x14ac:dyDescent="0.25">
      <c r="A118" s="20">
        <f t="shared" ca="1" si="20"/>
        <v>45880</v>
      </c>
      <c r="B118" vm="346">
        <f ca="1"/>
        <v>45883</v>
      </c>
      <c r="C118" vm="347">
        <f ca="1"/>
        <v>155.16</v>
      </c>
      <c r="D118" vm="348">
        <f ca="1"/>
        <v>7337258</v>
      </c>
      <c r="E118">
        <f t="shared" ca="1" si="21"/>
        <v>1138448951.28</v>
      </c>
      <c r="F118">
        <f ca="1">SUM($E$2:E118)/SUM($D$2:D118)</f>
        <v>147.68720235741901</v>
      </c>
      <c r="G118">
        <f ca="1">_xlfn.STDEV.P($C$2:C118)</f>
        <v>9.3992793448486402</v>
      </c>
      <c r="H118">
        <f t="shared" ca="1" si="22"/>
        <v>157.08648170226766</v>
      </c>
      <c r="I118">
        <f t="shared" ca="1" si="23"/>
        <v>138.28792301257036</v>
      </c>
      <c r="J118">
        <f t="shared" ca="1" si="32"/>
        <v>153.37049999999996</v>
      </c>
      <c r="K118">
        <f t="shared" ca="1" si="33"/>
        <v>2.2012854498176644</v>
      </c>
      <c r="L118">
        <f t="shared" ca="1" si="34"/>
        <v>157.77307089963529</v>
      </c>
      <c r="M118">
        <f t="shared" ca="1" si="35"/>
        <v>148.96792910036464</v>
      </c>
      <c r="N118">
        <f t="shared" ca="1" si="24"/>
        <v>-0.71000000000000796</v>
      </c>
      <c r="O118">
        <f t="shared" ca="1" si="25"/>
        <v>0</v>
      </c>
      <c r="P118">
        <f t="shared" ca="1" si="26"/>
        <v>0.71000000000000796</v>
      </c>
      <c r="Q118">
        <f t="shared" ca="1" si="30"/>
        <v>0.76935193176820627</v>
      </c>
      <c r="R118">
        <f t="shared" ca="1" si="31"/>
        <v>0.55415161622185694</v>
      </c>
      <c r="S118">
        <f t="shared" ca="1" si="28"/>
        <v>1.3883419433359425</v>
      </c>
      <c r="T118">
        <f t="shared" ca="1" si="29"/>
        <v>58.129948569958991</v>
      </c>
      <c r="U118">
        <f>70</f>
        <v>70</v>
      </c>
      <c r="V118">
        <f>30</f>
        <v>30</v>
      </c>
      <c r="W118">
        <f t="shared" ca="1" si="27"/>
        <v>153.94631355838621</v>
      </c>
      <c r="X118">
        <f t="shared" ca="1" si="37"/>
        <v>152.47564224896914</v>
      </c>
      <c r="Y118">
        <f t="shared" ca="1" si="36"/>
        <v>1.5694341764265971</v>
      </c>
      <c r="Z118">
        <f t="shared" ca="1" si="38"/>
        <v>1.5480274475539162</v>
      </c>
      <c r="AA118">
        <f t="shared" ca="1" si="39"/>
        <v>2.1406728872680914E-2</v>
      </c>
      <c r="AB118">
        <f t="shared" ca="1" si="40"/>
        <v>146.15340000000012</v>
      </c>
    </row>
    <row r="119" spans="1:28" x14ac:dyDescent="0.25">
      <c r="A119" s="20">
        <f t="shared" ca="1" si="20"/>
        <v>45880</v>
      </c>
      <c r="B119" vm="349">
        <f ca="1"/>
        <v>45884</v>
      </c>
      <c r="C119" vm="350">
        <f ca="1"/>
        <v>156.55000000000001</v>
      </c>
      <c r="D119" vm="351">
        <f ca="1"/>
        <v>11617047</v>
      </c>
      <c r="E119">
        <f t="shared" ca="1" si="21"/>
        <v>1818648707.8500001</v>
      </c>
      <c r="F119">
        <f ca="1">SUM($E$2:E119)/SUM($D$2:D119)</f>
        <v>147.77403226768152</v>
      </c>
      <c r="G119">
        <f ca="1">_xlfn.STDEV.P($C$2:C119)</f>
        <v>9.3942593346069003</v>
      </c>
      <c r="H119">
        <f t="shared" ca="1" si="22"/>
        <v>157.16829160228843</v>
      </c>
      <c r="I119">
        <f t="shared" ca="1" si="23"/>
        <v>138.37977293307461</v>
      </c>
      <c r="J119">
        <f t="shared" ca="1" si="32"/>
        <v>153.69599999999997</v>
      </c>
      <c r="K119">
        <f t="shared" ca="1" si="33"/>
        <v>2.1638839350137373</v>
      </c>
      <c r="L119">
        <f t="shared" ca="1" si="34"/>
        <v>158.02376787002746</v>
      </c>
      <c r="M119">
        <f t="shared" ca="1" si="35"/>
        <v>149.36823212997248</v>
      </c>
      <c r="N119">
        <f t="shared" ca="1" si="24"/>
        <v>1.3900000000000148</v>
      </c>
      <c r="O119">
        <f t="shared" ca="1" si="25"/>
        <v>1.3900000000000148</v>
      </c>
      <c r="P119">
        <f t="shared" ca="1" si="26"/>
        <v>0</v>
      </c>
      <c r="Q119">
        <f t="shared" ca="1" si="30"/>
        <v>0.81368393664190697</v>
      </c>
      <c r="R119">
        <f t="shared" ca="1" si="31"/>
        <v>0.51456935792029568</v>
      </c>
      <c r="S119">
        <f t="shared" ca="1" si="28"/>
        <v>1.5812910817902661</v>
      </c>
      <c r="T119">
        <f t="shared" ca="1" si="29"/>
        <v>61.259696473036065</v>
      </c>
      <c r="U119">
        <f>70</f>
        <v>70</v>
      </c>
      <c r="V119">
        <f>30</f>
        <v>30</v>
      </c>
      <c r="W119">
        <f t="shared" ca="1" si="27"/>
        <v>154.34688070324987</v>
      </c>
      <c r="X119">
        <f t="shared" ca="1" si="37"/>
        <v>152.77744652682327</v>
      </c>
      <c r="Y119">
        <f t="shared" ca="1" si="36"/>
        <v>1.5308075431557029</v>
      </c>
      <c r="Z119">
        <f t="shared" ca="1" si="38"/>
        <v>1.5445834666742737</v>
      </c>
      <c r="AA119">
        <f t="shared" ca="1" si="39"/>
        <v>-1.3775923518570821E-2</v>
      </c>
      <c r="AB119">
        <f t="shared" ca="1" si="40"/>
        <v>146.06870000000009</v>
      </c>
    </row>
    <row r="120" spans="1:28" x14ac:dyDescent="0.25">
      <c r="A120" s="20">
        <f t="shared" ca="1" si="20"/>
        <v>45887</v>
      </c>
      <c r="B120" vm="352">
        <f ca="1"/>
        <v>45887</v>
      </c>
      <c r="C120" vm="353">
        <f ca="1"/>
        <v>155.32</v>
      </c>
      <c r="D120" vm="354">
        <f ca="1"/>
        <v>8174280</v>
      </c>
      <c r="E120">
        <f t="shared" ca="1" si="21"/>
        <v>1269629169.5999999</v>
      </c>
      <c r="F120">
        <f ca="1">SUM($E$2:E120)/SUM($D$2:D120)</f>
        <v>147.82569574132239</v>
      </c>
      <c r="G120">
        <f ca="1">_xlfn.STDEV.P($C$2:C120)</f>
        <v>9.3798556973464979</v>
      </c>
      <c r="H120">
        <f t="shared" ca="1" si="22"/>
        <v>157.20555143866889</v>
      </c>
      <c r="I120">
        <f t="shared" ca="1" si="23"/>
        <v>138.44584004397589</v>
      </c>
      <c r="J120">
        <f t="shared" ca="1" si="32"/>
        <v>153.97800000000001</v>
      </c>
      <c r="K120">
        <f t="shared" ca="1" si="33"/>
        <v>1.9719629547070239</v>
      </c>
      <c r="L120">
        <f t="shared" ca="1" si="34"/>
        <v>157.92192590941406</v>
      </c>
      <c r="M120">
        <f t="shared" ca="1" si="35"/>
        <v>150.03407409058596</v>
      </c>
      <c r="N120">
        <f t="shared" ca="1" si="24"/>
        <v>-1.2300000000000182</v>
      </c>
      <c r="O120">
        <f t="shared" ca="1" si="25"/>
        <v>0</v>
      </c>
      <c r="P120">
        <f t="shared" ca="1" si="26"/>
        <v>1.2300000000000182</v>
      </c>
      <c r="Q120">
        <f t="shared" ca="1" si="30"/>
        <v>0.75556365545319937</v>
      </c>
      <c r="R120">
        <f t="shared" ca="1" si="31"/>
        <v>0.56567154664027586</v>
      </c>
      <c r="S120">
        <f t="shared" ca="1" si="28"/>
        <v>1.3356932303573694</v>
      </c>
      <c r="T120">
        <f t="shared" ca="1" si="29"/>
        <v>57.186158396023764</v>
      </c>
      <c r="U120">
        <f>70</f>
        <v>70</v>
      </c>
      <c r="V120">
        <f>30</f>
        <v>30</v>
      </c>
      <c r="W120">
        <f t="shared" ca="1" si="27"/>
        <v>154.49659136428835</v>
      </c>
      <c r="X120">
        <f t="shared" ca="1" si="37"/>
        <v>152.96578382113265</v>
      </c>
      <c r="Y120">
        <f t="shared" ca="1" si="36"/>
        <v>1.2182561063405331</v>
      </c>
      <c r="Z120">
        <f t="shared" ca="1" si="38"/>
        <v>1.4793179946075257</v>
      </c>
      <c r="AA120">
        <f t="shared" ca="1" si="39"/>
        <v>-0.26106188826699261</v>
      </c>
      <c r="AB120">
        <f t="shared" ca="1" si="40"/>
        <v>145.96250000000006</v>
      </c>
    </row>
    <row r="121" spans="1:28" x14ac:dyDescent="0.25">
      <c r="A121" s="20">
        <f t="shared" ca="1" si="20"/>
        <v>45887</v>
      </c>
      <c r="B121" vm="355">
        <f ca="1"/>
        <v>45888</v>
      </c>
      <c r="C121" vm="11">
        <f ca="1"/>
        <v>152</v>
      </c>
      <c r="D121" vm="356">
        <f ca="1"/>
        <v>8567476</v>
      </c>
      <c r="E121">
        <f t="shared" ca="1" si="21"/>
        <v>1302256352</v>
      </c>
      <c r="F121">
        <f ca="1">SUM($E$2:E121)/SUM($D$2:D121)</f>
        <v>147.85543641846505</v>
      </c>
      <c r="G121">
        <f ca="1">_xlfn.STDEV.P($C$2:C121)</f>
        <v>9.3482576971445432</v>
      </c>
      <c r="H121">
        <f t="shared" ca="1" si="22"/>
        <v>157.20369411560958</v>
      </c>
      <c r="I121">
        <f t="shared" ca="1" si="23"/>
        <v>138.50717872132051</v>
      </c>
      <c r="J121">
        <f t="shared" ca="1" si="32"/>
        <v>154.07600000000002</v>
      </c>
      <c r="K121">
        <f t="shared" ca="1" si="33"/>
        <v>1.8078291721812336</v>
      </c>
      <c r="L121">
        <f t="shared" ca="1" si="34"/>
        <v>157.69165834436248</v>
      </c>
      <c r="M121">
        <f t="shared" ca="1" si="35"/>
        <v>150.46034165563756</v>
      </c>
      <c r="N121">
        <f t="shared" ca="1" si="24"/>
        <v>-3.3199999999999932</v>
      </c>
      <c r="O121">
        <f t="shared" ca="1" si="25"/>
        <v>0</v>
      </c>
      <c r="P121">
        <f t="shared" ca="1" si="26"/>
        <v>3.3199999999999932</v>
      </c>
      <c r="Q121">
        <f t="shared" ca="1" si="30"/>
        <v>0.70159482292082809</v>
      </c>
      <c r="R121">
        <f t="shared" ca="1" si="31"/>
        <v>0.76240929330882701</v>
      </c>
      <c r="S121">
        <f t="shared" ca="1" si="28"/>
        <v>0.9202338285724897</v>
      </c>
      <c r="T121">
        <f t="shared" ca="1" si="29"/>
        <v>47.923008900254388</v>
      </c>
      <c r="U121">
        <f>70</f>
        <v>70</v>
      </c>
      <c r="V121">
        <f>30</f>
        <v>30</v>
      </c>
      <c r="W121">
        <f t="shared" ca="1" si="27"/>
        <v>154.11250038516707</v>
      </c>
      <c r="X121">
        <f t="shared" ca="1" si="37"/>
        <v>152.89424427882653</v>
      </c>
      <c r="Y121">
        <f t="shared" ca="1" si="36"/>
        <v>1.0568183013561452</v>
      </c>
      <c r="Z121">
        <f t="shared" ca="1" si="38"/>
        <v>1.3948180559572496</v>
      </c>
      <c r="AA121">
        <f t="shared" ca="1" si="39"/>
        <v>-0.33799975460110443</v>
      </c>
      <c r="AB121">
        <f t="shared" ca="1" si="40"/>
        <v>145.80280000000008</v>
      </c>
    </row>
    <row r="122" spans="1:28" x14ac:dyDescent="0.25">
      <c r="A122" s="20">
        <f t="shared" ca="1" si="20"/>
        <v>45887</v>
      </c>
      <c r="B122" vm="357">
        <f ca="1"/>
        <v>45889</v>
      </c>
      <c r="C122" vm="358">
        <f ca="1"/>
        <v>153.22</v>
      </c>
      <c r="D122" vm="359">
        <f ca="1"/>
        <v>8076269</v>
      </c>
      <c r="E122">
        <f t="shared" ca="1" si="21"/>
        <v>1237445936.1800001</v>
      </c>
      <c r="F122">
        <f ca="1">SUM($E$2:E122)/SUM($D$2:D122)</f>
        <v>147.89122561623824</v>
      </c>
      <c r="G122">
        <f ca="1">_xlfn.STDEV.P($C$2:C122)</f>
        <v>9.3220089701560269</v>
      </c>
      <c r="H122">
        <f t="shared" ca="1" si="22"/>
        <v>157.21323458639426</v>
      </c>
      <c r="I122">
        <f t="shared" ca="1" si="23"/>
        <v>138.56921664608222</v>
      </c>
      <c r="J122">
        <f t="shared" ca="1" si="32"/>
        <v>154.08099999999999</v>
      </c>
      <c r="K122">
        <f t="shared" ca="1" si="33"/>
        <v>1.8051823059997978</v>
      </c>
      <c r="L122">
        <f t="shared" ca="1" si="34"/>
        <v>157.69136461199957</v>
      </c>
      <c r="M122">
        <f t="shared" ca="1" si="35"/>
        <v>150.4706353880004</v>
      </c>
      <c r="N122">
        <f t="shared" ca="1" si="24"/>
        <v>1.2199999999999989</v>
      </c>
      <c r="O122">
        <f t="shared" ca="1" si="25"/>
        <v>1.2199999999999989</v>
      </c>
      <c r="P122">
        <f t="shared" ca="1" si="26"/>
        <v>0</v>
      </c>
      <c r="Q122">
        <f t="shared" ca="1" si="30"/>
        <v>0.73862376414076891</v>
      </c>
      <c r="R122">
        <f t="shared" ca="1" si="31"/>
        <v>0.70795148664391072</v>
      </c>
      <c r="S122">
        <f t="shared" ca="1" si="28"/>
        <v>1.0433253945722496</v>
      </c>
      <c r="T122">
        <f t="shared" ca="1" si="29"/>
        <v>51.060168749611208</v>
      </c>
      <c r="U122">
        <f>70</f>
        <v>70</v>
      </c>
      <c r="V122">
        <f>30</f>
        <v>30</v>
      </c>
      <c r="W122">
        <f t="shared" ca="1" si="27"/>
        <v>153.97519263360292</v>
      </c>
      <c r="X122">
        <f t="shared" ca="1" si="37"/>
        <v>152.91837433224677</v>
      </c>
      <c r="Y122">
        <f t="shared" ca="1" si="36"/>
        <v>1.1041611230765795</v>
      </c>
      <c r="Z122">
        <f t="shared" ca="1" si="38"/>
        <v>1.3366866693811157</v>
      </c>
      <c r="AA122">
        <f t="shared" ca="1" si="39"/>
        <v>-0.23252554630453615</v>
      </c>
      <c r="AB122">
        <f t="shared" ca="1" si="40"/>
        <v>145.66850000000008</v>
      </c>
    </row>
    <row r="123" spans="1:28" x14ac:dyDescent="0.25">
      <c r="A123" s="20">
        <f t="shared" ca="1" si="20"/>
        <v>45887</v>
      </c>
      <c r="B123" vm="360">
        <f ca="1"/>
        <v>45890</v>
      </c>
      <c r="C123" vm="361">
        <f ca="1"/>
        <v>155.55000000000001</v>
      </c>
      <c r="D123" vm="362">
        <f ca="1"/>
        <v>7533625</v>
      </c>
      <c r="E123">
        <f t="shared" ca="1" si="21"/>
        <v>1171855368.75</v>
      </c>
      <c r="F123">
        <f ca="1">SUM($E$2:E123)/SUM($D$2:D123)</f>
        <v>147.93859260293539</v>
      </c>
      <c r="G123">
        <f ca="1">_xlfn.STDEV.P($C$2:C123)</f>
        <v>9.3090349062356985</v>
      </c>
      <c r="H123">
        <f t="shared" ca="1" si="22"/>
        <v>157.24762750917108</v>
      </c>
      <c r="I123">
        <f t="shared" ca="1" si="23"/>
        <v>138.62955769669969</v>
      </c>
      <c r="J123">
        <f t="shared" ca="1" si="32"/>
        <v>154.06700000000001</v>
      </c>
      <c r="K123">
        <f t="shared" ca="1" si="33"/>
        <v>1.7919413171782543</v>
      </c>
      <c r="L123">
        <f t="shared" ca="1" si="34"/>
        <v>157.65088263435652</v>
      </c>
      <c r="M123">
        <f t="shared" ca="1" si="35"/>
        <v>150.48311736564349</v>
      </c>
      <c r="N123">
        <f t="shared" ca="1" si="24"/>
        <v>2.3300000000000125</v>
      </c>
      <c r="O123">
        <f t="shared" ca="1" si="25"/>
        <v>2.3300000000000125</v>
      </c>
      <c r="P123">
        <f t="shared" ca="1" si="26"/>
        <v>0</v>
      </c>
      <c r="Q123">
        <f t="shared" ca="1" si="30"/>
        <v>0.85229349527357201</v>
      </c>
      <c r="R123">
        <f t="shared" ca="1" si="31"/>
        <v>0.65738352331220284</v>
      </c>
      <c r="S123">
        <f t="shared" ca="1" si="28"/>
        <v>1.296493546079954</v>
      </c>
      <c r="T123">
        <f t="shared" ca="1" si="29"/>
        <v>56.455353349153967</v>
      </c>
      <c r="U123">
        <f>70</f>
        <v>70</v>
      </c>
      <c r="V123">
        <f>30</f>
        <v>30</v>
      </c>
      <c r="W123">
        <f t="shared" ca="1" si="27"/>
        <v>154.21747068997172</v>
      </c>
      <c r="X123">
        <f t="shared" ca="1" si="37"/>
        <v>153.11330956689514</v>
      </c>
      <c r="Y123">
        <f t="shared" ca="1" si="36"/>
        <v>1.3384706144748577</v>
      </c>
      <c r="Z123">
        <f t="shared" ca="1" si="38"/>
        <v>1.3370434583998643</v>
      </c>
      <c r="AA123">
        <f t="shared" ca="1" si="39"/>
        <v>1.4271560749934409E-3</v>
      </c>
      <c r="AB123">
        <f t="shared" ca="1" si="40"/>
        <v>145.56310000000008</v>
      </c>
    </row>
    <row r="124" spans="1:28" x14ac:dyDescent="0.25">
      <c r="A124" s="20">
        <f t="shared" ca="1" si="20"/>
        <v>45887</v>
      </c>
      <c r="B124" vm="363">
        <f ca="1"/>
        <v>45891</v>
      </c>
      <c r="C124" vm="364">
        <f ca="1"/>
        <v>158.18</v>
      </c>
      <c r="D124" vm="365">
        <f ca="1"/>
        <v>9084344</v>
      </c>
      <c r="E124">
        <f t="shared" ca="1" si="21"/>
        <v>1436961533.9200001</v>
      </c>
      <c r="F124">
        <f ca="1">SUM($E$2:E124)/SUM($D$2:D124)</f>
        <v>148.01440476245304</v>
      </c>
      <c r="G124">
        <f ca="1">_xlfn.STDEV.P($C$2:C124)</f>
        <v>9.3160397680281424</v>
      </c>
      <c r="H124">
        <f t="shared" ca="1" si="22"/>
        <v>157.33044453048117</v>
      </c>
      <c r="I124">
        <f t="shared" ca="1" si="23"/>
        <v>138.69836499442491</v>
      </c>
      <c r="J124">
        <f t="shared" ca="1" si="32"/>
        <v>154.23400000000001</v>
      </c>
      <c r="K124">
        <f t="shared" ca="1" si="33"/>
        <v>2.0101254215909838</v>
      </c>
      <c r="L124">
        <f t="shared" ca="1" si="34"/>
        <v>158.25425084318198</v>
      </c>
      <c r="M124">
        <f t="shared" ca="1" si="35"/>
        <v>150.21374915681804</v>
      </c>
      <c r="N124">
        <f t="shared" ca="1" si="24"/>
        <v>2.6299999999999955</v>
      </c>
      <c r="O124">
        <f t="shared" ca="1" si="25"/>
        <v>2.6299999999999955</v>
      </c>
      <c r="P124">
        <f t="shared" ca="1" si="26"/>
        <v>0</v>
      </c>
      <c r="Q124">
        <f t="shared" ca="1" si="30"/>
        <v>0.97927253132545933</v>
      </c>
      <c r="R124">
        <f t="shared" ca="1" si="31"/>
        <v>0.61042755736133114</v>
      </c>
      <c r="S124">
        <f t="shared" ca="1" si="28"/>
        <v>1.6042403713857849</v>
      </c>
      <c r="T124">
        <f t="shared" ca="1" si="29"/>
        <v>61.601086789547253</v>
      </c>
      <c r="U124">
        <f>70</f>
        <v>70</v>
      </c>
      <c r="V124">
        <f>30</f>
        <v>30</v>
      </c>
      <c r="W124">
        <f t="shared" ca="1" si="27"/>
        <v>154.82709058382221</v>
      </c>
      <c r="X124">
        <f t="shared" ca="1" si="37"/>
        <v>153.48861996934735</v>
      </c>
      <c r="Y124">
        <f t="shared" ca="1" si="36"/>
        <v>1.5083886420435988</v>
      </c>
      <c r="Z124">
        <f t="shared" ca="1" si="38"/>
        <v>1.3713124951286113</v>
      </c>
      <c r="AA124">
        <f t="shared" ca="1" si="39"/>
        <v>0.13707614691498748</v>
      </c>
      <c r="AB124">
        <f t="shared" ca="1" si="40"/>
        <v>145.47200000000009</v>
      </c>
    </row>
    <row r="125" spans="1:28" x14ac:dyDescent="0.25">
      <c r="A125" s="20">
        <f t="shared" ca="1" si="20"/>
        <v>45894</v>
      </c>
      <c r="B125" vm="366">
        <f ca="1"/>
        <v>45894</v>
      </c>
      <c r="C125" vm="367">
        <f ca="1"/>
        <v>158.19999999999999</v>
      </c>
      <c r="D125" vm="368">
        <f ca="1"/>
        <v>7029967</v>
      </c>
      <c r="E125">
        <f t="shared" ca="1" si="21"/>
        <v>1112140779.3999999</v>
      </c>
      <c r="F125">
        <f ca="1">SUM($E$2:E125)/SUM($D$2:D125)</f>
        <v>148.07242033841527</v>
      </c>
      <c r="G125">
        <f ca="1">_xlfn.STDEV.P($C$2:C125)</f>
        <v>9.3223834039157918</v>
      </c>
      <c r="H125">
        <f t="shared" ca="1" si="22"/>
        <v>157.39480374233105</v>
      </c>
      <c r="I125">
        <f t="shared" ca="1" si="23"/>
        <v>138.75003693449949</v>
      </c>
      <c r="J125">
        <f t="shared" ca="1" si="32"/>
        <v>154.32999999999998</v>
      </c>
      <c r="K125">
        <f t="shared" ca="1" si="33"/>
        <v>2.153701831486285</v>
      </c>
      <c r="L125">
        <f t="shared" ca="1" si="34"/>
        <v>158.63740366297256</v>
      </c>
      <c r="M125">
        <f t="shared" ca="1" si="35"/>
        <v>150.02259633702741</v>
      </c>
      <c r="N125">
        <f t="shared" ca="1" si="24"/>
        <v>1.999999999998181E-2</v>
      </c>
      <c r="O125">
        <f t="shared" ca="1" si="25"/>
        <v>1.999999999998181E-2</v>
      </c>
      <c r="P125">
        <f t="shared" ca="1" si="26"/>
        <v>0</v>
      </c>
      <c r="Q125">
        <f t="shared" ca="1" si="30"/>
        <v>0.91075306480221097</v>
      </c>
      <c r="R125">
        <f t="shared" ca="1" si="31"/>
        <v>0.56682558897837887</v>
      </c>
      <c r="S125">
        <f t="shared" ca="1" si="28"/>
        <v>1.6067606729676964</v>
      </c>
      <c r="T125">
        <f t="shared" ca="1" si="29"/>
        <v>61.638212116283825</v>
      </c>
      <c r="U125">
        <f>70</f>
        <v>70</v>
      </c>
      <c r="V125">
        <f>30</f>
        <v>30</v>
      </c>
      <c r="W125">
        <f t="shared" ca="1" si="27"/>
        <v>155.34599972477264</v>
      </c>
      <c r="X125">
        <f t="shared" ca="1" si="37"/>
        <v>153.83761108272904</v>
      </c>
      <c r="Y125">
        <f t="shared" ca="1" si="36"/>
        <v>1.5573171406568065</v>
      </c>
      <c r="Z125">
        <f t="shared" ca="1" si="38"/>
        <v>1.4085134242342503</v>
      </c>
      <c r="AA125">
        <f t="shared" ca="1" si="39"/>
        <v>0.14880371642255619</v>
      </c>
      <c r="AB125">
        <f t="shared" ca="1" si="40"/>
        <v>145.36890000000005</v>
      </c>
    </row>
    <row r="126" spans="1:28" x14ac:dyDescent="0.25">
      <c r="A126" s="20">
        <f t="shared" ca="1" si="20"/>
        <v>45894</v>
      </c>
      <c r="B126" vm="369">
        <f ca="1"/>
        <v>45895</v>
      </c>
      <c r="C126" vm="370">
        <f ca="1"/>
        <v>157.36000000000001</v>
      </c>
      <c r="D126" vm="371">
        <f ca="1"/>
        <v>10270028</v>
      </c>
      <c r="E126">
        <f t="shared" ca="1" si="21"/>
        <v>1616091606.0800002</v>
      </c>
      <c r="F126">
        <f ca="1">SUM($E$2:E126)/SUM($D$2:D126)</f>
        <v>148.14906470983635</v>
      </c>
      <c r="G126">
        <f ca="1">_xlfn.STDEV.P($C$2:C126)</f>
        <v>9.3210538459983141</v>
      </c>
      <c r="H126">
        <f t="shared" ca="1" si="22"/>
        <v>157.47011855583466</v>
      </c>
      <c r="I126">
        <f t="shared" ca="1" si="23"/>
        <v>138.82801086383805</v>
      </c>
      <c r="J126">
        <f t="shared" ca="1" si="32"/>
        <v>154.34649999999999</v>
      </c>
      <c r="K126">
        <f t="shared" ca="1" si="33"/>
        <v>2.1766180309442427</v>
      </c>
      <c r="L126">
        <f t="shared" ca="1" si="34"/>
        <v>158.69973606188847</v>
      </c>
      <c r="M126">
        <f t="shared" ca="1" si="35"/>
        <v>149.99326393811151</v>
      </c>
      <c r="N126">
        <f t="shared" ca="1" si="24"/>
        <v>-0.83999999999997499</v>
      </c>
      <c r="O126">
        <f t="shared" ca="1" si="25"/>
        <v>0</v>
      </c>
      <c r="P126">
        <f t="shared" ca="1" si="26"/>
        <v>0.83999999999997499</v>
      </c>
      <c r="Q126">
        <f t="shared" ca="1" si="30"/>
        <v>0.8456992744591959</v>
      </c>
      <c r="R126">
        <f t="shared" ca="1" si="31"/>
        <v>0.58633804690849289</v>
      </c>
      <c r="S126">
        <f t="shared" ca="1" si="28"/>
        <v>1.4423407775057455</v>
      </c>
      <c r="T126">
        <f t="shared" ca="1" si="29"/>
        <v>59.055672770560065</v>
      </c>
      <c r="U126">
        <f>70</f>
        <v>70</v>
      </c>
      <c r="V126">
        <f>30</f>
        <v>30</v>
      </c>
      <c r="W126">
        <f t="shared" ca="1" si="27"/>
        <v>155.65584592096147</v>
      </c>
      <c r="X126">
        <f t="shared" ca="1" si="37"/>
        <v>154.09852878030466</v>
      </c>
      <c r="Y126">
        <f t="shared" ca="1" si="36"/>
        <v>1.7278757405314593</v>
      </c>
      <c r="Z126">
        <f t="shared" ca="1" si="38"/>
        <v>1.4723858874936921</v>
      </c>
      <c r="AA126">
        <f t="shared" ca="1" si="39"/>
        <v>0.25548985303776717</v>
      </c>
      <c r="AB126">
        <f t="shared" ca="1" si="40"/>
        <v>145.27780000000007</v>
      </c>
    </row>
    <row r="127" spans="1:28" x14ac:dyDescent="0.25">
      <c r="A127" s="20">
        <f t="shared" ca="1" si="20"/>
        <v>45894</v>
      </c>
      <c r="B127" vm="372">
        <f ca="1"/>
        <v>45896</v>
      </c>
      <c r="C127" vm="373">
        <f ca="1"/>
        <v>159.24</v>
      </c>
      <c r="D127" vm="374">
        <f ca="1"/>
        <v>7482961</v>
      </c>
      <c r="E127">
        <f t="shared" ca="1" si="21"/>
        <v>1191586709.6400001</v>
      </c>
      <c r="F127">
        <f ca="1">SUM($E$2:E127)/SUM($D$2:D127)</f>
        <v>148.21535412953835</v>
      </c>
      <c r="G127">
        <f ca="1">_xlfn.STDEV.P($C$2:C127)</f>
        <v>9.3351408265596447</v>
      </c>
      <c r="H127">
        <f t="shared" ca="1" si="22"/>
        <v>157.55049495609799</v>
      </c>
      <c r="I127">
        <f t="shared" ca="1" si="23"/>
        <v>138.88021330297872</v>
      </c>
      <c r="J127">
        <f t="shared" ca="1" si="32"/>
        <v>154.63049999999998</v>
      </c>
      <c r="K127">
        <f t="shared" ca="1" si="33"/>
        <v>2.4249828539817102</v>
      </c>
      <c r="L127">
        <f t="shared" ca="1" si="34"/>
        <v>159.48046570796339</v>
      </c>
      <c r="M127">
        <f t="shared" ca="1" si="35"/>
        <v>149.78053429203658</v>
      </c>
      <c r="N127">
        <f t="shared" ca="1" si="24"/>
        <v>1.8799999999999955</v>
      </c>
      <c r="O127">
        <f t="shared" ca="1" si="25"/>
        <v>1.8799999999999955</v>
      </c>
      <c r="P127">
        <f t="shared" ca="1" si="26"/>
        <v>0</v>
      </c>
      <c r="Q127">
        <f t="shared" ca="1" si="30"/>
        <v>0.91957789771211018</v>
      </c>
      <c r="R127">
        <f t="shared" ca="1" si="31"/>
        <v>0.54445675784360048</v>
      </c>
      <c r="S127">
        <f t="shared" ca="1" si="28"/>
        <v>1.6889824296684848</v>
      </c>
      <c r="T127">
        <f t="shared" ca="1" si="29"/>
        <v>62.81121107499068</v>
      </c>
      <c r="U127">
        <f>70</f>
        <v>70</v>
      </c>
      <c r="V127">
        <f>30</f>
        <v>30</v>
      </c>
      <c r="W127">
        <f t="shared" ca="1" si="27"/>
        <v>156.20725424081354</v>
      </c>
      <c r="X127">
        <f t="shared" ca="1" si="37"/>
        <v>154.47937850028208</v>
      </c>
      <c r="Y127">
        <f t="shared" ca="1" si="36"/>
        <v>1.8481951479485588</v>
      </c>
      <c r="Z127">
        <f t="shared" ca="1" si="38"/>
        <v>1.5475477395846655</v>
      </c>
      <c r="AA127">
        <f t="shared" ca="1" si="39"/>
        <v>0.30064740836389325</v>
      </c>
      <c r="AB127">
        <f t="shared" ca="1" si="40"/>
        <v>145.30900000000005</v>
      </c>
    </row>
    <row r="128" spans="1:28" x14ac:dyDescent="0.25">
      <c r="A128" s="20">
        <f t="shared" ca="1" si="20"/>
        <v>45894</v>
      </c>
      <c r="B128" vm="375">
        <f ca="1"/>
        <v>45897</v>
      </c>
      <c r="C128" vm="376">
        <f ca="1"/>
        <v>159.32</v>
      </c>
      <c r="D128" vm="377">
        <f ca="1"/>
        <v>6502447</v>
      </c>
      <c r="E128">
        <f t="shared" ca="1" si="21"/>
        <v>1035969856.04</v>
      </c>
      <c r="F128">
        <f ca="1">SUM($E$2:E128)/SUM($D$2:D128)</f>
        <v>148.27273066585556</v>
      </c>
      <c r="G128">
        <f ca="1">_xlfn.STDEV.P($C$2:C128)</f>
        <v>9.3489214874158613</v>
      </c>
      <c r="H128">
        <f t="shared" ca="1" si="22"/>
        <v>157.62165215327141</v>
      </c>
      <c r="I128">
        <f t="shared" ca="1" si="23"/>
        <v>138.92380917843971</v>
      </c>
      <c r="J128">
        <f t="shared" ca="1" si="32"/>
        <v>155.01450000000003</v>
      </c>
      <c r="K128">
        <f t="shared" ca="1" si="33"/>
        <v>2.5322082624086311</v>
      </c>
      <c r="L128">
        <f t="shared" ca="1" si="34"/>
        <v>160.07891652481729</v>
      </c>
      <c r="M128">
        <f t="shared" ca="1" si="35"/>
        <v>149.95008347518277</v>
      </c>
      <c r="N128">
        <f t="shared" ca="1" si="24"/>
        <v>7.9999999999984084E-2</v>
      </c>
      <c r="O128">
        <f t="shared" ca="1" si="25"/>
        <v>7.9999999999984084E-2</v>
      </c>
      <c r="P128">
        <f t="shared" ca="1" si="26"/>
        <v>0</v>
      </c>
      <c r="Q128">
        <f t="shared" ca="1" si="30"/>
        <v>0.8596080478755298</v>
      </c>
      <c r="R128">
        <f t="shared" ca="1" si="31"/>
        <v>0.50556698942620037</v>
      </c>
      <c r="S128">
        <f t="shared" ca="1" si="28"/>
        <v>1.7002851567725037</v>
      </c>
      <c r="T128">
        <f t="shared" ca="1" si="29"/>
        <v>62.966874165421743</v>
      </c>
      <c r="U128">
        <f>70</f>
        <v>70</v>
      </c>
      <c r="V128">
        <f>30</f>
        <v>30</v>
      </c>
      <c r="W128">
        <f t="shared" ca="1" si="27"/>
        <v>156.6861382037653</v>
      </c>
      <c r="X128">
        <f t="shared" ca="1" si="37"/>
        <v>154.83794305581674</v>
      </c>
      <c r="Y128">
        <f t="shared" ca="1" si="36"/>
        <v>2.0235086990821856</v>
      </c>
      <c r="Z128">
        <f t="shared" ca="1" si="38"/>
        <v>1.6427399314841697</v>
      </c>
      <c r="AA128">
        <f t="shared" ca="1" si="39"/>
        <v>0.38076876759801581</v>
      </c>
      <c r="AB128">
        <f t="shared" ca="1" si="40"/>
        <v>145.46940000000004</v>
      </c>
    </row>
    <row r="129" spans="1:28" x14ac:dyDescent="0.25">
      <c r="A129" s="20">
        <f t="shared" ca="1" si="20"/>
        <v>45894</v>
      </c>
      <c r="B129" vm="378">
        <f ca="1"/>
        <v>45898</v>
      </c>
      <c r="C129" vm="379">
        <f ca="1"/>
        <v>160.6</v>
      </c>
      <c r="D129" vm="380">
        <f ca="1"/>
        <v>6934840</v>
      </c>
      <c r="E129">
        <f t="shared" ca="1" si="21"/>
        <v>1113735304</v>
      </c>
      <c r="F129">
        <f ca="1">SUM($E$2:E129)/SUM($D$2:D129)</f>
        <v>148.34028753633032</v>
      </c>
      <c r="G129">
        <f ca="1">_xlfn.STDEV.P($C$2:C129)</f>
        <v>9.3739126735987828</v>
      </c>
      <c r="H129">
        <f t="shared" ca="1" si="22"/>
        <v>157.71420020992912</v>
      </c>
      <c r="I129">
        <f t="shared" ca="1" si="23"/>
        <v>138.96637486273153</v>
      </c>
      <c r="J129">
        <f t="shared" ca="1" si="32"/>
        <v>155.47449999999998</v>
      </c>
      <c r="K129">
        <f t="shared" ca="1" si="33"/>
        <v>2.6727739877276742</v>
      </c>
      <c r="L129">
        <f t="shared" ca="1" si="34"/>
        <v>160.82004797545534</v>
      </c>
      <c r="M129">
        <f t="shared" ca="1" si="35"/>
        <v>150.12895202454462</v>
      </c>
      <c r="N129">
        <f t="shared" ca="1" si="24"/>
        <v>1.2800000000000011</v>
      </c>
      <c r="O129">
        <f t="shared" ca="1" si="25"/>
        <v>1.2800000000000011</v>
      </c>
      <c r="P129">
        <f t="shared" ca="1" si="26"/>
        <v>0</v>
      </c>
      <c r="Q129">
        <f t="shared" ca="1" si="30"/>
        <v>0.88963604445584921</v>
      </c>
      <c r="R129">
        <f t="shared" ca="1" si="31"/>
        <v>0.46945506161004319</v>
      </c>
      <c r="S129">
        <f t="shared" ca="1" si="28"/>
        <v>1.895039839180247</v>
      </c>
      <c r="T129">
        <f t="shared" ca="1" si="29"/>
        <v>65.458161008134596</v>
      </c>
      <c r="U129">
        <f>70</f>
        <v>70</v>
      </c>
      <c r="V129">
        <f>30</f>
        <v>30</v>
      </c>
      <c r="W129">
        <f t="shared" ca="1" si="27"/>
        <v>157.28827078780139</v>
      </c>
      <c r="X129">
        <f t="shared" ca="1" si="37"/>
        <v>155.26476208871921</v>
      </c>
      <c r="Y129">
        <f t="shared" ca="1" si="36"/>
        <v>2.2359223508355512</v>
      </c>
      <c r="Z129">
        <f t="shared" ca="1" si="38"/>
        <v>1.7613764153544462</v>
      </c>
      <c r="AA129">
        <f t="shared" ca="1" si="39"/>
        <v>0.47454593548110502</v>
      </c>
      <c r="AB129">
        <f t="shared" ca="1" si="40"/>
        <v>145.67390000000006</v>
      </c>
    </row>
    <row r="130" spans="1:28" x14ac:dyDescent="0.25">
      <c r="A130" s="20">
        <f t="shared" ca="1" si="20"/>
        <v>45901</v>
      </c>
      <c r="B130" vm="381">
        <f ca="1"/>
        <v>45902</v>
      </c>
      <c r="C130" vm="382">
        <f ca="1"/>
        <v>161.83000000000001</v>
      </c>
      <c r="D130" vm="383">
        <f ca="1"/>
        <v>8947302</v>
      </c>
      <c r="E130">
        <f t="shared" ca="1" si="21"/>
        <v>1447941882.6600001</v>
      </c>
      <c r="F130">
        <f ca="1">SUM($E$2:E130)/SUM($D$2:D130)</f>
        <v>148.43499867326059</v>
      </c>
      <c r="G130">
        <f ca="1">_xlfn.STDEV.P($C$2:C130)</f>
        <v>9.4102907364483972</v>
      </c>
      <c r="H130">
        <f t="shared" ca="1" si="22"/>
        <v>157.84528940970898</v>
      </c>
      <c r="I130">
        <f t="shared" ca="1" si="23"/>
        <v>139.02470793681221</v>
      </c>
      <c r="J130">
        <f t="shared" ca="1" si="32"/>
        <v>156.01399999999998</v>
      </c>
      <c r="K130">
        <f t="shared" ca="1" si="33"/>
        <v>2.81571791350289</v>
      </c>
      <c r="L130">
        <f t="shared" ca="1" si="34"/>
        <v>161.64543582700577</v>
      </c>
      <c r="M130">
        <f t="shared" ca="1" si="35"/>
        <v>150.38256417299419</v>
      </c>
      <c r="N130">
        <f t="shared" ca="1" si="24"/>
        <v>1.2300000000000182</v>
      </c>
      <c r="O130">
        <f t="shared" ca="1" si="25"/>
        <v>1.2300000000000182</v>
      </c>
      <c r="P130">
        <f t="shared" ca="1" si="26"/>
        <v>0</v>
      </c>
      <c r="Q130">
        <f t="shared" ca="1" si="30"/>
        <v>0.91394775556614694</v>
      </c>
      <c r="R130">
        <f t="shared" ca="1" si="31"/>
        <v>0.43592255720932582</v>
      </c>
      <c r="S130">
        <f t="shared" ca="1" si="28"/>
        <v>2.0965828458546092</v>
      </c>
      <c r="T130">
        <f t="shared" ca="1" si="29"/>
        <v>67.70633792863967</v>
      </c>
      <c r="U130">
        <f>70</f>
        <v>70</v>
      </c>
      <c r="V130">
        <f>30</f>
        <v>30</v>
      </c>
      <c r="W130">
        <f t="shared" ca="1" si="27"/>
        <v>157.98699835890889</v>
      </c>
      <c r="X130">
        <f t="shared" ca="1" si="37"/>
        <v>155.75107600807334</v>
      </c>
      <c r="Y130">
        <f t="shared" ca="1" si="36"/>
        <v>2.076121965732483</v>
      </c>
      <c r="Z130">
        <f t="shared" ca="1" si="38"/>
        <v>1.8243255254300537</v>
      </c>
      <c r="AA130">
        <f t="shared" ca="1" si="39"/>
        <v>0.25179644030242931</v>
      </c>
      <c r="AB130">
        <f t="shared" ca="1" si="40"/>
        <v>145.92290000000003</v>
      </c>
    </row>
    <row r="131" spans="1:28" x14ac:dyDescent="0.25">
      <c r="A131" s="20">
        <f t="shared" ref="A131:A194" ca="1" si="41">B131 - WEEKDAY(B131, 2) + 1</f>
        <v>45901</v>
      </c>
      <c r="B131" vm="384">
        <f ca="1"/>
        <v>45903</v>
      </c>
      <c r="C131" vm="385">
        <f ca="1"/>
        <v>158.06</v>
      </c>
      <c r="D131" vm="386">
        <f ca="1"/>
        <v>9556116</v>
      </c>
      <c r="E131">
        <f t="shared" ref="E131:E194" ca="1" si="42">C131*D131</f>
        <v>1510439694.96</v>
      </c>
      <c r="F131">
        <f ca="1">SUM($E$2:E131)/SUM($D$2:D131)</f>
        <v>148.50663675774584</v>
      </c>
      <c r="G131">
        <f ca="1">_xlfn.STDEV.P($C$2:C131)</f>
        <v>9.410283396873206</v>
      </c>
      <c r="H131">
        <f t="shared" ref="H131:H194" ca="1" si="43">F131 + G131</f>
        <v>157.91692015461905</v>
      </c>
      <c r="I131">
        <f t="shared" ref="I131:I194" ca="1" si="44">F131 - G131</f>
        <v>139.09635336087263</v>
      </c>
      <c r="J131">
        <f t="shared" ca="1" si="32"/>
        <v>156.26499999999999</v>
      </c>
      <c r="K131">
        <f t="shared" ca="1" si="33"/>
        <v>2.7598483940055023</v>
      </c>
      <c r="L131">
        <f t="shared" ca="1" si="34"/>
        <v>161.78469678801099</v>
      </c>
      <c r="M131">
        <f t="shared" ca="1" si="35"/>
        <v>150.74530321198898</v>
      </c>
      <c r="N131">
        <f t="shared" ca="1" si="24"/>
        <v>-3.7700000000000102</v>
      </c>
      <c r="O131">
        <f t="shared" ca="1" si="25"/>
        <v>0</v>
      </c>
      <c r="P131">
        <f t="shared" ca="1" si="26"/>
        <v>3.7700000000000102</v>
      </c>
      <c r="Q131">
        <f t="shared" ca="1" si="30"/>
        <v>0.84866577302570789</v>
      </c>
      <c r="R131">
        <f t="shared" ca="1" si="31"/>
        <v>0.6740709459800891</v>
      </c>
      <c r="S131">
        <f t="shared" ca="1" si="28"/>
        <v>1.2590155058407992</v>
      </c>
      <c r="T131">
        <f t="shared" ca="1" si="29"/>
        <v>55.732928905780007</v>
      </c>
      <c r="U131">
        <f>70</f>
        <v>70</v>
      </c>
      <c r="V131">
        <f>30</f>
        <v>30</v>
      </c>
      <c r="W131">
        <f t="shared" ca="1" si="27"/>
        <v>157.99822938061521</v>
      </c>
      <c r="X131">
        <f t="shared" ca="1" si="37"/>
        <v>155.92210741488273</v>
      </c>
      <c r="Y131">
        <f t="shared" ca="1" si="36"/>
        <v>1.8977470547174562</v>
      </c>
      <c r="Z131">
        <f t="shared" ca="1" si="38"/>
        <v>1.8390098312875343</v>
      </c>
      <c r="AA131">
        <f t="shared" ca="1" si="39"/>
        <v>5.8737223429921936E-2</v>
      </c>
      <c r="AB131">
        <f t="shared" ca="1" si="40"/>
        <v>146.04320000000001</v>
      </c>
    </row>
    <row r="132" spans="1:28" x14ac:dyDescent="0.25">
      <c r="A132" s="20">
        <f t="shared" ca="1" si="41"/>
        <v>45901</v>
      </c>
      <c r="B132" vm="387">
        <f ca="1"/>
        <v>45904</v>
      </c>
      <c r="C132" vm="388">
        <f ca="1"/>
        <v>157.69</v>
      </c>
      <c r="D132" vm="389">
        <f ca="1"/>
        <v>7242974</v>
      </c>
      <c r="E132">
        <f t="shared" ca="1" si="42"/>
        <v>1142144570.0599999</v>
      </c>
      <c r="F132">
        <f ca="1">SUM($E$2:E132)/SUM($D$2:D132)</f>
        <v>148.55815218962528</v>
      </c>
      <c r="G132">
        <f ca="1">_xlfn.STDEV.P($C$2:C132)</f>
        <v>9.4069906683247577</v>
      </c>
      <c r="H132">
        <f t="shared" ca="1" si="43"/>
        <v>157.96514285795004</v>
      </c>
      <c r="I132">
        <f t="shared" ca="1" si="44"/>
        <v>139.15116152130051</v>
      </c>
      <c r="J132">
        <f t="shared" ca="1" si="32"/>
        <v>156.51050000000001</v>
      </c>
      <c r="K132">
        <f t="shared" ca="1" si="33"/>
        <v>2.6497119505811657</v>
      </c>
      <c r="L132">
        <f t="shared" ca="1" si="34"/>
        <v>161.80992390116234</v>
      </c>
      <c r="M132">
        <f t="shared" ca="1" si="35"/>
        <v>151.21107609883768</v>
      </c>
      <c r="N132">
        <f t="shared" ref="N132:N195" ca="1" si="45">C132-C131</f>
        <v>-0.37000000000000455</v>
      </c>
      <c r="O132">
        <f t="shared" ref="O132:O195" ca="1" si="46">MAX(N132,0)</f>
        <v>0</v>
      </c>
      <c r="P132">
        <f t="shared" ref="P132:P195" ca="1" si="47">MAX(-N132,0)</f>
        <v>0.37000000000000455</v>
      </c>
      <c r="Q132">
        <f t="shared" ca="1" si="30"/>
        <v>0.7880467892381573</v>
      </c>
      <c r="R132">
        <f t="shared" ca="1" si="31"/>
        <v>0.65235159269579734</v>
      </c>
      <c r="S132">
        <f t="shared" ca="1" si="28"/>
        <v>1.2080092975347987</v>
      </c>
      <c r="T132">
        <f t="shared" ca="1" si="29"/>
        <v>54.710335635068141</v>
      </c>
      <c r="U132">
        <f>70</f>
        <v>70</v>
      </c>
      <c r="V132">
        <f>30</f>
        <v>30</v>
      </c>
      <c r="W132">
        <f t="shared" ca="1" si="27"/>
        <v>157.95080947590517</v>
      </c>
      <c r="X132">
        <f t="shared" ca="1" si="37"/>
        <v>156.05306242118772</v>
      </c>
      <c r="Y132">
        <f t="shared" ca="1" si="36"/>
        <v>1.4148864030137247</v>
      </c>
      <c r="Z132">
        <f t="shared" ca="1" si="38"/>
        <v>1.7541851456327726</v>
      </c>
      <c r="AA132">
        <f t="shared" ca="1" si="39"/>
        <v>-0.33929874261904791</v>
      </c>
      <c r="AB132">
        <f t="shared" ca="1" si="40"/>
        <v>146.27030000000002</v>
      </c>
    </row>
    <row r="133" spans="1:28" x14ac:dyDescent="0.25">
      <c r="A133" s="20">
        <f t="shared" ca="1" si="41"/>
        <v>45901</v>
      </c>
      <c r="B133" vm="390">
        <f ca="1"/>
        <v>45905</v>
      </c>
      <c r="C133" vm="391">
        <f ca="1"/>
        <v>153.66</v>
      </c>
      <c r="D133" vm="392">
        <f ca="1"/>
        <v>11011667</v>
      </c>
      <c r="E133">
        <f t="shared" ca="1" si="42"/>
        <v>1692052751.22</v>
      </c>
      <c r="F133">
        <f ca="1">SUM($E$2:E133)/SUM($D$2:D133)</f>
        <v>148.60129526077895</v>
      </c>
      <c r="G133">
        <f ca="1">_xlfn.STDEV.P($C$2:C133)</f>
        <v>9.3809338646706237</v>
      </c>
      <c r="H133">
        <f t="shared" ca="1" si="43"/>
        <v>157.98222912544958</v>
      </c>
      <c r="I133">
        <f t="shared" ca="1" si="44"/>
        <v>139.22036139610833</v>
      </c>
      <c r="J133">
        <f t="shared" ca="1" si="32"/>
        <v>156.53550000000001</v>
      </c>
      <c r="K133">
        <f t="shared" ca="1" si="33"/>
        <v>2.6186124791174215</v>
      </c>
      <c r="L133">
        <f t="shared" ca="1" si="34"/>
        <v>161.77272495823485</v>
      </c>
      <c r="M133">
        <f t="shared" ca="1" si="35"/>
        <v>151.29827504176518</v>
      </c>
      <c r="N133">
        <f t="shared" ca="1" si="45"/>
        <v>-4.0300000000000011</v>
      </c>
      <c r="O133">
        <f t="shared" ca="1" si="46"/>
        <v>0</v>
      </c>
      <c r="P133">
        <f t="shared" ca="1" si="47"/>
        <v>4.0300000000000011</v>
      </c>
      <c r="Q133">
        <f t="shared" ca="1" si="30"/>
        <v>0.73175773286400325</v>
      </c>
      <c r="R133">
        <f t="shared" ca="1" si="31"/>
        <v>0.89361219321752627</v>
      </c>
      <c r="S133">
        <f t="shared" ca="1" si="28"/>
        <v>0.81887617292826731</v>
      </c>
      <c r="T133">
        <f t="shared" ca="1" si="29"/>
        <v>45.020996212729102</v>
      </c>
      <c r="U133">
        <f>70</f>
        <v>70</v>
      </c>
      <c r="V133">
        <f>30</f>
        <v>30</v>
      </c>
      <c r="W133">
        <f t="shared" ca="1" si="27"/>
        <v>157.29068494115052</v>
      </c>
      <c r="X133">
        <f t="shared" ca="1" si="37"/>
        <v>155.87579853813679</v>
      </c>
      <c r="Y133">
        <f t="shared" ca="1" si="36"/>
        <v>1.0475752211602014</v>
      </c>
      <c r="Z133">
        <f t="shared" ca="1" si="38"/>
        <v>1.6128631607382586</v>
      </c>
      <c r="AA133">
        <f t="shared" ca="1" si="39"/>
        <v>-0.56528793957805723</v>
      </c>
      <c r="AB133">
        <f t="shared" ca="1" si="40"/>
        <v>146.45060000000001</v>
      </c>
    </row>
    <row r="134" spans="1:28" x14ac:dyDescent="0.25">
      <c r="A134" s="20">
        <f t="shared" ca="1" si="41"/>
        <v>45908</v>
      </c>
      <c r="B134" vm="393">
        <f ca="1"/>
        <v>45908</v>
      </c>
      <c r="C134" vm="394">
        <f ca="1"/>
        <v>154</v>
      </c>
      <c r="D134" vm="395">
        <f ca="1"/>
        <v>9461969</v>
      </c>
      <c r="E134">
        <f t="shared" ca="1" si="42"/>
        <v>1457143226</v>
      </c>
      <c r="F134">
        <f ca="1">SUM($E$2:E134)/SUM($D$2:D134)</f>
        <v>148.64024076139449</v>
      </c>
      <c r="G134">
        <f ca="1">_xlfn.STDEV.P($C$2:C134)</f>
        <v>9.356419729970348</v>
      </c>
      <c r="H134">
        <f t="shared" ca="1" si="43"/>
        <v>157.99666049136485</v>
      </c>
      <c r="I134">
        <f t="shared" ca="1" si="44"/>
        <v>139.28382103142414</v>
      </c>
      <c r="J134">
        <f t="shared" ca="1" si="32"/>
        <v>156.48499999999999</v>
      </c>
      <c r="K134">
        <f t="shared" ca="1" si="33"/>
        <v>2.6590075315108814</v>
      </c>
      <c r="L134">
        <f t="shared" ca="1" si="34"/>
        <v>161.80301506302175</v>
      </c>
      <c r="M134">
        <f t="shared" ca="1" si="35"/>
        <v>151.16698493697822</v>
      </c>
      <c r="N134">
        <f t="shared" ca="1" si="45"/>
        <v>0.34000000000000341</v>
      </c>
      <c r="O134">
        <f t="shared" ca="1" si="46"/>
        <v>0.34000000000000341</v>
      </c>
      <c r="P134">
        <f t="shared" ca="1" si="47"/>
        <v>0</v>
      </c>
      <c r="Q134">
        <f t="shared" ca="1" si="30"/>
        <v>0.70377503765943195</v>
      </c>
      <c r="R134">
        <f t="shared" ca="1" si="31"/>
        <v>0.82978275084484576</v>
      </c>
      <c r="S134">
        <f t="shared" ca="1" si="28"/>
        <v>0.84814373032324586</v>
      </c>
      <c r="T134">
        <f t="shared" ca="1" si="29"/>
        <v>45.891654226205823</v>
      </c>
      <c r="U134">
        <f>70</f>
        <v>70</v>
      </c>
      <c r="V134">
        <f>30</f>
        <v>30</v>
      </c>
      <c r="W134">
        <f t="shared" ca="1" si="27"/>
        <v>156.78442571943503</v>
      </c>
      <c r="X134">
        <f t="shared" ca="1" si="37"/>
        <v>155.73685049827483</v>
      </c>
      <c r="Y134">
        <f t="shared" ca="1" si="36"/>
        <v>0.81566389382584248</v>
      </c>
      <c r="Z134">
        <f t="shared" ca="1" si="38"/>
        <v>1.4534233073557754</v>
      </c>
      <c r="AA134">
        <f t="shared" ca="1" si="39"/>
        <v>-0.63775941352993293</v>
      </c>
      <c r="AB134">
        <f t="shared" ca="1" si="40"/>
        <v>146.63740000000001</v>
      </c>
    </row>
    <row r="135" spans="1:28" x14ac:dyDescent="0.25">
      <c r="A135" s="20">
        <f t="shared" ca="1" si="41"/>
        <v>45908</v>
      </c>
      <c r="B135" vm="396">
        <f ca="1"/>
        <v>45909</v>
      </c>
      <c r="C135" vm="397">
        <f ca="1"/>
        <v>154.85</v>
      </c>
      <c r="D135" vm="398">
        <f ca="1"/>
        <v>7769177</v>
      </c>
      <c r="E135">
        <f t="shared" ca="1" si="42"/>
        <v>1203057058.45</v>
      </c>
      <c r="F135">
        <f ca="1">SUM($E$2:E135)/SUM($D$2:D135)</f>
        <v>148.67680622793398</v>
      </c>
      <c r="G135">
        <f ca="1">_xlfn.STDEV.P($C$2:C135)</f>
        <v>9.3358205531097465</v>
      </c>
      <c r="H135">
        <f t="shared" ca="1" si="43"/>
        <v>158.01262678104374</v>
      </c>
      <c r="I135">
        <f t="shared" ca="1" si="44"/>
        <v>139.34098567482422</v>
      </c>
      <c r="J135">
        <f t="shared" ca="1" si="32"/>
        <v>156.55499999999998</v>
      </c>
      <c r="K135">
        <f t="shared" ca="1" si="33"/>
        <v>2.5925003172105594</v>
      </c>
      <c r="L135">
        <f t="shared" ca="1" si="34"/>
        <v>161.74000063442111</v>
      </c>
      <c r="M135">
        <f t="shared" ca="1" si="35"/>
        <v>151.36999936557885</v>
      </c>
      <c r="N135">
        <f t="shared" ca="1" si="45"/>
        <v>0.84999999999999432</v>
      </c>
      <c r="O135">
        <f t="shared" ca="1" si="46"/>
        <v>0.84999999999999432</v>
      </c>
      <c r="P135">
        <f t="shared" ca="1" si="47"/>
        <v>0</v>
      </c>
      <c r="Q135">
        <f t="shared" ca="1" si="30"/>
        <v>0.714219677826615</v>
      </c>
      <c r="R135">
        <f t="shared" ca="1" si="31"/>
        <v>0.77051255435592825</v>
      </c>
      <c r="S135">
        <f t="shared" ca="1" si="28"/>
        <v>0.92694100023280157</v>
      </c>
      <c r="T135">
        <f t="shared" ca="1" si="29"/>
        <v>48.104275124189797</v>
      </c>
      <c r="U135">
        <f>70</f>
        <v>70</v>
      </c>
      <c r="V135">
        <f>30</f>
        <v>30</v>
      </c>
      <c r="W135">
        <f t="shared" ca="1" si="27"/>
        <v>156.48682176259885</v>
      </c>
      <c r="X135">
        <f t="shared" ca="1" si="37"/>
        <v>155.67115786877301</v>
      </c>
      <c r="Y135">
        <f t="shared" ca="1" si="36"/>
        <v>0.8592015844462253</v>
      </c>
      <c r="Z135">
        <f t="shared" ca="1" si="38"/>
        <v>1.3345789627738653</v>
      </c>
      <c r="AA135">
        <f t="shared" ca="1" si="39"/>
        <v>-0.47537737832764004</v>
      </c>
      <c r="AB135">
        <f t="shared" ca="1" si="40"/>
        <v>146.84050000000002</v>
      </c>
    </row>
    <row r="136" spans="1:28" x14ac:dyDescent="0.25">
      <c r="A136" s="20">
        <f t="shared" ca="1" si="41"/>
        <v>45908</v>
      </c>
      <c r="B136" vm="399">
        <f ca="1"/>
        <v>45910</v>
      </c>
      <c r="C136" vm="400">
        <f ca="1"/>
        <v>157.79</v>
      </c>
      <c r="D136" vm="401">
        <f ca="1"/>
        <v>7440811</v>
      </c>
      <c r="E136">
        <f t="shared" ca="1" si="42"/>
        <v>1174085567.6900001</v>
      </c>
      <c r="F136">
        <f ca="1">SUM($E$2:E136)/SUM($D$2:D136)</f>
        <v>148.72791199249207</v>
      </c>
      <c r="G136">
        <f ca="1">_xlfn.STDEV.P($C$2:C136)</f>
        <v>9.3325263831053835</v>
      </c>
      <c r="H136">
        <f t="shared" ca="1" si="43"/>
        <v>158.06043837559744</v>
      </c>
      <c r="I136">
        <f t="shared" ca="1" si="44"/>
        <v>139.39538560938669</v>
      </c>
      <c r="J136">
        <f t="shared" ca="1" si="32"/>
        <v>156.7225</v>
      </c>
      <c r="K136">
        <f t="shared" ca="1" si="33"/>
        <v>2.5566319847141012</v>
      </c>
      <c r="L136">
        <f t="shared" ca="1" si="34"/>
        <v>161.8357639694282</v>
      </c>
      <c r="M136">
        <f t="shared" ca="1" si="35"/>
        <v>151.60923603057179</v>
      </c>
      <c r="N136">
        <f t="shared" ca="1" si="45"/>
        <v>2.9399999999999977</v>
      </c>
      <c r="O136">
        <f t="shared" ca="1" si="46"/>
        <v>2.9399999999999977</v>
      </c>
      <c r="P136">
        <f t="shared" ca="1" si="47"/>
        <v>0</v>
      </c>
      <c r="Q136">
        <f t="shared" ca="1" si="30"/>
        <v>0.87320398655328524</v>
      </c>
      <c r="R136">
        <f t="shared" ca="1" si="31"/>
        <v>0.71547594333050479</v>
      </c>
      <c r="S136">
        <f t="shared" ca="1" si="28"/>
        <v>1.2204519169275829</v>
      </c>
      <c r="T136">
        <f t="shared" ca="1" si="29"/>
        <v>54.964122736614357</v>
      </c>
      <c r="U136">
        <f>70</f>
        <v>70</v>
      </c>
      <c r="V136">
        <f>30</f>
        <v>30</v>
      </c>
      <c r="W136">
        <f t="shared" ca="1" si="27"/>
        <v>156.68731072219902</v>
      </c>
      <c r="X136">
        <f t="shared" ca="1" si="37"/>
        <v>155.82810913775279</v>
      </c>
      <c r="Y136">
        <f t="shared" ca="1" si="36"/>
        <v>0.9202159963631118</v>
      </c>
      <c r="Z136">
        <f t="shared" ca="1" si="38"/>
        <v>1.2517063694917148</v>
      </c>
      <c r="AA136">
        <f t="shared" ca="1" si="39"/>
        <v>-0.33149037312860297</v>
      </c>
      <c r="AB136">
        <f t="shared" ca="1" si="40"/>
        <v>147.06480000000005</v>
      </c>
    </row>
    <row r="137" spans="1:28" x14ac:dyDescent="0.25">
      <c r="A137" s="20">
        <f t="shared" ca="1" si="41"/>
        <v>45908</v>
      </c>
      <c r="B137" vm="402">
        <f ca="1"/>
        <v>45911</v>
      </c>
      <c r="C137" vm="403">
        <f ca="1"/>
        <v>158.25</v>
      </c>
      <c r="D137" vm="404">
        <f ca="1"/>
        <v>6417408</v>
      </c>
      <c r="E137">
        <f t="shared" ca="1" si="42"/>
        <v>1015554816</v>
      </c>
      <c r="F137">
        <f ca="1">SUM($E$2:E137)/SUM($D$2:D137)</f>
        <v>148.7737446897348</v>
      </c>
      <c r="G137">
        <f ca="1">_xlfn.STDEV.P($C$2:C137)</f>
        <v>9.3320888375432496</v>
      </c>
      <c r="H137">
        <f t="shared" ca="1" si="43"/>
        <v>158.10583352727804</v>
      </c>
      <c r="I137">
        <f t="shared" ca="1" si="44"/>
        <v>139.44165585219156</v>
      </c>
      <c r="J137">
        <f t="shared" ca="1" si="32"/>
        <v>156.84149999999997</v>
      </c>
      <c r="K137">
        <f t="shared" ca="1" si="33"/>
        <v>2.5702166097534733</v>
      </c>
      <c r="L137">
        <f t="shared" ca="1" si="34"/>
        <v>161.98193321950691</v>
      </c>
      <c r="M137">
        <f t="shared" ca="1" si="35"/>
        <v>151.70106678049302</v>
      </c>
      <c r="N137">
        <f t="shared" ca="1" si="45"/>
        <v>0.46000000000000796</v>
      </c>
      <c r="O137">
        <f t="shared" ca="1" si="46"/>
        <v>0.46000000000000796</v>
      </c>
      <c r="P137">
        <f t="shared" ca="1" si="47"/>
        <v>0</v>
      </c>
      <c r="Q137">
        <f t="shared" ca="1" si="30"/>
        <v>0.84368941608519399</v>
      </c>
      <c r="R137">
        <f t="shared" ca="1" si="31"/>
        <v>0.66437051880689724</v>
      </c>
      <c r="S137">
        <f t="shared" ca="1" si="28"/>
        <v>1.2699079688248731</v>
      </c>
      <c r="T137">
        <f t="shared" ca="1" si="29"/>
        <v>55.945350484068392</v>
      </c>
      <c r="U137">
        <f>70</f>
        <v>70</v>
      </c>
      <c r="V137">
        <f>30</f>
        <v>30</v>
      </c>
      <c r="W137">
        <f t="shared" ca="1" si="27"/>
        <v>156.92772445724532</v>
      </c>
      <c r="X137">
        <f t="shared" ca="1" si="37"/>
        <v>156.00750846088221</v>
      </c>
      <c r="Y137">
        <f t="shared" ca="1" si="36"/>
        <v>0.8665923476214914</v>
      </c>
      <c r="Z137">
        <f t="shared" ca="1" si="38"/>
        <v>1.1746835651176704</v>
      </c>
      <c r="AA137">
        <f t="shared" ca="1" si="39"/>
        <v>-0.30809121749617896</v>
      </c>
      <c r="AB137">
        <f t="shared" ca="1" si="40"/>
        <v>147.26860000000005</v>
      </c>
    </row>
    <row r="138" spans="1:28" x14ac:dyDescent="0.25">
      <c r="A138" s="20">
        <f t="shared" ca="1" si="41"/>
        <v>45908</v>
      </c>
      <c r="B138" vm="405">
        <f ca="1"/>
        <v>45912</v>
      </c>
      <c r="C138" vm="406">
        <f ca="1"/>
        <v>157.11000000000001</v>
      </c>
      <c r="D138" vm="407">
        <f ca="1"/>
        <v>5546333</v>
      </c>
      <c r="E138">
        <f t="shared" ca="1" si="42"/>
        <v>871384377.63000011</v>
      </c>
      <c r="F138">
        <f ca="1">SUM($E$2:E138)/SUM($D$2:D138)</f>
        <v>148.8082795433842</v>
      </c>
      <c r="G138">
        <f ca="1">_xlfn.STDEV.P($C$2:C138)</f>
        <v>9.3234895936207796</v>
      </c>
      <c r="H138">
        <f t="shared" ca="1" si="43"/>
        <v>158.13176913700499</v>
      </c>
      <c r="I138">
        <f t="shared" ca="1" si="44"/>
        <v>139.48478994976341</v>
      </c>
      <c r="J138">
        <f t="shared" ca="1" si="32"/>
        <v>156.93899999999999</v>
      </c>
      <c r="K138">
        <f t="shared" ca="1" si="33"/>
        <v>2.5398796075902172</v>
      </c>
      <c r="L138">
        <f t="shared" ca="1" si="34"/>
        <v>162.01875921518044</v>
      </c>
      <c r="M138">
        <f t="shared" ca="1" si="35"/>
        <v>151.85924078481955</v>
      </c>
      <c r="N138">
        <f t="shared" ca="1" si="45"/>
        <v>-1.1399999999999864</v>
      </c>
      <c r="O138">
        <f t="shared" ca="1" si="46"/>
        <v>0</v>
      </c>
      <c r="P138">
        <f t="shared" ca="1" si="47"/>
        <v>1.1399999999999864</v>
      </c>
      <c r="Q138">
        <f t="shared" ca="1" si="30"/>
        <v>0.78342588636482291</v>
      </c>
      <c r="R138">
        <f t="shared" ca="1" si="31"/>
        <v>0.69834405317783221</v>
      </c>
      <c r="S138">
        <f t="shared" ca="1" si="28"/>
        <v>1.1218336904278394</v>
      </c>
      <c r="T138">
        <f t="shared" ca="1" si="29"/>
        <v>52.870952869149541</v>
      </c>
      <c r="U138">
        <f>70</f>
        <v>70</v>
      </c>
      <c r="V138">
        <f>30</f>
        <v>30</v>
      </c>
      <c r="W138">
        <f t="shared" ca="1" si="27"/>
        <v>156.95576684843834</v>
      </c>
      <c r="X138">
        <f t="shared" ca="1" si="37"/>
        <v>156.08917450081685</v>
      </c>
      <c r="Y138">
        <f t="shared" ca="1" si="36"/>
        <v>0.83065823709605979</v>
      </c>
      <c r="Z138">
        <f t="shared" ca="1" si="38"/>
        <v>1.1058784995133484</v>
      </c>
      <c r="AA138">
        <f t="shared" ca="1" si="39"/>
        <v>-0.27522026241728859</v>
      </c>
      <c r="AB138">
        <f t="shared" ca="1" si="40"/>
        <v>147.50240000000002</v>
      </c>
    </row>
    <row r="139" spans="1:28" x14ac:dyDescent="0.25">
      <c r="A139" s="20">
        <f t="shared" ca="1" si="41"/>
        <v>45915</v>
      </c>
      <c r="B139" vm="408">
        <f ca="1"/>
        <v>45915</v>
      </c>
      <c r="C139" vm="409">
        <f ca="1"/>
        <v>157.31</v>
      </c>
      <c r="D139" vm="410">
        <f ca="1"/>
        <v>5030461</v>
      </c>
      <c r="E139">
        <f t="shared" ca="1" si="42"/>
        <v>791341819.90999997</v>
      </c>
      <c r="F139">
        <f ca="1">SUM($E$2:E139)/SUM($D$2:D139)</f>
        <v>148.84010440437069</v>
      </c>
      <c r="G139">
        <f ca="1">_xlfn.STDEV.P($C$2:C139)</f>
        <v>9.3158973511550052</v>
      </c>
      <c r="H139">
        <f t="shared" ca="1" si="43"/>
        <v>158.15600175552569</v>
      </c>
      <c r="I139">
        <f t="shared" ca="1" si="44"/>
        <v>139.52420705321569</v>
      </c>
      <c r="J139">
        <f t="shared" ca="1" si="32"/>
        <v>156.97699999999998</v>
      </c>
      <c r="K139">
        <f t="shared" ca="1" si="33"/>
        <v>2.5394386035209902</v>
      </c>
      <c r="L139">
        <f t="shared" ca="1" si="34"/>
        <v>162.05587720704196</v>
      </c>
      <c r="M139">
        <f t="shared" ca="1" si="35"/>
        <v>151.89812279295799</v>
      </c>
      <c r="N139">
        <f t="shared" ca="1" si="45"/>
        <v>0.19999999999998863</v>
      </c>
      <c r="O139">
        <f t="shared" ca="1" si="46"/>
        <v>0.19999999999998863</v>
      </c>
      <c r="P139">
        <f t="shared" ca="1" si="47"/>
        <v>0</v>
      </c>
      <c r="Q139">
        <f t="shared" ca="1" si="30"/>
        <v>0.74175260876733484</v>
      </c>
      <c r="R139">
        <f t="shared" ca="1" si="31"/>
        <v>0.64846233509370133</v>
      </c>
      <c r="S139">
        <f t="shared" ca="1" si="28"/>
        <v>1.1438638277428299</v>
      </c>
      <c r="T139">
        <f t="shared" ca="1" si="29"/>
        <v>53.355246398608656</v>
      </c>
      <c r="U139">
        <f>70</f>
        <v>70</v>
      </c>
      <c r="V139">
        <f>30</f>
        <v>30</v>
      </c>
      <c r="W139">
        <f t="shared" ca="1" si="27"/>
        <v>157.0102642563709</v>
      </c>
      <c r="X139">
        <f t="shared" ca="1" si="37"/>
        <v>156.17960601927484</v>
      </c>
      <c r="Y139">
        <f t="shared" ca="1" si="36"/>
        <v>0.97093027885424021</v>
      </c>
      <c r="Z139">
        <f t="shared" ca="1" si="38"/>
        <v>1.0788888553815268</v>
      </c>
      <c r="AA139">
        <f t="shared" ca="1" si="39"/>
        <v>-0.10795857652728658</v>
      </c>
      <c r="AB139">
        <f t="shared" ca="1" si="40"/>
        <v>147.70250000000004</v>
      </c>
    </row>
    <row r="140" spans="1:28" x14ac:dyDescent="0.25">
      <c r="A140" s="20">
        <f t="shared" ca="1" si="41"/>
        <v>45915</v>
      </c>
      <c r="B140" vm="411">
        <f ca="1"/>
        <v>45916</v>
      </c>
      <c r="C140" vm="412">
        <f ca="1"/>
        <v>159.54</v>
      </c>
      <c r="D140" vm="413">
        <f ca="1"/>
        <v>8011032</v>
      </c>
      <c r="E140">
        <f t="shared" ca="1" si="42"/>
        <v>1278080045.28</v>
      </c>
      <c r="F140">
        <f ca="1">SUM($E$2:E140)/SUM($D$2:D140)</f>
        <v>148.9035116144677</v>
      </c>
      <c r="G140">
        <f ca="1">_xlfn.STDEV.P($C$2:C140)</f>
        <v>9.3239251602739426</v>
      </c>
      <c r="H140">
        <f t="shared" ca="1" si="43"/>
        <v>158.22743677474165</v>
      </c>
      <c r="I140">
        <f t="shared" ca="1" si="44"/>
        <v>139.57958645419376</v>
      </c>
      <c r="J140">
        <f t="shared" ca="1" si="32"/>
        <v>157.18799999999999</v>
      </c>
      <c r="K140">
        <f t="shared" ca="1" si="33"/>
        <v>2.5696520346045633</v>
      </c>
      <c r="L140">
        <f t="shared" ca="1" si="34"/>
        <v>162.32730406920911</v>
      </c>
      <c r="M140">
        <f t="shared" ca="1" si="35"/>
        <v>152.04869593079087</v>
      </c>
      <c r="N140">
        <f t="shared" ca="1" si="45"/>
        <v>2.2299999999999898</v>
      </c>
      <c r="O140">
        <f t="shared" ca="1" si="46"/>
        <v>2.2299999999999898</v>
      </c>
      <c r="P140">
        <f t="shared" ca="1" si="47"/>
        <v>0</v>
      </c>
      <c r="Q140">
        <f t="shared" ca="1" si="30"/>
        <v>0.84805599385538166</v>
      </c>
      <c r="R140">
        <f t="shared" ca="1" si="31"/>
        <v>0.60214359687272268</v>
      </c>
      <c r="S140">
        <f t="shared" ca="1" si="28"/>
        <v>1.4083949381174576</v>
      </c>
      <c r="T140">
        <f t="shared" ca="1" si="29"/>
        <v>58.478570762083628</v>
      </c>
      <c r="U140">
        <f>70</f>
        <v>70</v>
      </c>
      <c r="V140">
        <f>30</f>
        <v>30</v>
      </c>
      <c r="W140">
        <f t="shared" ca="1" si="27"/>
        <v>157.39945437077537</v>
      </c>
      <c r="X140">
        <f t="shared" ca="1" si="37"/>
        <v>156.42852409192113</v>
      </c>
      <c r="Y140">
        <f t="shared" ca="1" si="36"/>
        <v>1.1136399380225441</v>
      </c>
      <c r="Z140">
        <f t="shared" ca="1" si="38"/>
        <v>1.0858390719097302</v>
      </c>
      <c r="AA140">
        <f t="shared" ca="1" si="39"/>
        <v>2.780086611281396E-2</v>
      </c>
      <c r="AB140">
        <f t="shared" ca="1" si="40"/>
        <v>147.93110000000007</v>
      </c>
    </row>
    <row r="141" spans="1:28" x14ac:dyDescent="0.25">
      <c r="A141" s="20">
        <f t="shared" ca="1" si="41"/>
        <v>45915</v>
      </c>
      <c r="B141" vm="414">
        <f ca="1"/>
        <v>45917</v>
      </c>
      <c r="C141" vm="415">
        <f ca="1"/>
        <v>160.09</v>
      </c>
      <c r="D141" vm="416">
        <f ca="1"/>
        <v>5736777</v>
      </c>
      <c r="E141">
        <f t="shared" ca="1" si="42"/>
        <v>918400629.93000007</v>
      </c>
      <c r="F141">
        <f ca="1">SUM($E$2:E141)/SUM($D$2:D141)</f>
        <v>148.95078245147351</v>
      </c>
      <c r="G141">
        <f ca="1">_xlfn.STDEV.P($C$2:C141)</f>
        <v>9.3356772703933366</v>
      </c>
      <c r="H141">
        <f t="shared" ca="1" si="43"/>
        <v>158.28645972186686</v>
      </c>
      <c r="I141">
        <f t="shared" ca="1" si="44"/>
        <v>139.61510518108017</v>
      </c>
      <c r="J141">
        <f t="shared" ca="1" si="32"/>
        <v>157.5925</v>
      </c>
      <c r="K141">
        <f t="shared" ca="1" si="33"/>
        <v>2.3361346279698871</v>
      </c>
      <c r="L141">
        <f t="shared" ca="1" si="34"/>
        <v>162.26476925593977</v>
      </c>
      <c r="M141">
        <f t="shared" ca="1" si="35"/>
        <v>152.92023074406023</v>
      </c>
      <c r="N141">
        <f t="shared" ca="1" si="45"/>
        <v>0.55000000000001137</v>
      </c>
      <c r="O141">
        <f t="shared" ca="1" si="46"/>
        <v>0.55000000000001137</v>
      </c>
      <c r="P141">
        <f t="shared" ca="1" si="47"/>
        <v>0</v>
      </c>
      <c r="Q141">
        <f t="shared" ca="1" si="30"/>
        <v>0.82676628000856944</v>
      </c>
      <c r="R141">
        <f t="shared" ca="1" si="31"/>
        <v>0.55913333995324244</v>
      </c>
      <c r="S141">
        <f t="shared" ca="1" si="28"/>
        <v>1.4786567370096511</v>
      </c>
      <c r="T141">
        <f t="shared" ca="1" si="29"/>
        <v>59.655567264774255</v>
      </c>
      <c r="U141">
        <f>70</f>
        <v>70</v>
      </c>
      <c r="V141">
        <f>30</f>
        <v>30</v>
      </c>
      <c r="W141">
        <f t="shared" ca="1" si="27"/>
        <v>157.81338446757914</v>
      </c>
      <c r="X141">
        <f t="shared" ca="1" si="37"/>
        <v>156.6997445295566</v>
      </c>
      <c r="Y141">
        <f t="shared" ca="1" si="36"/>
        <v>1.1130433469091372</v>
      </c>
      <c r="Z141">
        <f t="shared" ca="1" si="38"/>
        <v>1.0912799269096116</v>
      </c>
      <c r="AA141">
        <f t="shared" ca="1" si="39"/>
        <v>2.1763419999525579E-2</v>
      </c>
      <c r="AB141">
        <f t="shared" ca="1" si="40"/>
        <v>148.14130000000006</v>
      </c>
    </row>
    <row r="142" spans="1:28" x14ac:dyDescent="0.25">
      <c r="A142" s="20">
        <f t="shared" ca="1" si="41"/>
        <v>45915</v>
      </c>
      <c r="B142" vm="417">
        <f ca="1"/>
        <v>45918</v>
      </c>
      <c r="C142" vm="418">
        <f ca="1"/>
        <v>158.84</v>
      </c>
      <c r="D142" vm="419">
        <f ca="1"/>
        <v>6244226</v>
      </c>
      <c r="E142">
        <f t="shared" ca="1" si="42"/>
        <v>991832857.84000003</v>
      </c>
      <c r="F142">
        <f ca="1">SUM($E$2:E142)/SUM($D$2:D142)</f>
        <v>148.99605960714123</v>
      </c>
      <c r="G142">
        <f ca="1">_xlfn.STDEV.P($C$2:C142)</f>
        <v>9.3370209361322818</v>
      </c>
      <c r="H142">
        <f t="shared" ca="1" si="43"/>
        <v>158.33308054327352</v>
      </c>
      <c r="I142">
        <f t="shared" ca="1" si="44"/>
        <v>139.65903867100894</v>
      </c>
      <c r="J142">
        <f t="shared" ca="1" si="32"/>
        <v>157.87350000000001</v>
      </c>
      <c r="K142">
        <f t="shared" ca="1" si="33"/>
        <v>2.1095179668899671</v>
      </c>
      <c r="L142">
        <f t="shared" ca="1" si="34"/>
        <v>162.09253593377994</v>
      </c>
      <c r="M142">
        <f t="shared" ca="1" si="35"/>
        <v>153.65446406622007</v>
      </c>
      <c r="N142">
        <f t="shared" ca="1" si="45"/>
        <v>-1.25</v>
      </c>
      <c r="O142">
        <f t="shared" ca="1" si="46"/>
        <v>0</v>
      </c>
      <c r="P142">
        <f t="shared" ca="1" si="47"/>
        <v>1.25</v>
      </c>
      <c r="Q142">
        <f t="shared" ca="1" si="30"/>
        <v>0.76771154572224298</v>
      </c>
      <c r="R142">
        <f t="shared" ca="1" si="31"/>
        <v>0.60848095852801087</v>
      </c>
      <c r="S142">
        <f t="shared" ca="1" si="28"/>
        <v>1.2616854068522212</v>
      </c>
      <c r="T142">
        <f t="shared" ca="1" si="29"/>
        <v>55.785185818933833</v>
      </c>
      <c r="U142">
        <f>70</f>
        <v>70</v>
      </c>
      <c r="V142">
        <f>30</f>
        <v>30</v>
      </c>
      <c r="W142">
        <f t="shared" ca="1" si="27"/>
        <v>157.9713253187208</v>
      </c>
      <c r="X142">
        <f t="shared" ca="1" si="37"/>
        <v>156.85828197181166</v>
      </c>
      <c r="Y142">
        <f t="shared" ca="1" si="36"/>
        <v>0.89009110775293721</v>
      </c>
      <c r="Z142">
        <f t="shared" ca="1" si="38"/>
        <v>1.0510421630782769</v>
      </c>
      <c r="AA142">
        <f t="shared" ca="1" si="39"/>
        <v>-0.16095105532533971</v>
      </c>
      <c r="AB142">
        <f t="shared" ca="1" si="40"/>
        <v>148.34240000000005</v>
      </c>
    </row>
    <row r="143" spans="1:28" x14ac:dyDescent="0.25">
      <c r="A143" s="20">
        <f t="shared" ca="1" si="41"/>
        <v>45915</v>
      </c>
      <c r="B143" vm="420">
        <f ca="1"/>
        <v>45919</v>
      </c>
      <c r="C143" vm="421">
        <f ca="1"/>
        <v>156.21</v>
      </c>
      <c r="D143" vm="422">
        <f ca="1"/>
        <v>16733988</v>
      </c>
      <c r="E143">
        <f t="shared" ca="1" si="42"/>
        <v>2614016265.48</v>
      </c>
      <c r="F143">
        <f ca="1">SUM($E$2:E143)/SUM($D$2:D143)</f>
        <v>149.083500444506</v>
      </c>
      <c r="G143">
        <f ca="1">_xlfn.STDEV.P($C$2:C143)</f>
        <v>9.321750583537316</v>
      </c>
      <c r="H143">
        <f t="shared" ca="1" si="43"/>
        <v>158.40525102804332</v>
      </c>
      <c r="I143">
        <f t="shared" ca="1" si="44"/>
        <v>139.76174986096868</v>
      </c>
      <c r="J143">
        <f t="shared" ca="1" si="32"/>
        <v>157.90650000000002</v>
      </c>
      <c r="K143">
        <f t="shared" ca="1" si="33"/>
        <v>2.0761560508228722</v>
      </c>
      <c r="L143">
        <f t="shared" ca="1" si="34"/>
        <v>162.05881210164577</v>
      </c>
      <c r="M143">
        <f t="shared" ca="1" si="35"/>
        <v>153.75418789835427</v>
      </c>
      <c r="N143">
        <f t="shared" ca="1" si="45"/>
        <v>-2.6299999999999955</v>
      </c>
      <c r="O143">
        <f t="shared" ca="1" si="46"/>
        <v>0</v>
      </c>
      <c r="P143">
        <f t="shared" ca="1" si="47"/>
        <v>2.6299999999999955</v>
      </c>
      <c r="Q143">
        <f t="shared" ca="1" si="30"/>
        <v>0.71287500674208282</v>
      </c>
      <c r="R143">
        <f t="shared" ca="1" si="31"/>
        <v>0.75287517577600982</v>
      </c>
      <c r="S143">
        <f t="shared" ca="1" si="28"/>
        <v>0.94687011828661016</v>
      </c>
      <c r="T143">
        <f t="shared" ca="1" si="29"/>
        <v>48.635505234418304</v>
      </c>
      <c r="U143">
        <f>70</f>
        <v>70</v>
      </c>
      <c r="V143">
        <f>30</f>
        <v>30</v>
      </c>
      <c r="W143">
        <f t="shared" ref="W143:W206" ca="1" si="48">C143*(2/(12+1)) + W142*(1-(2/(12+1)))</f>
        <v>157.70035219276375</v>
      </c>
      <c r="X143">
        <f t="shared" ca="1" si="37"/>
        <v>156.81026108501081</v>
      </c>
      <c r="Y143">
        <f t="shared" ca="1" si="36"/>
        <v>0.69250640633140392</v>
      </c>
      <c r="Z143">
        <f t="shared" ca="1" si="38"/>
        <v>0.97933501172890236</v>
      </c>
      <c r="AA143">
        <f t="shared" ca="1" si="39"/>
        <v>-0.28682860539749844</v>
      </c>
      <c r="AB143">
        <f t="shared" ca="1" si="40"/>
        <v>148.50350000000003</v>
      </c>
    </row>
    <row r="144" spans="1:28" x14ac:dyDescent="0.25">
      <c r="A144" s="20">
        <f t="shared" ca="1" si="41"/>
        <v>45922</v>
      </c>
      <c r="B144" vm="423">
        <f ca="1"/>
        <v>45922</v>
      </c>
      <c r="C144" vm="424">
        <f ca="1"/>
        <v>156.05000000000001</v>
      </c>
      <c r="D144" vm="425">
        <f ca="1"/>
        <v>5244025</v>
      </c>
      <c r="E144">
        <f t="shared" ca="1" si="42"/>
        <v>818330101.25</v>
      </c>
      <c r="F144">
        <f ca="1">SUM($E$2:E144)/SUM($D$2:D144)</f>
        <v>149.10986224986962</v>
      </c>
      <c r="G144">
        <f ca="1">_xlfn.STDEV.P($C$2:C144)</f>
        <v>9.3056201357465849</v>
      </c>
      <c r="H144">
        <f t="shared" ca="1" si="43"/>
        <v>158.4154823856162</v>
      </c>
      <c r="I144">
        <f t="shared" ca="1" si="44"/>
        <v>139.80424211412304</v>
      </c>
      <c r="J144">
        <f t="shared" ca="1" si="32"/>
        <v>157.80000000000004</v>
      </c>
      <c r="K144">
        <f t="shared" ca="1" si="33"/>
        <v>2.1156434880246371</v>
      </c>
      <c r="L144">
        <f t="shared" ca="1" si="34"/>
        <v>162.0312869760493</v>
      </c>
      <c r="M144">
        <f t="shared" ca="1" si="35"/>
        <v>153.56871302395078</v>
      </c>
      <c r="N144">
        <f t="shared" ca="1" si="45"/>
        <v>-0.15999999999999659</v>
      </c>
      <c r="O144">
        <f t="shared" ca="1" si="46"/>
        <v>0</v>
      </c>
      <c r="P144">
        <f t="shared" ca="1" si="47"/>
        <v>0.15999999999999659</v>
      </c>
      <c r="Q144">
        <f t="shared" ca="1" si="30"/>
        <v>0.66195536340336258</v>
      </c>
      <c r="R144">
        <f t="shared" ca="1" si="31"/>
        <v>0.71052694893486612</v>
      </c>
      <c r="S144">
        <f t="shared" ref="S144:S207" ca="1" si="49">IF(R144=0,NA(),Q144/R144)</f>
        <v>0.93164005164854613</v>
      </c>
      <c r="T144">
        <f t="shared" ref="T144:T207" ca="1" si="50">100-(100/(1+S144))</f>
        <v>48.230520528575902</v>
      </c>
      <c r="U144">
        <f>70</f>
        <v>70</v>
      </c>
      <c r="V144">
        <f>30</f>
        <v>30</v>
      </c>
      <c r="W144">
        <f t="shared" ca="1" si="48"/>
        <v>157.44645185541549</v>
      </c>
      <c r="X144">
        <f t="shared" ca="1" si="37"/>
        <v>156.75394544908409</v>
      </c>
      <c r="Y144">
        <f t="shared" ca="1" si="36"/>
        <v>0.63909951597167947</v>
      </c>
      <c r="Z144">
        <f t="shared" ca="1" si="38"/>
        <v>0.91128791257745778</v>
      </c>
      <c r="AA144">
        <f t="shared" ca="1" si="39"/>
        <v>-0.27218839660577832</v>
      </c>
      <c r="AB144">
        <f t="shared" ca="1" si="40"/>
        <v>148.67100000000002</v>
      </c>
    </row>
    <row r="145" spans="1:28" x14ac:dyDescent="0.25">
      <c r="A145" s="20">
        <f t="shared" ca="1" si="41"/>
        <v>45922</v>
      </c>
      <c r="B145" vm="426">
        <f ca="1"/>
        <v>45923</v>
      </c>
      <c r="C145" vm="427">
        <f ca="1"/>
        <v>157.41999999999999</v>
      </c>
      <c r="D145" vm="428">
        <f ca="1"/>
        <v>7181383</v>
      </c>
      <c r="E145">
        <f t="shared" ca="1" si="42"/>
        <v>1130493311.8599999</v>
      </c>
      <c r="F145">
        <f ca="1">SUM($E$2:E145)/SUM($D$2:D145)</f>
        <v>149.15270401517765</v>
      </c>
      <c r="G145">
        <f ca="1">_xlfn.STDEV.P($C$2:C145)</f>
        <v>9.296869177298726</v>
      </c>
      <c r="H145">
        <f t="shared" ca="1" si="43"/>
        <v>158.44957319247638</v>
      </c>
      <c r="I145">
        <f t="shared" ca="1" si="44"/>
        <v>139.85583483787892</v>
      </c>
      <c r="J145">
        <f t="shared" ca="1" si="32"/>
        <v>157.76100000000002</v>
      </c>
      <c r="K145">
        <f t="shared" ca="1" si="33"/>
        <v>2.115070983006929</v>
      </c>
      <c r="L145">
        <f t="shared" ca="1" si="34"/>
        <v>161.99114196601388</v>
      </c>
      <c r="M145">
        <f t="shared" ca="1" si="35"/>
        <v>153.53085803398616</v>
      </c>
      <c r="N145">
        <f t="shared" ca="1" si="45"/>
        <v>1.3699999999999761</v>
      </c>
      <c r="O145">
        <f t="shared" ca="1" si="46"/>
        <v>1.3699999999999761</v>
      </c>
      <c r="P145">
        <f t="shared" ca="1" si="47"/>
        <v>0</v>
      </c>
      <c r="Q145">
        <f t="shared" ref="Q145:Q208" ca="1" si="51">(Q144*13+O145)/14</f>
        <v>0.71252998030312065</v>
      </c>
      <c r="R145">
        <f t="shared" ref="R145:R208" ca="1" si="52">(R144*13+P145)/14</f>
        <v>0.65977502401094712</v>
      </c>
      <c r="S145">
        <f t="shared" ca="1" si="49"/>
        <v>1.0799590078015717</v>
      </c>
      <c r="T145">
        <f t="shared" ca="1" si="50"/>
        <v>51.922129414610069</v>
      </c>
      <c r="U145">
        <f>70</f>
        <v>70</v>
      </c>
      <c r="V145">
        <f>30</f>
        <v>30</v>
      </c>
      <c r="W145">
        <f t="shared" ca="1" si="48"/>
        <v>157.44238233919771</v>
      </c>
      <c r="X145">
        <f t="shared" ca="1" si="37"/>
        <v>156.80328282322603</v>
      </c>
      <c r="Y145">
        <f t="shared" ca="1" si="36"/>
        <v>0.73037218573577434</v>
      </c>
      <c r="Z145">
        <f t="shared" ca="1" si="38"/>
        <v>0.87510476720912111</v>
      </c>
      <c r="AA145">
        <f t="shared" ca="1" si="39"/>
        <v>-0.14473258147334678</v>
      </c>
      <c r="AB145">
        <f t="shared" ca="1" si="40"/>
        <v>148.88460000000003</v>
      </c>
    </row>
    <row r="146" spans="1:28" x14ac:dyDescent="0.25">
      <c r="A146" s="20">
        <f t="shared" ca="1" si="41"/>
        <v>45922</v>
      </c>
      <c r="B146" vm="429">
        <f ca="1"/>
        <v>45924</v>
      </c>
      <c r="C146" vm="430">
        <f ca="1"/>
        <v>159.18</v>
      </c>
      <c r="D146" vm="431">
        <f ca="1"/>
        <v>6285228</v>
      </c>
      <c r="E146">
        <f t="shared" ca="1" si="42"/>
        <v>1000482593.0400001</v>
      </c>
      <c r="F146">
        <f ca="1">SUM($E$2:E146)/SUM($D$2:D146)</f>
        <v>149.1977442632851</v>
      </c>
      <c r="G146">
        <f ca="1">_xlfn.STDEV.P($C$2:C146)</f>
        <v>9.2993204446594575</v>
      </c>
      <c r="H146">
        <f t="shared" ca="1" si="43"/>
        <v>158.49706470794456</v>
      </c>
      <c r="I146">
        <f t="shared" ca="1" si="44"/>
        <v>139.89842381862564</v>
      </c>
      <c r="J146">
        <f t="shared" ca="1" si="32"/>
        <v>157.85200000000003</v>
      </c>
      <c r="K146">
        <f t="shared" ca="1" si="33"/>
        <v>2.1359592939153038</v>
      </c>
      <c r="L146">
        <f t="shared" ca="1" si="34"/>
        <v>162.12391858783064</v>
      </c>
      <c r="M146">
        <f t="shared" ca="1" si="35"/>
        <v>153.58008141216942</v>
      </c>
      <c r="N146">
        <f t="shared" ca="1" si="45"/>
        <v>1.7600000000000193</v>
      </c>
      <c r="O146">
        <f t="shared" ca="1" si="46"/>
        <v>1.7600000000000193</v>
      </c>
      <c r="P146">
        <f t="shared" ca="1" si="47"/>
        <v>0</v>
      </c>
      <c r="Q146">
        <f t="shared" ca="1" si="51"/>
        <v>0.78734926742432776</v>
      </c>
      <c r="R146">
        <f t="shared" ca="1" si="52"/>
        <v>0.61264823658159373</v>
      </c>
      <c r="S146">
        <f t="shared" ca="1" si="49"/>
        <v>1.2851571593799356</v>
      </c>
      <c r="T146">
        <f t="shared" ca="1" si="50"/>
        <v>56.239333653911828</v>
      </c>
      <c r="U146">
        <f>70</f>
        <v>70</v>
      </c>
      <c r="V146">
        <f>30</f>
        <v>30</v>
      </c>
      <c r="W146">
        <f t="shared" ca="1" si="48"/>
        <v>157.70970813316728</v>
      </c>
      <c r="X146">
        <f t="shared" ca="1" si="37"/>
        <v>156.97933594743151</v>
      </c>
      <c r="Y146">
        <f t="shared" ca="1" si="36"/>
        <v>0.91640778528613964</v>
      </c>
      <c r="Z146">
        <f t="shared" ca="1" si="38"/>
        <v>0.88336537082452482</v>
      </c>
      <c r="AA146">
        <f t="shared" ca="1" si="39"/>
        <v>3.3042414461614822E-2</v>
      </c>
      <c r="AB146">
        <f t="shared" ca="1" si="40"/>
        <v>149.11380000000003</v>
      </c>
    </row>
    <row r="147" spans="1:28" x14ac:dyDescent="0.25">
      <c r="A147" s="20">
        <f t="shared" ca="1" si="41"/>
        <v>45922</v>
      </c>
      <c r="B147" vm="432">
        <f ca="1"/>
        <v>45925</v>
      </c>
      <c r="C147" vm="433">
        <f ca="1"/>
        <v>160.72</v>
      </c>
      <c r="D147" vm="434">
        <f ca="1"/>
        <v>6311040</v>
      </c>
      <c r="E147">
        <f t="shared" ca="1" si="42"/>
        <v>1014310348.8</v>
      </c>
      <c r="F147">
        <f ca="1">SUM($E$2:E147)/SUM($D$2:D147)</f>
        <v>149.24947873162333</v>
      </c>
      <c r="G147">
        <f ca="1">_xlfn.STDEV.P($C$2:C147)</f>
        <v>9.3129543282232525</v>
      </c>
      <c r="H147">
        <f t="shared" ca="1" si="43"/>
        <v>158.56243305984657</v>
      </c>
      <c r="I147">
        <f t="shared" ca="1" si="44"/>
        <v>139.93652440340009</v>
      </c>
      <c r="J147">
        <f t="shared" ca="1" si="32"/>
        <v>157.92599999999999</v>
      </c>
      <c r="K147">
        <f t="shared" ca="1" si="33"/>
        <v>2.2108997930111722</v>
      </c>
      <c r="L147">
        <f t="shared" ca="1" si="34"/>
        <v>162.34779958602232</v>
      </c>
      <c r="M147">
        <f t="shared" ca="1" si="35"/>
        <v>153.50420041397766</v>
      </c>
      <c r="N147">
        <f t="shared" ca="1" si="45"/>
        <v>1.539999999999992</v>
      </c>
      <c r="O147">
        <f t="shared" ca="1" si="46"/>
        <v>1.539999999999992</v>
      </c>
      <c r="P147">
        <f t="shared" ca="1" si="47"/>
        <v>0</v>
      </c>
      <c r="Q147">
        <f t="shared" ca="1" si="51"/>
        <v>0.84111003403687523</v>
      </c>
      <c r="R147">
        <f t="shared" ca="1" si="52"/>
        <v>0.56888764825433702</v>
      </c>
      <c r="S147">
        <f t="shared" ca="1" si="49"/>
        <v>1.4785169560595446</v>
      </c>
      <c r="T147">
        <f t="shared" ca="1" si="50"/>
        <v>59.653291959323766</v>
      </c>
      <c r="U147">
        <f>70</f>
        <v>70</v>
      </c>
      <c r="V147">
        <f>30</f>
        <v>30</v>
      </c>
      <c r="W147">
        <f t="shared" ca="1" si="48"/>
        <v>158.17282995883383</v>
      </c>
      <c r="X147">
        <f t="shared" ca="1" si="37"/>
        <v>157.25642217354769</v>
      </c>
      <c r="Y147">
        <f t="shared" ca="1" si="36"/>
        <v>1.0070464141614366</v>
      </c>
      <c r="Z147">
        <f t="shared" ca="1" si="38"/>
        <v>0.90810157949190717</v>
      </c>
      <c r="AA147">
        <f t="shared" ca="1" si="39"/>
        <v>9.8944834669529413E-2</v>
      </c>
      <c r="AB147">
        <f t="shared" ca="1" si="40"/>
        <v>149.33600000000001</v>
      </c>
    </row>
    <row r="148" spans="1:28" x14ac:dyDescent="0.25">
      <c r="A148" s="20">
        <f t="shared" ca="1" si="41"/>
        <v>45922</v>
      </c>
      <c r="B148" vm="435">
        <f ca="1"/>
        <v>45926</v>
      </c>
      <c r="C148" vm="436">
        <f ca="1"/>
        <v>160.16</v>
      </c>
      <c r="D148" vm="437">
        <f ca="1"/>
        <v>7015168</v>
      </c>
      <c r="E148">
        <f t="shared" ca="1" si="42"/>
        <v>1123549306.8799999</v>
      </c>
      <c r="F148">
        <f ca="1">SUM($E$2:E148)/SUM($D$2:D148)</f>
        <v>149.30366172453537</v>
      </c>
      <c r="G148">
        <f ca="1">_xlfn.STDEV.P($C$2:C148)</f>
        <v>9.3213890698883883</v>
      </c>
      <c r="H148">
        <f t="shared" ca="1" si="43"/>
        <v>158.62505079442377</v>
      </c>
      <c r="I148">
        <f t="shared" ca="1" si="44"/>
        <v>139.98227265464698</v>
      </c>
      <c r="J148">
        <f t="shared" ca="1" si="32"/>
        <v>157.96800000000002</v>
      </c>
      <c r="K148">
        <f t="shared" ca="1" si="33"/>
        <v>2.2464676365586187</v>
      </c>
      <c r="L148">
        <f t="shared" ca="1" si="34"/>
        <v>162.46093527311726</v>
      </c>
      <c r="M148">
        <f t="shared" ca="1" si="35"/>
        <v>153.47506472688278</v>
      </c>
      <c r="N148">
        <f t="shared" ca="1" si="45"/>
        <v>-0.56000000000000227</v>
      </c>
      <c r="O148">
        <f t="shared" ca="1" si="46"/>
        <v>0</v>
      </c>
      <c r="P148">
        <f t="shared" ca="1" si="47"/>
        <v>0.56000000000000227</v>
      </c>
      <c r="Q148">
        <f t="shared" ca="1" si="51"/>
        <v>0.78103074589138421</v>
      </c>
      <c r="R148">
        <f t="shared" ca="1" si="52"/>
        <v>0.5682528162361703</v>
      </c>
      <c r="S148">
        <f t="shared" ca="1" si="49"/>
        <v>1.3744423671571946</v>
      </c>
      <c r="T148">
        <f t="shared" ca="1" si="50"/>
        <v>57.884848508778433</v>
      </c>
      <c r="U148">
        <f>70</f>
        <v>70</v>
      </c>
      <c r="V148">
        <f>30</f>
        <v>30</v>
      </c>
      <c r="W148">
        <f t="shared" ca="1" si="48"/>
        <v>158.47854842670557</v>
      </c>
      <c r="X148">
        <f t="shared" ca="1" si="37"/>
        <v>157.47150201254414</v>
      </c>
      <c r="Y148">
        <f t="shared" ca="1" si="36"/>
        <v>0.74270862864591436</v>
      </c>
      <c r="Z148">
        <f t="shared" ca="1" si="38"/>
        <v>0.87502298932270872</v>
      </c>
      <c r="AA148">
        <f t="shared" ca="1" si="39"/>
        <v>-0.13231436067679436</v>
      </c>
      <c r="AB148">
        <f t="shared" ca="1" si="40"/>
        <v>149.58260000000001</v>
      </c>
    </row>
    <row r="149" spans="1:28" x14ac:dyDescent="0.25">
      <c r="A149" s="20">
        <f t="shared" ca="1" si="41"/>
        <v>45929</v>
      </c>
      <c r="B149" vm="438">
        <f ca="1"/>
        <v>45929</v>
      </c>
      <c r="C149" vm="439">
        <f ca="1"/>
        <v>156.1</v>
      </c>
      <c r="D149" vm="440">
        <f ca="1"/>
        <v>8315073</v>
      </c>
      <c r="E149">
        <f t="shared" ca="1" si="42"/>
        <v>1297982895.3</v>
      </c>
      <c r="F149">
        <f ca="1">SUM($E$2:E149)/SUM($D$2:D149)</f>
        <v>149.3434331865711</v>
      </c>
      <c r="G149">
        <f ca="1">_xlfn.STDEV.P($C$2:C149)</f>
        <v>9.3045565712004343</v>
      </c>
      <c r="H149">
        <f t="shared" ca="1" si="43"/>
        <v>158.64798975777154</v>
      </c>
      <c r="I149">
        <f t="shared" ca="1" si="44"/>
        <v>140.03887661537067</v>
      </c>
      <c r="J149">
        <f t="shared" ca="1" si="32"/>
        <v>157.74299999999999</v>
      </c>
      <c r="K149">
        <f t="shared" ca="1" si="33"/>
        <v>2.1937137461391822</v>
      </c>
      <c r="L149">
        <f t="shared" ca="1" si="34"/>
        <v>162.13042749227836</v>
      </c>
      <c r="M149">
        <f t="shared" ca="1" si="35"/>
        <v>153.35557250772163</v>
      </c>
      <c r="N149">
        <f t="shared" ca="1" si="45"/>
        <v>-4.0600000000000023</v>
      </c>
      <c r="O149">
        <f t="shared" ca="1" si="46"/>
        <v>0</v>
      </c>
      <c r="P149">
        <f t="shared" ca="1" si="47"/>
        <v>4.0600000000000023</v>
      </c>
      <c r="Q149">
        <f t="shared" ca="1" si="51"/>
        <v>0.725242835470571</v>
      </c>
      <c r="R149">
        <f t="shared" ca="1" si="52"/>
        <v>0.81766332936215824</v>
      </c>
      <c r="S149">
        <f t="shared" ca="1" si="49"/>
        <v>0.88696999049268543</v>
      </c>
      <c r="T149">
        <f t="shared" ca="1" si="50"/>
        <v>47.004986563729013</v>
      </c>
      <c r="U149">
        <f>70</f>
        <v>70</v>
      </c>
      <c r="V149">
        <f>30</f>
        <v>30</v>
      </c>
      <c r="W149">
        <f t="shared" ca="1" si="48"/>
        <v>158.1126178995201</v>
      </c>
      <c r="X149">
        <f t="shared" ca="1" si="37"/>
        <v>157.36990927087419</v>
      </c>
      <c r="Y149">
        <f t="shared" ca="1" si="36"/>
        <v>0.462527074425509</v>
      </c>
      <c r="Z149">
        <f t="shared" ca="1" si="38"/>
        <v>0.7925238063432688</v>
      </c>
      <c r="AA149">
        <f t="shared" ca="1" si="39"/>
        <v>-0.3299967319177598</v>
      </c>
      <c r="AB149">
        <f t="shared" ca="1" si="40"/>
        <v>149.7876</v>
      </c>
    </row>
    <row r="150" spans="1:28" x14ac:dyDescent="0.25">
      <c r="A150" s="20">
        <f t="shared" ca="1" si="41"/>
        <v>45929</v>
      </c>
      <c r="B150" vm="441">
        <f ca="1"/>
        <v>45930</v>
      </c>
      <c r="C150" vm="442">
        <f ca="1"/>
        <v>155.29</v>
      </c>
      <c r="D150" vm="443">
        <f ca="1"/>
        <v>7755716</v>
      </c>
      <c r="E150">
        <f t="shared" ca="1" si="42"/>
        <v>1204385137.6399999</v>
      </c>
      <c r="F150">
        <f ca="1">SUM($E$2:E150)/SUM($D$2:D150)</f>
        <v>149.37571475797003</v>
      </c>
      <c r="G150">
        <f ca="1">_xlfn.STDEV.P($C$2:C150)</f>
        <v>9.2842717730444413</v>
      </c>
      <c r="H150">
        <f t="shared" ca="1" si="43"/>
        <v>158.65998653101448</v>
      </c>
      <c r="I150">
        <f t="shared" ca="1" si="44"/>
        <v>140.09144298492558</v>
      </c>
      <c r="J150">
        <f t="shared" ref="J150:J213" ca="1" si="53">AVERAGE(C131:C150)</f>
        <v>157.41599999999997</v>
      </c>
      <c r="K150">
        <f t="shared" ref="K150:K213" ca="1" si="54">_xlfn.STDEV.S(C131:C150)</f>
        <v>2.0340558394239672</v>
      </c>
      <c r="L150">
        <f t="shared" ref="L150:L213" ca="1" si="55">J150 + 2*K150</f>
        <v>161.48411167884791</v>
      </c>
      <c r="M150">
        <f t="shared" ref="M150:M213" ca="1" si="56">J150-2*K150</f>
        <v>153.34788832115203</v>
      </c>
      <c r="N150">
        <f t="shared" ca="1" si="45"/>
        <v>-0.81000000000000227</v>
      </c>
      <c r="O150">
        <f t="shared" ca="1" si="46"/>
        <v>0</v>
      </c>
      <c r="P150">
        <f t="shared" ca="1" si="47"/>
        <v>0.81000000000000227</v>
      </c>
      <c r="Q150">
        <f t="shared" ca="1" si="51"/>
        <v>0.67343977579410164</v>
      </c>
      <c r="R150">
        <f t="shared" ca="1" si="52"/>
        <v>0.81711594869343274</v>
      </c>
      <c r="S150">
        <f t="shared" ca="1" si="49"/>
        <v>0.82416672550686465</v>
      </c>
      <c r="T150">
        <f t="shared" ca="1" si="50"/>
        <v>45.180449461266264</v>
      </c>
      <c r="U150">
        <f>70</f>
        <v>70</v>
      </c>
      <c r="V150">
        <f>30</f>
        <v>30</v>
      </c>
      <c r="W150">
        <f t="shared" ca="1" si="48"/>
        <v>157.67836899190161</v>
      </c>
      <c r="X150">
        <f t="shared" ca="1" si="37"/>
        <v>157.2158419174761</v>
      </c>
      <c r="Y150">
        <f t="shared" ca="1" si="36"/>
        <v>0.18110247126796253</v>
      </c>
      <c r="Z150">
        <f t="shared" ca="1" si="38"/>
        <v>0.67023953932820757</v>
      </c>
      <c r="AA150">
        <f t="shared" ca="1" si="39"/>
        <v>-0.48913706806024504</v>
      </c>
      <c r="AB150">
        <f t="shared" ca="1" si="40"/>
        <v>149.98259999999999</v>
      </c>
    </row>
    <row r="151" spans="1:28" x14ac:dyDescent="0.25">
      <c r="A151" s="20">
        <f t="shared" ca="1" si="41"/>
        <v>45929</v>
      </c>
      <c r="B151" vm="444">
        <f ca="1"/>
        <v>45931</v>
      </c>
      <c r="C151" vm="445">
        <f ca="1"/>
        <v>154.58000000000001</v>
      </c>
      <c r="D151" vm="446">
        <f ca="1"/>
        <v>6768358</v>
      </c>
      <c r="E151">
        <f t="shared" ca="1" si="42"/>
        <v>1046252779.6400001</v>
      </c>
      <c r="F151">
        <f ca="1">SUM($E$2:E151)/SUM($D$2:D151)</f>
        <v>149.4002538373698</v>
      </c>
      <c r="G151">
        <f ca="1">_xlfn.STDEV.P($C$2:C151)</f>
        <v>9.261459401195907</v>
      </c>
      <c r="H151">
        <f t="shared" ca="1" si="43"/>
        <v>158.66171323856571</v>
      </c>
      <c r="I151">
        <f t="shared" ca="1" si="44"/>
        <v>140.1387944361739</v>
      </c>
      <c r="J151">
        <f t="shared" ca="1" si="53"/>
        <v>157.24199999999993</v>
      </c>
      <c r="K151">
        <f t="shared" ca="1" si="54"/>
        <v>2.122968626587233</v>
      </c>
      <c r="L151">
        <f t="shared" ca="1" si="55"/>
        <v>161.48793725317441</v>
      </c>
      <c r="M151">
        <f t="shared" ca="1" si="56"/>
        <v>152.99606274682546</v>
      </c>
      <c r="N151">
        <f t="shared" ca="1" si="45"/>
        <v>-0.70999999999997954</v>
      </c>
      <c r="O151">
        <f t="shared" ca="1" si="46"/>
        <v>0</v>
      </c>
      <c r="P151">
        <f t="shared" ca="1" si="47"/>
        <v>0.70999999999997954</v>
      </c>
      <c r="Q151">
        <f t="shared" ca="1" si="51"/>
        <v>0.62533693466595153</v>
      </c>
      <c r="R151">
        <f t="shared" ca="1" si="52"/>
        <v>0.80946480950104327</v>
      </c>
      <c r="S151">
        <f t="shared" ca="1" si="49"/>
        <v>0.77253134086386199</v>
      </c>
      <c r="T151">
        <f t="shared" ca="1" si="50"/>
        <v>43.583508119374663</v>
      </c>
      <c r="U151">
        <f>70</f>
        <v>70</v>
      </c>
      <c r="V151">
        <f>30</f>
        <v>30</v>
      </c>
      <c r="W151">
        <f t="shared" ca="1" si="48"/>
        <v>157.20169683930138</v>
      </c>
      <c r="X151">
        <f t="shared" ca="1" si="37"/>
        <v>157.02059436803341</v>
      </c>
      <c r="Y151">
        <f t="shared" ca="1" si="36"/>
        <v>-0.13797495253092507</v>
      </c>
      <c r="Z151">
        <f t="shared" ca="1" si="38"/>
        <v>0.50859664095638113</v>
      </c>
      <c r="AA151">
        <f t="shared" ca="1" si="39"/>
        <v>-0.6465715934873062</v>
      </c>
      <c r="AB151">
        <f t="shared" ca="1" si="40"/>
        <v>150.15800000000002</v>
      </c>
    </row>
    <row r="152" spans="1:28" x14ac:dyDescent="0.25">
      <c r="A152" s="20">
        <f t="shared" ca="1" si="41"/>
        <v>45929</v>
      </c>
      <c r="B152" vm="447">
        <f ca="1"/>
        <v>45932</v>
      </c>
      <c r="C152" vm="448">
        <f ca="1"/>
        <v>153.37</v>
      </c>
      <c r="D152" vm="449">
        <f ca="1"/>
        <v>7562448</v>
      </c>
      <c r="E152">
        <f t="shared" ca="1" si="42"/>
        <v>1159852649.76</v>
      </c>
      <c r="F152">
        <f ca="1">SUM($E$2:E152)/SUM($D$2:D152)</f>
        <v>149.42105832254234</v>
      </c>
      <c r="G152">
        <f ca="1">_xlfn.STDEV.P($C$2:C152)</f>
        <v>9.2352119236427495</v>
      </c>
      <c r="H152">
        <f t="shared" ca="1" si="43"/>
        <v>158.65627024618507</v>
      </c>
      <c r="I152">
        <f t="shared" ca="1" si="44"/>
        <v>140.1858463988996</v>
      </c>
      <c r="J152">
        <f t="shared" ca="1" si="53"/>
        <v>157.02599999999995</v>
      </c>
      <c r="K152">
        <f t="shared" ca="1" si="54"/>
        <v>2.2883167796899366</v>
      </c>
      <c r="L152">
        <f t="shared" ca="1" si="55"/>
        <v>161.60263355937983</v>
      </c>
      <c r="M152">
        <f t="shared" ca="1" si="56"/>
        <v>152.44936644062008</v>
      </c>
      <c r="N152">
        <f t="shared" ca="1" si="45"/>
        <v>-1.210000000000008</v>
      </c>
      <c r="O152">
        <f t="shared" ca="1" si="46"/>
        <v>0</v>
      </c>
      <c r="P152">
        <f t="shared" ca="1" si="47"/>
        <v>1.210000000000008</v>
      </c>
      <c r="Q152">
        <f t="shared" ca="1" si="51"/>
        <v>0.5806700107612407</v>
      </c>
      <c r="R152">
        <f t="shared" ca="1" si="52"/>
        <v>0.83807446596525514</v>
      </c>
      <c r="S152">
        <f t="shared" ca="1" si="49"/>
        <v>0.69286207174019077</v>
      </c>
      <c r="T152">
        <f t="shared" ca="1" si="50"/>
        <v>40.928442033553139</v>
      </c>
      <c r="U152">
        <f>70</f>
        <v>70</v>
      </c>
      <c r="V152">
        <f>30</f>
        <v>30</v>
      </c>
      <c r="W152">
        <f t="shared" ca="1" si="48"/>
        <v>156.61220501787039</v>
      </c>
      <c r="X152">
        <f t="shared" ca="1" si="37"/>
        <v>156.75017997040132</v>
      </c>
      <c r="Y152">
        <f t="shared" ca="1" si="36"/>
        <v>-0.3720330486408443</v>
      </c>
      <c r="Z152">
        <f t="shared" ca="1" si="38"/>
        <v>0.33247070303693604</v>
      </c>
      <c r="AA152">
        <f t="shared" ca="1" si="39"/>
        <v>-0.70450375167778034</v>
      </c>
      <c r="AB152">
        <f t="shared" ca="1" si="40"/>
        <v>150.30680000000004</v>
      </c>
    </row>
    <row r="153" spans="1:28" x14ac:dyDescent="0.25">
      <c r="A153" s="20">
        <f t="shared" ca="1" si="41"/>
        <v>45929</v>
      </c>
      <c r="B153" vm="450">
        <f ca="1"/>
        <v>45933</v>
      </c>
      <c r="C153" vm="451">
        <f ca="1"/>
        <v>153.55000000000001</v>
      </c>
      <c r="D153" vm="452">
        <f ca="1"/>
        <v>7249291</v>
      </c>
      <c r="E153">
        <f t="shared" ca="1" si="42"/>
        <v>1113128633.0500002</v>
      </c>
      <c r="F153">
        <f ca="1">SUM($E$2:E153)/SUM($D$2:D153)</f>
        <v>149.44169737688424</v>
      </c>
      <c r="G153">
        <f ca="1">_xlfn.STDEV.P($C$2:C153)</f>
        <v>9.209638892399278</v>
      </c>
      <c r="H153">
        <f t="shared" ca="1" si="43"/>
        <v>158.65133626928352</v>
      </c>
      <c r="I153">
        <f t="shared" ca="1" si="44"/>
        <v>140.23205848448495</v>
      </c>
      <c r="J153">
        <f t="shared" ca="1" si="53"/>
        <v>157.02049999999997</v>
      </c>
      <c r="K153">
        <f t="shared" ca="1" si="54"/>
        <v>2.2969487197263727</v>
      </c>
      <c r="L153">
        <f t="shared" ca="1" si="55"/>
        <v>161.61439743945272</v>
      </c>
      <c r="M153">
        <f t="shared" ca="1" si="56"/>
        <v>152.42660256054722</v>
      </c>
      <c r="N153">
        <f t="shared" ca="1" si="45"/>
        <v>0.18000000000000682</v>
      </c>
      <c r="O153">
        <f t="shared" ca="1" si="46"/>
        <v>0.18000000000000682</v>
      </c>
      <c r="P153">
        <f t="shared" ca="1" si="47"/>
        <v>0</v>
      </c>
      <c r="Q153">
        <f t="shared" ca="1" si="51"/>
        <v>0.55205072427829538</v>
      </c>
      <c r="R153">
        <f t="shared" ca="1" si="52"/>
        <v>0.7782120041105941</v>
      </c>
      <c r="S153">
        <f t="shared" ca="1" si="49"/>
        <v>0.70938346024259191</v>
      </c>
      <c r="T153">
        <f t="shared" ca="1" si="50"/>
        <v>41.499375461484682</v>
      </c>
      <c r="U153">
        <f>70</f>
        <v>70</v>
      </c>
      <c r="V153">
        <f>30</f>
        <v>30</v>
      </c>
      <c r="W153">
        <f t="shared" ca="1" si="48"/>
        <v>156.14109655358263</v>
      </c>
      <c r="X153">
        <f t="shared" ca="1" si="37"/>
        <v>156.51312960222347</v>
      </c>
      <c r="Y153">
        <f t="shared" ca="1" si="36"/>
        <v>-0.51367932851448472</v>
      </c>
      <c r="Z153">
        <f t="shared" ca="1" si="38"/>
        <v>0.16324069672665192</v>
      </c>
      <c r="AA153">
        <f t="shared" ca="1" si="39"/>
        <v>-0.6769200252411367</v>
      </c>
      <c r="AB153">
        <f t="shared" ca="1" si="40"/>
        <v>150.42610000000002</v>
      </c>
    </row>
    <row r="154" spans="1:28" x14ac:dyDescent="0.25">
      <c r="A154" s="20">
        <f t="shared" ca="1" si="41"/>
        <v>45936</v>
      </c>
      <c r="B154" vm="453">
        <f ca="1"/>
        <v>45936</v>
      </c>
      <c r="C154" vm="454">
        <f ca="1"/>
        <v>154.02000000000001</v>
      </c>
      <c r="D154" vm="455">
        <f ca="1"/>
        <v>4778924</v>
      </c>
      <c r="E154">
        <f t="shared" ca="1" si="42"/>
        <v>736049874.48000002</v>
      </c>
      <c r="F154">
        <f ca="1">SUM($E$2:E154)/SUM($D$2:D154)</f>
        <v>149.45673438331045</v>
      </c>
      <c r="G154">
        <f ca="1">_xlfn.STDEV.P($C$2:C154)</f>
        <v>9.1855661341030785</v>
      </c>
      <c r="H154">
        <f t="shared" ca="1" si="43"/>
        <v>158.64230051741353</v>
      </c>
      <c r="I154">
        <f t="shared" ca="1" si="44"/>
        <v>140.27116824920736</v>
      </c>
      <c r="J154">
        <f t="shared" ca="1" si="53"/>
        <v>157.02149999999997</v>
      </c>
      <c r="K154">
        <f t="shared" ca="1" si="54"/>
        <v>2.295568442387244</v>
      </c>
      <c r="L154">
        <f t="shared" ca="1" si="55"/>
        <v>161.61263688477447</v>
      </c>
      <c r="M154">
        <f t="shared" ca="1" si="56"/>
        <v>152.43036311522548</v>
      </c>
      <c r="N154">
        <f t="shared" ca="1" si="45"/>
        <v>0.46999999999999886</v>
      </c>
      <c r="O154">
        <f t="shared" ca="1" si="46"/>
        <v>0.46999999999999886</v>
      </c>
      <c r="P154">
        <f t="shared" ca="1" si="47"/>
        <v>0</v>
      </c>
      <c r="Q154">
        <f t="shared" ca="1" si="51"/>
        <v>0.54618995825841699</v>
      </c>
      <c r="R154">
        <f t="shared" ca="1" si="52"/>
        <v>0.72262543238840882</v>
      </c>
      <c r="S154">
        <f t="shared" ca="1" si="49"/>
        <v>0.75584103987754703</v>
      </c>
      <c r="T154">
        <f t="shared" ca="1" si="50"/>
        <v>43.047236208253771</v>
      </c>
      <c r="U154">
        <f>70</f>
        <v>70</v>
      </c>
      <c r="V154">
        <f>30</f>
        <v>30</v>
      </c>
      <c r="W154">
        <f t="shared" ca="1" si="48"/>
        <v>155.81477400687763</v>
      </c>
      <c r="X154">
        <f t="shared" ca="1" si="37"/>
        <v>156.32845333539211</v>
      </c>
      <c r="Y154">
        <f t="shared" ca="1" si="36"/>
        <v>-0.54780471213612714</v>
      </c>
      <c r="Z154">
        <f t="shared" ca="1" si="38"/>
        <v>2.1031614954096126E-2</v>
      </c>
      <c r="AA154">
        <f t="shared" ca="1" si="39"/>
        <v>-0.56883632709022325</v>
      </c>
      <c r="AB154">
        <f t="shared" ca="1" si="40"/>
        <v>150.54280000000003</v>
      </c>
    </row>
    <row r="155" spans="1:28" x14ac:dyDescent="0.25">
      <c r="A155" s="20">
        <f t="shared" ca="1" si="41"/>
        <v>45936</v>
      </c>
      <c r="B155" vm="456">
        <f ca="1"/>
        <v>45937</v>
      </c>
      <c r="C155" vm="457">
        <f ca="1"/>
        <v>154.91</v>
      </c>
      <c r="D155" vm="458">
        <f ca="1"/>
        <v>5479593</v>
      </c>
      <c r="E155">
        <f t="shared" ca="1" si="42"/>
        <v>848843751.63</v>
      </c>
      <c r="F155">
        <f ca="1">SUM($E$2:E155)/SUM($D$2:D155)</f>
        <v>149.47719408315893</v>
      </c>
      <c r="G155">
        <f ca="1">_xlfn.STDEV.P($C$2:C155)</f>
        <v>9.1645243639908482</v>
      </c>
      <c r="H155">
        <f t="shared" ca="1" si="43"/>
        <v>158.64171844714977</v>
      </c>
      <c r="I155">
        <f t="shared" ca="1" si="44"/>
        <v>140.3126697191681</v>
      </c>
      <c r="J155">
        <f t="shared" ca="1" si="53"/>
        <v>157.02449999999999</v>
      </c>
      <c r="K155">
        <f t="shared" ca="1" si="54"/>
        <v>2.2926185327790782</v>
      </c>
      <c r="L155">
        <f t="shared" ca="1" si="55"/>
        <v>161.60973706555814</v>
      </c>
      <c r="M155">
        <f t="shared" ca="1" si="56"/>
        <v>152.43926293444184</v>
      </c>
      <c r="N155">
        <f t="shared" ca="1" si="45"/>
        <v>0.88999999999998636</v>
      </c>
      <c r="O155">
        <f t="shared" ca="1" si="46"/>
        <v>0.88999999999998636</v>
      </c>
      <c r="P155">
        <f t="shared" ca="1" si="47"/>
        <v>0</v>
      </c>
      <c r="Q155">
        <f t="shared" ca="1" si="51"/>
        <v>0.57074781838281485</v>
      </c>
      <c r="R155">
        <f t="shared" ca="1" si="52"/>
        <v>0.671009330074951</v>
      </c>
      <c r="S155">
        <f t="shared" ca="1" si="49"/>
        <v>0.85058104679269209</v>
      </c>
      <c r="T155">
        <f t="shared" ca="1" si="50"/>
        <v>45.962917877434457</v>
      </c>
      <c r="U155">
        <f>70</f>
        <v>70</v>
      </c>
      <c r="V155">
        <f>30</f>
        <v>30</v>
      </c>
      <c r="W155">
        <f t="shared" ca="1" si="48"/>
        <v>155.67557800581952</v>
      </c>
      <c r="X155">
        <f t="shared" ca="1" si="37"/>
        <v>156.22338271795564</v>
      </c>
      <c r="Y155">
        <f t="shared" ca="1" si="36"/>
        <v>-0.66163166839655219</v>
      </c>
      <c r="Z155">
        <f t="shared" ca="1" si="38"/>
        <v>-0.11550104171603354</v>
      </c>
      <c r="AA155">
        <f t="shared" ca="1" si="39"/>
        <v>-0.54613062668051859</v>
      </c>
      <c r="AB155">
        <f t="shared" ca="1" si="40"/>
        <v>150.67520000000002</v>
      </c>
    </row>
    <row r="156" spans="1:28" x14ac:dyDescent="0.25">
      <c r="A156" s="20">
        <f t="shared" ca="1" si="41"/>
        <v>45936</v>
      </c>
      <c r="B156" vm="459">
        <f ca="1"/>
        <v>45938</v>
      </c>
      <c r="C156" vm="460">
        <f ca="1"/>
        <v>153.74</v>
      </c>
      <c r="D156" vm="461">
        <f ca="1"/>
        <v>5678028</v>
      </c>
      <c r="E156">
        <f t="shared" ca="1" si="42"/>
        <v>872940024.72000003</v>
      </c>
      <c r="F156">
        <f ca="1">SUM($E$2:E156)/SUM($D$2:D156)</f>
        <v>149.49370237980557</v>
      </c>
      <c r="G156">
        <f ca="1">_xlfn.STDEV.P($C$2:C156)</f>
        <v>9.1399917655031366</v>
      </c>
      <c r="H156">
        <f t="shared" ca="1" si="43"/>
        <v>158.63369414530871</v>
      </c>
      <c r="I156">
        <f t="shared" ca="1" si="44"/>
        <v>140.35371061430243</v>
      </c>
      <c r="J156">
        <f t="shared" ca="1" si="53"/>
        <v>156.82200000000003</v>
      </c>
      <c r="K156">
        <f t="shared" ca="1" si="54"/>
        <v>2.3978907397961207</v>
      </c>
      <c r="L156">
        <f t="shared" ca="1" si="55"/>
        <v>161.61778147959228</v>
      </c>
      <c r="M156">
        <f t="shared" ca="1" si="56"/>
        <v>152.02621852040778</v>
      </c>
      <c r="N156">
        <f t="shared" ca="1" si="45"/>
        <v>-1.1699999999999875</v>
      </c>
      <c r="O156">
        <f t="shared" ca="1" si="46"/>
        <v>0</v>
      </c>
      <c r="P156">
        <f t="shared" ca="1" si="47"/>
        <v>1.1699999999999875</v>
      </c>
      <c r="Q156">
        <f t="shared" ca="1" si="51"/>
        <v>0.52998011706975667</v>
      </c>
      <c r="R156">
        <f t="shared" ca="1" si="52"/>
        <v>0.70665152078388227</v>
      </c>
      <c r="S156">
        <f t="shared" ca="1" si="49"/>
        <v>0.74998793815918552</v>
      </c>
      <c r="T156">
        <f t="shared" ca="1" si="50"/>
        <v>42.856748998401592</v>
      </c>
      <c r="U156">
        <f>70</f>
        <v>70</v>
      </c>
      <c r="V156">
        <f>30</f>
        <v>30</v>
      </c>
      <c r="W156">
        <f t="shared" ca="1" si="48"/>
        <v>155.37779677415497</v>
      </c>
      <c r="X156">
        <f t="shared" ca="1" si="37"/>
        <v>156.03942844255153</v>
      </c>
      <c r="Y156">
        <f t="shared" ref="Y156:Y219" ca="1" si="57">W157-X157</f>
        <v>-0.91079373762170235</v>
      </c>
      <c r="Z156">
        <f t="shared" ca="1" si="38"/>
        <v>-0.27455958089716731</v>
      </c>
      <c r="AA156">
        <f t="shared" ca="1" si="39"/>
        <v>-0.63623415672453509</v>
      </c>
      <c r="AB156">
        <f t="shared" ca="1" si="40"/>
        <v>150.79000000000002</v>
      </c>
    </row>
    <row r="157" spans="1:28" x14ac:dyDescent="0.25">
      <c r="A157" s="20">
        <f t="shared" ca="1" si="41"/>
        <v>45936</v>
      </c>
      <c r="B157" vm="462">
        <f ca="1"/>
        <v>45939</v>
      </c>
      <c r="C157" vm="317">
        <f ca="1"/>
        <v>151.63999999999999</v>
      </c>
      <c r="D157" vm="463">
        <f ca="1"/>
        <v>6178601</v>
      </c>
      <c r="E157">
        <f t="shared" ca="1" si="42"/>
        <v>936923055.63999987</v>
      </c>
      <c r="F157">
        <f ca="1">SUM($E$2:E157)/SUM($D$2:D157)</f>
        <v>149.50270902339511</v>
      </c>
      <c r="G157">
        <f ca="1">_xlfn.STDEV.P($C$2:C157)</f>
        <v>9.1116368551058322</v>
      </c>
      <c r="H157">
        <f t="shared" ca="1" si="43"/>
        <v>158.61434587850096</v>
      </c>
      <c r="I157">
        <f t="shared" ca="1" si="44"/>
        <v>140.39107216828927</v>
      </c>
      <c r="J157">
        <f t="shared" ca="1" si="53"/>
        <v>156.49150000000003</v>
      </c>
      <c r="K157">
        <f t="shared" ca="1" si="54"/>
        <v>2.6345583370992074</v>
      </c>
      <c r="L157">
        <f t="shared" ca="1" si="55"/>
        <v>161.76061667419845</v>
      </c>
      <c r="M157">
        <f t="shared" ca="1" si="56"/>
        <v>151.22238332580162</v>
      </c>
      <c r="N157">
        <f t="shared" ca="1" si="45"/>
        <v>-2.1000000000000227</v>
      </c>
      <c r="O157">
        <f t="shared" ca="1" si="46"/>
        <v>0</v>
      </c>
      <c r="P157">
        <f t="shared" ca="1" si="47"/>
        <v>2.1000000000000227</v>
      </c>
      <c r="Q157">
        <f t="shared" ca="1" si="51"/>
        <v>0.49212439442191691</v>
      </c>
      <c r="R157">
        <f t="shared" ca="1" si="52"/>
        <v>0.80617641215646374</v>
      </c>
      <c r="S157">
        <f t="shared" ca="1" si="49"/>
        <v>0.61044256195181856</v>
      </c>
      <c r="T157">
        <f t="shared" ca="1" si="50"/>
        <v>37.90526755651419</v>
      </c>
      <c r="U157">
        <f>70</f>
        <v>70</v>
      </c>
      <c r="V157">
        <f>30</f>
        <v>30</v>
      </c>
      <c r="W157">
        <f t="shared" ca="1" si="48"/>
        <v>154.80275111659267</v>
      </c>
      <c r="X157">
        <f t="shared" ref="X157:X220" ca="1" si="58">C157*(2/(26+1)) + X156*(1-(2/(26+1)))</f>
        <v>155.71354485421438</v>
      </c>
      <c r="Y157">
        <f t="shared" ca="1" si="57"/>
        <v>-1.3142022677824627</v>
      </c>
      <c r="Z157">
        <f t="shared" ca="1" si="38"/>
        <v>-0.48248811827422644</v>
      </c>
      <c r="AA157">
        <f t="shared" ca="1" si="39"/>
        <v>-0.8317141495082363</v>
      </c>
      <c r="AB157">
        <f t="shared" ca="1" si="40"/>
        <v>150.8854</v>
      </c>
    </row>
    <row r="158" spans="1:28" x14ac:dyDescent="0.25">
      <c r="A158" s="20">
        <f t="shared" ca="1" si="41"/>
        <v>45936</v>
      </c>
      <c r="B158" vm="464">
        <f ca="1"/>
        <v>45940</v>
      </c>
      <c r="C158" vm="465">
        <f ca="1"/>
        <v>148.9</v>
      </c>
      <c r="D158" vm="466">
        <f ca="1"/>
        <v>7796621</v>
      </c>
      <c r="E158">
        <f t="shared" ca="1" si="42"/>
        <v>1160916866.9000001</v>
      </c>
      <c r="F158">
        <f ca="1">SUM($E$2:E158)/SUM($D$2:D158)</f>
        <v>149.49953431855451</v>
      </c>
      <c r="G158">
        <f ca="1">_xlfn.STDEV.P($C$2:C158)</f>
        <v>9.0829716696630047</v>
      </c>
      <c r="H158">
        <f t="shared" ca="1" si="43"/>
        <v>158.58250598821752</v>
      </c>
      <c r="I158">
        <f t="shared" ca="1" si="44"/>
        <v>140.4165626488915</v>
      </c>
      <c r="J158">
        <f t="shared" ca="1" si="53"/>
        <v>156.08099999999999</v>
      </c>
      <c r="K158">
        <f t="shared" ca="1" si="54"/>
        <v>3.1267536553193032</v>
      </c>
      <c r="L158">
        <f t="shared" ca="1" si="55"/>
        <v>162.3345073106386</v>
      </c>
      <c r="M158">
        <f t="shared" ca="1" si="56"/>
        <v>149.82749268936138</v>
      </c>
      <c r="N158">
        <f t="shared" ca="1" si="45"/>
        <v>-2.7399999999999807</v>
      </c>
      <c r="O158">
        <f t="shared" ca="1" si="46"/>
        <v>0</v>
      </c>
      <c r="P158">
        <f t="shared" ca="1" si="47"/>
        <v>2.7399999999999807</v>
      </c>
      <c r="Q158">
        <f t="shared" ca="1" si="51"/>
        <v>0.45697265196320858</v>
      </c>
      <c r="R158">
        <f t="shared" ca="1" si="52"/>
        <v>0.94430666843100064</v>
      </c>
      <c r="S158">
        <f t="shared" ca="1" si="49"/>
        <v>0.48392399126280133</v>
      </c>
      <c r="T158">
        <f t="shared" ca="1" si="50"/>
        <v>32.611103675936107</v>
      </c>
      <c r="U158">
        <f>70</f>
        <v>70</v>
      </c>
      <c r="V158">
        <f>30</f>
        <v>30</v>
      </c>
      <c r="W158">
        <f t="shared" ca="1" si="48"/>
        <v>153.89463556019382</v>
      </c>
      <c r="X158">
        <f t="shared" ca="1" si="58"/>
        <v>155.20883782797628</v>
      </c>
      <c r="Y158">
        <f t="shared" ca="1" si="57"/>
        <v>-1.372779295483582</v>
      </c>
      <c r="Z158">
        <f t="shared" ca="1" si="38"/>
        <v>-0.6605463537160976</v>
      </c>
      <c r="AA158">
        <f t="shared" ca="1" si="39"/>
        <v>-0.71223294176748442</v>
      </c>
      <c r="AB158">
        <f t="shared" ca="1" si="40"/>
        <v>150.98950000000002</v>
      </c>
    </row>
    <row r="159" spans="1:28" x14ac:dyDescent="0.25">
      <c r="A159" s="20">
        <f t="shared" ca="1" si="41"/>
        <v>45943</v>
      </c>
      <c r="B159" vm="467">
        <f ca="1"/>
        <v>45943</v>
      </c>
      <c r="C159" vm="468">
        <f ca="1"/>
        <v>151.94</v>
      </c>
      <c r="D159" vm="469">
        <f ca="1"/>
        <v>5978755</v>
      </c>
      <c r="E159">
        <f t="shared" ca="1" si="42"/>
        <v>908412034.69999993</v>
      </c>
      <c r="F159">
        <f ca="1">SUM($E$2:E159)/SUM($D$2:D159)</f>
        <v>149.50935229558283</v>
      </c>
      <c r="G159">
        <f ca="1">_xlfn.STDEV.P($C$2:C159)</f>
        <v>9.0555391077221525</v>
      </c>
      <c r="H159">
        <f t="shared" ca="1" si="43"/>
        <v>158.56489140330498</v>
      </c>
      <c r="I159">
        <f t="shared" ca="1" si="44"/>
        <v>140.45381318786067</v>
      </c>
      <c r="J159">
        <f t="shared" ca="1" si="53"/>
        <v>155.81249999999997</v>
      </c>
      <c r="K159">
        <f t="shared" ca="1" si="54"/>
        <v>3.244029130572041</v>
      </c>
      <c r="L159">
        <f t="shared" ca="1" si="55"/>
        <v>162.30055826114406</v>
      </c>
      <c r="M159">
        <f t="shared" ca="1" si="56"/>
        <v>149.32444173885588</v>
      </c>
      <c r="N159">
        <f t="shared" ca="1" si="45"/>
        <v>3.039999999999992</v>
      </c>
      <c r="O159">
        <f t="shared" ca="1" si="46"/>
        <v>3.039999999999992</v>
      </c>
      <c r="P159">
        <f t="shared" ca="1" si="47"/>
        <v>0</v>
      </c>
      <c r="Q159">
        <f t="shared" ca="1" si="51"/>
        <v>0.64147460539440737</v>
      </c>
      <c r="R159">
        <f t="shared" ca="1" si="52"/>
        <v>0.87685619211450061</v>
      </c>
      <c r="S159">
        <f t="shared" ca="1" si="49"/>
        <v>0.7315619267596426</v>
      </c>
      <c r="T159">
        <f t="shared" ca="1" si="50"/>
        <v>42.248672453121586</v>
      </c>
      <c r="U159">
        <f>70</f>
        <v>70</v>
      </c>
      <c r="V159">
        <f>30</f>
        <v>30</v>
      </c>
      <c r="W159">
        <f t="shared" ca="1" si="48"/>
        <v>153.59392239708706</v>
      </c>
      <c r="X159">
        <f t="shared" ca="1" si="58"/>
        <v>154.96670169257064</v>
      </c>
      <c r="Y159">
        <f t="shared" ca="1" si="57"/>
        <v>-1.3671313337623872</v>
      </c>
      <c r="Z159">
        <f t="shared" ca="1" si="38"/>
        <v>-0.80186334972535556</v>
      </c>
      <c r="AA159">
        <f t="shared" ca="1" si="39"/>
        <v>-0.5652679840370316</v>
      </c>
      <c r="AB159">
        <f t="shared" ca="1" si="40"/>
        <v>151.1362</v>
      </c>
    </row>
    <row r="160" spans="1:28" x14ac:dyDescent="0.25">
      <c r="A160" s="20">
        <f t="shared" ca="1" si="41"/>
        <v>45943</v>
      </c>
      <c r="B160" vm="470">
        <f ca="1"/>
        <v>45944</v>
      </c>
      <c r="C160" vm="471">
        <f ca="1"/>
        <v>152.38999999999999</v>
      </c>
      <c r="D160" vm="472">
        <f ca="1"/>
        <v>6419350</v>
      </c>
      <c r="E160">
        <f t="shared" ca="1" si="42"/>
        <v>978244746.49999988</v>
      </c>
      <c r="F160">
        <f ca="1">SUM($E$2:E160)/SUM($D$2:D160)</f>
        <v>149.5217416271245</v>
      </c>
      <c r="G160">
        <f ca="1">_xlfn.STDEV.P($C$2:C160)</f>
        <v>9.0290346729597459</v>
      </c>
      <c r="H160">
        <f t="shared" ca="1" si="43"/>
        <v>158.55077630008424</v>
      </c>
      <c r="I160">
        <f t="shared" ca="1" si="44"/>
        <v>140.49270695416476</v>
      </c>
      <c r="J160">
        <f t="shared" ca="1" si="53"/>
        <v>155.45499999999998</v>
      </c>
      <c r="K160">
        <f t="shared" ca="1" si="54"/>
        <v>3.2053729563771025</v>
      </c>
      <c r="L160">
        <f t="shared" ca="1" si="55"/>
        <v>161.86574591275419</v>
      </c>
      <c r="M160">
        <f t="shared" ca="1" si="56"/>
        <v>149.04425408724578</v>
      </c>
      <c r="N160">
        <f t="shared" ca="1" si="45"/>
        <v>0.44999999999998863</v>
      </c>
      <c r="O160">
        <f t="shared" ca="1" si="46"/>
        <v>0.44999999999998863</v>
      </c>
      <c r="P160">
        <f t="shared" ca="1" si="47"/>
        <v>0</v>
      </c>
      <c r="Q160">
        <f t="shared" ca="1" si="51"/>
        <v>0.6277978478662346</v>
      </c>
      <c r="R160">
        <f t="shared" ca="1" si="52"/>
        <v>0.81422360696346485</v>
      </c>
      <c r="S160">
        <f t="shared" ca="1" si="49"/>
        <v>0.77103862194258954</v>
      </c>
      <c r="T160">
        <f t="shared" ca="1" si="50"/>
        <v>43.53595751045026</v>
      </c>
      <c r="U160">
        <f>70</f>
        <v>70</v>
      </c>
      <c r="V160">
        <f>30</f>
        <v>30</v>
      </c>
      <c r="W160">
        <f t="shared" ca="1" si="48"/>
        <v>153.40870356676598</v>
      </c>
      <c r="X160">
        <f t="shared" ca="1" si="58"/>
        <v>154.77583490052837</v>
      </c>
      <c r="Y160">
        <f t="shared" ca="1" si="57"/>
        <v>-1.3694626306046302</v>
      </c>
      <c r="Z160">
        <f t="shared" ca="1" si="38"/>
        <v>-0.91538320590121058</v>
      </c>
      <c r="AA160">
        <f t="shared" ca="1" si="39"/>
        <v>-0.45407942470341967</v>
      </c>
      <c r="AB160">
        <f t="shared" ca="1" si="40"/>
        <v>151.30450000000002</v>
      </c>
    </row>
    <row r="161" spans="1:28" x14ac:dyDescent="0.25">
      <c r="A161" s="20">
        <f t="shared" ca="1" si="41"/>
        <v>45943</v>
      </c>
      <c r="B161" vm="473">
        <f ca="1"/>
        <v>45945</v>
      </c>
      <c r="C161" vm="474">
        <f ca="1"/>
        <v>152.11000000000001</v>
      </c>
      <c r="D161" vm="475">
        <f ca="1"/>
        <v>5824931</v>
      </c>
      <c r="E161">
        <f t="shared" ca="1" si="42"/>
        <v>886030254.41000009</v>
      </c>
      <c r="F161">
        <f ca="1">SUM($E$2:E161)/SUM($D$2:D161)</f>
        <v>149.5318033764157</v>
      </c>
      <c r="G161">
        <f ca="1">_xlfn.STDEV.P($C$2:C161)</f>
        <v>9.002323501940694</v>
      </c>
      <c r="H161">
        <f t="shared" ca="1" si="43"/>
        <v>158.5341268783564</v>
      </c>
      <c r="I161">
        <f t="shared" ca="1" si="44"/>
        <v>140.52947987447499</v>
      </c>
      <c r="J161">
        <f t="shared" ca="1" si="53"/>
        <v>155.05600000000001</v>
      </c>
      <c r="K161">
        <f t="shared" ca="1" si="54"/>
        <v>3.0927392048916249</v>
      </c>
      <c r="L161">
        <f t="shared" ca="1" si="55"/>
        <v>161.24147840978327</v>
      </c>
      <c r="M161">
        <f t="shared" ca="1" si="56"/>
        <v>148.87052159021675</v>
      </c>
      <c r="N161">
        <f t="shared" ca="1" si="45"/>
        <v>-0.27999999999997272</v>
      </c>
      <c r="O161">
        <f t="shared" ca="1" si="46"/>
        <v>0</v>
      </c>
      <c r="P161">
        <f t="shared" ca="1" si="47"/>
        <v>0.27999999999997272</v>
      </c>
      <c r="Q161">
        <f t="shared" ca="1" si="51"/>
        <v>0.58295514444721785</v>
      </c>
      <c r="R161">
        <f t="shared" ca="1" si="52"/>
        <v>0.7760647778946439</v>
      </c>
      <c r="S161">
        <f t="shared" ca="1" si="49"/>
        <v>0.75116815123177516</v>
      </c>
      <c r="T161">
        <f t="shared" ca="1" si="50"/>
        <v>42.895261126317422</v>
      </c>
      <c r="U161">
        <f>70</f>
        <v>70</v>
      </c>
      <c r="V161">
        <f>30</f>
        <v>30</v>
      </c>
      <c r="W161">
        <f t="shared" ca="1" si="48"/>
        <v>153.20890301803274</v>
      </c>
      <c r="X161">
        <f t="shared" ca="1" si="58"/>
        <v>154.57836564863737</v>
      </c>
      <c r="Y161">
        <f t="shared" ca="1" si="57"/>
        <v>-1.3875915653886466</v>
      </c>
      <c r="Z161">
        <f t="shared" ca="1" si="38"/>
        <v>-1.0098248777986978</v>
      </c>
      <c r="AA161">
        <f t="shared" ca="1" si="39"/>
        <v>-0.3777666875899488</v>
      </c>
      <c r="AB161">
        <f t="shared" ca="1" si="40"/>
        <v>151.4727</v>
      </c>
    </row>
    <row r="162" spans="1:28" x14ac:dyDescent="0.25">
      <c r="A162" s="20">
        <f t="shared" ca="1" si="41"/>
        <v>45943</v>
      </c>
      <c r="B162" vm="476">
        <f ca="1"/>
        <v>45946</v>
      </c>
      <c r="C162" vm="477">
        <f ca="1"/>
        <v>151.71</v>
      </c>
      <c r="D162" vm="478">
        <f ca="1"/>
        <v>5276788</v>
      </c>
      <c r="E162">
        <f t="shared" ca="1" si="42"/>
        <v>800541507.48000002</v>
      </c>
      <c r="F162">
        <f ca="1">SUM($E$2:E162)/SUM($D$2:D162)</f>
        <v>149.53944727760737</v>
      </c>
      <c r="G162">
        <f ca="1">_xlfn.STDEV.P($C$2:C162)</f>
        <v>8.9753227678928305</v>
      </c>
      <c r="H162">
        <f t="shared" ca="1" si="43"/>
        <v>158.5147700455002</v>
      </c>
      <c r="I162">
        <f t="shared" ca="1" si="44"/>
        <v>140.56412450971453</v>
      </c>
      <c r="J162">
        <f t="shared" ca="1" si="53"/>
        <v>154.6995</v>
      </c>
      <c r="K162">
        <f t="shared" ca="1" si="54"/>
        <v>3.0441565680047256</v>
      </c>
      <c r="L162">
        <f t="shared" ca="1" si="55"/>
        <v>160.78781313600945</v>
      </c>
      <c r="M162">
        <f t="shared" ca="1" si="56"/>
        <v>148.61118686399055</v>
      </c>
      <c r="N162">
        <f t="shared" ca="1" si="45"/>
        <v>-0.40000000000000568</v>
      </c>
      <c r="O162">
        <f t="shared" ca="1" si="46"/>
        <v>0</v>
      </c>
      <c r="P162">
        <f t="shared" ca="1" si="47"/>
        <v>0.40000000000000568</v>
      </c>
      <c r="Q162">
        <f t="shared" ca="1" si="51"/>
        <v>0.54131549127241663</v>
      </c>
      <c r="R162">
        <f t="shared" ca="1" si="52"/>
        <v>0.74920300804502682</v>
      </c>
      <c r="S162">
        <f t="shared" ca="1" si="49"/>
        <v>0.7225217804249443</v>
      </c>
      <c r="T162">
        <f t="shared" ca="1" si="50"/>
        <v>41.945581683541839</v>
      </c>
      <c r="U162">
        <f>70</f>
        <v>70</v>
      </c>
      <c r="V162">
        <f>30</f>
        <v>30</v>
      </c>
      <c r="W162">
        <f t="shared" ca="1" si="48"/>
        <v>152.97830255372003</v>
      </c>
      <c r="X162">
        <f t="shared" ca="1" si="58"/>
        <v>154.36589411910867</v>
      </c>
      <c r="Y162">
        <f t="shared" ca="1" si="57"/>
        <v>-1.2766943881922259</v>
      </c>
      <c r="Z162">
        <f t="shared" ca="1" si="38"/>
        <v>-1.0631987798774034</v>
      </c>
      <c r="AA162">
        <f t="shared" ca="1" si="39"/>
        <v>-0.2134956083148225</v>
      </c>
      <c r="AB162">
        <f t="shared" ca="1" si="40"/>
        <v>151.62440000000001</v>
      </c>
    </row>
    <row r="163" spans="1:28" x14ac:dyDescent="0.25">
      <c r="A163" s="20">
        <f t="shared" ca="1" si="41"/>
        <v>45943</v>
      </c>
      <c r="B163" vm="479">
        <f ca="1"/>
        <v>45947</v>
      </c>
      <c r="C163" vm="480">
        <f ca="1"/>
        <v>153.08000000000001</v>
      </c>
      <c r="D163" vm="481">
        <f ca="1"/>
        <v>7735462</v>
      </c>
      <c r="E163">
        <f t="shared" ca="1" si="42"/>
        <v>1184144522.96</v>
      </c>
      <c r="F163">
        <f ca="1">SUM($E$2:E163)/SUM($D$2:D163)</f>
        <v>149.55756807079797</v>
      </c>
      <c r="G163">
        <f ca="1">_xlfn.STDEV.P($C$2:C163)</f>
        <v>8.9507981131158836</v>
      </c>
      <c r="H163">
        <f t="shared" ca="1" si="43"/>
        <v>158.50836618391386</v>
      </c>
      <c r="I163">
        <f t="shared" ca="1" si="44"/>
        <v>140.60676995768208</v>
      </c>
      <c r="J163">
        <f t="shared" ca="1" si="53"/>
        <v>154.54300000000001</v>
      </c>
      <c r="K163">
        <f t="shared" ca="1" si="54"/>
        <v>3.0428710473048817</v>
      </c>
      <c r="L163">
        <f t="shared" ca="1" si="55"/>
        <v>160.62874209460978</v>
      </c>
      <c r="M163">
        <f t="shared" ca="1" si="56"/>
        <v>148.45725790539024</v>
      </c>
      <c r="N163">
        <f t="shared" ca="1" si="45"/>
        <v>1.3700000000000045</v>
      </c>
      <c r="O163">
        <f t="shared" ca="1" si="46"/>
        <v>1.3700000000000045</v>
      </c>
      <c r="P163">
        <f t="shared" ca="1" si="47"/>
        <v>0</v>
      </c>
      <c r="Q163">
        <f t="shared" ca="1" si="51"/>
        <v>0.60050724189581572</v>
      </c>
      <c r="R163">
        <f t="shared" ca="1" si="52"/>
        <v>0.69568850747038202</v>
      </c>
      <c r="S163">
        <f t="shared" ca="1" si="49"/>
        <v>0.86318407656228457</v>
      </c>
      <c r="T163">
        <f t="shared" ca="1" si="50"/>
        <v>46.328437829660096</v>
      </c>
      <c r="U163">
        <f>70</f>
        <v>70</v>
      </c>
      <c r="V163">
        <f>30</f>
        <v>30</v>
      </c>
      <c r="W163">
        <f t="shared" ca="1" si="48"/>
        <v>152.99394831468618</v>
      </c>
      <c r="X163">
        <f t="shared" ca="1" si="58"/>
        <v>154.2706427028784</v>
      </c>
      <c r="Y163">
        <f t="shared" ca="1" si="57"/>
        <v>-1.0635789999250278</v>
      </c>
      <c r="Z163">
        <f t="shared" ca="1" si="38"/>
        <v>-1.0632748238869283</v>
      </c>
      <c r="AA163">
        <f t="shared" ca="1" si="39"/>
        <v>-3.0417603809951288E-4</v>
      </c>
      <c r="AB163">
        <f t="shared" ca="1" si="40"/>
        <v>151.77690000000001</v>
      </c>
    </row>
    <row r="164" spans="1:28" x14ac:dyDescent="0.25">
      <c r="A164" s="20">
        <f t="shared" ca="1" si="41"/>
        <v>45950</v>
      </c>
      <c r="B164" vm="482">
        <f ca="1"/>
        <v>45950</v>
      </c>
      <c r="C164" vm="483">
        <f ca="1"/>
        <v>154.47999999999999</v>
      </c>
      <c r="D164" vm="484">
        <f ca="1"/>
        <v>5676505</v>
      </c>
      <c r="E164">
        <f t="shared" ca="1" si="42"/>
        <v>876906492.39999998</v>
      </c>
      <c r="F164">
        <f ca="1">SUM($E$2:E164)/SUM($D$2:D164)</f>
        <v>149.5759864988899</v>
      </c>
      <c r="G164">
        <f ca="1">_xlfn.STDEV.P($C$2:C164)</f>
        <v>8.9300504449008482</v>
      </c>
      <c r="H164">
        <f t="shared" ca="1" si="43"/>
        <v>158.50603694379075</v>
      </c>
      <c r="I164">
        <f t="shared" ca="1" si="44"/>
        <v>140.64593605398906</v>
      </c>
      <c r="J164">
        <f t="shared" ca="1" si="53"/>
        <v>154.46450000000002</v>
      </c>
      <c r="K164">
        <f t="shared" ca="1" si="54"/>
        <v>3.022127997219664</v>
      </c>
      <c r="L164">
        <f t="shared" ca="1" si="55"/>
        <v>160.50875599443935</v>
      </c>
      <c r="M164">
        <f t="shared" ca="1" si="56"/>
        <v>148.42024400556068</v>
      </c>
      <c r="N164">
        <f t="shared" ca="1" si="45"/>
        <v>1.3999999999999773</v>
      </c>
      <c r="O164">
        <f t="shared" ca="1" si="46"/>
        <v>1.3999999999999773</v>
      </c>
      <c r="P164">
        <f t="shared" ca="1" si="47"/>
        <v>0</v>
      </c>
      <c r="Q164">
        <f t="shared" ca="1" si="51"/>
        <v>0.65761386747468442</v>
      </c>
      <c r="R164">
        <f t="shared" ca="1" si="52"/>
        <v>0.64599647122249759</v>
      </c>
      <c r="S164">
        <f t="shared" ca="1" si="49"/>
        <v>1.0179836837656433</v>
      </c>
      <c r="T164">
        <f t="shared" ca="1" si="50"/>
        <v>50.445585460138233</v>
      </c>
      <c r="U164">
        <f>70</f>
        <v>70</v>
      </c>
      <c r="V164">
        <f>30</f>
        <v>30</v>
      </c>
      <c r="W164">
        <f t="shared" ca="1" si="48"/>
        <v>153.22257165088831</v>
      </c>
      <c r="X164">
        <f t="shared" ca="1" si="58"/>
        <v>154.28615065081334</v>
      </c>
      <c r="Y164">
        <f t="shared" ca="1" si="57"/>
        <v>-0.93953043077067377</v>
      </c>
      <c r="Z164">
        <f t="shared" ca="1" si="38"/>
        <v>-1.0385259452636775</v>
      </c>
      <c r="AA164">
        <f t="shared" ca="1" si="39"/>
        <v>9.89955144930037E-2</v>
      </c>
      <c r="AB164">
        <f t="shared" ca="1" si="40"/>
        <v>151.9615</v>
      </c>
    </row>
    <row r="165" spans="1:28" x14ac:dyDescent="0.25">
      <c r="A165" s="20">
        <f t="shared" ca="1" si="41"/>
        <v>45950</v>
      </c>
      <c r="B165" vm="485">
        <f ca="1"/>
        <v>45951</v>
      </c>
      <c r="C165" vm="486">
        <f ca="1"/>
        <v>153.79</v>
      </c>
      <c r="D165" vm="487">
        <f ca="1"/>
        <v>6304917</v>
      </c>
      <c r="E165">
        <f t="shared" ca="1" si="42"/>
        <v>969633185.42999995</v>
      </c>
      <c r="F165">
        <f ca="1">SUM($E$2:E165)/SUM($D$2:D165)</f>
        <v>149.59342728057609</v>
      </c>
      <c r="G165">
        <f ca="1">_xlfn.STDEV.P($C$2:C165)</f>
        <v>8.9075141353708958</v>
      </c>
      <c r="H165">
        <f t="shared" ca="1" si="43"/>
        <v>158.50094141594698</v>
      </c>
      <c r="I165">
        <f t="shared" ca="1" si="44"/>
        <v>140.68591314520521</v>
      </c>
      <c r="J165">
        <f t="shared" ca="1" si="53"/>
        <v>154.28300000000002</v>
      </c>
      <c r="K165">
        <f t="shared" ca="1" si="54"/>
        <v>2.9432618854454291</v>
      </c>
      <c r="L165">
        <f t="shared" ca="1" si="55"/>
        <v>160.16952377089086</v>
      </c>
      <c r="M165">
        <f t="shared" ca="1" si="56"/>
        <v>148.39647622910917</v>
      </c>
      <c r="N165">
        <f t="shared" ca="1" si="45"/>
        <v>-0.68999999999999773</v>
      </c>
      <c r="O165">
        <f t="shared" ca="1" si="46"/>
        <v>0</v>
      </c>
      <c r="P165">
        <f t="shared" ca="1" si="47"/>
        <v>0.68999999999999773</v>
      </c>
      <c r="Q165">
        <f t="shared" ca="1" si="51"/>
        <v>0.61064144836934986</v>
      </c>
      <c r="R165">
        <f t="shared" ca="1" si="52"/>
        <v>0.64913958042089048</v>
      </c>
      <c r="S165">
        <f t="shared" ca="1" si="49"/>
        <v>0.94069359932330865</v>
      </c>
      <c r="T165">
        <f t="shared" ca="1" si="50"/>
        <v>48.47203080647634</v>
      </c>
      <c r="U165">
        <f>70</f>
        <v>70</v>
      </c>
      <c r="V165">
        <f>30</f>
        <v>30</v>
      </c>
      <c r="W165">
        <f t="shared" ca="1" si="48"/>
        <v>153.3098683199824</v>
      </c>
      <c r="X165">
        <f t="shared" ca="1" si="58"/>
        <v>154.24939875075307</v>
      </c>
      <c r="Y165">
        <f t="shared" ca="1" si="57"/>
        <v>-0.6896401793731286</v>
      </c>
      <c r="Z165">
        <f t="shared" ca="1" si="38"/>
        <v>-0.96874879208556774</v>
      </c>
      <c r="AA165">
        <f t="shared" ca="1" si="39"/>
        <v>0.27910861271243914</v>
      </c>
      <c r="AB165">
        <f t="shared" ca="1" si="40"/>
        <v>152.12030000000001</v>
      </c>
    </row>
    <row r="166" spans="1:28" x14ac:dyDescent="0.25">
      <c r="A166" s="20">
        <f t="shared" ca="1" si="41"/>
        <v>45950</v>
      </c>
      <c r="B166" vm="488">
        <f ca="1"/>
        <v>45952</v>
      </c>
      <c r="C166" vm="489">
        <f ca="1"/>
        <v>155.57</v>
      </c>
      <c r="D166" vm="490">
        <f ca="1"/>
        <v>6036705</v>
      </c>
      <c r="E166">
        <f t="shared" ca="1" si="42"/>
        <v>939130196.8499999</v>
      </c>
      <c r="F166">
        <f ca="1">SUM($E$2:E166)/SUM($D$2:D166)</f>
        <v>149.61701713362024</v>
      </c>
      <c r="G166">
        <f ca="1">_xlfn.STDEV.P($C$2:C166)</f>
        <v>8.8906824626669874</v>
      </c>
      <c r="H166">
        <f t="shared" ca="1" si="43"/>
        <v>158.50769959628724</v>
      </c>
      <c r="I166">
        <f t="shared" ca="1" si="44"/>
        <v>140.72633467095324</v>
      </c>
      <c r="J166">
        <f t="shared" ca="1" si="53"/>
        <v>154.10250000000002</v>
      </c>
      <c r="K166">
        <f t="shared" ca="1" si="54"/>
        <v>2.730116394279881</v>
      </c>
      <c r="L166">
        <f t="shared" ca="1" si="55"/>
        <v>159.56273278855977</v>
      </c>
      <c r="M166">
        <f t="shared" ca="1" si="56"/>
        <v>148.64226721144027</v>
      </c>
      <c r="N166">
        <f t="shared" ca="1" si="45"/>
        <v>1.7800000000000011</v>
      </c>
      <c r="O166">
        <f t="shared" ca="1" si="46"/>
        <v>1.7800000000000011</v>
      </c>
      <c r="P166">
        <f t="shared" ca="1" si="47"/>
        <v>0</v>
      </c>
      <c r="Q166">
        <f t="shared" ca="1" si="51"/>
        <v>0.69416705920011068</v>
      </c>
      <c r="R166">
        <f t="shared" ca="1" si="52"/>
        <v>0.60277246753368396</v>
      </c>
      <c r="S166">
        <f t="shared" ca="1" si="49"/>
        <v>1.1516236998023128</v>
      </c>
      <c r="T166">
        <f t="shared" ca="1" si="50"/>
        <v>53.523471595340851</v>
      </c>
      <c r="U166">
        <f>70</f>
        <v>70</v>
      </c>
      <c r="V166">
        <f>30</f>
        <v>30</v>
      </c>
      <c r="W166">
        <f t="shared" ca="1" si="48"/>
        <v>153.65758088613896</v>
      </c>
      <c r="X166">
        <f t="shared" ca="1" si="58"/>
        <v>154.34722106551209</v>
      </c>
      <c r="Y166">
        <f t="shared" ca="1" si="57"/>
        <v>-0.4070237125588676</v>
      </c>
      <c r="Z166">
        <f t="shared" ref="Z166:Z229" ca="1" si="59">Y166*(2/(9+1)) + Z165*(1-(2/(9+1)))</f>
        <v>-0.85640377618022778</v>
      </c>
      <c r="AA166">
        <f t="shared" ref="AA166:AA229" ca="1" si="60">Y166-Z166</f>
        <v>0.44938006362136018</v>
      </c>
      <c r="AB166">
        <f t="shared" ref="AB166:AB229" ca="1" si="61">AVERAGE(C67:C166)</f>
        <v>152.309</v>
      </c>
    </row>
    <row r="167" spans="1:28" x14ac:dyDescent="0.25">
      <c r="A167" s="20">
        <f t="shared" ca="1" si="41"/>
        <v>45950</v>
      </c>
      <c r="B167" vm="491">
        <f ca="1"/>
        <v>45953</v>
      </c>
      <c r="C167" vm="492">
        <f ca="1"/>
        <v>156.56</v>
      </c>
      <c r="D167" vm="493">
        <f ca="1"/>
        <v>9810894</v>
      </c>
      <c r="E167">
        <f t="shared" ca="1" si="42"/>
        <v>1535993564.6400001</v>
      </c>
      <c r="F167">
        <f ca="1">SUM($E$2:E167)/SUM($D$2:D167)</f>
        <v>149.6612709516273</v>
      </c>
      <c r="G167">
        <f ca="1">_xlfn.STDEV.P($C$2:C167)</f>
        <v>8.8778722404352983</v>
      </c>
      <c r="H167">
        <f t="shared" ca="1" si="43"/>
        <v>158.5391431920626</v>
      </c>
      <c r="I167">
        <f t="shared" ca="1" si="44"/>
        <v>140.78339871119201</v>
      </c>
      <c r="J167">
        <f t="shared" ca="1" si="53"/>
        <v>153.89450000000002</v>
      </c>
      <c r="K167">
        <f t="shared" ca="1" si="54"/>
        <v>2.3283142196153741</v>
      </c>
      <c r="L167">
        <f t="shared" ca="1" si="55"/>
        <v>158.55112843923078</v>
      </c>
      <c r="M167">
        <f t="shared" ca="1" si="56"/>
        <v>149.23787156076926</v>
      </c>
      <c r="N167">
        <f t="shared" ca="1" si="45"/>
        <v>0.99000000000000909</v>
      </c>
      <c r="O167">
        <f t="shared" ca="1" si="46"/>
        <v>0.99000000000000909</v>
      </c>
      <c r="P167">
        <f t="shared" ca="1" si="47"/>
        <v>0</v>
      </c>
      <c r="Q167">
        <f t="shared" ca="1" si="51"/>
        <v>0.71529798354296059</v>
      </c>
      <c r="R167">
        <f t="shared" ca="1" si="52"/>
        <v>0.55971729128127801</v>
      </c>
      <c r="S167">
        <f t="shared" ca="1" si="49"/>
        <v>1.2779629907547339</v>
      </c>
      <c r="T167">
        <f t="shared" ca="1" si="50"/>
        <v>56.101130525009964</v>
      </c>
      <c r="U167">
        <f>70</f>
        <v>70</v>
      </c>
      <c r="V167">
        <f>30</f>
        <v>30</v>
      </c>
      <c r="W167">
        <f t="shared" ca="1" si="48"/>
        <v>154.10410690365603</v>
      </c>
      <c r="X167">
        <f t="shared" ca="1" si="58"/>
        <v>154.5111306162149</v>
      </c>
      <c r="Y167">
        <f t="shared" ca="1" si="57"/>
        <v>-0.26073418770371859</v>
      </c>
      <c r="Z167">
        <f t="shared" ca="1" si="59"/>
        <v>-0.73726985848492599</v>
      </c>
      <c r="AA167">
        <f t="shared" ca="1" si="60"/>
        <v>0.4765356707812074</v>
      </c>
      <c r="AB167">
        <f t="shared" ca="1" si="61"/>
        <v>152.49620000000002</v>
      </c>
    </row>
    <row r="168" spans="1:28" x14ac:dyDescent="0.25">
      <c r="A168" s="20">
        <f t="shared" ca="1" si="41"/>
        <v>45950</v>
      </c>
      <c r="B168" vm="494">
        <f ca="1"/>
        <v>45954</v>
      </c>
      <c r="C168" vm="495">
        <f ca="1"/>
        <v>155.56</v>
      </c>
      <c r="D168" vm="496">
        <f ca="1"/>
        <v>4979941</v>
      </c>
      <c r="E168">
        <f t="shared" ca="1" si="42"/>
        <v>774679621.96000004</v>
      </c>
      <c r="F168">
        <f ca="1">SUM($E$2:E168)/SUM($D$2:D168)</f>
        <v>149.68029381507583</v>
      </c>
      <c r="G168">
        <f ca="1">_xlfn.STDEV.P($C$2:C168)</f>
        <v>8.8610654336597232</v>
      </c>
      <c r="H168">
        <f t="shared" ca="1" si="43"/>
        <v>158.54135924873555</v>
      </c>
      <c r="I168">
        <f t="shared" ca="1" si="44"/>
        <v>140.81922838141611</v>
      </c>
      <c r="J168">
        <f t="shared" ca="1" si="53"/>
        <v>153.66450000000003</v>
      </c>
      <c r="K168">
        <f t="shared" ca="1" si="54"/>
        <v>1.8561320137941628</v>
      </c>
      <c r="L168">
        <f t="shared" ca="1" si="55"/>
        <v>157.37676402758837</v>
      </c>
      <c r="M168">
        <f t="shared" ca="1" si="56"/>
        <v>149.9522359724117</v>
      </c>
      <c r="N168">
        <f t="shared" ca="1" si="45"/>
        <v>-1</v>
      </c>
      <c r="O168">
        <f t="shared" ca="1" si="46"/>
        <v>0</v>
      </c>
      <c r="P168">
        <f t="shared" ca="1" si="47"/>
        <v>1</v>
      </c>
      <c r="Q168">
        <f t="shared" ca="1" si="51"/>
        <v>0.66420527043274913</v>
      </c>
      <c r="R168">
        <f t="shared" ca="1" si="52"/>
        <v>0.59116605618975815</v>
      </c>
      <c r="S168">
        <f t="shared" ca="1" si="49"/>
        <v>1.1235510961399755</v>
      </c>
      <c r="T168">
        <f t="shared" ca="1" si="50"/>
        <v>52.909068125663588</v>
      </c>
      <c r="U168">
        <f>70</f>
        <v>70</v>
      </c>
      <c r="V168">
        <f>30</f>
        <v>30</v>
      </c>
      <c r="W168">
        <f t="shared" ca="1" si="48"/>
        <v>154.32809045693972</v>
      </c>
      <c r="X168">
        <f t="shared" ca="1" si="58"/>
        <v>154.58882464464344</v>
      </c>
      <c r="Y168">
        <f t="shared" ca="1" si="57"/>
        <v>-0.16548474016531145</v>
      </c>
      <c r="Z168">
        <f t="shared" ca="1" si="59"/>
        <v>-0.62291283482100313</v>
      </c>
      <c r="AA168">
        <f t="shared" ca="1" si="60"/>
        <v>0.45742809465569167</v>
      </c>
      <c r="AB168">
        <f t="shared" ca="1" si="61"/>
        <v>152.65629999999999</v>
      </c>
    </row>
    <row r="169" spans="1:28" x14ac:dyDescent="0.25">
      <c r="A169" s="20">
        <f t="shared" ca="1" si="41"/>
        <v>45957</v>
      </c>
      <c r="B169" vm="497">
        <f ca="1"/>
        <v>45957</v>
      </c>
      <c r="C169" vm="498">
        <f ca="1"/>
        <v>155.28</v>
      </c>
      <c r="D169" vm="499">
        <f ca="1"/>
        <v>4884434</v>
      </c>
      <c r="E169">
        <f t="shared" ca="1" si="42"/>
        <v>758454911.51999998</v>
      </c>
      <c r="F169">
        <f ca="1">SUM($E$2:E169)/SUM($D$2:D169)</f>
        <v>149.69795017606009</v>
      </c>
      <c r="G169">
        <f ca="1">_xlfn.STDEV.P($C$2:C169)</f>
        <v>8.8433309927341366</v>
      </c>
      <c r="H169">
        <f t="shared" ca="1" si="43"/>
        <v>158.54128116879423</v>
      </c>
      <c r="I169">
        <f t="shared" ca="1" si="44"/>
        <v>140.85461918332595</v>
      </c>
      <c r="J169">
        <f t="shared" ca="1" si="53"/>
        <v>153.62350000000001</v>
      </c>
      <c r="K169">
        <f t="shared" ca="1" si="54"/>
        <v>1.8079336125445584</v>
      </c>
      <c r="L169">
        <f t="shared" ca="1" si="55"/>
        <v>157.23936722508913</v>
      </c>
      <c r="M169">
        <f t="shared" ca="1" si="56"/>
        <v>150.00763277491089</v>
      </c>
      <c r="N169">
        <f t="shared" ca="1" si="45"/>
        <v>-0.28000000000000114</v>
      </c>
      <c r="O169">
        <f t="shared" ca="1" si="46"/>
        <v>0</v>
      </c>
      <c r="P169">
        <f t="shared" ca="1" si="47"/>
        <v>0.28000000000000114</v>
      </c>
      <c r="Q169">
        <f t="shared" ca="1" si="51"/>
        <v>0.61676203683040998</v>
      </c>
      <c r="R169">
        <f t="shared" ca="1" si="52"/>
        <v>0.56893990931906124</v>
      </c>
      <c r="S169">
        <f t="shared" ca="1" si="49"/>
        <v>1.0840547951163857</v>
      </c>
      <c r="T169">
        <f t="shared" ca="1" si="50"/>
        <v>52.016616725082116</v>
      </c>
      <c r="U169">
        <f>70</f>
        <v>70</v>
      </c>
      <c r="V169">
        <f>30</f>
        <v>30</v>
      </c>
      <c r="W169">
        <f t="shared" ca="1" si="48"/>
        <v>154.474538078949</v>
      </c>
      <c r="X169">
        <f t="shared" ca="1" si="58"/>
        <v>154.64002281911431</v>
      </c>
      <c r="Y169">
        <f t="shared" ca="1" si="57"/>
        <v>-0.1807111303826332</v>
      </c>
      <c r="Z169">
        <f t="shared" ca="1" si="59"/>
        <v>-0.53447249393332918</v>
      </c>
      <c r="AA169">
        <f t="shared" ca="1" si="60"/>
        <v>0.35376136355069598</v>
      </c>
      <c r="AB169">
        <f t="shared" ca="1" si="61"/>
        <v>152.83540000000002</v>
      </c>
    </row>
    <row r="170" spans="1:28" x14ac:dyDescent="0.25">
      <c r="A170" s="20">
        <f t="shared" ca="1" si="41"/>
        <v>45957</v>
      </c>
      <c r="B170" vm="500">
        <f ca="1"/>
        <v>45958</v>
      </c>
      <c r="C170" vm="501">
        <f ca="1"/>
        <v>154.13</v>
      </c>
      <c r="D170" vm="502">
        <f ca="1"/>
        <v>5066475</v>
      </c>
      <c r="E170">
        <f t="shared" ca="1" si="42"/>
        <v>780895791.75</v>
      </c>
      <c r="F170">
        <f ca="1">SUM($E$2:E170)/SUM($D$2:D170)</f>
        <v>149.71239839004187</v>
      </c>
      <c r="G170">
        <f ca="1">_xlfn.STDEV.P($C$2:C170)</f>
        <v>8.8222299678531382</v>
      </c>
      <c r="H170">
        <f t="shared" ca="1" si="43"/>
        <v>158.534628357895</v>
      </c>
      <c r="I170">
        <f t="shared" ca="1" si="44"/>
        <v>140.89016842218874</v>
      </c>
      <c r="J170">
        <f t="shared" ca="1" si="53"/>
        <v>153.56550000000001</v>
      </c>
      <c r="K170">
        <f t="shared" ca="1" si="54"/>
        <v>1.7698631377357368</v>
      </c>
      <c r="L170">
        <f t="shared" ca="1" si="55"/>
        <v>157.10522627547149</v>
      </c>
      <c r="M170">
        <f t="shared" ca="1" si="56"/>
        <v>150.02577372452853</v>
      </c>
      <c r="N170">
        <f t="shared" ca="1" si="45"/>
        <v>-1.1500000000000057</v>
      </c>
      <c r="O170">
        <f t="shared" ca="1" si="46"/>
        <v>0</v>
      </c>
      <c r="P170">
        <f t="shared" ca="1" si="47"/>
        <v>1.1500000000000057</v>
      </c>
      <c r="Q170">
        <f t="shared" ca="1" si="51"/>
        <v>0.57270760562823786</v>
      </c>
      <c r="R170">
        <f t="shared" ca="1" si="52"/>
        <v>0.61044420151055723</v>
      </c>
      <c r="S170">
        <f t="shared" ca="1" si="49"/>
        <v>0.93818174406614174</v>
      </c>
      <c r="T170">
        <f t="shared" ca="1" si="50"/>
        <v>48.405251310329426</v>
      </c>
      <c r="U170">
        <f>70</f>
        <v>70</v>
      </c>
      <c r="V170">
        <f>30</f>
        <v>30</v>
      </c>
      <c r="W170">
        <f t="shared" ca="1" si="48"/>
        <v>154.42153222064914</v>
      </c>
      <c r="X170">
        <f t="shared" ca="1" si="58"/>
        <v>154.60224335103177</v>
      </c>
      <c r="Y170">
        <f t="shared" ca="1" si="57"/>
        <v>-0.11320233490749843</v>
      </c>
      <c r="Z170">
        <f t="shared" ca="1" si="59"/>
        <v>-0.45021846212816308</v>
      </c>
      <c r="AA170">
        <f t="shared" ca="1" si="60"/>
        <v>0.33701612722066465</v>
      </c>
      <c r="AB170">
        <f t="shared" ca="1" si="61"/>
        <v>153.0077</v>
      </c>
    </row>
    <row r="171" spans="1:28" x14ac:dyDescent="0.25">
      <c r="A171" s="20">
        <f t="shared" ca="1" si="41"/>
        <v>45957</v>
      </c>
      <c r="B171" vm="503">
        <f ca="1"/>
        <v>45959</v>
      </c>
      <c r="C171" vm="504">
        <f ca="1"/>
        <v>155.1</v>
      </c>
      <c r="D171" vm="505">
        <f ca="1"/>
        <v>7344432</v>
      </c>
      <c r="E171">
        <f t="shared" ca="1" si="42"/>
        <v>1139121403.2</v>
      </c>
      <c r="F171">
        <f ca="1">SUM($E$2:E171)/SUM($D$2:D171)</f>
        <v>149.73773857755296</v>
      </c>
      <c r="G171">
        <f ca="1">_xlfn.STDEV.P($C$2:C171)</f>
        <v>8.8040857063392703</v>
      </c>
      <c r="H171">
        <f t="shared" ca="1" si="43"/>
        <v>158.54182428389223</v>
      </c>
      <c r="I171">
        <f t="shared" ca="1" si="44"/>
        <v>140.9336528712137</v>
      </c>
      <c r="J171">
        <f t="shared" ca="1" si="53"/>
        <v>153.59150000000002</v>
      </c>
      <c r="K171">
        <f t="shared" ca="1" si="54"/>
        <v>1.7892641092447963</v>
      </c>
      <c r="L171">
        <f t="shared" ca="1" si="55"/>
        <v>157.17002821848962</v>
      </c>
      <c r="M171">
        <f t="shared" ca="1" si="56"/>
        <v>150.01297178151043</v>
      </c>
      <c r="N171">
        <f t="shared" ca="1" si="45"/>
        <v>0.96999999999999886</v>
      </c>
      <c r="O171">
        <f t="shared" ca="1" si="46"/>
        <v>0.96999999999999886</v>
      </c>
      <c r="P171">
        <f t="shared" ca="1" si="47"/>
        <v>0</v>
      </c>
      <c r="Q171">
        <f t="shared" ca="1" si="51"/>
        <v>0.60108563379764934</v>
      </c>
      <c r="R171">
        <f t="shared" ca="1" si="52"/>
        <v>0.5668410442598032</v>
      </c>
      <c r="S171">
        <f t="shared" ca="1" si="49"/>
        <v>1.0604130379841561</v>
      </c>
      <c r="T171">
        <f t="shared" ca="1" si="50"/>
        <v>51.466041926313522</v>
      </c>
      <c r="U171">
        <f>70</f>
        <v>70</v>
      </c>
      <c r="V171">
        <f>30</f>
        <v>30</v>
      </c>
      <c r="W171">
        <f t="shared" ca="1" si="48"/>
        <v>154.52591187901081</v>
      </c>
      <c r="X171">
        <f t="shared" ca="1" si="58"/>
        <v>154.6391142139183</v>
      </c>
      <c r="Y171">
        <f t="shared" ca="1" si="57"/>
        <v>-0.18506065942236205</v>
      </c>
      <c r="Z171">
        <f t="shared" ca="1" si="59"/>
        <v>-0.39718690158700287</v>
      </c>
      <c r="AA171">
        <f t="shared" ca="1" si="60"/>
        <v>0.21212624216464082</v>
      </c>
      <c r="AB171">
        <f t="shared" ca="1" si="61"/>
        <v>153.1566</v>
      </c>
    </row>
    <row r="172" spans="1:28" x14ac:dyDescent="0.25">
      <c r="A172" s="20">
        <f t="shared" ca="1" si="41"/>
        <v>45957</v>
      </c>
      <c r="B172" vm="506">
        <f ca="1"/>
        <v>45960</v>
      </c>
      <c r="C172" vm="507">
        <f ca="1"/>
        <v>153.52000000000001</v>
      </c>
      <c r="D172" vm="508">
        <f ca="1"/>
        <v>8971226</v>
      </c>
      <c r="E172">
        <f t="shared" ca="1" si="42"/>
        <v>1377262615.52</v>
      </c>
      <c r="F172">
        <f ca="1">SUM($E$2:E172)/SUM($D$2:D172)</f>
        <v>149.75934443429315</v>
      </c>
      <c r="G172">
        <f ca="1">_xlfn.STDEV.P($C$2:C172)</f>
        <v>8.7818011385456582</v>
      </c>
      <c r="H172">
        <f t="shared" ca="1" si="43"/>
        <v>158.54114557283881</v>
      </c>
      <c r="I172">
        <f t="shared" ca="1" si="44"/>
        <v>140.97754329574749</v>
      </c>
      <c r="J172">
        <f t="shared" ca="1" si="53"/>
        <v>153.59900000000002</v>
      </c>
      <c r="K172">
        <f t="shared" ca="1" si="54"/>
        <v>1.7886010410962312</v>
      </c>
      <c r="L172">
        <f t="shared" ca="1" si="55"/>
        <v>157.17620208219248</v>
      </c>
      <c r="M172">
        <f t="shared" ca="1" si="56"/>
        <v>150.02179791780756</v>
      </c>
      <c r="N172">
        <f t="shared" ca="1" si="45"/>
        <v>-1.5799999999999841</v>
      </c>
      <c r="O172">
        <f t="shared" ca="1" si="46"/>
        <v>0</v>
      </c>
      <c r="P172">
        <f t="shared" ca="1" si="47"/>
        <v>1.5799999999999841</v>
      </c>
      <c r="Q172">
        <f t="shared" ca="1" si="51"/>
        <v>0.55815094566924583</v>
      </c>
      <c r="R172">
        <f t="shared" ca="1" si="52"/>
        <v>0.63920954109838757</v>
      </c>
      <c r="S172">
        <f t="shared" ca="1" si="49"/>
        <v>0.87318932178350395</v>
      </c>
      <c r="T172">
        <f t="shared" ca="1" si="50"/>
        <v>46.615113145750882</v>
      </c>
      <c r="U172">
        <f>70</f>
        <v>70</v>
      </c>
      <c r="V172">
        <f>30</f>
        <v>30</v>
      </c>
      <c r="W172">
        <f t="shared" ca="1" si="48"/>
        <v>154.37115620531682</v>
      </c>
      <c r="X172">
        <f t="shared" ca="1" si="58"/>
        <v>154.55621686473918</v>
      </c>
      <c r="Y172">
        <f t="shared" ca="1" si="57"/>
        <v>9.5791771905567202E-2</v>
      </c>
      <c r="Z172">
        <f t="shared" ca="1" si="59"/>
        <v>-0.29859116688848886</v>
      </c>
      <c r="AA172">
        <f t="shared" ca="1" si="60"/>
        <v>0.39438293879405606</v>
      </c>
      <c r="AB172">
        <f t="shared" ca="1" si="61"/>
        <v>153.2842</v>
      </c>
    </row>
    <row r="173" spans="1:28" x14ac:dyDescent="0.25">
      <c r="A173" s="20">
        <f t="shared" ca="1" si="41"/>
        <v>45957</v>
      </c>
      <c r="B173" vm="509">
        <f ca="1"/>
        <v>45961</v>
      </c>
      <c r="C173" vm="510">
        <f ca="1"/>
        <v>157.72</v>
      </c>
      <c r="D173" vm="511">
        <f ca="1"/>
        <v>11136109</v>
      </c>
      <c r="E173">
        <f t="shared" ca="1" si="42"/>
        <v>1756387111.48</v>
      </c>
      <c r="F173">
        <f ca="1">SUM($E$2:E173)/SUM($D$2:D173)</f>
        <v>149.8153952303276</v>
      </c>
      <c r="G173">
        <f ca="1">_xlfn.STDEV.P($C$2:C173)</f>
        <v>8.7744402599832014</v>
      </c>
      <c r="H173">
        <f t="shared" ca="1" si="43"/>
        <v>158.5898354903108</v>
      </c>
      <c r="I173">
        <f t="shared" ca="1" si="44"/>
        <v>141.04095497034439</v>
      </c>
      <c r="J173">
        <f t="shared" ca="1" si="53"/>
        <v>153.8075</v>
      </c>
      <c r="K173">
        <f t="shared" ca="1" si="54"/>
        <v>2.0117232073915861</v>
      </c>
      <c r="L173">
        <f t="shared" ca="1" si="55"/>
        <v>157.83094641478317</v>
      </c>
      <c r="M173">
        <f t="shared" ca="1" si="56"/>
        <v>149.78405358521684</v>
      </c>
      <c r="N173">
        <f t="shared" ca="1" si="45"/>
        <v>4.1999999999999886</v>
      </c>
      <c r="O173">
        <f t="shared" ca="1" si="46"/>
        <v>4.1999999999999886</v>
      </c>
      <c r="P173">
        <f t="shared" ca="1" si="47"/>
        <v>0</v>
      </c>
      <c r="Q173">
        <f t="shared" ca="1" si="51"/>
        <v>0.81828302097858463</v>
      </c>
      <c r="R173">
        <f t="shared" ca="1" si="52"/>
        <v>0.59355171673421714</v>
      </c>
      <c r="S173">
        <f t="shared" ca="1" si="49"/>
        <v>1.3786212690628921</v>
      </c>
      <c r="T173">
        <f t="shared" ca="1" si="50"/>
        <v>57.95883888678204</v>
      </c>
      <c r="U173">
        <f>70</f>
        <v>70</v>
      </c>
      <c r="V173">
        <f>30</f>
        <v>30</v>
      </c>
      <c r="W173">
        <f t="shared" ca="1" si="48"/>
        <v>154.88636294296037</v>
      </c>
      <c r="X173">
        <f t="shared" ca="1" si="58"/>
        <v>154.79057117105481</v>
      </c>
      <c r="Y173">
        <f t="shared" ca="1" si="57"/>
        <v>2.1179952895778342E-2</v>
      </c>
      <c r="Z173">
        <f t="shared" ca="1" si="59"/>
        <v>-0.23463694293163542</v>
      </c>
      <c r="AA173">
        <f t="shared" ca="1" si="60"/>
        <v>0.25581689582741374</v>
      </c>
      <c r="AB173">
        <f t="shared" ca="1" si="61"/>
        <v>153.42789999999999</v>
      </c>
    </row>
    <row r="174" spans="1:28" x14ac:dyDescent="0.25">
      <c r="A174" s="20">
        <f t="shared" ca="1" si="41"/>
        <v>45964</v>
      </c>
      <c r="B174" vm="512">
        <f ca="1"/>
        <v>45964</v>
      </c>
      <c r="C174" vm="513">
        <f ca="1"/>
        <v>154.04</v>
      </c>
      <c r="D174" vm="514">
        <f ca="1"/>
        <v>8512209</v>
      </c>
      <c r="E174">
        <f t="shared" ca="1" si="42"/>
        <v>1311220674.3599999</v>
      </c>
      <c r="F174">
        <f ca="1">SUM($E$2:E174)/SUM($D$2:D174)</f>
        <v>149.83801023835295</v>
      </c>
      <c r="G174">
        <f ca="1">_xlfn.STDEV.P($C$2:C174)</f>
        <v>8.7535568881679957</v>
      </c>
      <c r="H174">
        <f t="shared" ca="1" si="43"/>
        <v>158.59156712652094</v>
      </c>
      <c r="I174">
        <f t="shared" ca="1" si="44"/>
        <v>141.08445335018496</v>
      </c>
      <c r="J174">
        <f t="shared" ca="1" si="53"/>
        <v>153.80849999999998</v>
      </c>
      <c r="K174">
        <f t="shared" ca="1" si="54"/>
        <v>2.011839365252341</v>
      </c>
      <c r="L174">
        <f t="shared" ca="1" si="55"/>
        <v>157.83217873050467</v>
      </c>
      <c r="M174">
        <f t="shared" ca="1" si="56"/>
        <v>149.7848212694953</v>
      </c>
      <c r="N174">
        <f t="shared" ca="1" si="45"/>
        <v>-3.6800000000000068</v>
      </c>
      <c r="O174">
        <f t="shared" ca="1" si="46"/>
        <v>0</v>
      </c>
      <c r="P174">
        <f t="shared" ca="1" si="47"/>
        <v>3.6800000000000068</v>
      </c>
      <c r="Q174">
        <f t="shared" ca="1" si="51"/>
        <v>0.75983423376582859</v>
      </c>
      <c r="R174">
        <f t="shared" ca="1" si="52"/>
        <v>0.8140123083960592</v>
      </c>
      <c r="S174">
        <f t="shared" ca="1" si="49"/>
        <v>0.93344317515667075</v>
      </c>
      <c r="T174">
        <f t="shared" ca="1" si="50"/>
        <v>48.278800595266112</v>
      </c>
      <c r="U174">
        <f>70</f>
        <v>70</v>
      </c>
      <c r="V174">
        <f>30</f>
        <v>30</v>
      </c>
      <c r="W174">
        <f t="shared" ca="1" si="48"/>
        <v>154.756153259428</v>
      </c>
      <c r="X174">
        <f t="shared" ca="1" si="58"/>
        <v>154.73497330653223</v>
      </c>
      <c r="Y174">
        <f t="shared" ca="1" si="57"/>
        <v>-8.936981929588228E-2</v>
      </c>
      <c r="Z174">
        <f t="shared" ca="1" si="59"/>
        <v>-0.20558351820448478</v>
      </c>
      <c r="AA174">
        <f t="shared" ca="1" si="60"/>
        <v>0.1162136989086025</v>
      </c>
      <c r="AB174">
        <f t="shared" ca="1" si="61"/>
        <v>153.5205</v>
      </c>
    </row>
    <row r="175" spans="1:28" x14ac:dyDescent="0.25">
      <c r="A175" s="20">
        <f t="shared" ca="1" si="41"/>
        <v>45964</v>
      </c>
      <c r="B175" vm="515">
        <f ca="1"/>
        <v>45965</v>
      </c>
      <c r="C175" vm="516">
        <f ca="1"/>
        <v>153.38999999999999</v>
      </c>
      <c r="D175" vm="517">
        <f ca="1"/>
        <v>6976838</v>
      </c>
      <c r="E175">
        <f t="shared" ca="1" si="42"/>
        <v>1070177180.8199999</v>
      </c>
      <c r="F175">
        <f ca="1">SUM($E$2:E175)/SUM($D$2:D175)</f>
        <v>149.85352686765304</v>
      </c>
      <c r="G175">
        <f ca="1">_xlfn.STDEV.P($C$2:C175)</f>
        <v>8.7313832202934574</v>
      </c>
      <c r="H175">
        <f t="shared" ca="1" si="43"/>
        <v>158.5849100879465</v>
      </c>
      <c r="I175">
        <f t="shared" ca="1" si="44"/>
        <v>141.12214364735959</v>
      </c>
      <c r="J175">
        <f t="shared" ca="1" si="53"/>
        <v>153.73249999999999</v>
      </c>
      <c r="K175">
        <f t="shared" ca="1" si="54"/>
        <v>1.9966916716355938</v>
      </c>
      <c r="L175">
        <f t="shared" ca="1" si="55"/>
        <v>157.72588334327116</v>
      </c>
      <c r="M175">
        <f t="shared" ca="1" si="56"/>
        <v>149.73911665672881</v>
      </c>
      <c r="N175">
        <f t="shared" ca="1" si="45"/>
        <v>-0.65000000000000568</v>
      </c>
      <c r="O175">
        <f t="shared" ca="1" si="46"/>
        <v>0</v>
      </c>
      <c r="P175">
        <f t="shared" ca="1" si="47"/>
        <v>0.65000000000000568</v>
      </c>
      <c r="Q175">
        <f t="shared" ca="1" si="51"/>
        <v>0.70556035992541233</v>
      </c>
      <c r="R175">
        <f t="shared" ca="1" si="52"/>
        <v>0.80229714351062675</v>
      </c>
      <c r="S175">
        <f t="shared" ca="1" si="49"/>
        <v>0.87942524242087983</v>
      </c>
      <c r="T175">
        <f t="shared" ca="1" si="50"/>
        <v>46.792243850470783</v>
      </c>
      <c r="U175">
        <f>70</f>
        <v>70</v>
      </c>
      <c r="V175">
        <f>30</f>
        <v>30</v>
      </c>
      <c r="W175">
        <f t="shared" ca="1" si="48"/>
        <v>154.54597583490062</v>
      </c>
      <c r="X175">
        <f t="shared" ca="1" si="58"/>
        <v>154.6353456541965</v>
      </c>
      <c r="Y175">
        <f t="shared" ca="1" si="57"/>
        <v>-0.23319804743127293</v>
      </c>
      <c r="Z175">
        <f t="shared" ca="1" si="59"/>
        <v>-0.21110642404984242</v>
      </c>
      <c r="AA175">
        <f t="shared" ca="1" si="60"/>
        <v>-2.2091623381430503E-2</v>
      </c>
      <c r="AB175">
        <f t="shared" ca="1" si="61"/>
        <v>153.60469999999998</v>
      </c>
    </row>
    <row r="176" spans="1:28" x14ac:dyDescent="0.25">
      <c r="A176" s="20">
        <f t="shared" ca="1" si="41"/>
        <v>45964</v>
      </c>
      <c r="B176" vm="518">
        <f ca="1"/>
        <v>45966</v>
      </c>
      <c r="C176" vm="519">
        <f ca="1"/>
        <v>152.66</v>
      </c>
      <c r="D176" vm="520">
        <f ca="1"/>
        <v>5894721</v>
      </c>
      <c r="E176">
        <f t="shared" ca="1" si="42"/>
        <v>899888107.86000001</v>
      </c>
      <c r="F176">
        <f ca="1">SUM($E$2:E176)/SUM($D$2:D176)</f>
        <v>149.86384714110224</v>
      </c>
      <c r="G176">
        <f ca="1">_xlfn.STDEV.P($C$2:C176)</f>
        <v>8.7081093709442214</v>
      </c>
      <c r="H176">
        <f t="shared" ca="1" si="43"/>
        <v>158.57195651204646</v>
      </c>
      <c r="I176">
        <f t="shared" ca="1" si="44"/>
        <v>141.15573777015803</v>
      </c>
      <c r="J176">
        <f t="shared" ca="1" si="53"/>
        <v>153.67849999999996</v>
      </c>
      <c r="K176">
        <f t="shared" ca="1" si="54"/>
        <v>2.0110308301962943</v>
      </c>
      <c r="L176">
        <f t="shared" ca="1" si="55"/>
        <v>157.70056166039254</v>
      </c>
      <c r="M176">
        <f t="shared" ca="1" si="56"/>
        <v>149.65643833960738</v>
      </c>
      <c r="N176">
        <f t="shared" ca="1" si="45"/>
        <v>-0.72999999999998977</v>
      </c>
      <c r="O176">
        <f t="shared" ca="1" si="46"/>
        <v>0</v>
      </c>
      <c r="P176">
        <f t="shared" ca="1" si="47"/>
        <v>0.72999999999998977</v>
      </c>
      <c r="Q176">
        <f t="shared" ca="1" si="51"/>
        <v>0.65516319135931145</v>
      </c>
      <c r="R176">
        <f t="shared" ca="1" si="52"/>
        <v>0.79713306183129551</v>
      </c>
      <c r="S176">
        <f t="shared" ca="1" si="49"/>
        <v>0.82189940767752223</v>
      </c>
      <c r="T176">
        <f t="shared" ca="1" si="50"/>
        <v>45.112227613336984</v>
      </c>
      <c r="U176">
        <f>70</f>
        <v>70</v>
      </c>
      <c r="V176">
        <f>30</f>
        <v>30</v>
      </c>
      <c r="W176">
        <f t="shared" ca="1" si="48"/>
        <v>154.25582570645437</v>
      </c>
      <c r="X176">
        <f t="shared" ca="1" si="58"/>
        <v>154.48902375388565</v>
      </c>
      <c r="Y176">
        <f t="shared" ca="1" si="57"/>
        <v>-0.32089027121335789</v>
      </c>
      <c r="Z176">
        <f t="shared" ca="1" si="59"/>
        <v>-0.23306319348254551</v>
      </c>
      <c r="AA176">
        <f t="shared" ca="1" si="60"/>
        <v>-8.7827077730812386E-2</v>
      </c>
      <c r="AB176">
        <f t="shared" ca="1" si="61"/>
        <v>153.67219999999998</v>
      </c>
    </row>
    <row r="177" spans="1:28" x14ac:dyDescent="0.25">
      <c r="A177" s="20">
        <f t="shared" ca="1" si="41"/>
        <v>45964</v>
      </c>
      <c r="B177" vm="521">
        <f ca="1"/>
        <v>45967</v>
      </c>
      <c r="C177" vm="522">
        <f ca="1"/>
        <v>152.94</v>
      </c>
      <c r="D177" vm="523">
        <f ca="1"/>
        <v>6466257</v>
      </c>
      <c r="E177">
        <f t="shared" ca="1" si="42"/>
        <v>988949345.58000004</v>
      </c>
      <c r="F177">
        <f ca="1">SUM($E$2:E177)/SUM($D$2:D177)</f>
        <v>149.87620603430142</v>
      </c>
      <c r="G177">
        <f ca="1">_xlfn.STDEV.P($C$2:C177)</f>
        <v>8.6854592614694042</v>
      </c>
      <c r="H177">
        <f t="shared" ca="1" si="43"/>
        <v>158.56166529577081</v>
      </c>
      <c r="I177">
        <f t="shared" ca="1" si="44"/>
        <v>141.19074677283203</v>
      </c>
      <c r="J177">
        <f t="shared" ca="1" si="53"/>
        <v>153.74349999999998</v>
      </c>
      <c r="K177">
        <f t="shared" ca="1" si="54"/>
        <v>1.9620887768959503</v>
      </c>
      <c r="L177">
        <f t="shared" ca="1" si="55"/>
        <v>157.66767755379189</v>
      </c>
      <c r="M177">
        <f t="shared" ca="1" si="56"/>
        <v>149.81932244620808</v>
      </c>
      <c r="N177">
        <f t="shared" ca="1" si="45"/>
        <v>0.28000000000000114</v>
      </c>
      <c r="O177">
        <f t="shared" ca="1" si="46"/>
        <v>0.28000000000000114</v>
      </c>
      <c r="P177">
        <f t="shared" ca="1" si="47"/>
        <v>0</v>
      </c>
      <c r="Q177">
        <f t="shared" ca="1" si="51"/>
        <v>0.62836582054793211</v>
      </c>
      <c r="R177">
        <f t="shared" ca="1" si="52"/>
        <v>0.74019498598620292</v>
      </c>
      <c r="S177">
        <f t="shared" ca="1" si="49"/>
        <v>0.84891931510549934</v>
      </c>
      <c r="T177">
        <f t="shared" ca="1" si="50"/>
        <v>45.914351598250249</v>
      </c>
      <c r="U177">
        <f>70</f>
        <v>70</v>
      </c>
      <c r="V177">
        <f>30</f>
        <v>30</v>
      </c>
      <c r="W177">
        <f t="shared" ca="1" si="48"/>
        <v>154.05339098238446</v>
      </c>
      <c r="X177">
        <f t="shared" ca="1" si="58"/>
        <v>154.37428125359781</v>
      </c>
      <c r="Y177">
        <f t="shared" ca="1" si="57"/>
        <v>-0.2200122098322197</v>
      </c>
      <c r="Z177">
        <f t="shared" ca="1" si="59"/>
        <v>-0.23045299675248038</v>
      </c>
      <c r="AA177">
        <f t="shared" ca="1" si="60"/>
        <v>1.0440786920260681E-2</v>
      </c>
      <c r="AB177">
        <f t="shared" ca="1" si="61"/>
        <v>153.7413</v>
      </c>
    </row>
    <row r="178" spans="1:28" x14ac:dyDescent="0.25">
      <c r="A178" s="20">
        <f t="shared" ca="1" si="41"/>
        <v>45964</v>
      </c>
      <c r="B178" vm="524">
        <f ca="1"/>
        <v>45968</v>
      </c>
      <c r="C178" vm="525">
        <f ca="1"/>
        <v>155.02000000000001</v>
      </c>
      <c r="D178" vm="526">
        <f ca="1"/>
        <v>9835929</v>
      </c>
      <c r="E178">
        <f t="shared" ca="1" si="42"/>
        <v>1524765713.5800002</v>
      </c>
      <c r="F178">
        <f ca="1">SUM($E$2:E178)/SUM($D$2:D178)</f>
        <v>149.90745039373908</v>
      </c>
      <c r="G178">
        <f ca="1">_xlfn.STDEV.P($C$2:C178)</f>
        <v>8.6678116860125467</v>
      </c>
      <c r="H178">
        <f t="shared" ca="1" si="43"/>
        <v>158.57526207975164</v>
      </c>
      <c r="I178">
        <f t="shared" ca="1" si="44"/>
        <v>141.23963870772653</v>
      </c>
      <c r="J178">
        <f t="shared" ca="1" si="53"/>
        <v>154.04949999999997</v>
      </c>
      <c r="K178">
        <f t="shared" ca="1" si="54"/>
        <v>1.6131579848888096</v>
      </c>
      <c r="L178">
        <f t="shared" ca="1" si="55"/>
        <v>157.2758159697776</v>
      </c>
      <c r="M178">
        <f t="shared" ca="1" si="56"/>
        <v>150.82318403022234</v>
      </c>
      <c r="N178">
        <f t="shared" ca="1" si="45"/>
        <v>2.0800000000000125</v>
      </c>
      <c r="O178">
        <f t="shared" ca="1" si="46"/>
        <v>2.0800000000000125</v>
      </c>
      <c r="P178">
        <f t="shared" ca="1" si="47"/>
        <v>0</v>
      </c>
      <c r="Q178">
        <f t="shared" ca="1" si="51"/>
        <v>0.73205397622308066</v>
      </c>
      <c r="R178">
        <f t="shared" ca="1" si="52"/>
        <v>0.68732391555861694</v>
      </c>
      <c r="S178">
        <f t="shared" ca="1" si="49"/>
        <v>1.0650785745293174</v>
      </c>
      <c r="T178">
        <f t="shared" ca="1" si="50"/>
        <v>51.57569245383678</v>
      </c>
      <c r="U178">
        <f>70</f>
        <v>70</v>
      </c>
      <c r="V178">
        <f>30</f>
        <v>30</v>
      </c>
      <c r="W178">
        <f t="shared" ca="1" si="48"/>
        <v>154.20210006201762</v>
      </c>
      <c r="X178">
        <f t="shared" ca="1" si="58"/>
        <v>154.42211227184984</v>
      </c>
      <c r="Y178">
        <f t="shared" ca="1" si="57"/>
        <v>-8.8213019749161958E-2</v>
      </c>
      <c r="Z178">
        <f t="shared" ca="1" si="59"/>
        <v>-0.2020050013518167</v>
      </c>
      <c r="AA178">
        <f t="shared" ca="1" si="60"/>
        <v>0.11379198160265475</v>
      </c>
      <c r="AB178">
        <f t="shared" ca="1" si="61"/>
        <v>153.803</v>
      </c>
    </row>
    <row r="179" spans="1:28" x14ac:dyDescent="0.25">
      <c r="A179" s="20">
        <f t="shared" ca="1" si="41"/>
        <v>45971</v>
      </c>
      <c r="B179" vm="527">
        <f ca="1"/>
        <v>45971</v>
      </c>
      <c r="C179" vm="528">
        <f ca="1"/>
        <v>155.65</v>
      </c>
      <c r="D179" vm="529">
        <f ca="1"/>
        <v>8436797</v>
      </c>
      <c r="E179">
        <f t="shared" ca="1" si="42"/>
        <v>1313187453.05</v>
      </c>
      <c r="F179">
        <f ca="1">SUM($E$2:E179)/SUM($D$2:D179)</f>
        <v>149.93721486452287</v>
      </c>
      <c r="G179">
        <f ca="1">_xlfn.STDEV.P($C$2:C179)</f>
        <v>8.6522469037469456</v>
      </c>
      <c r="H179">
        <f t="shared" ca="1" si="43"/>
        <v>158.58946176826981</v>
      </c>
      <c r="I179">
        <f t="shared" ca="1" si="44"/>
        <v>141.28496796077593</v>
      </c>
      <c r="J179">
        <f t="shared" ca="1" si="53"/>
        <v>154.23499999999996</v>
      </c>
      <c r="K179">
        <f t="shared" ca="1" si="54"/>
        <v>1.5705630904400594</v>
      </c>
      <c r="L179">
        <f t="shared" ca="1" si="55"/>
        <v>157.37612618088008</v>
      </c>
      <c r="M179">
        <f t="shared" ca="1" si="56"/>
        <v>151.09387381911984</v>
      </c>
      <c r="N179">
        <f t="shared" ca="1" si="45"/>
        <v>0.62999999999999545</v>
      </c>
      <c r="O179">
        <f t="shared" ca="1" si="46"/>
        <v>0.62999999999999545</v>
      </c>
      <c r="P179">
        <f t="shared" ca="1" si="47"/>
        <v>0</v>
      </c>
      <c r="Q179">
        <f t="shared" ca="1" si="51"/>
        <v>0.72476440649286034</v>
      </c>
      <c r="R179">
        <f t="shared" ca="1" si="52"/>
        <v>0.63822935016157278</v>
      </c>
      <c r="S179">
        <f t="shared" ca="1" si="49"/>
        <v>1.1355861436165235</v>
      </c>
      <c r="T179">
        <f t="shared" ca="1" si="50"/>
        <v>53.17444800861356</v>
      </c>
      <c r="U179">
        <f>70</f>
        <v>70</v>
      </c>
      <c r="V179">
        <f>30</f>
        <v>30</v>
      </c>
      <c r="W179">
        <f t="shared" ca="1" si="48"/>
        <v>154.42485389863032</v>
      </c>
      <c r="X179">
        <f t="shared" ca="1" si="58"/>
        <v>154.51306691837948</v>
      </c>
      <c r="Y179">
        <f t="shared" ca="1" si="57"/>
        <v>6.3119257606473411E-2</v>
      </c>
      <c r="Z179">
        <f t="shared" ca="1" si="59"/>
        <v>-0.14898014956015868</v>
      </c>
      <c r="AA179">
        <f t="shared" ca="1" si="60"/>
        <v>0.21209940716663209</v>
      </c>
      <c r="AB179">
        <f t="shared" ca="1" si="61"/>
        <v>153.8776</v>
      </c>
    </row>
    <row r="180" spans="1:28" x14ac:dyDescent="0.25">
      <c r="A180" s="20">
        <f t="shared" ca="1" si="41"/>
        <v>45971</v>
      </c>
      <c r="B180" vm="530">
        <f ca="1"/>
        <v>45972</v>
      </c>
      <c r="C180" vm="531">
        <f ca="1"/>
        <v>156.24</v>
      </c>
      <c r="D180" vm="532">
        <f ca="1"/>
        <v>6361426</v>
      </c>
      <c r="E180">
        <f t="shared" ca="1" si="42"/>
        <v>993909198.24000001</v>
      </c>
      <c r="F180">
        <f ca="1">SUM($E$2:E180)/SUM($D$2:D180)</f>
        <v>149.96175114996993</v>
      </c>
      <c r="G180">
        <f ca="1">_xlfn.STDEV.P($C$2:C180)</f>
        <v>8.6388137531551301</v>
      </c>
      <c r="H180">
        <f t="shared" ca="1" si="43"/>
        <v>158.60056490312505</v>
      </c>
      <c r="I180">
        <f t="shared" ca="1" si="44"/>
        <v>141.32293739681481</v>
      </c>
      <c r="J180">
        <f t="shared" ca="1" si="53"/>
        <v>154.42750000000001</v>
      </c>
      <c r="K180">
        <f t="shared" ca="1" si="54"/>
        <v>1.5684651397901197</v>
      </c>
      <c r="L180">
        <f t="shared" ca="1" si="55"/>
        <v>157.56443027958025</v>
      </c>
      <c r="M180">
        <f t="shared" ca="1" si="56"/>
        <v>151.29056972041977</v>
      </c>
      <c r="N180">
        <f t="shared" ca="1" si="45"/>
        <v>0.59000000000000341</v>
      </c>
      <c r="O180">
        <f t="shared" ca="1" si="46"/>
        <v>0.59000000000000341</v>
      </c>
      <c r="P180">
        <f t="shared" ca="1" si="47"/>
        <v>0</v>
      </c>
      <c r="Q180">
        <f t="shared" ca="1" si="51"/>
        <v>0.71513837745765618</v>
      </c>
      <c r="R180">
        <f t="shared" ca="1" si="52"/>
        <v>0.59264153943574616</v>
      </c>
      <c r="S180">
        <f t="shared" ca="1" si="49"/>
        <v>1.2066963414993475</v>
      </c>
      <c r="T180">
        <f t="shared" ca="1" si="50"/>
        <v>54.683388865341279</v>
      </c>
      <c r="U180">
        <f>70</f>
        <v>70</v>
      </c>
      <c r="V180">
        <f>30</f>
        <v>30</v>
      </c>
      <c r="W180">
        <f t="shared" ca="1" si="48"/>
        <v>154.70410714499488</v>
      </c>
      <c r="X180">
        <f t="shared" ca="1" si="58"/>
        <v>154.64098788738841</v>
      </c>
      <c r="Y180">
        <f t="shared" ca="1" si="57"/>
        <v>-5.1969348540580995E-2</v>
      </c>
      <c r="Z180">
        <f t="shared" ca="1" si="59"/>
        <v>-0.12957798935624315</v>
      </c>
      <c r="AA180">
        <f t="shared" ca="1" si="60"/>
        <v>7.7608640815662155E-2</v>
      </c>
      <c r="AB180">
        <f t="shared" ca="1" si="61"/>
        <v>153.94449999999998</v>
      </c>
    </row>
    <row r="181" spans="1:28" x14ac:dyDescent="0.25">
      <c r="A181" s="20">
        <f t="shared" ca="1" si="41"/>
        <v>45971</v>
      </c>
      <c r="B181" vm="533">
        <f ca="1"/>
        <v>45973</v>
      </c>
      <c r="C181" vm="534">
        <f ca="1"/>
        <v>153.32</v>
      </c>
      <c r="D181" vm="535">
        <f ca="1"/>
        <v>11670947</v>
      </c>
      <c r="E181">
        <f t="shared" ca="1" si="42"/>
        <v>1789389594.04</v>
      </c>
      <c r="F181">
        <f ca="1">SUM($E$2:E181)/SUM($D$2:D181)</f>
        <v>149.9855661200726</v>
      </c>
      <c r="G181">
        <f ca="1">_xlfn.STDEV.P($C$2:C181)</f>
        <v>8.6173569912956562</v>
      </c>
      <c r="H181">
        <f t="shared" ca="1" si="43"/>
        <v>158.60292311136826</v>
      </c>
      <c r="I181">
        <f t="shared" ca="1" si="44"/>
        <v>141.36820912877695</v>
      </c>
      <c r="J181">
        <f t="shared" ca="1" si="53"/>
        <v>154.488</v>
      </c>
      <c r="K181">
        <f t="shared" ca="1" si="54"/>
        <v>1.4960319444942911</v>
      </c>
      <c r="L181">
        <f t="shared" ca="1" si="55"/>
        <v>157.48006388898858</v>
      </c>
      <c r="M181">
        <f t="shared" ca="1" si="56"/>
        <v>151.49593611101142</v>
      </c>
      <c r="N181">
        <f t="shared" ca="1" si="45"/>
        <v>-2.9200000000000159</v>
      </c>
      <c r="O181">
        <f t="shared" ca="1" si="46"/>
        <v>0</v>
      </c>
      <c r="P181">
        <f t="shared" ca="1" si="47"/>
        <v>2.9200000000000159</v>
      </c>
      <c r="Q181">
        <f t="shared" ca="1" si="51"/>
        <v>0.66405706478210924</v>
      </c>
      <c r="R181">
        <f t="shared" ca="1" si="52"/>
        <v>0.75888142947605108</v>
      </c>
      <c r="S181">
        <f t="shared" ca="1" si="49"/>
        <v>0.87504719313080215</v>
      </c>
      <c r="T181">
        <f t="shared" ca="1" si="50"/>
        <v>46.668009015267458</v>
      </c>
      <c r="U181">
        <f>70</f>
        <v>70</v>
      </c>
      <c r="V181">
        <f>30</f>
        <v>30</v>
      </c>
      <c r="W181">
        <f t="shared" ca="1" si="48"/>
        <v>154.49116758422645</v>
      </c>
      <c r="X181">
        <f t="shared" ca="1" si="58"/>
        <v>154.54313693276703</v>
      </c>
      <c r="Y181">
        <f t="shared" ca="1" si="57"/>
        <v>3.8738659162277145E-2</v>
      </c>
      <c r="Z181">
        <f t="shared" ca="1" si="59"/>
        <v>-9.5914659652539092E-2</v>
      </c>
      <c r="AA181">
        <f t="shared" ca="1" si="60"/>
        <v>0.13465331881481624</v>
      </c>
      <c r="AB181">
        <f t="shared" ca="1" si="61"/>
        <v>154.00909999999999</v>
      </c>
    </row>
    <row r="182" spans="1:28" x14ac:dyDescent="0.25">
      <c r="A182" s="20">
        <f t="shared" ca="1" si="41"/>
        <v>45971</v>
      </c>
      <c r="B182" vm="536">
        <f ca="1"/>
        <v>45974</v>
      </c>
      <c r="C182" vm="537">
        <f ca="1"/>
        <v>155.58000000000001</v>
      </c>
      <c r="D182" vm="538">
        <f ca="1"/>
        <v>7998740</v>
      </c>
      <c r="E182">
        <f t="shared" ca="1" si="42"/>
        <v>1244443969.2</v>
      </c>
      <c r="F182">
        <f ca="1">SUM($E$2:E182)/SUM($D$2:D182)</f>
        <v>150.01262458511854</v>
      </c>
      <c r="G182">
        <f ca="1">_xlfn.STDEV.P($C$2:C182)</f>
        <v>8.6017565084153755</v>
      </c>
      <c r="H182">
        <f t="shared" ca="1" si="43"/>
        <v>158.61438109353392</v>
      </c>
      <c r="I182">
        <f t="shared" ca="1" si="44"/>
        <v>141.41086807670317</v>
      </c>
      <c r="J182">
        <f t="shared" ca="1" si="53"/>
        <v>154.68149999999997</v>
      </c>
      <c r="K182">
        <f t="shared" ca="1" si="54"/>
        <v>1.3620892427675815</v>
      </c>
      <c r="L182">
        <f t="shared" ca="1" si="55"/>
        <v>157.40567848553513</v>
      </c>
      <c r="M182">
        <f t="shared" ca="1" si="56"/>
        <v>151.95732151446481</v>
      </c>
      <c r="N182">
        <f t="shared" ca="1" si="45"/>
        <v>2.2600000000000193</v>
      </c>
      <c r="O182">
        <f t="shared" ca="1" si="46"/>
        <v>2.2600000000000193</v>
      </c>
      <c r="P182">
        <f t="shared" ca="1" si="47"/>
        <v>0</v>
      </c>
      <c r="Q182">
        <f t="shared" ca="1" si="51"/>
        <v>0.77805298872624562</v>
      </c>
      <c r="R182">
        <f t="shared" ca="1" si="52"/>
        <v>0.70467561308490456</v>
      </c>
      <c r="S182">
        <f t="shared" ca="1" si="49"/>
        <v>1.1041292962021378</v>
      </c>
      <c r="T182">
        <f t="shared" ca="1" si="50"/>
        <v>52.474403459665872</v>
      </c>
      <c r="U182">
        <f>70</f>
        <v>70</v>
      </c>
      <c r="V182">
        <f>30</f>
        <v>30</v>
      </c>
      <c r="W182">
        <f t="shared" ca="1" si="48"/>
        <v>154.6586802635762</v>
      </c>
      <c r="X182">
        <f t="shared" ca="1" si="58"/>
        <v>154.61994160441392</v>
      </c>
      <c r="Y182">
        <f t="shared" ca="1" si="57"/>
        <v>0.27209976309859485</v>
      </c>
      <c r="Z182">
        <f t="shared" ca="1" si="59"/>
        <v>-2.231177510231231E-2</v>
      </c>
      <c r="AA182">
        <f t="shared" ca="1" si="60"/>
        <v>0.29441153820090715</v>
      </c>
      <c r="AB182">
        <f t="shared" ca="1" si="61"/>
        <v>154.12939999999998</v>
      </c>
    </row>
    <row r="183" spans="1:28" x14ac:dyDescent="0.25">
      <c r="A183" s="20">
        <f t="shared" ca="1" si="41"/>
        <v>45971</v>
      </c>
      <c r="B183" vm="539">
        <f ca="1"/>
        <v>45975</v>
      </c>
      <c r="C183" vm="540">
        <f ca="1"/>
        <v>157.62</v>
      </c>
      <c r="D183" vm="541">
        <f ca="1"/>
        <v>8484812</v>
      </c>
      <c r="E183">
        <f t="shared" ca="1" si="42"/>
        <v>1337376067.4400001</v>
      </c>
      <c r="F183">
        <f ca="1">SUM($E$2:E183)/SUM($D$2:D183)</f>
        <v>150.0514557135696</v>
      </c>
      <c r="G183">
        <f ca="1">_xlfn.STDEV.P($C$2:C183)</f>
        <v>8.5940854543765148</v>
      </c>
      <c r="H183">
        <f t="shared" ca="1" si="43"/>
        <v>158.64554116794611</v>
      </c>
      <c r="I183">
        <f t="shared" ca="1" si="44"/>
        <v>141.45737025919308</v>
      </c>
      <c r="J183">
        <f t="shared" ca="1" si="53"/>
        <v>154.90849999999998</v>
      </c>
      <c r="K183">
        <f t="shared" ca="1" si="54"/>
        <v>1.4562000838519877</v>
      </c>
      <c r="L183">
        <f t="shared" ca="1" si="55"/>
        <v>157.82090016770394</v>
      </c>
      <c r="M183">
        <f t="shared" ca="1" si="56"/>
        <v>151.99609983229601</v>
      </c>
      <c r="N183">
        <f t="shared" ca="1" si="45"/>
        <v>2.039999999999992</v>
      </c>
      <c r="O183">
        <f t="shared" ca="1" si="46"/>
        <v>2.039999999999992</v>
      </c>
      <c r="P183">
        <f t="shared" ca="1" si="47"/>
        <v>0</v>
      </c>
      <c r="Q183">
        <f t="shared" ca="1" si="51"/>
        <v>0.86819206096008461</v>
      </c>
      <c r="R183">
        <f t="shared" ca="1" si="52"/>
        <v>0.6543416407216972</v>
      </c>
      <c r="S183">
        <f t="shared" ca="1" si="49"/>
        <v>1.326817685028457</v>
      </c>
      <c r="T183">
        <f t="shared" ca="1" si="50"/>
        <v>57.022846850686115</v>
      </c>
      <c r="U183">
        <f>70</f>
        <v>70</v>
      </c>
      <c r="V183">
        <f>30</f>
        <v>30</v>
      </c>
      <c r="W183">
        <f t="shared" ca="1" si="48"/>
        <v>155.1142679153337</v>
      </c>
      <c r="X183">
        <f t="shared" ca="1" si="58"/>
        <v>154.8421681522351</v>
      </c>
      <c r="Y183">
        <f t="shared" ca="1" si="57"/>
        <v>0.22846986147493453</v>
      </c>
      <c r="Z183">
        <f t="shared" ca="1" si="59"/>
        <v>2.7844552213137062E-2</v>
      </c>
      <c r="AA183">
        <f t="shared" ca="1" si="60"/>
        <v>0.20062530926179747</v>
      </c>
      <c r="AB183">
        <f t="shared" ca="1" si="61"/>
        <v>154.27330000000001</v>
      </c>
    </row>
    <row r="184" spans="1:28" x14ac:dyDescent="0.25">
      <c r="A184" s="20">
        <f t="shared" ca="1" si="41"/>
        <v>45978</v>
      </c>
      <c r="B184" vm="542">
        <f ca="1"/>
        <v>45978</v>
      </c>
      <c r="C184" vm="543">
        <f ca="1"/>
        <v>154.82</v>
      </c>
      <c r="D184" vm="544">
        <f ca="1"/>
        <v>8744980</v>
      </c>
      <c r="E184">
        <f t="shared" ca="1" si="42"/>
        <v>1353897803.5999999</v>
      </c>
      <c r="F184">
        <f ca="1">SUM($E$2:E184)/SUM($D$2:D184)</f>
        <v>150.07641135747352</v>
      </c>
      <c r="G184">
        <f ca="1">_xlfn.STDEV.P($C$2:C184)</f>
        <v>8.5762980417293324</v>
      </c>
      <c r="H184">
        <f t="shared" ca="1" si="43"/>
        <v>158.65270939920285</v>
      </c>
      <c r="I184">
        <f t="shared" ca="1" si="44"/>
        <v>141.50011331574419</v>
      </c>
      <c r="J184">
        <f t="shared" ca="1" si="53"/>
        <v>154.9255</v>
      </c>
      <c r="K184">
        <f t="shared" ca="1" si="54"/>
        <v>1.4529153088658853</v>
      </c>
      <c r="L184">
        <f t="shared" ca="1" si="55"/>
        <v>157.83133061773177</v>
      </c>
      <c r="M184">
        <f t="shared" ca="1" si="56"/>
        <v>152.01966938226823</v>
      </c>
      <c r="N184">
        <f t="shared" ca="1" si="45"/>
        <v>-2.8000000000000114</v>
      </c>
      <c r="O184">
        <f t="shared" ca="1" si="46"/>
        <v>0</v>
      </c>
      <c r="P184">
        <f t="shared" ca="1" si="47"/>
        <v>2.8000000000000114</v>
      </c>
      <c r="Q184">
        <f t="shared" ca="1" si="51"/>
        <v>0.80617834232007846</v>
      </c>
      <c r="R184">
        <f t="shared" ca="1" si="52"/>
        <v>0.80760295209871968</v>
      </c>
      <c r="S184">
        <f t="shared" ca="1" si="49"/>
        <v>0.99823600226455456</v>
      </c>
      <c r="T184">
        <f t="shared" ca="1" si="50"/>
        <v>49.955861126177133</v>
      </c>
      <c r="U184">
        <f>70</f>
        <v>70</v>
      </c>
      <c r="V184">
        <f>30</f>
        <v>30</v>
      </c>
      <c r="W184">
        <f t="shared" ca="1" si="48"/>
        <v>155.0689959283593</v>
      </c>
      <c r="X184">
        <f t="shared" ca="1" si="58"/>
        <v>154.84052606688437</v>
      </c>
      <c r="Y184">
        <f t="shared" ca="1" si="57"/>
        <v>9.5956749245829087E-2</v>
      </c>
      <c r="Z184">
        <f t="shared" ca="1" si="59"/>
        <v>4.1466991619675472E-2</v>
      </c>
      <c r="AA184">
        <f t="shared" ca="1" si="60"/>
        <v>5.4489757626153615E-2</v>
      </c>
      <c r="AB184">
        <f t="shared" ca="1" si="61"/>
        <v>154.37709999999998</v>
      </c>
    </row>
    <row r="185" spans="1:28" x14ac:dyDescent="0.25">
      <c r="A185" s="20">
        <f t="shared" ca="1" si="41"/>
        <v>45978</v>
      </c>
      <c r="B185" vm="545">
        <f ca="1"/>
        <v>45979</v>
      </c>
      <c r="C185" vm="546">
        <f ca="1"/>
        <v>153.62</v>
      </c>
      <c r="D185" vm="547">
        <f ca="1"/>
        <v>10813365</v>
      </c>
      <c r="E185">
        <f t="shared" ca="1" si="42"/>
        <v>1661149131.3</v>
      </c>
      <c r="F185">
        <f ca="1">SUM($E$2:E185)/SUM($D$2:D185)</f>
        <v>150.09919519890747</v>
      </c>
      <c r="G185">
        <f ca="1">_xlfn.STDEV.P($C$2:C185)</f>
        <v>8.5558562476973528</v>
      </c>
      <c r="H185">
        <f t="shared" ca="1" si="43"/>
        <v>158.65505144660483</v>
      </c>
      <c r="I185">
        <f t="shared" ca="1" si="44"/>
        <v>141.5433389512101</v>
      </c>
      <c r="J185">
        <f t="shared" ca="1" si="53"/>
        <v>154.917</v>
      </c>
      <c r="K185">
        <f t="shared" ca="1" si="54"/>
        <v>1.4603860340406778</v>
      </c>
      <c r="L185">
        <f t="shared" ca="1" si="55"/>
        <v>157.83777206808136</v>
      </c>
      <c r="M185">
        <f t="shared" ca="1" si="56"/>
        <v>151.99622793191864</v>
      </c>
      <c r="N185">
        <f t="shared" ca="1" si="45"/>
        <v>-1.1999999999999886</v>
      </c>
      <c r="O185">
        <f t="shared" ca="1" si="46"/>
        <v>0</v>
      </c>
      <c r="P185">
        <f t="shared" ca="1" si="47"/>
        <v>1.1999999999999886</v>
      </c>
      <c r="Q185">
        <f t="shared" ca="1" si="51"/>
        <v>0.74859417501150138</v>
      </c>
      <c r="R185">
        <f t="shared" ca="1" si="52"/>
        <v>0.83563131266309598</v>
      </c>
      <c r="S185">
        <f t="shared" ca="1" si="49"/>
        <v>0.89584265652490502</v>
      </c>
      <c r="T185">
        <f t="shared" ca="1" si="50"/>
        <v>47.253006648082916</v>
      </c>
      <c r="U185">
        <f>70</f>
        <v>70</v>
      </c>
      <c r="V185">
        <f>30</f>
        <v>30</v>
      </c>
      <c r="W185">
        <f t="shared" ca="1" si="48"/>
        <v>154.84607347784248</v>
      </c>
      <c r="X185">
        <f t="shared" ca="1" si="58"/>
        <v>154.75011672859665</v>
      </c>
      <c r="Y185">
        <f t="shared" ca="1" si="57"/>
        <v>-0.16211998254897253</v>
      </c>
      <c r="Z185">
        <f t="shared" ca="1" si="59"/>
        <v>7.4959678594586909E-4</v>
      </c>
      <c r="AA185">
        <f t="shared" ca="1" si="60"/>
        <v>-0.16286957933491841</v>
      </c>
      <c r="AB185">
        <f t="shared" ca="1" si="61"/>
        <v>154.47539999999998</v>
      </c>
    </row>
    <row r="186" spans="1:28" x14ac:dyDescent="0.25">
      <c r="A186" s="20">
        <f t="shared" ca="1" si="41"/>
        <v>45978</v>
      </c>
      <c r="B186" vm="548">
        <f ca="1"/>
        <v>45980</v>
      </c>
      <c r="C186" vm="549">
        <f ca="1"/>
        <v>151.69999999999999</v>
      </c>
      <c r="D186" vm="550">
        <f ca="1"/>
        <v>7539905</v>
      </c>
      <c r="E186">
        <f t="shared" ca="1" si="42"/>
        <v>1143803588.5</v>
      </c>
      <c r="F186">
        <f ca="1">SUM($E$2:E186)/SUM($D$2:D186)</f>
        <v>150.10633990483018</v>
      </c>
      <c r="G186">
        <f ca="1">_xlfn.STDEV.P($C$2:C186)</f>
        <v>8.5330757479917061</v>
      </c>
      <c r="H186">
        <f t="shared" ca="1" si="43"/>
        <v>158.6394156528219</v>
      </c>
      <c r="I186">
        <f t="shared" ca="1" si="44"/>
        <v>141.57326415683846</v>
      </c>
      <c r="J186">
        <f t="shared" ca="1" si="53"/>
        <v>154.7235</v>
      </c>
      <c r="K186">
        <f t="shared" ca="1" si="54"/>
        <v>1.6172695475627108</v>
      </c>
      <c r="L186">
        <f t="shared" ca="1" si="55"/>
        <v>157.95803909512543</v>
      </c>
      <c r="M186">
        <f t="shared" ca="1" si="56"/>
        <v>151.48896090487457</v>
      </c>
      <c r="N186">
        <f t="shared" ca="1" si="45"/>
        <v>-1.9200000000000159</v>
      </c>
      <c r="O186">
        <f t="shared" ca="1" si="46"/>
        <v>0</v>
      </c>
      <c r="P186">
        <f t="shared" ca="1" si="47"/>
        <v>1.9200000000000159</v>
      </c>
      <c r="Q186">
        <f t="shared" ca="1" si="51"/>
        <v>0.69512316251067985</v>
      </c>
      <c r="R186">
        <f t="shared" ca="1" si="52"/>
        <v>0.91308621890144737</v>
      </c>
      <c r="S186">
        <f t="shared" ca="1" si="49"/>
        <v>0.76128973159511337</v>
      </c>
      <c r="T186">
        <f t="shared" ca="1" si="50"/>
        <v>43.223424172560797</v>
      </c>
      <c r="U186">
        <f>70</f>
        <v>70</v>
      </c>
      <c r="V186">
        <f>30</f>
        <v>30</v>
      </c>
      <c r="W186">
        <f t="shared" ca="1" si="48"/>
        <v>154.36206217355902</v>
      </c>
      <c r="X186">
        <f t="shared" ca="1" si="58"/>
        <v>154.524182156108</v>
      </c>
      <c r="Y186">
        <f t="shared" ca="1" si="57"/>
        <v>-0.47335252190333676</v>
      </c>
      <c r="Z186">
        <f t="shared" ca="1" si="59"/>
        <v>-9.4070826951910672E-2</v>
      </c>
      <c r="AA186">
        <f t="shared" ca="1" si="60"/>
        <v>-0.37928169495142611</v>
      </c>
      <c r="AB186">
        <f t="shared" ca="1" si="61"/>
        <v>154.56049999999999</v>
      </c>
    </row>
    <row r="187" spans="1:28" x14ac:dyDescent="0.25">
      <c r="A187" s="20">
        <f t="shared" ca="1" si="41"/>
        <v>45978</v>
      </c>
      <c r="B187" vm="551">
        <f ca="1"/>
        <v>45981</v>
      </c>
      <c r="C187" vm="552">
        <f ca="1"/>
        <v>150.31</v>
      </c>
      <c r="D187" vm="553">
        <f ca="1"/>
        <v>7623448</v>
      </c>
      <c r="E187">
        <f t="shared" ca="1" si="42"/>
        <v>1145880468.8800001</v>
      </c>
      <c r="F187">
        <f ca="1">SUM($E$2:E187)/SUM($D$2:D187)</f>
        <v>150.1072548226378</v>
      </c>
      <c r="G187">
        <f ca="1">_xlfn.STDEV.P($C$2:C187)</f>
        <v>8.510135720985545</v>
      </c>
      <c r="H187">
        <f t="shared" ca="1" si="43"/>
        <v>158.61739054362334</v>
      </c>
      <c r="I187">
        <f t="shared" ca="1" si="44"/>
        <v>141.59711910165225</v>
      </c>
      <c r="J187">
        <f t="shared" ca="1" si="53"/>
        <v>154.411</v>
      </c>
      <c r="K187">
        <f t="shared" ca="1" si="54"/>
        <v>1.833156323193188</v>
      </c>
      <c r="L187">
        <f t="shared" ca="1" si="55"/>
        <v>158.07731264638639</v>
      </c>
      <c r="M187">
        <f t="shared" ca="1" si="56"/>
        <v>150.74468735361361</v>
      </c>
      <c r="N187">
        <f t="shared" ca="1" si="45"/>
        <v>-1.3899999999999864</v>
      </c>
      <c r="O187">
        <f t="shared" ca="1" si="46"/>
        <v>0</v>
      </c>
      <c r="P187">
        <f t="shared" ca="1" si="47"/>
        <v>1.3899999999999864</v>
      </c>
      <c r="Q187">
        <f t="shared" ca="1" si="51"/>
        <v>0.64547150804563125</v>
      </c>
      <c r="R187">
        <f t="shared" ca="1" si="52"/>
        <v>0.94715148897991441</v>
      </c>
      <c r="S187">
        <f t="shared" ca="1" si="49"/>
        <v>0.68148708581011297</v>
      </c>
      <c r="T187">
        <f t="shared" ca="1" si="50"/>
        <v>40.528832576896278</v>
      </c>
      <c r="U187">
        <f>70</f>
        <v>70</v>
      </c>
      <c r="V187">
        <f>30</f>
        <v>30</v>
      </c>
      <c r="W187">
        <f t="shared" ca="1" si="48"/>
        <v>153.73866799301149</v>
      </c>
      <c r="X187">
        <f t="shared" ca="1" si="58"/>
        <v>154.21202051491483</v>
      </c>
      <c r="Y187">
        <f t="shared" ca="1" si="57"/>
        <v>-0.73812613510801839</v>
      </c>
      <c r="Z187">
        <f t="shared" ca="1" si="59"/>
        <v>-0.22288188858313224</v>
      </c>
      <c r="AA187">
        <f t="shared" ca="1" si="60"/>
        <v>-0.5152442465248861</v>
      </c>
      <c r="AB187">
        <f t="shared" ca="1" si="61"/>
        <v>154.6079</v>
      </c>
    </row>
    <row r="188" spans="1:28" x14ac:dyDescent="0.25">
      <c r="A188" s="20">
        <f t="shared" ca="1" si="41"/>
        <v>45978</v>
      </c>
      <c r="B188" vm="554">
        <f ca="1"/>
        <v>45982</v>
      </c>
      <c r="C188" vm="555">
        <f ca="1"/>
        <v>149.97999999999999</v>
      </c>
      <c r="D188" vm="556">
        <f ca="1"/>
        <v>9248445</v>
      </c>
      <c r="E188">
        <f t="shared" ca="1" si="42"/>
        <v>1387081781.0999999</v>
      </c>
      <c r="F188">
        <f ca="1">SUM($E$2:E188)/SUM($D$2:D188)</f>
        <v>150.10656504803083</v>
      </c>
      <c r="G188">
        <f ca="1">_xlfn.STDEV.P($C$2:C188)</f>
        <v>8.4874766174966112</v>
      </c>
      <c r="H188">
        <f t="shared" ca="1" si="43"/>
        <v>158.59404166552744</v>
      </c>
      <c r="I188">
        <f t="shared" ca="1" si="44"/>
        <v>141.61908843053422</v>
      </c>
      <c r="J188">
        <f t="shared" ca="1" si="53"/>
        <v>154.13200000000001</v>
      </c>
      <c r="K188">
        <f t="shared" ca="1" si="54"/>
        <v>2.0597076951532949</v>
      </c>
      <c r="L188">
        <f t="shared" ca="1" si="55"/>
        <v>158.25141539030659</v>
      </c>
      <c r="M188">
        <f t="shared" ca="1" si="56"/>
        <v>150.01258460969342</v>
      </c>
      <c r="N188">
        <f t="shared" ca="1" si="45"/>
        <v>-0.33000000000001251</v>
      </c>
      <c r="O188">
        <f t="shared" ca="1" si="46"/>
        <v>0</v>
      </c>
      <c r="P188">
        <f t="shared" ca="1" si="47"/>
        <v>0.33000000000001251</v>
      </c>
      <c r="Q188">
        <f t="shared" ca="1" si="51"/>
        <v>0.59936640032808619</v>
      </c>
      <c r="R188">
        <f t="shared" ca="1" si="52"/>
        <v>0.90306923976706432</v>
      </c>
      <c r="S188">
        <f t="shared" ca="1" si="49"/>
        <v>0.66369927568641962</v>
      </c>
      <c r="T188">
        <f t="shared" ca="1" si="50"/>
        <v>39.892983388634732</v>
      </c>
      <c r="U188">
        <f>70</f>
        <v>70</v>
      </c>
      <c r="V188">
        <f>30</f>
        <v>30</v>
      </c>
      <c r="W188">
        <f t="shared" ca="1" si="48"/>
        <v>153.16041137870201</v>
      </c>
      <c r="X188">
        <f t="shared" ca="1" si="58"/>
        <v>153.89853751381003</v>
      </c>
      <c r="Y188">
        <f t="shared" ca="1" si="57"/>
        <v>-0.95550573365741798</v>
      </c>
      <c r="Z188">
        <f t="shared" ca="1" si="59"/>
        <v>-0.36940665759798941</v>
      </c>
      <c r="AA188">
        <f t="shared" ca="1" si="60"/>
        <v>-0.58609907605942857</v>
      </c>
      <c r="AB188">
        <f t="shared" ca="1" si="61"/>
        <v>154.62789999999998</v>
      </c>
    </row>
    <row r="189" spans="1:28" x14ac:dyDescent="0.25">
      <c r="A189" s="20">
        <f t="shared" ca="1" si="41"/>
        <v>45985</v>
      </c>
      <c r="B189" vm="557">
        <f ca="1"/>
        <v>45985</v>
      </c>
      <c r="C189" vm="558">
        <f ca="1"/>
        <v>149.75</v>
      </c>
      <c r="D189" vm="559">
        <f ca="1"/>
        <v>14181131</v>
      </c>
      <c r="E189">
        <f t="shared" ca="1" si="42"/>
        <v>2123624367.25</v>
      </c>
      <c r="F189">
        <f ca="1">SUM($E$2:E189)/SUM($D$2:D189)</f>
        <v>150.10362591537719</v>
      </c>
      <c r="G189">
        <f ca="1">_xlfn.STDEV.P($C$2:C189)</f>
        <v>8.4651046655121824</v>
      </c>
      <c r="H189">
        <f t="shared" ca="1" si="43"/>
        <v>158.56873058088937</v>
      </c>
      <c r="I189">
        <f t="shared" ca="1" si="44"/>
        <v>141.63852124986502</v>
      </c>
      <c r="J189">
        <f t="shared" ca="1" si="53"/>
        <v>153.85549999999998</v>
      </c>
      <c r="K189">
        <f t="shared" ca="1" si="54"/>
        <v>2.2590227859338725</v>
      </c>
      <c r="L189">
        <f t="shared" ca="1" si="55"/>
        <v>158.37354557186774</v>
      </c>
      <c r="M189">
        <f t="shared" ca="1" si="56"/>
        <v>149.33745442813222</v>
      </c>
      <c r="N189">
        <f t="shared" ca="1" si="45"/>
        <v>-0.22999999999998977</v>
      </c>
      <c r="O189">
        <f t="shared" ca="1" si="46"/>
        <v>0</v>
      </c>
      <c r="P189">
        <f t="shared" ca="1" si="47"/>
        <v>0.22999999999998977</v>
      </c>
      <c r="Q189">
        <f t="shared" ca="1" si="51"/>
        <v>0.55655451459036576</v>
      </c>
      <c r="R189">
        <f t="shared" ca="1" si="52"/>
        <v>0.85499286549798748</v>
      </c>
      <c r="S189">
        <f t="shared" ca="1" si="49"/>
        <v>0.65094638452474407</v>
      </c>
      <c r="T189">
        <f t="shared" ca="1" si="50"/>
        <v>39.428681065989387</v>
      </c>
      <c r="U189">
        <f>70</f>
        <v>70</v>
      </c>
      <c r="V189">
        <f>30</f>
        <v>30</v>
      </c>
      <c r="W189">
        <f t="shared" ca="1" si="48"/>
        <v>152.63573270505555</v>
      </c>
      <c r="X189">
        <f t="shared" ca="1" si="58"/>
        <v>153.59123843871296</v>
      </c>
      <c r="Y189">
        <f t="shared" ca="1" si="57"/>
        <v>-1.2122503680348302</v>
      </c>
      <c r="Z189">
        <f t="shared" ca="1" si="59"/>
        <v>-0.53797539968535757</v>
      </c>
      <c r="AA189">
        <f t="shared" ca="1" si="60"/>
        <v>-0.67427496834947265</v>
      </c>
      <c r="AB189">
        <f t="shared" ca="1" si="61"/>
        <v>154.64169999999999</v>
      </c>
    </row>
    <row r="190" spans="1:28" x14ac:dyDescent="0.25">
      <c r="A190" s="20">
        <f t="shared" ca="1" si="41"/>
        <v>45985</v>
      </c>
      <c r="B190" vm="560">
        <f ca="1"/>
        <v>45986</v>
      </c>
      <c r="C190" vm="561">
        <f ca="1"/>
        <v>148.53</v>
      </c>
      <c r="D190" vm="562">
        <f ca="1"/>
        <v>11447942</v>
      </c>
      <c r="E190">
        <f t="shared" ca="1" si="42"/>
        <v>1700362825.26</v>
      </c>
      <c r="F190">
        <f ca="1">SUM($E$2:E190)/SUM($D$2:D190)</f>
        <v>150.0932238841869</v>
      </c>
      <c r="G190">
        <f ca="1">_xlfn.STDEV.P($C$2:C190)</f>
        <v>8.4440231814006932</v>
      </c>
      <c r="H190">
        <f t="shared" ca="1" si="43"/>
        <v>158.53724706558759</v>
      </c>
      <c r="I190">
        <f t="shared" ca="1" si="44"/>
        <v>141.6492007027862</v>
      </c>
      <c r="J190">
        <f t="shared" ca="1" si="53"/>
        <v>153.57549999999998</v>
      </c>
      <c r="K190">
        <f t="shared" ca="1" si="54"/>
        <v>2.5513473736542904</v>
      </c>
      <c r="L190">
        <f t="shared" ca="1" si="55"/>
        <v>158.67819474730857</v>
      </c>
      <c r="M190">
        <f t="shared" ca="1" si="56"/>
        <v>148.47280525269139</v>
      </c>
      <c r="N190">
        <f t="shared" ca="1" si="45"/>
        <v>-1.2199999999999989</v>
      </c>
      <c r="O190">
        <f t="shared" ca="1" si="46"/>
        <v>0</v>
      </c>
      <c r="P190">
        <f t="shared" ca="1" si="47"/>
        <v>1.2199999999999989</v>
      </c>
      <c r="Q190">
        <f t="shared" ca="1" si="51"/>
        <v>0.51680062069105392</v>
      </c>
      <c r="R190">
        <f t="shared" ca="1" si="52"/>
        <v>0.88106480367670259</v>
      </c>
      <c r="S190">
        <f t="shared" ca="1" si="49"/>
        <v>0.58656368809017645</v>
      </c>
      <c r="T190">
        <f t="shared" ca="1" si="50"/>
        <v>36.970699159026609</v>
      </c>
      <c r="U190">
        <f>70</f>
        <v>70</v>
      </c>
      <c r="V190">
        <f>30</f>
        <v>30</v>
      </c>
      <c r="W190">
        <f t="shared" ca="1" si="48"/>
        <v>152.00408151966238</v>
      </c>
      <c r="X190">
        <f t="shared" ca="1" si="58"/>
        <v>153.21633188769721</v>
      </c>
      <c r="Y190">
        <f t="shared" ca="1" si="57"/>
        <v>-1.3214121144212641</v>
      </c>
      <c r="Z190">
        <f t="shared" ca="1" si="59"/>
        <v>-0.69466274263253891</v>
      </c>
      <c r="AA190">
        <f t="shared" ca="1" si="60"/>
        <v>-0.62674937178872514</v>
      </c>
      <c r="AB190">
        <f t="shared" ca="1" si="61"/>
        <v>154.65300000000002</v>
      </c>
    </row>
    <row r="191" spans="1:28" x14ac:dyDescent="0.25">
      <c r="A191" s="20">
        <f t="shared" ca="1" si="41"/>
        <v>45985</v>
      </c>
      <c r="B191" vm="563">
        <f ca="1"/>
        <v>45987</v>
      </c>
      <c r="C191" vm="564">
        <f ca="1"/>
        <v>149.51</v>
      </c>
      <c r="D191" vm="565">
        <f ca="1"/>
        <v>7578938</v>
      </c>
      <c r="E191">
        <f t="shared" ca="1" si="42"/>
        <v>1133127020.3799999</v>
      </c>
      <c r="F191">
        <f ca="1">SUM($E$2:E191)/SUM($D$2:D191)</f>
        <v>150.09068269807941</v>
      </c>
      <c r="G191">
        <f ca="1">_xlfn.STDEV.P($C$2:C191)</f>
        <v>8.4221383920108348</v>
      </c>
      <c r="H191">
        <f t="shared" ca="1" si="43"/>
        <v>158.51282109009023</v>
      </c>
      <c r="I191">
        <f t="shared" ca="1" si="44"/>
        <v>141.66854430606858</v>
      </c>
      <c r="J191">
        <f t="shared" ca="1" si="53"/>
        <v>153.29599999999999</v>
      </c>
      <c r="K191">
        <f t="shared" ca="1" si="54"/>
        <v>2.6785687458633212</v>
      </c>
      <c r="L191">
        <f t="shared" ca="1" si="55"/>
        <v>158.65313749172662</v>
      </c>
      <c r="M191">
        <f t="shared" ca="1" si="56"/>
        <v>147.93886250827336</v>
      </c>
      <c r="N191">
        <f t="shared" ca="1" si="45"/>
        <v>0.97999999999998977</v>
      </c>
      <c r="O191">
        <f t="shared" ca="1" si="46"/>
        <v>0.97999999999998977</v>
      </c>
      <c r="P191">
        <f t="shared" ca="1" si="47"/>
        <v>0</v>
      </c>
      <c r="Q191">
        <f t="shared" ca="1" si="51"/>
        <v>0.54988629064169214</v>
      </c>
      <c r="R191">
        <f t="shared" ca="1" si="52"/>
        <v>0.81813160341408098</v>
      </c>
      <c r="S191">
        <f t="shared" ca="1" si="49"/>
        <v>0.67212449482088787</v>
      </c>
      <c r="T191">
        <f t="shared" ca="1" si="50"/>
        <v>40.195840495290611</v>
      </c>
      <c r="U191">
        <f>70</f>
        <v>70</v>
      </c>
      <c r="V191">
        <f>30</f>
        <v>30</v>
      </c>
      <c r="W191">
        <f t="shared" ca="1" si="48"/>
        <v>151.62037667048355</v>
      </c>
      <c r="X191">
        <f t="shared" ca="1" si="58"/>
        <v>152.94178878490482</v>
      </c>
      <c r="Y191">
        <f t="shared" ca="1" si="57"/>
        <v>-1.2626481024514078</v>
      </c>
      <c r="Z191">
        <f t="shared" ca="1" si="59"/>
        <v>-0.80825981459631269</v>
      </c>
      <c r="AA191">
        <f t="shared" ca="1" si="60"/>
        <v>-0.45438828785509511</v>
      </c>
      <c r="AB191">
        <f t="shared" ca="1" si="61"/>
        <v>154.6157</v>
      </c>
    </row>
    <row r="192" spans="1:28" x14ac:dyDescent="0.25">
      <c r="A192" s="20">
        <f t="shared" ca="1" si="41"/>
        <v>45985</v>
      </c>
      <c r="B192" vm="566">
        <f ca="1"/>
        <v>45989</v>
      </c>
      <c r="C192" vm="567">
        <f ca="1"/>
        <v>151.13</v>
      </c>
      <c r="D192" vm="568">
        <f ca="1"/>
        <v>3848568</v>
      </c>
      <c r="E192">
        <f t="shared" ca="1" si="42"/>
        <v>581634081.84000003</v>
      </c>
      <c r="F192">
        <f ca="1">SUM($E$2:E192)/SUM($D$2:D192)</f>
        <v>150.09297715709477</v>
      </c>
      <c r="G192">
        <f ca="1">_xlfn.STDEV.P($C$2:C192)</f>
        <v>8.4001527441369888</v>
      </c>
      <c r="H192">
        <f t="shared" ca="1" si="43"/>
        <v>158.49312990123175</v>
      </c>
      <c r="I192">
        <f t="shared" ca="1" si="44"/>
        <v>141.69282441295778</v>
      </c>
      <c r="J192">
        <f t="shared" ca="1" si="53"/>
        <v>153.17649999999998</v>
      </c>
      <c r="K192">
        <f t="shared" ca="1" si="54"/>
        <v>2.721025880454885</v>
      </c>
      <c r="L192">
        <f t="shared" ca="1" si="55"/>
        <v>158.61855176090975</v>
      </c>
      <c r="M192">
        <f t="shared" ca="1" si="56"/>
        <v>147.7344482390902</v>
      </c>
      <c r="N192">
        <f t="shared" ca="1" si="45"/>
        <v>1.6200000000000045</v>
      </c>
      <c r="O192">
        <f t="shared" ca="1" si="46"/>
        <v>1.6200000000000045</v>
      </c>
      <c r="P192">
        <f t="shared" ca="1" si="47"/>
        <v>0</v>
      </c>
      <c r="Q192">
        <f t="shared" ca="1" si="51"/>
        <v>0.62632298416728582</v>
      </c>
      <c r="R192">
        <f t="shared" ca="1" si="52"/>
        <v>0.75969363174164661</v>
      </c>
      <c r="S192">
        <f t="shared" ca="1" si="49"/>
        <v>0.82444153537446407</v>
      </c>
      <c r="T192">
        <f t="shared" ca="1" si="50"/>
        <v>45.188706757065177</v>
      </c>
      <c r="U192">
        <f>70</f>
        <v>70</v>
      </c>
      <c r="V192">
        <f>30</f>
        <v>30</v>
      </c>
      <c r="W192">
        <f t="shared" ca="1" si="48"/>
        <v>151.54493410579377</v>
      </c>
      <c r="X192">
        <f t="shared" ca="1" si="58"/>
        <v>152.80758220824518</v>
      </c>
      <c r="Y192">
        <f t="shared" ca="1" si="57"/>
        <v>-1.0897401374898266</v>
      </c>
      <c r="Z192">
        <f t="shared" ca="1" si="59"/>
        <v>-0.86455587917501542</v>
      </c>
      <c r="AA192">
        <f t="shared" ca="1" si="60"/>
        <v>-0.22518425831481115</v>
      </c>
      <c r="AB192">
        <f t="shared" ca="1" si="61"/>
        <v>154.59679999999997</v>
      </c>
    </row>
    <row r="193" spans="1:28" x14ac:dyDescent="0.25">
      <c r="A193" s="20">
        <f t="shared" ca="1" si="41"/>
        <v>45992</v>
      </c>
      <c r="B193" vm="569">
        <f ca="1"/>
        <v>45992</v>
      </c>
      <c r="C193" vm="570">
        <f ca="1"/>
        <v>152.54</v>
      </c>
      <c r="D193" vm="571">
        <f ca="1"/>
        <v>8208972</v>
      </c>
      <c r="E193">
        <f t="shared" ca="1" si="42"/>
        <v>1252196588.8799999</v>
      </c>
      <c r="F193">
        <f ca="1">SUM($E$2:E193)/SUM($D$2:D193)</f>
        <v>150.10444599779635</v>
      </c>
      <c r="G193">
        <f ca="1">_xlfn.STDEV.P($C$2:C193)</f>
        <v>8.3794223787228699</v>
      </c>
      <c r="H193">
        <f t="shared" ca="1" si="43"/>
        <v>158.48386837651921</v>
      </c>
      <c r="I193">
        <f t="shared" ca="1" si="44"/>
        <v>141.72502361907348</v>
      </c>
      <c r="J193">
        <f t="shared" ca="1" si="53"/>
        <v>152.91750000000002</v>
      </c>
      <c r="K193">
        <f t="shared" ca="1" si="54"/>
        <v>2.503637091155694</v>
      </c>
      <c r="L193">
        <f t="shared" ca="1" si="55"/>
        <v>157.92477418231141</v>
      </c>
      <c r="M193">
        <f t="shared" ca="1" si="56"/>
        <v>147.91022581768863</v>
      </c>
      <c r="N193">
        <f t="shared" ca="1" si="45"/>
        <v>1.4099999999999966</v>
      </c>
      <c r="O193">
        <f t="shared" ca="1" si="46"/>
        <v>1.4099999999999966</v>
      </c>
      <c r="P193">
        <f t="shared" ca="1" si="47"/>
        <v>0</v>
      </c>
      <c r="Q193">
        <f t="shared" ca="1" si="51"/>
        <v>0.6822999138696223</v>
      </c>
      <c r="R193">
        <f t="shared" ca="1" si="52"/>
        <v>0.70542980090295759</v>
      </c>
      <c r="S193">
        <f t="shared" ca="1" si="49"/>
        <v>0.96721163891328554</v>
      </c>
      <c r="T193">
        <f t="shared" ca="1" si="50"/>
        <v>49.166628530501498</v>
      </c>
      <c r="U193">
        <f>70</f>
        <v>70</v>
      </c>
      <c r="V193">
        <f>30</f>
        <v>30</v>
      </c>
      <c r="W193">
        <f t="shared" ca="1" si="48"/>
        <v>151.6980211664409</v>
      </c>
      <c r="X193">
        <f t="shared" ca="1" si="58"/>
        <v>152.78776130393072</v>
      </c>
      <c r="Y193">
        <f t="shared" ca="1" si="57"/>
        <v>-1.1245303058248908</v>
      </c>
      <c r="Z193">
        <f t="shared" ca="1" si="59"/>
        <v>-0.91655076450499051</v>
      </c>
      <c r="AA193">
        <f t="shared" ca="1" si="60"/>
        <v>-0.20797954131990026</v>
      </c>
      <c r="AB193">
        <f t="shared" ca="1" si="61"/>
        <v>154.5805</v>
      </c>
    </row>
    <row r="194" spans="1:28" x14ac:dyDescent="0.25">
      <c r="A194" s="20">
        <f t="shared" ca="1" si="41"/>
        <v>45992</v>
      </c>
      <c r="B194" vm="572">
        <f ca="1"/>
        <v>45993</v>
      </c>
      <c r="C194" vm="573">
        <f ca="1"/>
        <v>150.25</v>
      </c>
      <c r="D194" vm="574">
        <f ca="1"/>
        <v>9196311</v>
      </c>
      <c r="E194">
        <f t="shared" ca="1" si="42"/>
        <v>1381745727.75</v>
      </c>
      <c r="F194">
        <f ca="1">SUM($E$2:E194)/SUM($D$2:D194)</f>
        <v>150.10520624738942</v>
      </c>
      <c r="G194">
        <f ca="1">_xlfn.STDEV.P($C$2:C194)</f>
        <v>8.3577240188054436</v>
      </c>
      <c r="H194">
        <f t="shared" ca="1" si="43"/>
        <v>158.46293026619486</v>
      </c>
      <c r="I194">
        <f t="shared" ca="1" si="44"/>
        <v>141.74748222858398</v>
      </c>
      <c r="J194">
        <f t="shared" ca="1" si="53"/>
        <v>152.72800000000001</v>
      </c>
      <c r="K194">
        <f t="shared" ca="1" si="54"/>
        <v>2.5570657526074516</v>
      </c>
      <c r="L194">
        <f t="shared" ca="1" si="55"/>
        <v>157.84213150521492</v>
      </c>
      <c r="M194">
        <f t="shared" ca="1" si="56"/>
        <v>147.61386849478509</v>
      </c>
      <c r="N194">
        <f t="shared" ca="1" si="45"/>
        <v>-2.289999999999992</v>
      </c>
      <c r="O194">
        <f t="shared" ca="1" si="46"/>
        <v>0</v>
      </c>
      <c r="P194">
        <f t="shared" ca="1" si="47"/>
        <v>2.289999999999992</v>
      </c>
      <c r="Q194">
        <f t="shared" ca="1" si="51"/>
        <v>0.63356420573607786</v>
      </c>
      <c r="R194">
        <f t="shared" ca="1" si="52"/>
        <v>0.81861338655274574</v>
      </c>
      <c r="S194">
        <f t="shared" ca="1" si="49"/>
        <v>0.77394801519686041</v>
      </c>
      <c r="T194">
        <f t="shared" ca="1" si="50"/>
        <v>43.628562312237378</v>
      </c>
      <c r="U194">
        <f>70</f>
        <v>70</v>
      </c>
      <c r="V194">
        <f>30</f>
        <v>30</v>
      </c>
      <c r="W194">
        <f t="shared" ca="1" si="48"/>
        <v>151.47524867929613</v>
      </c>
      <c r="X194">
        <f t="shared" ca="1" si="58"/>
        <v>152.59977898512102</v>
      </c>
      <c r="Y194">
        <f t="shared" ca="1" si="57"/>
        <v>-1.0320778131435304</v>
      </c>
      <c r="Z194">
        <f t="shared" ca="1" si="59"/>
        <v>-0.93965617423269854</v>
      </c>
      <c r="AA194">
        <f t="shared" ca="1" si="60"/>
        <v>-9.2421638910831883E-2</v>
      </c>
      <c r="AB194">
        <f t="shared" ca="1" si="61"/>
        <v>154.52990000000003</v>
      </c>
    </row>
    <row r="195" spans="1:28" x14ac:dyDescent="0.25">
      <c r="A195" s="20">
        <f t="shared" ref="A195:A252" ca="1" si="62">B195 - WEEKDAY(B195, 2) + 1</f>
        <v>45992</v>
      </c>
      <c r="B195" vm="575">
        <f ca="1"/>
        <v>45994</v>
      </c>
      <c r="C195" vm="576">
        <f ca="1"/>
        <v>151.59</v>
      </c>
      <c r="D195" vm="577">
        <f ca="1"/>
        <v>8060175</v>
      </c>
      <c r="E195">
        <f t="shared" ref="E195:E252" ca="1" si="63">C195*D195</f>
        <v>1221841928.25</v>
      </c>
      <c r="F195">
        <f ca="1">SUM($E$2:E195)/SUM($D$2:D195)</f>
        <v>150.11197245615978</v>
      </c>
      <c r="G195">
        <f ca="1">_xlfn.STDEV.P($C$2:C195)</f>
        <v>8.3364570849170754</v>
      </c>
      <c r="H195">
        <f t="shared" ref="H195:H252" ca="1" si="64">F195 + G195</f>
        <v>158.44842954107685</v>
      </c>
      <c r="I195">
        <f t="shared" ref="I195:I252" ca="1" si="65">F195 - G195</f>
        <v>141.7755153712427</v>
      </c>
      <c r="J195">
        <f t="shared" ca="1" si="53"/>
        <v>152.63800000000001</v>
      </c>
      <c r="K195">
        <f t="shared" ca="1" si="54"/>
        <v>2.5642062483760046</v>
      </c>
      <c r="L195">
        <f t="shared" ca="1" si="55"/>
        <v>157.76641249675203</v>
      </c>
      <c r="M195">
        <f t="shared" ca="1" si="56"/>
        <v>147.50958750324799</v>
      </c>
      <c r="N195">
        <f t="shared" ca="1" si="45"/>
        <v>1.3400000000000034</v>
      </c>
      <c r="O195">
        <f t="shared" ca="1" si="46"/>
        <v>1.3400000000000034</v>
      </c>
      <c r="P195">
        <f t="shared" ca="1" si="47"/>
        <v>0</v>
      </c>
      <c r="Q195">
        <f t="shared" ca="1" si="51"/>
        <v>0.68402390532635826</v>
      </c>
      <c r="R195">
        <f t="shared" ca="1" si="52"/>
        <v>0.76014100179897814</v>
      </c>
      <c r="S195">
        <f t="shared" ca="1" si="49"/>
        <v>0.89986450370065774</v>
      </c>
      <c r="T195">
        <f t="shared" ca="1" si="50"/>
        <v>47.364667424853373</v>
      </c>
      <c r="U195">
        <f>70</f>
        <v>70</v>
      </c>
      <c r="V195">
        <f>30</f>
        <v>30</v>
      </c>
      <c r="W195">
        <f t="shared" ca="1" si="48"/>
        <v>151.49290272863519</v>
      </c>
      <c r="X195">
        <f t="shared" ca="1" si="58"/>
        <v>152.52498054177872</v>
      </c>
      <c r="Y195">
        <f t="shared" ca="1" si="57"/>
        <v>-0.89443466003828576</v>
      </c>
      <c r="Z195">
        <f t="shared" ca="1" si="59"/>
        <v>-0.93061187139381607</v>
      </c>
      <c r="AA195">
        <f t="shared" ca="1" si="60"/>
        <v>3.6177211355530314E-2</v>
      </c>
      <c r="AB195">
        <f t="shared" ca="1" si="61"/>
        <v>154.52930000000003</v>
      </c>
    </row>
    <row r="196" spans="1:28" x14ac:dyDescent="0.25">
      <c r="A196" s="20">
        <f t="shared" ca="1" si="62"/>
        <v>45992</v>
      </c>
      <c r="B196" vm="578">
        <f ca="1"/>
        <v>45995</v>
      </c>
      <c r="C196" vm="579">
        <f ca="1"/>
        <v>152.26</v>
      </c>
      <c r="D196" vm="580">
        <f ca="1"/>
        <v>7254724</v>
      </c>
      <c r="E196">
        <f t="shared" ca="1" si="63"/>
        <v>1104604276.24</v>
      </c>
      <c r="F196">
        <f ca="1">SUM($E$2:E196)/SUM($D$2:D196)</f>
        <v>150.12074686492994</v>
      </c>
      <c r="G196">
        <f ca="1">_xlfn.STDEV.P($C$2:C196)</f>
        <v>8.3158941776396773</v>
      </c>
      <c r="H196">
        <f t="shared" ca="1" si="64"/>
        <v>158.43664104256962</v>
      </c>
      <c r="I196">
        <f t="shared" ca="1" si="65"/>
        <v>141.80485268729026</v>
      </c>
      <c r="J196">
        <f t="shared" ca="1" si="53"/>
        <v>152.61800000000002</v>
      </c>
      <c r="K196">
        <f t="shared" ca="1" si="54"/>
        <v>2.5655851902482349</v>
      </c>
      <c r="L196">
        <f t="shared" ca="1" si="55"/>
        <v>157.74917038049648</v>
      </c>
      <c r="M196">
        <f t="shared" ca="1" si="56"/>
        <v>147.48682961950357</v>
      </c>
      <c r="N196">
        <f t="shared" ref="N196:N252" ca="1" si="66">C196-C195</f>
        <v>0.66999999999998749</v>
      </c>
      <c r="O196">
        <f t="shared" ref="O196:O252" ca="1" si="67">MAX(N196,0)</f>
        <v>0.66999999999998749</v>
      </c>
      <c r="P196">
        <f t="shared" ref="P196:P252" ca="1" si="68">MAX(-N196,0)</f>
        <v>0</v>
      </c>
      <c r="Q196">
        <f t="shared" ca="1" si="51"/>
        <v>0.68302219780304607</v>
      </c>
      <c r="R196">
        <f t="shared" ca="1" si="52"/>
        <v>0.70584521595619398</v>
      </c>
      <c r="S196">
        <f t="shared" ca="1" si="49"/>
        <v>0.96766568981808565</v>
      </c>
      <c r="T196">
        <f t="shared" ca="1" si="50"/>
        <v>49.178358642191299</v>
      </c>
      <c r="U196">
        <f>70</f>
        <v>70</v>
      </c>
      <c r="V196">
        <f>30</f>
        <v>30</v>
      </c>
      <c r="W196">
        <f t="shared" ca="1" si="48"/>
        <v>151.61091769346052</v>
      </c>
      <c r="X196">
        <f t="shared" ca="1" si="58"/>
        <v>152.50535235349881</v>
      </c>
      <c r="Y196">
        <f t="shared" ca="1" si="57"/>
        <v>-0.95668649552519014</v>
      </c>
      <c r="Z196">
        <f t="shared" ca="1" si="59"/>
        <v>-0.93582679622009091</v>
      </c>
      <c r="AA196">
        <f t="shared" ca="1" si="60"/>
        <v>-2.0859699305099233E-2</v>
      </c>
      <c r="AB196">
        <f t="shared" ca="1" si="61"/>
        <v>154.54500000000002</v>
      </c>
    </row>
    <row r="197" spans="1:28" x14ac:dyDescent="0.25">
      <c r="A197" s="20">
        <f t="shared" ca="1" si="62"/>
        <v>45992</v>
      </c>
      <c r="B197" vm="581">
        <f ca="1"/>
        <v>45996</v>
      </c>
      <c r="C197" vm="582">
        <f ca="1"/>
        <v>150</v>
      </c>
      <c r="D197" vm="583">
        <f ca="1"/>
        <v>12659762</v>
      </c>
      <c r="E197">
        <f t="shared" ca="1" si="63"/>
        <v>1898964300</v>
      </c>
      <c r="F197">
        <f ca="1">SUM($E$2:E197)/SUM($D$2:D197)</f>
        <v>150.11989224355531</v>
      </c>
      <c r="G197">
        <f ca="1">_xlfn.STDEV.P($C$2:C197)</f>
        <v>8.2947682518522896</v>
      </c>
      <c r="H197">
        <f t="shared" ca="1" si="64"/>
        <v>158.41466049540759</v>
      </c>
      <c r="I197">
        <f t="shared" ca="1" si="65"/>
        <v>141.82512399170304</v>
      </c>
      <c r="J197">
        <f t="shared" ca="1" si="53"/>
        <v>152.471</v>
      </c>
      <c r="K197">
        <f t="shared" ca="1" si="54"/>
        <v>2.6295925239674074</v>
      </c>
      <c r="L197">
        <f t="shared" ca="1" si="55"/>
        <v>157.73018504793481</v>
      </c>
      <c r="M197">
        <f t="shared" ca="1" si="56"/>
        <v>147.2118149520652</v>
      </c>
      <c r="N197">
        <f t="shared" ca="1" si="66"/>
        <v>-2.2599999999999909</v>
      </c>
      <c r="O197">
        <f t="shared" ca="1" si="67"/>
        <v>0</v>
      </c>
      <c r="P197">
        <f t="shared" ca="1" si="68"/>
        <v>2.2599999999999909</v>
      </c>
      <c r="Q197">
        <f t="shared" ca="1" si="51"/>
        <v>0.63423489795997134</v>
      </c>
      <c r="R197">
        <f t="shared" ca="1" si="52"/>
        <v>0.81685627195932231</v>
      </c>
      <c r="S197">
        <f t="shared" ca="1" si="49"/>
        <v>0.77643389630673598</v>
      </c>
      <c r="T197">
        <f t="shared" ca="1" si="50"/>
        <v>43.707446582784044</v>
      </c>
      <c r="U197">
        <f>70</f>
        <v>70</v>
      </c>
      <c r="V197">
        <f>30</f>
        <v>30</v>
      </c>
      <c r="W197">
        <f t="shared" ca="1" si="48"/>
        <v>151.36308420215889</v>
      </c>
      <c r="X197">
        <f t="shared" ca="1" si="58"/>
        <v>152.31977069768408</v>
      </c>
      <c r="Y197">
        <f t="shared" ca="1" si="57"/>
        <v>-1.0974628738066485</v>
      </c>
      <c r="Z197">
        <f t="shared" ca="1" si="59"/>
        <v>-0.96815401173740256</v>
      </c>
      <c r="AA197">
        <f t="shared" ca="1" si="60"/>
        <v>-0.12930886206924597</v>
      </c>
      <c r="AB197">
        <f t="shared" ca="1" si="61"/>
        <v>154.54580000000001</v>
      </c>
    </row>
    <row r="198" spans="1:28" x14ac:dyDescent="0.25">
      <c r="A198" s="20">
        <f t="shared" ca="1" si="62"/>
        <v>45999</v>
      </c>
      <c r="B198" vm="584">
        <f ca="1"/>
        <v>45999</v>
      </c>
      <c r="C198" vm="585">
        <f ca="1"/>
        <v>148.71</v>
      </c>
      <c r="D198" vm="586">
        <f ca="1"/>
        <v>10237153</v>
      </c>
      <c r="E198">
        <f t="shared" ca="1" si="63"/>
        <v>1522367022.6300001</v>
      </c>
      <c r="F198">
        <f ca="1">SUM($E$2:E198)/SUM($D$2:D198)</f>
        <v>150.11186883474602</v>
      </c>
      <c r="G198">
        <f ca="1">_xlfn.STDEV.P($C$2:C198)</f>
        <v>8.2747910714187825</v>
      </c>
      <c r="H198">
        <f t="shared" ca="1" si="64"/>
        <v>158.38665990616479</v>
      </c>
      <c r="I198">
        <f t="shared" ca="1" si="65"/>
        <v>141.83707776332724</v>
      </c>
      <c r="J198">
        <f t="shared" ca="1" si="53"/>
        <v>152.15549999999999</v>
      </c>
      <c r="K198">
        <f t="shared" ca="1" si="54"/>
        <v>2.6856077916416479</v>
      </c>
      <c r="L198">
        <f t="shared" ca="1" si="55"/>
        <v>157.52671558328328</v>
      </c>
      <c r="M198">
        <f t="shared" ca="1" si="56"/>
        <v>146.7842844167167</v>
      </c>
      <c r="N198">
        <f t="shared" ca="1" si="66"/>
        <v>-1.289999999999992</v>
      </c>
      <c r="O198">
        <f t="shared" ca="1" si="67"/>
        <v>0</v>
      </c>
      <c r="P198">
        <f t="shared" ca="1" si="68"/>
        <v>1.289999999999992</v>
      </c>
      <c r="Q198">
        <f t="shared" ca="1" si="51"/>
        <v>0.58893240524854484</v>
      </c>
      <c r="R198">
        <f t="shared" ca="1" si="52"/>
        <v>0.85065225253365584</v>
      </c>
      <c r="S198">
        <f t="shared" ca="1" si="49"/>
        <v>0.69233038940932434</v>
      </c>
      <c r="T198">
        <f t="shared" ca="1" si="50"/>
        <v>40.909883421225402</v>
      </c>
      <c r="U198">
        <f>70</f>
        <v>70</v>
      </c>
      <c r="V198">
        <f>30</f>
        <v>30</v>
      </c>
      <c r="W198">
        <f t="shared" ca="1" si="48"/>
        <v>150.95491740182675</v>
      </c>
      <c r="X198">
        <f t="shared" ca="1" si="58"/>
        <v>152.0523802756334</v>
      </c>
      <c r="Y198">
        <f t="shared" ca="1" si="57"/>
        <v>-1.2128009152088453</v>
      </c>
      <c r="Z198">
        <f t="shared" ca="1" si="59"/>
        <v>-1.0170833924316911</v>
      </c>
      <c r="AA198">
        <f t="shared" ca="1" si="60"/>
        <v>-0.19571752277715415</v>
      </c>
      <c r="AB198">
        <f t="shared" ca="1" si="61"/>
        <v>154.51910000000001</v>
      </c>
    </row>
    <row r="199" spans="1:28" x14ac:dyDescent="0.25">
      <c r="A199" s="20">
        <f t="shared" ca="1" si="62"/>
        <v>45999</v>
      </c>
      <c r="B199" vm="587">
        <f ca="1"/>
        <v>46000</v>
      </c>
      <c r="C199" vm="588">
        <f ca="1"/>
        <v>148.49</v>
      </c>
      <c r="D199" vm="589">
        <f ca="1"/>
        <v>8916749</v>
      </c>
      <c r="E199">
        <f t="shared" ca="1" si="63"/>
        <v>1324048059.01</v>
      </c>
      <c r="F199">
        <f ca="1">SUM($E$2:E199)/SUM($D$2:D199)</f>
        <v>150.10386922707949</v>
      </c>
      <c r="G199">
        <f ca="1">_xlfn.STDEV.P($C$2:C199)</f>
        <v>8.2552249117165939</v>
      </c>
      <c r="H199">
        <f t="shared" ca="1" si="64"/>
        <v>158.35909413879608</v>
      </c>
      <c r="I199">
        <f t="shared" ca="1" si="65"/>
        <v>141.84864431536289</v>
      </c>
      <c r="J199">
        <f t="shared" ca="1" si="53"/>
        <v>151.79749999999999</v>
      </c>
      <c r="K199">
        <f t="shared" ca="1" si="54"/>
        <v>2.672455750212174</v>
      </c>
      <c r="L199">
        <f t="shared" ca="1" si="55"/>
        <v>157.14241150042434</v>
      </c>
      <c r="M199">
        <f t="shared" ca="1" si="56"/>
        <v>146.45258849957563</v>
      </c>
      <c r="N199">
        <f t="shared" ca="1" si="66"/>
        <v>-0.21999999999999886</v>
      </c>
      <c r="O199">
        <f t="shared" ca="1" si="67"/>
        <v>0</v>
      </c>
      <c r="P199">
        <f t="shared" ca="1" si="68"/>
        <v>0.21999999999999886</v>
      </c>
      <c r="Q199">
        <f t="shared" ca="1" si="51"/>
        <v>0.54686580487364878</v>
      </c>
      <c r="R199">
        <f t="shared" ca="1" si="52"/>
        <v>0.80560566306696602</v>
      </c>
      <c r="S199">
        <f t="shared" ca="1" si="49"/>
        <v>0.67882567110031666</v>
      </c>
      <c r="T199">
        <f t="shared" ca="1" si="50"/>
        <v>40.434553913832431</v>
      </c>
      <c r="U199">
        <f>70</f>
        <v>70</v>
      </c>
      <c r="V199">
        <f>30</f>
        <v>30</v>
      </c>
      <c r="W199">
        <f t="shared" ca="1" si="48"/>
        <v>150.57569934000725</v>
      </c>
      <c r="X199">
        <f t="shared" ca="1" si="58"/>
        <v>151.78850025521609</v>
      </c>
      <c r="Y199">
        <f t="shared" ca="1" si="57"/>
        <v>-1.0564099115757415</v>
      </c>
      <c r="Z199">
        <f t="shared" ca="1" si="59"/>
        <v>-1.0249486962605012</v>
      </c>
      <c r="AA199">
        <f t="shared" ca="1" si="60"/>
        <v>-3.1461215315240265E-2</v>
      </c>
      <c r="AB199">
        <f t="shared" ca="1" si="61"/>
        <v>154.50359999999998</v>
      </c>
    </row>
    <row r="200" spans="1:28" x14ac:dyDescent="0.25">
      <c r="A200" s="20">
        <f t="shared" ca="1" si="62"/>
        <v>45999</v>
      </c>
      <c r="B200" vm="590">
        <f ca="1"/>
        <v>46001</v>
      </c>
      <c r="C200" vm="591">
        <f ca="1"/>
        <v>151.41</v>
      </c>
      <c r="D200" vm="592">
        <f ca="1"/>
        <v>10976295</v>
      </c>
      <c r="E200">
        <f t="shared" ca="1" si="63"/>
        <v>1661920825.95</v>
      </c>
      <c r="F200">
        <f ca="1">SUM($E$2:E200)/SUM($D$2:D200)</f>
        <v>150.11175165423774</v>
      </c>
      <c r="G200">
        <f ca="1">_xlfn.STDEV.P($C$2:C200)</f>
        <v>8.2346610513266789</v>
      </c>
      <c r="H200">
        <f t="shared" ca="1" si="64"/>
        <v>158.3464127055644</v>
      </c>
      <c r="I200">
        <f t="shared" ca="1" si="65"/>
        <v>141.87709060291107</v>
      </c>
      <c r="J200">
        <f t="shared" ca="1" si="53"/>
        <v>151.55599999999998</v>
      </c>
      <c r="K200">
        <f t="shared" ca="1" si="54"/>
        <v>2.4596349750575426</v>
      </c>
      <c r="L200">
        <f t="shared" ca="1" si="55"/>
        <v>156.47526995011506</v>
      </c>
      <c r="M200">
        <f t="shared" ca="1" si="56"/>
        <v>146.6367300498849</v>
      </c>
      <c r="N200">
        <f t="shared" ca="1" si="66"/>
        <v>2.9199999999999875</v>
      </c>
      <c r="O200">
        <f t="shared" ca="1" si="67"/>
        <v>2.9199999999999875</v>
      </c>
      <c r="P200">
        <f t="shared" ca="1" si="68"/>
        <v>0</v>
      </c>
      <c r="Q200">
        <f t="shared" ca="1" si="51"/>
        <v>0.71637539023981589</v>
      </c>
      <c r="R200">
        <f t="shared" ca="1" si="52"/>
        <v>0.74806240141932556</v>
      </c>
      <c r="S200">
        <f t="shared" ca="1" si="49"/>
        <v>0.95764121934294688</v>
      </c>
      <c r="T200">
        <f t="shared" ca="1" si="50"/>
        <v>48.918116858224145</v>
      </c>
      <c r="U200">
        <f>70</f>
        <v>70</v>
      </c>
      <c r="V200">
        <f>30</f>
        <v>30</v>
      </c>
      <c r="W200">
        <f t="shared" ca="1" si="48"/>
        <v>150.70405328769843</v>
      </c>
      <c r="X200">
        <f t="shared" ca="1" si="58"/>
        <v>151.76046319927417</v>
      </c>
      <c r="Y200">
        <f t="shared" ca="1" si="57"/>
        <v>-0.9768852231272831</v>
      </c>
      <c r="Z200">
        <f t="shared" ca="1" si="59"/>
        <v>-1.0153360016338577</v>
      </c>
      <c r="AA200">
        <f t="shared" ca="1" si="60"/>
        <v>3.8450778506574634E-2</v>
      </c>
      <c r="AB200">
        <f t="shared" ca="1" si="61"/>
        <v>154.52090000000001</v>
      </c>
    </row>
    <row r="201" spans="1:28" x14ac:dyDescent="0.25">
      <c r="A201" s="20">
        <f t="shared" ca="1" si="62"/>
        <v>45999</v>
      </c>
      <c r="B201" vm="593">
        <f ca="1"/>
        <v>46002</v>
      </c>
      <c r="C201" vm="594">
        <f ca="1"/>
        <v>150.72</v>
      </c>
      <c r="D201" vm="595">
        <f ca="1"/>
        <v>8414160</v>
      </c>
      <c r="E201">
        <f t="shared" ca="1" si="63"/>
        <v>1268182195.2</v>
      </c>
      <c r="F201">
        <f ca="1">SUM($E$2:E201)/SUM($D$2:D201)</f>
        <v>150.11455260012315</v>
      </c>
      <c r="G201">
        <f ca="1">_xlfn.STDEV.P($C$2:C201)</f>
        <v>8.2140533841398948</v>
      </c>
      <c r="H201">
        <f t="shared" ca="1" si="64"/>
        <v>158.32860598426305</v>
      </c>
      <c r="I201">
        <f t="shared" ca="1" si="65"/>
        <v>141.90049921598325</v>
      </c>
      <c r="J201">
        <f t="shared" ca="1" si="53"/>
        <v>151.42599999999999</v>
      </c>
      <c r="K201">
        <f t="shared" ca="1" si="54"/>
        <v>2.4300257741756357</v>
      </c>
      <c r="L201">
        <f t="shared" ca="1" si="55"/>
        <v>156.28605154835125</v>
      </c>
      <c r="M201">
        <f t="shared" ca="1" si="56"/>
        <v>146.56594845164872</v>
      </c>
      <c r="N201">
        <f t="shared" ca="1" si="66"/>
        <v>-0.68999999999999773</v>
      </c>
      <c r="O201">
        <f t="shared" ca="1" si="67"/>
        <v>0</v>
      </c>
      <c r="P201">
        <f t="shared" ca="1" si="68"/>
        <v>0.68999999999999773</v>
      </c>
      <c r="Q201">
        <f t="shared" ca="1" si="51"/>
        <v>0.66520571950840046</v>
      </c>
      <c r="R201">
        <f t="shared" ca="1" si="52"/>
        <v>0.74391508703223075</v>
      </c>
      <c r="S201">
        <f t="shared" ca="1" si="49"/>
        <v>0.89419576387698652</v>
      </c>
      <c r="T201">
        <f t="shared" ca="1" si="50"/>
        <v>47.207146216332561</v>
      </c>
      <c r="U201">
        <f>70</f>
        <v>70</v>
      </c>
      <c r="V201">
        <f>30</f>
        <v>30</v>
      </c>
      <c r="W201">
        <f t="shared" ca="1" si="48"/>
        <v>150.70650662805252</v>
      </c>
      <c r="X201">
        <f t="shared" ca="1" si="58"/>
        <v>151.68339185117981</v>
      </c>
      <c r="Y201">
        <f t="shared" ca="1" si="57"/>
        <v>-0.9616805786377256</v>
      </c>
      <c r="Z201">
        <f t="shared" ca="1" si="59"/>
        <v>-1.0046049170346314</v>
      </c>
      <c r="AA201">
        <f t="shared" ca="1" si="60"/>
        <v>4.2924338396905792E-2</v>
      </c>
      <c r="AB201">
        <f t="shared" ca="1" si="61"/>
        <v>154.52770000000001</v>
      </c>
    </row>
    <row r="202" spans="1:28" x14ac:dyDescent="0.25">
      <c r="A202" s="20">
        <f t="shared" ca="1" si="62"/>
        <v>45999</v>
      </c>
      <c r="B202" vm="596">
        <f ca="1"/>
        <v>46003</v>
      </c>
      <c r="C202" vm="597">
        <f ca="1"/>
        <v>149.99</v>
      </c>
      <c r="D202" vm="598">
        <f ca="1"/>
        <v>5848050</v>
      </c>
      <c r="E202">
        <f t="shared" ca="1" si="63"/>
        <v>877149019.5</v>
      </c>
      <c r="F202">
        <f ca="1">SUM($E$2:E202)/SUM($D$2:D202)</f>
        <v>150.11415523556289</v>
      </c>
      <c r="G202">
        <f ca="1">_xlfn.STDEV.P($C$2:C202)</f>
        <v>8.19370549068476</v>
      </c>
      <c r="H202">
        <f t="shared" ca="1" si="64"/>
        <v>158.30786072624764</v>
      </c>
      <c r="I202">
        <f t="shared" ca="1" si="65"/>
        <v>141.92044974487814</v>
      </c>
      <c r="J202">
        <f t="shared" ca="1" si="53"/>
        <v>151.14649999999997</v>
      </c>
      <c r="K202">
        <f t="shared" ca="1" si="54"/>
        <v>2.241233858954998</v>
      </c>
      <c r="L202">
        <f t="shared" ca="1" si="55"/>
        <v>155.62896771790997</v>
      </c>
      <c r="M202">
        <f t="shared" ca="1" si="56"/>
        <v>146.66403228208998</v>
      </c>
      <c r="N202">
        <f t="shared" ca="1" si="66"/>
        <v>-0.72999999999998977</v>
      </c>
      <c r="O202">
        <f t="shared" ca="1" si="67"/>
        <v>0</v>
      </c>
      <c r="P202">
        <f t="shared" ca="1" si="68"/>
        <v>0.72999999999998977</v>
      </c>
      <c r="Q202">
        <f t="shared" ca="1" si="51"/>
        <v>0.6176910252578004</v>
      </c>
      <c r="R202">
        <f t="shared" ca="1" si="52"/>
        <v>0.74292115224421351</v>
      </c>
      <c r="S202">
        <f t="shared" ca="1" si="49"/>
        <v>0.83143550751231354</v>
      </c>
      <c r="T202">
        <f t="shared" ca="1" si="50"/>
        <v>45.39802270415047</v>
      </c>
      <c r="U202">
        <f>70</f>
        <v>70</v>
      </c>
      <c r="V202">
        <f>30</f>
        <v>30</v>
      </c>
      <c r="W202">
        <f t="shared" ca="1" si="48"/>
        <v>150.59627483912135</v>
      </c>
      <c r="X202">
        <f t="shared" ca="1" si="58"/>
        <v>151.55795541775908</v>
      </c>
      <c r="Y202">
        <f t="shared" ca="1" si="57"/>
        <v>-0.95396548020698901</v>
      </c>
      <c r="Z202">
        <f t="shared" ca="1" si="59"/>
        <v>-0.99447702966910301</v>
      </c>
      <c r="AA202">
        <f t="shared" ca="1" si="60"/>
        <v>4.0511549462113994E-2</v>
      </c>
      <c r="AB202">
        <f t="shared" ca="1" si="61"/>
        <v>154.49639999999999</v>
      </c>
    </row>
    <row r="203" spans="1:28" x14ac:dyDescent="0.25">
      <c r="A203" s="20">
        <f t="shared" ca="1" si="62"/>
        <v>46006</v>
      </c>
      <c r="B203" vm="599">
        <f ca="1"/>
        <v>46006</v>
      </c>
      <c r="C203" vm="600">
        <f ca="1"/>
        <v>149.80000000000001</v>
      </c>
      <c r="D203" vm="601">
        <f ca="1"/>
        <v>7502951</v>
      </c>
      <c r="E203">
        <f t="shared" ca="1" si="63"/>
        <v>1123942059.8000002</v>
      </c>
      <c r="F203">
        <f ca="1">SUM($E$2:E203)/SUM($D$2:D203)</f>
        <v>150.11287459378738</v>
      </c>
      <c r="G203">
        <f ca="1">_xlfn.STDEV.P($C$2:C203)</f>
        <v>8.1735878690495039</v>
      </c>
      <c r="H203">
        <f t="shared" ca="1" si="64"/>
        <v>158.28646246283688</v>
      </c>
      <c r="I203">
        <f t="shared" ca="1" si="65"/>
        <v>141.93928672473788</v>
      </c>
      <c r="J203">
        <f t="shared" ca="1" si="53"/>
        <v>150.75549999999998</v>
      </c>
      <c r="K203">
        <f t="shared" ca="1" si="54"/>
        <v>1.6589263331888364</v>
      </c>
      <c r="L203">
        <f t="shared" ca="1" si="55"/>
        <v>154.07335266637764</v>
      </c>
      <c r="M203">
        <f t="shared" ca="1" si="56"/>
        <v>147.43764733362232</v>
      </c>
      <c r="N203">
        <f t="shared" ca="1" si="66"/>
        <v>-0.18999999999999773</v>
      </c>
      <c r="O203">
        <f t="shared" ca="1" si="67"/>
        <v>0</v>
      </c>
      <c r="P203">
        <f t="shared" ca="1" si="68"/>
        <v>0.18999999999999773</v>
      </c>
      <c r="Q203">
        <f t="shared" ca="1" si="51"/>
        <v>0.57357023773938598</v>
      </c>
      <c r="R203">
        <f t="shared" ca="1" si="52"/>
        <v>0.70342678422676952</v>
      </c>
      <c r="S203">
        <f t="shared" ca="1" si="49"/>
        <v>0.81539436740367199</v>
      </c>
      <c r="T203">
        <f t="shared" ca="1" si="50"/>
        <v>44.915550144061918</v>
      </c>
      <c r="U203">
        <f>70</f>
        <v>70</v>
      </c>
      <c r="V203">
        <f>30</f>
        <v>30</v>
      </c>
      <c r="W203">
        <f t="shared" ca="1" si="48"/>
        <v>150.47377101771806</v>
      </c>
      <c r="X203">
        <f t="shared" ca="1" si="58"/>
        <v>151.42773649792505</v>
      </c>
      <c r="Y203">
        <f t="shared" ca="1" si="57"/>
        <v>-1.1803543292404015</v>
      </c>
      <c r="Z203">
        <f t="shared" ca="1" si="59"/>
        <v>-1.0316524895833628</v>
      </c>
      <c r="AA203">
        <f t="shared" ca="1" si="60"/>
        <v>-0.14870183965703876</v>
      </c>
      <c r="AB203">
        <f t="shared" ca="1" si="61"/>
        <v>154.43609999999998</v>
      </c>
    </row>
    <row r="204" spans="1:28" x14ac:dyDescent="0.25">
      <c r="A204" s="20">
        <f t="shared" ca="1" si="62"/>
        <v>46006</v>
      </c>
      <c r="B204" vm="602">
        <f ca="1"/>
        <v>46007</v>
      </c>
      <c r="C204" vm="603">
        <f ca="1"/>
        <v>146.75</v>
      </c>
      <c r="D204" vm="604">
        <f ca="1"/>
        <v>11290538</v>
      </c>
      <c r="E204">
        <f t="shared" ca="1" si="63"/>
        <v>1656886451.5</v>
      </c>
      <c r="F204">
        <f ca="1">SUM($E$2:E204)/SUM($D$2:D204)</f>
        <v>150.09237144319357</v>
      </c>
      <c r="G204">
        <f ca="1">_xlfn.STDEV.P($C$2:C204)</f>
        <v>8.1578577793891043</v>
      </c>
      <c r="H204">
        <f t="shared" ca="1" si="64"/>
        <v>158.25022922258267</v>
      </c>
      <c r="I204">
        <f t="shared" ca="1" si="65"/>
        <v>141.93451366380447</v>
      </c>
      <c r="J204">
        <f t="shared" ca="1" si="53"/>
        <v>150.352</v>
      </c>
      <c r="K204">
        <f t="shared" ca="1" si="54"/>
        <v>1.5986230917491706</v>
      </c>
      <c r="L204">
        <f t="shared" ca="1" si="55"/>
        <v>153.54924618349835</v>
      </c>
      <c r="M204">
        <f t="shared" ca="1" si="56"/>
        <v>147.15475381650165</v>
      </c>
      <c r="N204">
        <f t="shared" ca="1" si="66"/>
        <v>-3.0500000000000114</v>
      </c>
      <c r="O204">
        <f t="shared" ca="1" si="67"/>
        <v>0</v>
      </c>
      <c r="P204">
        <f t="shared" ca="1" si="68"/>
        <v>3.0500000000000114</v>
      </c>
      <c r="Q204">
        <f t="shared" ca="1" si="51"/>
        <v>0.53260093504371553</v>
      </c>
      <c r="R204">
        <f t="shared" ca="1" si="52"/>
        <v>0.87103915678200106</v>
      </c>
      <c r="S204">
        <f t="shared" ca="1" si="49"/>
        <v>0.61145464115686365</v>
      </c>
      <c r="T204">
        <f t="shared" ca="1" si="50"/>
        <v>37.944266350426112</v>
      </c>
      <c r="U204">
        <f>70</f>
        <v>70</v>
      </c>
      <c r="V204">
        <f>30</f>
        <v>30</v>
      </c>
      <c r="W204">
        <f t="shared" ca="1" si="48"/>
        <v>149.90088316883836</v>
      </c>
      <c r="X204">
        <f t="shared" ca="1" si="58"/>
        <v>151.08123749807876</v>
      </c>
      <c r="Y204">
        <f t="shared" ca="1" si="57"/>
        <v>-1.1233045177510235</v>
      </c>
      <c r="Z204">
        <f t="shared" ca="1" si="59"/>
        <v>-1.049982895216895</v>
      </c>
      <c r="AA204">
        <f t="shared" ca="1" si="60"/>
        <v>-7.3321622534128439E-2</v>
      </c>
      <c r="AB204">
        <f t="shared" ca="1" si="61"/>
        <v>154.3552</v>
      </c>
    </row>
    <row r="205" spans="1:28" x14ac:dyDescent="0.25">
      <c r="A205" s="20">
        <f t="shared" ca="1" si="62"/>
        <v>46006</v>
      </c>
      <c r="B205" vm="605">
        <f ca="1"/>
        <v>46008</v>
      </c>
      <c r="C205" vm="606">
        <f ca="1"/>
        <v>149.52000000000001</v>
      </c>
      <c r="D205" vm="607">
        <f ca="1"/>
        <v>8805268</v>
      </c>
      <c r="E205">
        <f t="shared" ca="1" si="63"/>
        <v>1316563671.3600001</v>
      </c>
      <c r="F205">
        <f ca="1">SUM($E$2:E205)/SUM($D$2:D205)</f>
        <v>150.08966277559298</v>
      </c>
      <c r="G205">
        <f ca="1">_xlfn.STDEV.P($C$2:C205)</f>
        <v>8.1381683285757269</v>
      </c>
      <c r="H205">
        <f t="shared" ca="1" si="64"/>
        <v>158.2278311041687</v>
      </c>
      <c r="I205">
        <f t="shared" ca="1" si="65"/>
        <v>141.95149444701727</v>
      </c>
      <c r="J205">
        <f t="shared" ca="1" si="53"/>
        <v>150.14699999999999</v>
      </c>
      <c r="K205">
        <f t="shared" ca="1" si="54"/>
        <v>1.4091471851704045</v>
      </c>
      <c r="L205">
        <f t="shared" ca="1" si="55"/>
        <v>152.96529437034081</v>
      </c>
      <c r="M205">
        <f t="shared" ca="1" si="56"/>
        <v>147.32870562965917</v>
      </c>
      <c r="N205">
        <f t="shared" ca="1" si="66"/>
        <v>2.7700000000000102</v>
      </c>
      <c r="O205">
        <f t="shared" ca="1" si="67"/>
        <v>2.7700000000000102</v>
      </c>
      <c r="P205">
        <f t="shared" ca="1" si="68"/>
        <v>0</v>
      </c>
      <c r="Q205">
        <f t="shared" ca="1" si="51"/>
        <v>0.6924151539691652</v>
      </c>
      <c r="R205">
        <f t="shared" ca="1" si="52"/>
        <v>0.8088220741547153</v>
      </c>
      <c r="S205">
        <f t="shared" ca="1" si="49"/>
        <v>0.85607845791399206</v>
      </c>
      <c r="T205">
        <f t="shared" ca="1" si="50"/>
        <v>46.122967176512617</v>
      </c>
      <c r="U205">
        <f>70</f>
        <v>70</v>
      </c>
      <c r="V205">
        <f>30</f>
        <v>30</v>
      </c>
      <c r="W205">
        <f t="shared" ca="1" si="48"/>
        <v>149.84228575824784</v>
      </c>
      <c r="X205">
        <f t="shared" ca="1" si="58"/>
        <v>150.96559027599886</v>
      </c>
      <c r="Y205">
        <f t="shared" ca="1" si="57"/>
        <v>-1.2117890868946404</v>
      </c>
      <c r="Z205">
        <f t="shared" ca="1" si="59"/>
        <v>-1.0823441335524442</v>
      </c>
      <c r="AA205">
        <f t="shared" ca="1" si="60"/>
        <v>-0.12944495334219619</v>
      </c>
      <c r="AB205">
        <f t="shared" ca="1" si="61"/>
        <v>154.2876</v>
      </c>
    </row>
    <row r="206" spans="1:28" x14ac:dyDescent="0.25">
      <c r="A206" s="20">
        <f t="shared" ca="1" si="62"/>
        <v>46006</v>
      </c>
      <c r="B206" vm="608">
        <f ca="1"/>
        <v>46009</v>
      </c>
      <c r="C206" vm="609">
        <f ca="1"/>
        <v>147.69</v>
      </c>
      <c r="D206" vm="610">
        <f ca="1"/>
        <v>6998843</v>
      </c>
      <c r="E206">
        <f t="shared" ca="1" si="63"/>
        <v>1033659122.67</v>
      </c>
      <c r="F206">
        <f ca="1">SUM($E$2:E206)/SUM($D$2:D206)</f>
        <v>150.08067026191426</v>
      </c>
      <c r="G206">
        <f ca="1">_xlfn.STDEV.P($C$2:C206)</f>
        <v>8.1207639012031336</v>
      </c>
      <c r="H206">
        <f t="shared" ca="1" si="64"/>
        <v>158.2014341631174</v>
      </c>
      <c r="I206">
        <f t="shared" ca="1" si="65"/>
        <v>141.95990636071113</v>
      </c>
      <c r="J206">
        <f t="shared" ca="1" si="53"/>
        <v>149.94650000000001</v>
      </c>
      <c r="K206">
        <f t="shared" ca="1" si="54"/>
        <v>1.4608803221994149</v>
      </c>
      <c r="L206">
        <f t="shared" ca="1" si="55"/>
        <v>152.86826064439884</v>
      </c>
      <c r="M206">
        <f t="shared" ca="1" si="56"/>
        <v>147.02473935560118</v>
      </c>
      <c r="N206">
        <f t="shared" ca="1" si="66"/>
        <v>-1.8300000000000125</v>
      </c>
      <c r="O206">
        <f t="shared" ca="1" si="67"/>
        <v>0</v>
      </c>
      <c r="P206">
        <f t="shared" ca="1" si="68"/>
        <v>1.8300000000000125</v>
      </c>
      <c r="Q206">
        <f t="shared" ca="1" si="51"/>
        <v>0.64295692868565346</v>
      </c>
      <c r="R206">
        <f t="shared" ca="1" si="52"/>
        <v>0.88176335457223654</v>
      </c>
      <c r="S206">
        <f t="shared" ca="1" si="49"/>
        <v>0.72917175039278703</v>
      </c>
      <c r="T206">
        <f t="shared" ca="1" si="50"/>
        <v>42.168844721593054</v>
      </c>
      <c r="U206">
        <f>70</f>
        <v>70</v>
      </c>
      <c r="V206">
        <f>30</f>
        <v>30</v>
      </c>
      <c r="W206">
        <f t="shared" ca="1" si="48"/>
        <v>149.51116487236357</v>
      </c>
      <c r="X206">
        <f t="shared" ca="1" si="58"/>
        <v>150.72295395925821</v>
      </c>
      <c r="Y206">
        <f t="shared" ca="1" si="57"/>
        <v>-1.2625187169998355</v>
      </c>
      <c r="Z206">
        <f t="shared" ca="1" si="59"/>
        <v>-1.1183790502419224</v>
      </c>
      <c r="AA206">
        <f t="shared" ca="1" si="60"/>
        <v>-0.14413966675791312</v>
      </c>
      <c r="AB206">
        <f t="shared" ca="1" si="61"/>
        <v>154.1942</v>
      </c>
    </row>
    <row r="207" spans="1:28" x14ac:dyDescent="0.25">
      <c r="A207" s="20">
        <f t="shared" ca="1" si="62"/>
        <v>46006</v>
      </c>
      <c r="B207" vm="611">
        <f ca="1"/>
        <v>46010</v>
      </c>
      <c r="C207" vm="612">
        <f ca="1"/>
        <v>147.75</v>
      </c>
      <c r="D207" vm="613">
        <f ca="1"/>
        <v>21701435</v>
      </c>
      <c r="E207">
        <f t="shared" ca="1" si="63"/>
        <v>3206387021.25</v>
      </c>
      <c r="F207">
        <f ca="1">SUM($E$2:E207)/SUM($D$2:D207)</f>
        <v>150.05389975029959</v>
      </c>
      <c r="G207">
        <f ca="1">_xlfn.STDEV.P($C$2:C207)</f>
        <v>8.1033664853090848</v>
      </c>
      <c r="H207">
        <f t="shared" ca="1" si="64"/>
        <v>158.15726623560869</v>
      </c>
      <c r="I207">
        <f t="shared" ca="1" si="65"/>
        <v>141.9505332649905</v>
      </c>
      <c r="J207">
        <f t="shared" ca="1" si="53"/>
        <v>149.8185</v>
      </c>
      <c r="K207">
        <f t="shared" ca="1" si="54"/>
        <v>1.5374971972588893</v>
      </c>
      <c r="L207">
        <f t="shared" ca="1" si="55"/>
        <v>152.89349439451777</v>
      </c>
      <c r="M207">
        <f t="shared" ca="1" si="56"/>
        <v>146.74350560548223</v>
      </c>
      <c r="N207">
        <f t="shared" ca="1" si="66"/>
        <v>6.0000000000002274E-2</v>
      </c>
      <c r="O207">
        <f t="shared" ca="1" si="67"/>
        <v>6.0000000000002274E-2</v>
      </c>
      <c r="P207">
        <f t="shared" ca="1" si="68"/>
        <v>0</v>
      </c>
      <c r="Q207">
        <f t="shared" ca="1" si="51"/>
        <v>0.60131714806524983</v>
      </c>
      <c r="R207">
        <f t="shared" ca="1" si="52"/>
        <v>0.81878025781707675</v>
      </c>
      <c r="S207">
        <f t="shared" ca="1" si="49"/>
        <v>0.73440601715092857</v>
      </c>
      <c r="T207">
        <f t="shared" ca="1" si="50"/>
        <v>42.343373459769332</v>
      </c>
      <c r="U207">
        <f>70</f>
        <v>70</v>
      </c>
      <c r="V207">
        <f>30</f>
        <v>30</v>
      </c>
      <c r="W207">
        <f t="shared" ref="W207:W252" ca="1" si="69">C207*(2/(12+1)) + W206*(1-(2/(12+1)))</f>
        <v>149.24021643046149</v>
      </c>
      <c r="X207">
        <f t="shared" ca="1" si="58"/>
        <v>150.50273514746132</v>
      </c>
      <c r="Y207">
        <f t="shared" ca="1" si="57"/>
        <v>-1.1243437124725517</v>
      </c>
      <c r="Z207">
        <f t="shared" ca="1" si="59"/>
        <v>-1.1195719826880484</v>
      </c>
      <c r="AA207">
        <f t="shared" ca="1" si="60"/>
        <v>-4.7717297845033535E-3</v>
      </c>
      <c r="AB207">
        <f t="shared" ca="1" si="61"/>
        <v>154.1361</v>
      </c>
    </row>
    <row r="208" spans="1:28" x14ac:dyDescent="0.25">
      <c r="A208" s="20">
        <f t="shared" ca="1" si="62"/>
        <v>46013</v>
      </c>
      <c r="B208" vm="614">
        <f ca="1"/>
        <v>46013</v>
      </c>
      <c r="C208" vm="600">
        <f ca="1"/>
        <v>149.80000000000001</v>
      </c>
      <c r="D208" vm="615">
        <f ca="1"/>
        <v>8143618</v>
      </c>
      <c r="E208">
        <f t="shared" ca="1" si="63"/>
        <v>1219913976.4000001</v>
      </c>
      <c r="F208">
        <f ca="1">SUM($E$2:E208)/SUM($D$2:D208)</f>
        <v>150.05281006988233</v>
      </c>
      <c r="G208">
        <f ca="1">_xlfn.STDEV.P($C$2:C208)</f>
        <v>8.0839306741426284</v>
      </c>
      <c r="H208">
        <f t="shared" ca="1" si="64"/>
        <v>158.13674074402496</v>
      </c>
      <c r="I208">
        <f t="shared" ca="1" si="65"/>
        <v>141.96887939573969</v>
      </c>
      <c r="J208">
        <f t="shared" ca="1" si="53"/>
        <v>149.80950000000001</v>
      </c>
      <c r="K208">
        <f t="shared" ca="1" si="54"/>
        <v>1.5370288323837455</v>
      </c>
      <c r="L208">
        <f t="shared" ca="1" si="55"/>
        <v>152.88355766476749</v>
      </c>
      <c r="M208">
        <f t="shared" ca="1" si="56"/>
        <v>146.73544233523253</v>
      </c>
      <c r="N208">
        <f t="shared" ca="1" si="66"/>
        <v>2.0500000000000114</v>
      </c>
      <c r="O208">
        <f t="shared" ca="1" si="67"/>
        <v>2.0500000000000114</v>
      </c>
      <c r="P208">
        <f t="shared" ca="1" si="68"/>
        <v>0</v>
      </c>
      <c r="Q208">
        <f t="shared" ca="1" si="51"/>
        <v>0.7047944946320186</v>
      </c>
      <c r="R208">
        <f t="shared" ca="1" si="52"/>
        <v>0.76029595368728553</v>
      </c>
      <c r="S208">
        <f t="shared" ref="S208:S252" ca="1" si="70">IF(R208=0,NA(),Q208/R208)</f>
        <v>0.92700019145689805</v>
      </c>
      <c r="T208">
        <f t="shared" ref="T208:T252" ca="1" si="71">100-(100/(1+S208))</f>
        <v>48.105869193300109</v>
      </c>
      <c r="U208">
        <f>70</f>
        <v>70</v>
      </c>
      <c r="V208">
        <f>30</f>
        <v>30</v>
      </c>
      <c r="W208">
        <f t="shared" ca="1" si="69"/>
        <v>149.32633697962126</v>
      </c>
      <c r="X208">
        <f t="shared" ca="1" si="58"/>
        <v>150.45068069209381</v>
      </c>
      <c r="Y208">
        <f t="shared" ca="1" si="57"/>
        <v>-0.9466357321452108</v>
      </c>
      <c r="Z208">
        <f t="shared" ca="1" si="59"/>
        <v>-1.084984732579481</v>
      </c>
      <c r="AA208">
        <f t="shared" ca="1" si="60"/>
        <v>0.13834900043427023</v>
      </c>
      <c r="AB208">
        <f t="shared" ca="1" si="61"/>
        <v>154.11770000000001</v>
      </c>
    </row>
    <row r="209" spans="1:28" x14ac:dyDescent="0.25">
      <c r="A209" s="20">
        <f t="shared" ca="1" si="62"/>
        <v>46013</v>
      </c>
      <c r="B209" vm="616">
        <f ca="1"/>
        <v>46014</v>
      </c>
      <c r="C209" vm="617">
        <f ca="1"/>
        <v>150.51</v>
      </c>
      <c r="D209" vm="618">
        <f ca="1"/>
        <v>4663665</v>
      </c>
      <c r="E209">
        <f t="shared" ca="1" si="63"/>
        <v>701928219.14999998</v>
      </c>
      <c r="F209">
        <f ca="1">SUM($E$2:E209)/SUM($D$2:D209)</f>
        <v>150.05393099701507</v>
      </c>
      <c r="G209">
        <f ca="1">_xlfn.STDEV.P($C$2:C209)</f>
        <v>8.0644748900023995</v>
      </c>
      <c r="H209">
        <f t="shared" ca="1" si="64"/>
        <v>158.11840588701747</v>
      </c>
      <c r="I209">
        <f t="shared" ca="1" si="65"/>
        <v>141.98945610701267</v>
      </c>
      <c r="J209">
        <f t="shared" ca="1" si="53"/>
        <v>149.84750000000003</v>
      </c>
      <c r="K209">
        <f t="shared" ca="1" si="54"/>
        <v>1.5448552137915512</v>
      </c>
      <c r="L209">
        <f t="shared" ca="1" si="55"/>
        <v>152.93721042758312</v>
      </c>
      <c r="M209">
        <f t="shared" ca="1" si="56"/>
        <v>146.75778957241693</v>
      </c>
      <c r="N209">
        <f t="shared" ca="1" si="66"/>
        <v>0.70999999999997954</v>
      </c>
      <c r="O209">
        <f t="shared" ca="1" si="67"/>
        <v>0.70999999999997954</v>
      </c>
      <c r="P209">
        <f t="shared" ca="1" si="68"/>
        <v>0</v>
      </c>
      <c r="Q209">
        <f t="shared" ref="Q209:Q252" ca="1" si="72">(Q208*13+O209)/14</f>
        <v>0.70516631644401584</v>
      </c>
      <c r="R209">
        <f t="shared" ref="R209:R252" ca="1" si="73">(R208*13+P209)/14</f>
        <v>0.70598909985247948</v>
      </c>
      <c r="S209">
        <f t="shared" ca="1" si="70"/>
        <v>0.99883456641379365</v>
      </c>
      <c r="T209">
        <f t="shared" ca="1" si="71"/>
        <v>49.970847172502694</v>
      </c>
      <c r="U209">
        <f>70</f>
        <v>70</v>
      </c>
      <c r="V209">
        <f>30</f>
        <v>30</v>
      </c>
      <c r="W209">
        <f t="shared" ca="1" si="69"/>
        <v>149.50843898275645</v>
      </c>
      <c r="X209">
        <f t="shared" ca="1" si="58"/>
        <v>150.45507471490166</v>
      </c>
      <c r="Y209">
        <f t="shared" ca="1" si="57"/>
        <v>-0.79741568223468562</v>
      </c>
      <c r="Z209">
        <f t="shared" ca="1" si="59"/>
        <v>-1.0274709225105219</v>
      </c>
      <c r="AA209">
        <f t="shared" ca="1" si="60"/>
        <v>0.23005524027583624</v>
      </c>
      <c r="AB209">
        <f t="shared" ca="1" si="61"/>
        <v>154.1088</v>
      </c>
    </row>
    <row r="210" spans="1:28" x14ac:dyDescent="0.25">
      <c r="A210" s="20">
        <f t="shared" ca="1" si="62"/>
        <v>46013</v>
      </c>
      <c r="B210" vm="619">
        <f ca="1"/>
        <v>46015</v>
      </c>
      <c r="C210" vm="620">
        <f ca="1"/>
        <v>150.5</v>
      </c>
      <c r="D210" vm="621">
        <f ca="1"/>
        <v>2227609</v>
      </c>
      <c r="E210">
        <f t="shared" ca="1" si="63"/>
        <v>335255154.5</v>
      </c>
      <c r="F210">
        <f ca="1">SUM($E$2:E210)/SUM($D$2:D210)</f>
        <v>150.05445277540139</v>
      </c>
      <c r="G210">
        <f ca="1">_xlfn.STDEV.P($C$2:C210)</f>
        <v>8.045159071042491</v>
      </c>
      <c r="H210">
        <f t="shared" ca="1" si="64"/>
        <v>158.09961184644388</v>
      </c>
      <c r="I210">
        <f t="shared" ca="1" si="65"/>
        <v>142.0092937043589</v>
      </c>
      <c r="J210">
        <f t="shared" ca="1" si="53"/>
        <v>149.946</v>
      </c>
      <c r="K210">
        <f t="shared" ca="1" si="54"/>
        <v>1.5190176881268027</v>
      </c>
      <c r="L210">
        <f t="shared" ca="1" si="55"/>
        <v>152.98403537625362</v>
      </c>
      <c r="M210">
        <f t="shared" ca="1" si="56"/>
        <v>146.90796462374638</v>
      </c>
      <c r="N210">
        <f t="shared" ca="1" si="66"/>
        <v>-9.9999999999909051E-3</v>
      </c>
      <c r="O210">
        <f t="shared" ca="1" si="67"/>
        <v>0</v>
      </c>
      <c r="P210">
        <f t="shared" ca="1" si="68"/>
        <v>9.9999999999909051E-3</v>
      </c>
      <c r="Q210">
        <f t="shared" ca="1" si="72"/>
        <v>0.65479729384087182</v>
      </c>
      <c r="R210">
        <f t="shared" ca="1" si="73"/>
        <v>0.6562755927201589</v>
      </c>
      <c r="S210">
        <f t="shared" ca="1" si="70"/>
        <v>0.99774744193493503</v>
      </c>
      <c r="T210">
        <f t="shared" ca="1" si="71"/>
        <v>49.943622551635372</v>
      </c>
      <c r="U210">
        <f>70</f>
        <v>70</v>
      </c>
      <c r="V210">
        <f>30</f>
        <v>30</v>
      </c>
      <c r="W210">
        <f t="shared" ca="1" si="69"/>
        <v>149.66098683156315</v>
      </c>
      <c r="X210">
        <f t="shared" ca="1" si="58"/>
        <v>150.45840251379784</v>
      </c>
      <c r="Y210">
        <f t="shared" ca="1" si="57"/>
        <v>-0.70970862680923119</v>
      </c>
      <c r="Z210">
        <f t="shared" ca="1" si="59"/>
        <v>-0.96391846337026377</v>
      </c>
      <c r="AA210">
        <f t="shared" ca="1" si="60"/>
        <v>0.25420983656103258</v>
      </c>
      <c r="AB210">
        <f t="shared" ca="1" si="61"/>
        <v>154.10339999999999</v>
      </c>
    </row>
    <row r="211" spans="1:28" x14ac:dyDescent="0.25">
      <c r="A211" s="20">
        <f t="shared" ca="1" si="62"/>
        <v>46013</v>
      </c>
      <c r="B211" vm="622">
        <f ca="1"/>
        <v>46017</v>
      </c>
      <c r="C211" vm="623">
        <f ca="1"/>
        <v>150.02000000000001</v>
      </c>
      <c r="D211" vm="624">
        <f ca="1"/>
        <v>3706915</v>
      </c>
      <c r="E211">
        <f t="shared" ca="1" si="63"/>
        <v>556111388.30000007</v>
      </c>
      <c r="F211">
        <f ca="1">SUM($E$2:E211)/SUM($D$2:D211)</f>
        <v>150.05438584285037</v>
      </c>
      <c r="G211">
        <f ca="1">_xlfn.STDEV.P($C$2:C211)</f>
        <v>8.0260586300990155</v>
      </c>
      <c r="H211">
        <f t="shared" ca="1" si="64"/>
        <v>158.08044447294938</v>
      </c>
      <c r="I211">
        <f t="shared" ca="1" si="65"/>
        <v>142.02832721275135</v>
      </c>
      <c r="J211">
        <f t="shared" ca="1" si="53"/>
        <v>149.97150000000005</v>
      </c>
      <c r="K211">
        <f t="shared" ca="1" si="54"/>
        <v>1.5155901230387534</v>
      </c>
      <c r="L211">
        <f t="shared" ca="1" si="55"/>
        <v>153.00268024607755</v>
      </c>
      <c r="M211">
        <f t="shared" ca="1" si="56"/>
        <v>146.94031975392255</v>
      </c>
      <c r="N211">
        <f t="shared" ca="1" si="66"/>
        <v>-0.47999999999998977</v>
      </c>
      <c r="O211">
        <f t="shared" ca="1" si="67"/>
        <v>0</v>
      </c>
      <c r="P211">
        <f t="shared" ca="1" si="68"/>
        <v>0.47999999999998977</v>
      </c>
      <c r="Q211">
        <f t="shared" ca="1" si="72"/>
        <v>0.60802605856652381</v>
      </c>
      <c r="R211">
        <f t="shared" ca="1" si="73"/>
        <v>0.64368447895443259</v>
      </c>
      <c r="S211">
        <f t="shared" ca="1" si="70"/>
        <v>0.94460264065116117</v>
      </c>
      <c r="T211">
        <f t="shared" ca="1" si="71"/>
        <v>48.575612359286708</v>
      </c>
      <c r="U211">
        <f>70</f>
        <v>70</v>
      </c>
      <c r="V211">
        <f>30</f>
        <v>30</v>
      </c>
      <c r="W211">
        <f t="shared" ca="1" si="69"/>
        <v>149.71621962670727</v>
      </c>
      <c r="X211">
        <f t="shared" ca="1" si="58"/>
        <v>150.4259282535165</v>
      </c>
      <c r="Y211">
        <f t="shared" ca="1" si="57"/>
        <v>-0.55552550786552501</v>
      </c>
      <c r="Z211">
        <f t="shared" ca="1" si="59"/>
        <v>-0.88223987226931611</v>
      </c>
      <c r="AA211">
        <f t="shared" ca="1" si="60"/>
        <v>0.32671436440379109</v>
      </c>
      <c r="AB211">
        <f t="shared" ca="1" si="61"/>
        <v>154.07320000000001</v>
      </c>
    </row>
    <row r="212" spans="1:28" x14ac:dyDescent="0.25">
      <c r="A212" s="20">
        <f t="shared" ca="1" si="62"/>
        <v>46020</v>
      </c>
      <c r="B212" vm="625">
        <f ca="1"/>
        <v>46020</v>
      </c>
      <c r="C212" vm="626">
        <f ca="1"/>
        <v>150.99</v>
      </c>
      <c r="D212" vm="627">
        <f ca="1"/>
        <v>5589133</v>
      </c>
      <c r="E212">
        <f t="shared" ca="1" si="63"/>
        <v>843903191.67000008</v>
      </c>
      <c r="F212">
        <f ca="1">SUM($E$2:E212)/SUM($D$2:D212)</f>
        <v>150.05711841414592</v>
      </c>
      <c r="G212">
        <f ca="1">_xlfn.STDEV.P($C$2:C212)</f>
        <v>8.0070792457464073</v>
      </c>
      <c r="H212">
        <f t="shared" ca="1" si="64"/>
        <v>158.06419765989233</v>
      </c>
      <c r="I212">
        <f t="shared" ca="1" si="65"/>
        <v>142.05003916839951</v>
      </c>
      <c r="J212">
        <f t="shared" ca="1" si="53"/>
        <v>149.96450000000004</v>
      </c>
      <c r="K212">
        <f t="shared" ca="1" si="54"/>
        <v>1.5102717601391074</v>
      </c>
      <c r="L212">
        <f t="shared" ca="1" si="55"/>
        <v>152.98504352027825</v>
      </c>
      <c r="M212">
        <f t="shared" ca="1" si="56"/>
        <v>146.94395647972183</v>
      </c>
      <c r="N212">
        <f t="shared" ca="1" si="66"/>
        <v>0.96999999999999886</v>
      </c>
      <c r="O212">
        <f t="shared" ca="1" si="67"/>
        <v>0.96999999999999886</v>
      </c>
      <c r="P212">
        <f t="shared" ca="1" si="68"/>
        <v>0</v>
      </c>
      <c r="Q212">
        <f t="shared" ca="1" si="72"/>
        <v>0.6338813400974862</v>
      </c>
      <c r="R212">
        <f t="shared" ca="1" si="73"/>
        <v>0.59770701617197308</v>
      </c>
      <c r="S212">
        <f t="shared" ca="1" si="70"/>
        <v>1.0605218325145191</v>
      </c>
      <c r="T212">
        <f t="shared" ca="1" si="71"/>
        <v>51.468604495218145</v>
      </c>
      <c r="U212">
        <f>70</f>
        <v>70</v>
      </c>
      <c r="V212">
        <f>30</f>
        <v>30</v>
      </c>
      <c r="W212">
        <f t="shared" ca="1" si="69"/>
        <v>149.91218583798309</v>
      </c>
      <c r="X212">
        <f t="shared" ca="1" si="58"/>
        <v>150.46771134584861</v>
      </c>
      <c r="Y212">
        <f t="shared" ca="1" si="57"/>
        <v>-0.32309684763481528</v>
      </c>
      <c r="Z212">
        <f t="shared" ca="1" si="59"/>
        <v>-0.77041126734241594</v>
      </c>
      <c r="AA212">
        <f t="shared" ca="1" si="60"/>
        <v>0.44731441970760066</v>
      </c>
      <c r="AB212">
        <f t="shared" ca="1" si="61"/>
        <v>154.05530000000002</v>
      </c>
    </row>
    <row r="213" spans="1:28" x14ac:dyDescent="0.25">
      <c r="A213" s="20">
        <f t="shared" ca="1" si="62"/>
        <v>46020</v>
      </c>
      <c r="B213" vm="628">
        <f ca="1"/>
        <v>46021</v>
      </c>
      <c r="C213" vm="629">
        <f ca="1"/>
        <v>152.31</v>
      </c>
      <c r="D213" vm="630">
        <f ca="1"/>
        <v>5150514</v>
      </c>
      <c r="E213">
        <f t="shared" ca="1" si="63"/>
        <v>784474787.34000003</v>
      </c>
      <c r="F213">
        <f ca="1">SUM($E$2:E213)/SUM($D$2:D213)</f>
        <v>150.0631655804624</v>
      </c>
      <c r="G213">
        <f ca="1">_xlfn.STDEV.P($C$2:C213)</f>
        <v>7.9891009210151998</v>
      </c>
      <c r="H213">
        <f t="shared" ca="1" si="64"/>
        <v>158.05226650147759</v>
      </c>
      <c r="I213">
        <f t="shared" ca="1" si="65"/>
        <v>142.0740646594472</v>
      </c>
      <c r="J213">
        <f t="shared" ca="1" si="53"/>
        <v>149.95300000000003</v>
      </c>
      <c r="K213">
        <f t="shared" ca="1" si="54"/>
        <v>1.4903729663904151</v>
      </c>
      <c r="L213">
        <f t="shared" ca="1" si="55"/>
        <v>152.93374593278085</v>
      </c>
      <c r="M213">
        <f t="shared" ca="1" si="56"/>
        <v>146.97225406721921</v>
      </c>
      <c r="N213">
        <f t="shared" ca="1" si="66"/>
        <v>1.3199999999999932</v>
      </c>
      <c r="O213">
        <f t="shared" ca="1" si="67"/>
        <v>1.3199999999999932</v>
      </c>
      <c r="P213">
        <f t="shared" ca="1" si="68"/>
        <v>0</v>
      </c>
      <c r="Q213">
        <f t="shared" ca="1" si="72"/>
        <v>0.68288981580480812</v>
      </c>
      <c r="R213">
        <f t="shared" ca="1" si="73"/>
        <v>0.55501365787397494</v>
      </c>
      <c r="S213">
        <f t="shared" ca="1" si="70"/>
        <v>1.2304018218590751</v>
      </c>
      <c r="T213">
        <f t="shared" ca="1" si="71"/>
        <v>55.165029448976853</v>
      </c>
      <c r="U213">
        <f>70</f>
        <v>70</v>
      </c>
      <c r="V213">
        <f>30</f>
        <v>30</v>
      </c>
      <c r="W213">
        <f t="shared" ca="1" si="69"/>
        <v>150.28108032444723</v>
      </c>
      <c r="X213">
        <f t="shared" ca="1" si="58"/>
        <v>150.60417717208205</v>
      </c>
      <c r="Y213">
        <f t="shared" ca="1" si="57"/>
        <v>-0.12933539762343571</v>
      </c>
      <c r="Z213">
        <f t="shared" ca="1" si="59"/>
        <v>-0.64219609339861994</v>
      </c>
      <c r="AA213">
        <f t="shared" ca="1" si="60"/>
        <v>0.51286069577518423</v>
      </c>
      <c r="AB213">
        <f t="shared" ca="1" si="61"/>
        <v>154.04679999999999</v>
      </c>
    </row>
    <row r="214" spans="1:28" x14ac:dyDescent="0.25">
      <c r="A214" s="20">
        <f t="shared" ca="1" si="62"/>
        <v>46020</v>
      </c>
      <c r="B214" vm="631">
        <f ca="1"/>
        <v>46022</v>
      </c>
      <c r="C214" vm="632">
        <f ca="1"/>
        <v>152.41</v>
      </c>
      <c r="D214" vm="633">
        <f ca="1"/>
        <v>4953110</v>
      </c>
      <c r="E214">
        <f t="shared" ca="1" si="63"/>
        <v>754903495.10000002</v>
      </c>
      <c r="F214">
        <f ca="1">SUM($E$2:E214)/SUM($D$2:D214)</f>
        <v>150.06920790143784</v>
      </c>
      <c r="G214">
        <f ca="1">_xlfn.STDEV.P($C$2:C214)</f>
        <v>7.9713493807641065</v>
      </c>
      <c r="H214">
        <f t="shared" ca="1" si="64"/>
        <v>158.04055728220195</v>
      </c>
      <c r="I214">
        <f t="shared" ca="1" si="65"/>
        <v>142.09785852067373</v>
      </c>
      <c r="J214">
        <f t="shared" ref="J214:J252" ca="1" si="74">AVERAGE(C195:C214)</f>
        <v>150.06099999999998</v>
      </c>
      <c r="K214">
        <f t="shared" ref="K214:K252" ca="1" si="75">_xlfn.STDEV.S(C195:C214)</f>
        <v>1.5880868993855453</v>
      </c>
      <c r="L214">
        <f t="shared" ref="L214:L252" ca="1" si="76">J214 + 2*K214</f>
        <v>153.23717379877107</v>
      </c>
      <c r="M214">
        <f t="shared" ref="M214:M252" ca="1" si="77">J214-2*K214</f>
        <v>146.88482620122889</v>
      </c>
      <c r="N214">
        <f t="shared" ca="1" si="66"/>
        <v>9.9999999999994316E-2</v>
      </c>
      <c r="O214">
        <f t="shared" ca="1" si="67"/>
        <v>9.9999999999994316E-2</v>
      </c>
      <c r="P214">
        <f t="shared" ca="1" si="68"/>
        <v>0</v>
      </c>
      <c r="Q214">
        <f t="shared" ca="1" si="72"/>
        <v>0.64125482896160713</v>
      </c>
      <c r="R214">
        <f t="shared" ca="1" si="73"/>
        <v>0.51536982516869101</v>
      </c>
      <c r="S214">
        <f t="shared" ca="1" si="70"/>
        <v>1.2442614946494226</v>
      </c>
      <c r="T214">
        <f t="shared" ca="1" si="71"/>
        <v>55.44191252293394</v>
      </c>
      <c r="U214">
        <f>70</f>
        <v>70</v>
      </c>
      <c r="V214">
        <f>30</f>
        <v>30</v>
      </c>
      <c r="W214">
        <f t="shared" ca="1" si="69"/>
        <v>150.60860642837844</v>
      </c>
      <c r="X214">
        <f t="shared" ca="1" si="58"/>
        <v>150.73794182600187</v>
      </c>
      <c r="Y214">
        <f t="shared" ca="1" si="57"/>
        <v>0.30235047230138434</v>
      </c>
      <c r="Z214">
        <f t="shared" ca="1" si="59"/>
        <v>-0.45328678025861913</v>
      </c>
      <c r="AA214">
        <f t="shared" ca="1" si="60"/>
        <v>0.75563725256000347</v>
      </c>
      <c r="AB214">
        <f t="shared" ca="1" si="61"/>
        <v>154.02079999999998</v>
      </c>
    </row>
    <row r="215" spans="1:28" x14ac:dyDescent="0.25">
      <c r="A215" s="20">
        <f t="shared" ca="1" si="62"/>
        <v>46020</v>
      </c>
      <c r="B215" vm="634">
        <f ca="1"/>
        <v>46024</v>
      </c>
      <c r="C215" vm="635">
        <f ca="1"/>
        <v>155.9</v>
      </c>
      <c r="D215" vm="636">
        <f ca="1"/>
        <v>6862097</v>
      </c>
      <c r="E215">
        <f t="shared" ca="1" si="63"/>
        <v>1069800922.3000001</v>
      </c>
      <c r="F215">
        <f ca="1">SUM($E$2:E215)/SUM($D$2:D215)</f>
        <v>150.0899322752505</v>
      </c>
      <c r="G215">
        <f ca="1">_xlfn.STDEV.P($C$2:C215)</f>
        <v>7.9610700810314921</v>
      </c>
      <c r="H215">
        <f t="shared" ca="1" si="64"/>
        <v>158.051002356282</v>
      </c>
      <c r="I215">
        <f t="shared" ca="1" si="65"/>
        <v>142.12886219421901</v>
      </c>
      <c r="J215">
        <f t="shared" ca="1" si="74"/>
        <v>150.2765</v>
      </c>
      <c r="K215">
        <f t="shared" ca="1" si="75"/>
        <v>2.0358065128824827</v>
      </c>
      <c r="L215">
        <f t="shared" ca="1" si="76"/>
        <v>154.34811302576497</v>
      </c>
      <c r="M215">
        <f t="shared" ca="1" si="77"/>
        <v>146.20488697423502</v>
      </c>
      <c r="N215">
        <f t="shared" ca="1" si="66"/>
        <v>3.4900000000000091</v>
      </c>
      <c r="O215">
        <f t="shared" ca="1" si="67"/>
        <v>3.4900000000000091</v>
      </c>
      <c r="P215">
        <f t="shared" ca="1" si="68"/>
        <v>0</v>
      </c>
      <c r="Q215">
        <f t="shared" ca="1" si="72"/>
        <v>0.84473662689292162</v>
      </c>
      <c r="R215">
        <f t="shared" ca="1" si="73"/>
        <v>0.47855769479949878</v>
      </c>
      <c r="S215">
        <f t="shared" ca="1" si="70"/>
        <v>1.7651719658312897</v>
      </c>
      <c r="T215">
        <f t="shared" ca="1" si="71"/>
        <v>63.8358839031781</v>
      </c>
      <c r="U215">
        <f>70</f>
        <v>70</v>
      </c>
      <c r="V215">
        <f>30</f>
        <v>30</v>
      </c>
      <c r="W215">
        <f t="shared" ca="1" si="69"/>
        <v>151.42266697785868</v>
      </c>
      <c r="X215">
        <f t="shared" ca="1" si="58"/>
        <v>151.1203165055573</v>
      </c>
      <c r="Y215">
        <f t="shared" ca="1" si="57"/>
        <v>1.2713083422162583</v>
      </c>
      <c r="Z215">
        <f t="shared" ca="1" si="59"/>
        <v>-0.10836775576364366</v>
      </c>
      <c r="AA215">
        <f t="shared" ca="1" si="60"/>
        <v>1.3796760979799019</v>
      </c>
      <c r="AB215">
        <f t="shared" ca="1" si="61"/>
        <v>154.0453</v>
      </c>
    </row>
    <row r="216" spans="1:28" x14ac:dyDescent="0.25">
      <c r="A216" s="20">
        <f t="shared" ca="1" si="62"/>
        <v>46027</v>
      </c>
      <c r="B216" vm="637">
        <f ca="1"/>
        <v>46027</v>
      </c>
      <c r="C216" vm="638">
        <f ca="1"/>
        <v>163.85</v>
      </c>
      <c r="D216" vm="639">
        <f ca="1"/>
        <v>35094878</v>
      </c>
      <c r="E216">
        <f t="shared" ca="1" si="63"/>
        <v>5750295760.3000002</v>
      </c>
      <c r="F216">
        <f ca="1">SUM($E$2:E216)/SUM($D$2:D216)</f>
        <v>150.33559411671362</v>
      </c>
      <c r="G216">
        <f ca="1">_xlfn.STDEV.P($C$2:C216)</f>
        <v>7.9937327406023133</v>
      </c>
      <c r="H216">
        <f t="shared" ca="1" si="64"/>
        <v>158.32932685731595</v>
      </c>
      <c r="I216">
        <f t="shared" ca="1" si="65"/>
        <v>142.3418613761113</v>
      </c>
      <c r="J216">
        <f t="shared" ca="1" si="74"/>
        <v>150.85600000000002</v>
      </c>
      <c r="K216">
        <f t="shared" ca="1" si="75"/>
        <v>3.6442808835070224</v>
      </c>
      <c r="L216">
        <f t="shared" ca="1" si="76"/>
        <v>158.14456176701407</v>
      </c>
      <c r="M216">
        <f t="shared" ca="1" si="77"/>
        <v>143.56743823298598</v>
      </c>
      <c r="N216">
        <f t="shared" ca="1" si="66"/>
        <v>7.9499999999999886</v>
      </c>
      <c r="O216">
        <f t="shared" ca="1" si="67"/>
        <v>7.9499999999999886</v>
      </c>
      <c r="P216">
        <f t="shared" ca="1" si="68"/>
        <v>0</v>
      </c>
      <c r="Q216">
        <f t="shared" ca="1" si="72"/>
        <v>1.3522554392577122</v>
      </c>
      <c r="R216">
        <f t="shared" ca="1" si="73"/>
        <v>0.44437500231382027</v>
      </c>
      <c r="S216">
        <f t="shared" ca="1" si="70"/>
        <v>3.0430501990810486</v>
      </c>
      <c r="T216">
        <f t="shared" ca="1" si="71"/>
        <v>75.266198766780292</v>
      </c>
      <c r="U216">
        <f>70</f>
        <v>70</v>
      </c>
      <c r="V216">
        <f>30</f>
        <v>30</v>
      </c>
      <c r="W216">
        <f t="shared" ca="1" si="69"/>
        <v>153.33456436588042</v>
      </c>
      <c r="X216">
        <f t="shared" ca="1" si="58"/>
        <v>152.06325602366417</v>
      </c>
      <c r="Y216">
        <f t="shared" ca="1" si="57"/>
        <v>1.4328416210132104</v>
      </c>
      <c r="Z216">
        <f t="shared" ca="1" si="59"/>
        <v>0.19987411959172718</v>
      </c>
      <c r="AA216">
        <f t="shared" ca="1" si="60"/>
        <v>1.2329675014214834</v>
      </c>
      <c r="AB216">
        <f t="shared" ca="1" si="61"/>
        <v>154.13939999999999</v>
      </c>
    </row>
    <row r="217" spans="1:28" x14ac:dyDescent="0.25">
      <c r="A217" s="20">
        <f t="shared" ca="1" si="62"/>
        <v>46027</v>
      </c>
      <c r="B217" vm="640">
        <f ca="1"/>
        <v>46028</v>
      </c>
      <c r="C217" vm="641">
        <f ca="1"/>
        <v>156.54</v>
      </c>
      <c r="D217" vm="642">
        <f ca="1"/>
        <v>20564935</v>
      </c>
      <c r="E217">
        <f t="shared" ca="1" si="63"/>
        <v>3219234924.8999996</v>
      </c>
      <c r="F217">
        <f ca="1">SUM($E$2:E217)/SUM($D$2:D217)</f>
        <v>150.39983050218677</v>
      </c>
      <c r="G217">
        <f ca="1">_xlfn.STDEV.P($C$2:C217)</f>
        <v>7.9852707942226004</v>
      </c>
      <c r="H217">
        <f t="shared" ca="1" si="64"/>
        <v>158.38510129640937</v>
      </c>
      <c r="I217">
        <f t="shared" ca="1" si="65"/>
        <v>142.41455970796417</v>
      </c>
      <c r="J217">
        <f t="shared" ca="1" si="74"/>
        <v>151.18300000000002</v>
      </c>
      <c r="K217">
        <f t="shared" ca="1" si="75"/>
        <v>3.8509836064104563</v>
      </c>
      <c r="L217">
        <f t="shared" ca="1" si="76"/>
        <v>158.88496721282092</v>
      </c>
      <c r="M217">
        <f t="shared" ca="1" si="77"/>
        <v>143.48103278717912</v>
      </c>
      <c r="N217">
        <f t="shared" ca="1" si="66"/>
        <v>-7.3100000000000023</v>
      </c>
      <c r="O217">
        <f t="shared" ca="1" si="67"/>
        <v>0</v>
      </c>
      <c r="P217">
        <f t="shared" ca="1" si="68"/>
        <v>7.3100000000000023</v>
      </c>
      <c r="Q217">
        <f t="shared" ca="1" si="72"/>
        <v>1.2556657650250185</v>
      </c>
      <c r="R217">
        <f t="shared" ca="1" si="73"/>
        <v>0.93477678786283325</v>
      </c>
      <c r="S217">
        <f t="shared" ca="1" si="70"/>
        <v>1.3432787177951102</v>
      </c>
      <c r="T217">
        <f t="shared" ca="1" si="71"/>
        <v>57.324752177114377</v>
      </c>
      <c r="U217">
        <f>70</f>
        <v>70</v>
      </c>
      <c r="V217">
        <f>30</f>
        <v>30</v>
      </c>
      <c r="W217">
        <f t="shared" ca="1" si="69"/>
        <v>153.82770830959115</v>
      </c>
      <c r="X217">
        <f t="shared" ca="1" si="58"/>
        <v>152.39486668857793</v>
      </c>
      <c r="Y217">
        <f t="shared" ca="1" si="57"/>
        <v>1.4361757668397104</v>
      </c>
      <c r="Z217">
        <f t="shared" ca="1" si="59"/>
        <v>0.44713444904132382</v>
      </c>
      <c r="AA217">
        <f t="shared" ca="1" si="60"/>
        <v>0.98904131779838655</v>
      </c>
      <c r="AB217">
        <f t="shared" ca="1" si="61"/>
        <v>154.14610000000002</v>
      </c>
    </row>
    <row r="218" spans="1:28" x14ac:dyDescent="0.25">
      <c r="A218" s="20">
        <f t="shared" ca="1" si="62"/>
        <v>46027</v>
      </c>
      <c r="B218" vm="643">
        <f ca="1"/>
        <v>46029</v>
      </c>
      <c r="C218" vm="644">
        <f ca="1"/>
        <v>155.19999999999999</v>
      </c>
      <c r="D218" vm="645">
        <f ca="1"/>
        <v>13537874</v>
      </c>
      <c r="E218">
        <f t="shared" ca="1" si="63"/>
        <v>2101078044.8</v>
      </c>
      <c r="F218">
        <f ca="1">SUM($E$2:E218)/SUM($D$2:D218)</f>
        <v>150.43232506202324</v>
      </c>
      <c r="G218">
        <f ca="1">_xlfn.STDEV.P($C$2:C218)</f>
        <v>7.9727726626848163</v>
      </c>
      <c r="H218">
        <f t="shared" ca="1" si="64"/>
        <v>158.40509772470804</v>
      </c>
      <c r="I218">
        <f t="shared" ca="1" si="65"/>
        <v>142.45955239933843</v>
      </c>
      <c r="J218">
        <f t="shared" ca="1" si="74"/>
        <v>151.50749999999999</v>
      </c>
      <c r="K218">
        <f t="shared" ca="1" si="75"/>
        <v>3.9046933635252166</v>
      </c>
      <c r="L218">
        <f t="shared" ca="1" si="76"/>
        <v>159.31688672705042</v>
      </c>
      <c r="M218">
        <f t="shared" ca="1" si="77"/>
        <v>143.69811327294957</v>
      </c>
      <c r="N218">
        <f t="shared" ca="1" si="66"/>
        <v>-1.3400000000000034</v>
      </c>
      <c r="O218">
        <f t="shared" ca="1" si="67"/>
        <v>0</v>
      </c>
      <c r="P218">
        <f t="shared" ca="1" si="68"/>
        <v>1.3400000000000034</v>
      </c>
      <c r="Q218">
        <f t="shared" ca="1" si="72"/>
        <v>1.1659753532375172</v>
      </c>
      <c r="R218">
        <f t="shared" ca="1" si="73"/>
        <v>0.9637213030154882</v>
      </c>
      <c r="S218">
        <f t="shared" ca="1" si="70"/>
        <v>1.2098677798126649</v>
      </c>
      <c r="T218">
        <f t="shared" ca="1" si="71"/>
        <v>54.748423904131855</v>
      </c>
      <c r="U218">
        <f>70</f>
        <v>70</v>
      </c>
      <c r="V218">
        <f>30</f>
        <v>30</v>
      </c>
      <c r="W218">
        <f t="shared" ca="1" si="69"/>
        <v>154.03883010811558</v>
      </c>
      <c r="X218">
        <f t="shared" ca="1" si="58"/>
        <v>152.60265434127587</v>
      </c>
      <c r="Y218">
        <f t="shared" ca="1" si="57"/>
        <v>1.745498237024691</v>
      </c>
      <c r="Z218">
        <f t="shared" ca="1" si="59"/>
        <v>0.70680720663799734</v>
      </c>
      <c r="AA218">
        <f t="shared" ca="1" si="60"/>
        <v>1.0386910303866936</v>
      </c>
      <c r="AB218">
        <f t="shared" ca="1" si="61"/>
        <v>154.1465</v>
      </c>
    </row>
    <row r="219" spans="1:28" x14ac:dyDescent="0.25">
      <c r="A219" s="20">
        <f t="shared" ca="1" si="62"/>
        <v>46027</v>
      </c>
      <c r="B219" vm="646">
        <f ca="1"/>
        <v>46030</v>
      </c>
      <c r="C219" vm="647">
        <f ca="1"/>
        <v>159.25</v>
      </c>
      <c r="D219" vm="648">
        <f ca="1"/>
        <v>12929635</v>
      </c>
      <c r="E219">
        <f t="shared" ca="1" si="63"/>
        <v>2059044373.75</v>
      </c>
      <c r="F219">
        <f ca="1">SUM($E$2:E219)/SUM($D$2:D219)</f>
        <v>150.48896791940984</v>
      </c>
      <c r="G219">
        <f ca="1">_xlfn.STDEV.P($C$2:C219)</f>
        <v>7.9754957541596836</v>
      </c>
      <c r="H219">
        <f t="shared" ca="1" si="64"/>
        <v>158.46446367356953</v>
      </c>
      <c r="I219">
        <f t="shared" ca="1" si="65"/>
        <v>142.51347216525016</v>
      </c>
      <c r="J219">
        <f t="shared" ca="1" si="74"/>
        <v>152.0455</v>
      </c>
      <c r="K219">
        <f t="shared" ca="1" si="75"/>
        <v>4.1973556525131617</v>
      </c>
      <c r="L219">
        <f t="shared" ca="1" si="76"/>
        <v>160.44021130502634</v>
      </c>
      <c r="M219">
        <f t="shared" ca="1" si="77"/>
        <v>143.65078869497367</v>
      </c>
      <c r="N219">
        <f t="shared" ca="1" si="66"/>
        <v>4.0500000000000114</v>
      </c>
      <c r="O219">
        <f t="shared" ca="1" si="67"/>
        <v>4.0500000000000114</v>
      </c>
      <c r="P219">
        <f t="shared" ca="1" si="68"/>
        <v>0</v>
      </c>
      <c r="Q219">
        <f t="shared" ca="1" si="72"/>
        <v>1.3719771137205525</v>
      </c>
      <c r="R219">
        <f t="shared" ca="1" si="73"/>
        <v>0.89488406708581036</v>
      </c>
      <c r="S219">
        <f t="shared" ca="1" si="70"/>
        <v>1.5331339155343278</v>
      </c>
      <c r="T219">
        <f t="shared" ca="1" si="71"/>
        <v>60.523208273058692</v>
      </c>
      <c r="U219">
        <f>70</f>
        <v>70</v>
      </c>
      <c r="V219">
        <f>30</f>
        <v>30</v>
      </c>
      <c r="W219">
        <f t="shared" ca="1" si="69"/>
        <v>154.84054855302088</v>
      </c>
      <c r="X219">
        <f t="shared" ca="1" si="58"/>
        <v>153.09505031599619</v>
      </c>
      <c r="Y219">
        <f t="shared" ca="1" si="57"/>
        <v>2.196101332046851</v>
      </c>
      <c r="Z219">
        <f t="shared" ca="1" si="59"/>
        <v>1.0046660317197682</v>
      </c>
      <c r="AA219">
        <f t="shared" ca="1" si="60"/>
        <v>1.1914353003270828</v>
      </c>
      <c r="AB219">
        <f t="shared" ca="1" si="61"/>
        <v>154.17349999999999</v>
      </c>
    </row>
    <row r="220" spans="1:28" x14ac:dyDescent="0.25">
      <c r="A220" s="20">
        <f t="shared" ca="1" si="62"/>
        <v>46027</v>
      </c>
      <c r="B220" vm="649">
        <f ca="1"/>
        <v>46031</v>
      </c>
      <c r="C220" vm="650">
        <f ca="1"/>
        <v>162.11000000000001</v>
      </c>
      <c r="D220" vm="651">
        <f ca="1"/>
        <v>12549643</v>
      </c>
      <c r="E220">
        <f t="shared" ca="1" si="63"/>
        <v>2034422626.7300003</v>
      </c>
      <c r="F220">
        <f ca="1">SUM($E$2:E220)/SUM($D$2:D220)</f>
        <v>150.56097603700633</v>
      </c>
      <c r="G220">
        <f ca="1">_xlfn.STDEV.P($C$2:C220)</f>
        <v>7.9942089671516401</v>
      </c>
      <c r="H220">
        <f t="shared" ca="1" si="64"/>
        <v>158.55518500415798</v>
      </c>
      <c r="I220">
        <f t="shared" ca="1" si="65"/>
        <v>142.56676706985468</v>
      </c>
      <c r="J220">
        <f t="shared" ca="1" si="74"/>
        <v>152.58049999999997</v>
      </c>
      <c r="K220">
        <f t="shared" ca="1" si="75"/>
        <v>4.7567342567641582</v>
      </c>
      <c r="L220">
        <f t="shared" ca="1" si="76"/>
        <v>162.0939685135283</v>
      </c>
      <c r="M220">
        <f t="shared" ca="1" si="77"/>
        <v>143.06703148647165</v>
      </c>
      <c r="N220">
        <f t="shared" ca="1" si="66"/>
        <v>2.8600000000000136</v>
      </c>
      <c r="O220">
        <f t="shared" ca="1" si="67"/>
        <v>2.8600000000000136</v>
      </c>
      <c r="P220">
        <f t="shared" ca="1" si="68"/>
        <v>0</v>
      </c>
      <c r="Q220">
        <f t="shared" ca="1" si="72"/>
        <v>1.4782644627405139</v>
      </c>
      <c r="R220">
        <f t="shared" ca="1" si="73"/>
        <v>0.83096377657968101</v>
      </c>
      <c r="S220">
        <f t="shared" ca="1" si="70"/>
        <v>1.7789758162806792</v>
      </c>
      <c r="T220">
        <f t="shared" ca="1" si="71"/>
        <v>64.015519885366331</v>
      </c>
      <c r="U220">
        <f>70</f>
        <v>70</v>
      </c>
      <c r="V220">
        <f>30</f>
        <v>30</v>
      </c>
      <c r="W220">
        <f t="shared" ca="1" si="69"/>
        <v>155.95892569870998</v>
      </c>
      <c r="X220">
        <f t="shared" ca="1" si="58"/>
        <v>153.76282436666312</v>
      </c>
      <c r="Y220">
        <f t="shared" ref="Y220:Y252" ca="1" si="78">W221-X221</f>
        <v>2.5424587274966939</v>
      </c>
      <c r="Z220">
        <f t="shared" ca="1" si="59"/>
        <v>1.3122245708751534</v>
      </c>
      <c r="AA220">
        <f t="shared" ca="1" si="60"/>
        <v>1.2302341566215405</v>
      </c>
      <c r="AB220">
        <f t="shared" ca="1" si="61"/>
        <v>154.24140000000003</v>
      </c>
    </row>
    <row r="221" spans="1:28" x14ac:dyDescent="0.25">
      <c r="A221" s="20">
        <f t="shared" ca="1" si="62"/>
        <v>46034</v>
      </c>
      <c r="B221" vm="652">
        <f ca="1"/>
        <v>46034</v>
      </c>
      <c r="C221" vm="653">
        <f ca="1"/>
        <v>162.34</v>
      </c>
      <c r="D221" vm="654">
        <f ca="1"/>
        <v>9796786</v>
      </c>
      <c r="E221">
        <f t="shared" ca="1" si="63"/>
        <v>1590410239.24</v>
      </c>
      <c r="F221">
        <f ca="1">SUM($E$2:E221)/SUM($D$2:D221)</f>
        <v>150.61767859253879</v>
      </c>
      <c r="G221">
        <f ca="1">_xlfn.STDEV.P($C$2:C221)</f>
        <v>8.0138631427716813</v>
      </c>
      <c r="H221">
        <f t="shared" ca="1" si="64"/>
        <v>158.63154173531046</v>
      </c>
      <c r="I221">
        <f t="shared" ca="1" si="65"/>
        <v>142.60381544976713</v>
      </c>
      <c r="J221">
        <f t="shared" ca="1" si="74"/>
        <v>153.16149999999999</v>
      </c>
      <c r="K221">
        <f t="shared" ca="1" si="75"/>
        <v>5.2059634580273197</v>
      </c>
      <c r="L221">
        <f t="shared" ca="1" si="76"/>
        <v>163.57342691605464</v>
      </c>
      <c r="M221">
        <f t="shared" ca="1" si="77"/>
        <v>142.74957308394534</v>
      </c>
      <c r="N221">
        <f t="shared" ca="1" si="66"/>
        <v>0.22999999999998977</v>
      </c>
      <c r="O221">
        <f t="shared" ca="1" si="67"/>
        <v>0.22999999999998977</v>
      </c>
      <c r="P221">
        <f t="shared" ca="1" si="68"/>
        <v>0</v>
      </c>
      <c r="Q221">
        <f t="shared" ca="1" si="72"/>
        <v>1.3891027154019049</v>
      </c>
      <c r="R221">
        <f t="shared" ca="1" si="73"/>
        <v>0.77160922110970376</v>
      </c>
      <c r="S221">
        <f t="shared" ca="1" si="70"/>
        <v>1.8002671266734496</v>
      </c>
      <c r="T221">
        <f t="shared" ca="1" si="71"/>
        <v>64.289121188665291</v>
      </c>
      <c r="U221">
        <f>70</f>
        <v>70</v>
      </c>
      <c r="V221">
        <f>30</f>
        <v>30</v>
      </c>
      <c r="W221">
        <f t="shared" ca="1" si="69"/>
        <v>156.94062943736998</v>
      </c>
      <c r="X221">
        <f t="shared" ref="X221:X252" ca="1" si="79">C221*(2/(26+1)) + X220*(1-(2/(26+1)))</f>
        <v>154.39817070987328</v>
      </c>
      <c r="Y221">
        <f t="shared" ca="1" si="78"/>
        <v>2.906898752678245</v>
      </c>
      <c r="Z221">
        <f t="shared" ca="1" si="59"/>
        <v>1.6311594072357718</v>
      </c>
      <c r="AA221">
        <f t="shared" ca="1" si="60"/>
        <v>1.2757393454424732</v>
      </c>
      <c r="AB221">
        <f t="shared" ca="1" si="61"/>
        <v>154.34480000000002</v>
      </c>
    </row>
    <row r="222" spans="1:28" x14ac:dyDescent="0.25">
      <c r="A222" s="20">
        <f t="shared" ca="1" si="62"/>
        <v>46034</v>
      </c>
      <c r="B222" vm="655">
        <f ca="1"/>
        <v>46035</v>
      </c>
      <c r="C222" vm="656">
        <f ca="1"/>
        <v>163.87</v>
      </c>
      <c r="D222" vm="657">
        <f ca="1"/>
        <v>12068630</v>
      </c>
      <c r="E222">
        <f t="shared" ca="1" si="63"/>
        <v>1977686398.1000001</v>
      </c>
      <c r="F222">
        <f ca="1">SUM($E$2:E222)/SUM($D$2:D222)</f>
        <v>150.69580391124774</v>
      </c>
      <c r="G222">
        <f ca="1">_xlfn.STDEV.P($C$2:C222)</f>
        <v>8.0434784496708893</v>
      </c>
      <c r="H222">
        <f t="shared" ca="1" si="64"/>
        <v>158.73928236091862</v>
      </c>
      <c r="I222">
        <f t="shared" ca="1" si="65"/>
        <v>142.65232546157685</v>
      </c>
      <c r="J222">
        <f t="shared" ca="1" si="74"/>
        <v>153.85550000000001</v>
      </c>
      <c r="K222">
        <f t="shared" ca="1" si="75"/>
        <v>5.6657785965622729</v>
      </c>
      <c r="L222">
        <f t="shared" ca="1" si="76"/>
        <v>165.18705719312456</v>
      </c>
      <c r="M222">
        <f t="shared" ca="1" si="77"/>
        <v>142.52394280687545</v>
      </c>
      <c r="N222">
        <f t="shared" ca="1" si="66"/>
        <v>1.5300000000000011</v>
      </c>
      <c r="O222">
        <f t="shared" ca="1" si="67"/>
        <v>1.5300000000000011</v>
      </c>
      <c r="P222">
        <f t="shared" ca="1" si="68"/>
        <v>0</v>
      </c>
      <c r="Q222">
        <f t="shared" ca="1" si="72"/>
        <v>1.3991668071589116</v>
      </c>
      <c r="R222">
        <f t="shared" ca="1" si="73"/>
        <v>0.71649427674472488</v>
      </c>
      <c r="S222">
        <f t="shared" ca="1" si="70"/>
        <v>1.9527955108250108</v>
      </c>
      <c r="T222">
        <f t="shared" ca="1" si="71"/>
        <v>66.133787580820325</v>
      </c>
      <c r="U222">
        <f>70</f>
        <v>70</v>
      </c>
      <c r="V222">
        <f>30</f>
        <v>30</v>
      </c>
      <c r="W222">
        <f t="shared" ca="1" si="69"/>
        <v>158.00668644700536</v>
      </c>
      <c r="X222">
        <f t="shared" ca="1" si="79"/>
        <v>155.09978769432712</v>
      </c>
      <c r="Y222">
        <f t="shared" ca="1" si="78"/>
        <v>3.4281335444566423</v>
      </c>
      <c r="Z222">
        <f t="shared" ca="1" si="59"/>
        <v>1.9905542346799461</v>
      </c>
      <c r="AA222">
        <f t="shared" ca="1" si="60"/>
        <v>1.4375793097766962</v>
      </c>
      <c r="AB222">
        <f t="shared" ca="1" si="61"/>
        <v>154.45130000000003</v>
      </c>
    </row>
    <row r="223" spans="1:28" x14ac:dyDescent="0.25">
      <c r="A223" s="20">
        <f t="shared" ca="1" si="62"/>
        <v>46034</v>
      </c>
      <c r="B223" vm="658">
        <f ca="1"/>
        <v>46036</v>
      </c>
      <c r="C223" vm="659">
        <f ca="1"/>
        <v>167.24</v>
      </c>
      <c r="D223" vm="660">
        <f ca="1"/>
        <v>16414917</v>
      </c>
      <c r="E223">
        <f t="shared" ca="1" si="63"/>
        <v>2745230719.0799999</v>
      </c>
      <c r="F223">
        <f ca="1">SUM($E$2:E223)/SUM($D$2:D223)</f>
        <v>150.82740449817456</v>
      </c>
      <c r="G223">
        <f ca="1">_xlfn.STDEV.P($C$2:C223)</f>
        <v>8.0997064515130255</v>
      </c>
      <c r="H223">
        <f t="shared" ca="1" si="64"/>
        <v>158.92711094968757</v>
      </c>
      <c r="I223">
        <f t="shared" ca="1" si="65"/>
        <v>142.72769804666154</v>
      </c>
      <c r="J223">
        <f t="shared" ca="1" si="74"/>
        <v>154.72750000000002</v>
      </c>
      <c r="K223">
        <f t="shared" ca="1" si="75"/>
        <v>6.3137693095912875</v>
      </c>
      <c r="L223">
        <f t="shared" ca="1" si="76"/>
        <v>167.35503861918261</v>
      </c>
      <c r="M223">
        <f t="shared" ca="1" si="77"/>
        <v>142.09996138081743</v>
      </c>
      <c r="N223">
        <f t="shared" ca="1" si="66"/>
        <v>3.3700000000000045</v>
      </c>
      <c r="O223">
        <f t="shared" ca="1" si="67"/>
        <v>3.3700000000000045</v>
      </c>
      <c r="P223">
        <f t="shared" ca="1" si="68"/>
        <v>0</v>
      </c>
      <c r="Q223">
        <f t="shared" ca="1" si="72"/>
        <v>1.5399406066475609</v>
      </c>
      <c r="R223">
        <f t="shared" ca="1" si="73"/>
        <v>0.66531611412010172</v>
      </c>
      <c r="S223">
        <f t="shared" ca="1" si="70"/>
        <v>2.3145998931412826</v>
      </c>
      <c r="T223">
        <f t="shared" ca="1" si="71"/>
        <v>69.830446140143664</v>
      </c>
      <c r="U223">
        <f>70</f>
        <v>70</v>
      </c>
      <c r="V223">
        <f>30</f>
        <v>30</v>
      </c>
      <c r="W223">
        <f t="shared" ca="1" si="69"/>
        <v>159.42719622438918</v>
      </c>
      <c r="X223">
        <f t="shared" ca="1" si="79"/>
        <v>155.99906267993254</v>
      </c>
      <c r="Y223">
        <f t="shared" ca="1" si="78"/>
        <v>3.7112874862265244</v>
      </c>
      <c r="Z223">
        <f t="shared" ca="1" si="59"/>
        <v>2.3347008849892621</v>
      </c>
      <c r="AA223">
        <f t="shared" ca="1" si="60"/>
        <v>1.3765866012372623</v>
      </c>
      <c r="AB223">
        <f t="shared" ca="1" si="61"/>
        <v>154.56820000000005</v>
      </c>
    </row>
    <row r="224" spans="1:28" x14ac:dyDescent="0.25">
      <c r="A224" s="20">
        <f t="shared" ca="1" si="62"/>
        <v>46034</v>
      </c>
      <c r="B224" vm="661">
        <f ca="1"/>
        <v>46037</v>
      </c>
      <c r="C224" vm="662">
        <f ca="1"/>
        <v>166.16</v>
      </c>
      <c r="D224" vm="663">
        <f ca="1"/>
        <v>8097405</v>
      </c>
      <c r="E224">
        <f t="shared" ca="1" si="63"/>
        <v>1345464814.8</v>
      </c>
      <c r="F224">
        <f ca="1">SUM($E$2:E224)/SUM($D$2:D224)</f>
        <v>150.8873331085324</v>
      </c>
      <c r="G224">
        <f ca="1">_xlfn.STDEV.P($C$2:C224)</f>
        <v>8.1450801185344055</v>
      </c>
      <c r="H224">
        <f t="shared" ca="1" si="64"/>
        <v>159.0324132270668</v>
      </c>
      <c r="I224">
        <f t="shared" ca="1" si="65"/>
        <v>142.74225298999801</v>
      </c>
      <c r="J224">
        <f t="shared" ca="1" si="74"/>
        <v>155.69800000000001</v>
      </c>
      <c r="K224">
        <f t="shared" ca="1" si="75"/>
        <v>6.5116661300679173</v>
      </c>
      <c r="L224">
        <f t="shared" ca="1" si="76"/>
        <v>168.72133226013585</v>
      </c>
      <c r="M224">
        <f t="shared" ca="1" si="77"/>
        <v>142.67466773986416</v>
      </c>
      <c r="N224">
        <f t="shared" ca="1" si="66"/>
        <v>-1.0800000000000125</v>
      </c>
      <c r="O224">
        <f t="shared" ca="1" si="67"/>
        <v>0</v>
      </c>
      <c r="P224">
        <f t="shared" ca="1" si="68"/>
        <v>1.0800000000000125</v>
      </c>
      <c r="Q224">
        <f t="shared" ca="1" si="72"/>
        <v>1.4299448490298781</v>
      </c>
      <c r="R224">
        <f t="shared" ca="1" si="73"/>
        <v>0.6949363916829524</v>
      </c>
      <c r="S224">
        <f t="shared" ca="1" si="70"/>
        <v>2.0576629259074046</v>
      </c>
      <c r="T224">
        <f t="shared" ca="1" si="71"/>
        <v>67.29528322016607</v>
      </c>
      <c r="U224">
        <f>70</f>
        <v>70</v>
      </c>
      <c r="V224">
        <f>30</f>
        <v>30</v>
      </c>
      <c r="W224">
        <f t="shared" ca="1" si="69"/>
        <v>160.46301218986775</v>
      </c>
      <c r="X224">
        <f t="shared" ca="1" si="79"/>
        <v>156.75172470364123</v>
      </c>
      <c r="Y224">
        <f t="shared" ca="1" si="78"/>
        <v>3.8988150760892211</v>
      </c>
      <c r="Z224">
        <f t="shared" ca="1" si="59"/>
        <v>2.6475237232092539</v>
      </c>
      <c r="AA224">
        <f t="shared" ca="1" si="60"/>
        <v>1.2512913528799672</v>
      </c>
      <c r="AB224">
        <f t="shared" ca="1" si="61"/>
        <v>154.64800000000002</v>
      </c>
    </row>
    <row r="225" spans="1:28" x14ac:dyDescent="0.25">
      <c r="A225" s="20">
        <f t="shared" ca="1" si="62"/>
        <v>46034</v>
      </c>
      <c r="B225" vm="664">
        <f ca="1"/>
        <v>46038</v>
      </c>
      <c r="C225" vm="665">
        <f ca="1"/>
        <v>166.26</v>
      </c>
      <c r="D225" vm="666">
        <f ca="1"/>
        <v>9745753</v>
      </c>
      <c r="E225">
        <f t="shared" ca="1" si="63"/>
        <v>1620328893.78</v>
      </c>
      <c r="F225">
        <f ca="1">SUM($E$2:E225)/SUM($D$2:D225)</f>
        <v>150.95931098930919</v>
      </c>
      <c r="G225">
        <f ca="1">_xlfn.STDEV.P($C$2:C225)</f>
        <v>8.1900648146962425</v>
      </c>
      <c r="H225">
        <f t="shared" ca="1" si="64"/>
        <v>159.14937580400544</v>
      </c>
      <c r="I225">
        <f t="shared" ca="1" si="65"/>
        <v>142.76924617461293</v>
      </c>
      <c r="J225">
        <f t="shared" ca="1" si="74"/>
        <v>156.53500000000003</v>
      </c>
      <c r="K225">
        <f t="shared" ca="1" si="75"/>
        <v>6.7473616676212194</v>
      </c>
      <c r="L225">
        <f t="shared" ca="1" si="76"/>
        <v>170.02972333524247</v>
      </c>
      <c r="M225">
        <f t="shared" ca="1" si="77"/>
        <v>143.04027666475758</v>
      </c>
      <c r="N225">
        <f t="shared" ca="1" si="66"/>
        <v>9.9999999999994316E-2</v>
      </c>
      <c r="O225">
        <f t="shared" ca="1" si="67"/>
        <v>9.9999999999994316E-2</v>
      </c>
      <c r="P225">
        <f t="shared" ca="1" si="68"/>
        <v>0</v>
      </c>
      <c r="Q225">
        <f t="shared" ca="1" si="72"/>
        <v>1.3349487883848865</v>
      </c>
      <c r="R225">
        <f t="shared" ca="1" si="73"/>
        <v>0.645298077991313</v>
      </c>
      <c r="S225">
        <f t="shared" ca="1" si="70"/>
        <v>2.0687320076023186</v>
      </c>
      <c r="T225">
        <f t="shared" ca="1" si="71"/>
        <v>67.413250895723337</v>
      </c>
      <c r="U225">
        <f>70</f>
        <v>70</v>
      </c>
      <c r="V225">
        <f>30</f>
        <v>30</v>
      </c>
      <c r="W225">
        <f t="shared" ca="1" si="69"/>
        <v>161.35485646834962</v>
      </c>
      <c r="X225">
        <f t="shared" ca="1" si="79"/>
        <v>157.4560413922604</v>
      </c>
      <c r="Y225">
        <f t="shared" ca="1" si="78"/>
        <v>3.9247262638610039</v>
      </c>
      <c r="Z225">
        <f t="shared" ca="1" si="59"/>
        <v>2.9029642313396042</v>
      </c>
      <c r="AA225">
        <f t="shared" ca="1" si="60"/>
        <v>1.0217620325213996</v>
      </c>
      <c r="AB225">
        <f t="shared" ca="1" si="61"/>
        <v>154.72860000000003</v>
      </c>
    </row>
    <row r="226" spans="1:28" x14ac:dyDescent="0.25">
      <c r="A226" s="20">
        <f t="shared" ca="1" si="62"/>
        <v>46041</v>
      </c>
      <c r="B226" vm="667">
        <f ca="1"/>
        <v>46042</v>
      </c>
      <c r="C226" vm="668">
        <f ca="1"/>
        <v>165.3</v>
      </c>
      <c r="D226" vm="669">
        <f ca="1"/>
        <v>11142530</v>
      </c>
      <c r="E226">
        <f t="shared" ca="1" si="63"/>
        <v>1841860209.0000002</v>
      </c>
      <c r="F226">
        <f ca="1">SUM($E$2:E226)/SUM($D$2:D226)</f>
        <v>151.03567163265296</v>
      </c>
      <c r="G226">
        <f ca="1">_xlfn.STDEV.P($C$2:C226)</f>
        <v>8.2262750011813814</v>
      </c>
      <c r="H226">
        <f t="shared" ca="1" si="64"/>
        <v>159.26194663383436</v>
      </c>
      <c r="I226">
        <f t="shared" ca="1" si="65"/>
        <v>142.80939663147157</v>
      </c>
      <c r="J226">
        <f t="shared" ca="1" si="74"/>
        <v>157.41550000000001</v>
      </c>
      <c r="K226">
        <f t="shared" ca="1" si="75"/>
        <v>6.681067102759779</v>
      </c>
      <c r="L226">
        <f t="shared" ca="1" si="76"/>
        <v>170.77763420551958</v>
      </c>
      <c r="M226">
        <f t="shared" ca="1" si="77"/>
        <v>144.05336579448044</v>
      </c>
      <c r="N226">
        <f t="shared" ca="1" si="66"/>
        <v>-0.95999999999997954</v>
      </c>
      <c r="O226">
        <f t="shared" ca="1" si="67"/>
        <v>0</v>
      </c>
      <c r="P226">
        <f t="shared" ca="1" si="68"/>
        <v>0.95999999999997954</v>
      </c>
      <c r="Q226">
        <f t="shared" ca="1" si="72"/>
        <v>1.2395953035002518</v>
      </c>
      <c r="R226">
        <f t="shared" ca="1" si="73"/>
        <v>0.66777678670621776</v>
      </c>
      <c r="S226">
        <f t="shared" ca="1" si="70"/>
        <v>1.8563018783784113</v>
      </c>
      <c r="T226">
        <f t="shared" ca="1" si="71"/>
        <v>64.98969497692859</v>
      </c>
      <c r="U226">
        <f>70</f>
        <v>70</v>
      </c>
      <c r="V226">
        <f>30</f>
        <v>30</v>
      </c>
      <c r="W226">
        <f t="shared" ca="1" si="69"/>
        <v>161.96180162706509</v>
      </c>
      <c r="X226">
        <f t="shared" ca="1" si="79"/>
        <v>158.03707536320408</v>
      </c>
      <c r="Y226">
        <f t="shared" ca="1" si="78"/>
        <v>4.0143749008461782</v>
      </c>
      <c r="Z226">
        <f t="shared" ca="1" si="59"/>
        <v>3.125246365240919</v>
      </c>
      <c r="AA226">
        <f t="shared" ca="1" si="60"/>
        <v>0.88912853560525917</v>
      </c>
      <c r="AB226">
        <f t="shared" ca="1" si="61"/>
        <v>154.80800000000002</v>
      </c>
    </row>
    <row r="227" spans="1:28" x14ac:dyDescent="0.25">
      <c r="A227" s="20">
        <f t="shared" ca="1" si="62"/>
        <v>46041</v>
      </c>
      <c r="B227" vm="670">
        <f ca="1"/>
        <v>46043</v>
      </c>
      <c r="C227" vm="671">
        <f ca="1"/>
        <v>166.73</v>
      </c>
      <c r="D227" vm="672">
        <f ca="1"/>
        <v>10918539</v>
      </c>
      <c r="E227">
        <f t="shared" ca="1" si="63"/>
        <v>1820448007.4699998</v>
      </c>
      <c r="F227">
        <f ca="1">SUM($E$2:E227)/SUM($D$2:D227)</f>
        <v>151.11713509796135</v>
      </c>
      <c r="G227">
        <f ca="1">_xlfn.STDEV.P($C$2:C227)</f>
        <v>8.2728512765190008</v>
      </c>
      <c r="H227">
        <f t="shared" ca="1" si="64"/>
        <v>159.38998637448034</v>
      </c>
      <c r="I227">
        <f t="shared" ca="1" si="65"/>
        <v>142.84428382144236</v>
      </c>
      <c r="J227">
        <f t="shared" ca="1" si="74"/>
        <v>158.36450000000002</v>
      </c>
      <c r="K227">
        <f t="shared" ca="1" si="75"/>
        <v>6.5831623140122844</v>
      </c>
      <c r="L227">
        <f t="shared" ca="1" si="76"/>
        <v>171.53082462802459</v>
      </c>
      <c r="M227">
        <f t="shared" ca="1" si="77"/>
        <v>145.19817537197545</v>
      </c>
      <c r="N227">
        <f t="shared" ca="1" si="66"/>
        <v>1.4299999999999784</v>
      </c>
      <c r="O227">
        <f t="shared" ca="1" si="67"/>
        <v>1.4299999999999784</v>
      </c>
      <c r="P227">
        <f t="shared" ca="1" si="68"/>
        <v>0</v>
      </c>
      <c r="Q227">
        <f t="shared" ca="1" si="72"/>
        <v>1.253195638964518</v>
      </c>
      <c r="R227">
        <f t="shared" ca="1" si="73"/>
        <v>0.62007844479863083</v>
      </c>
      <c r="S227">
        <f t="shared" ca="1" si="70"/>
        <v>2.0210275804241036</v>
      </c>
      <c r="T227">
        <f t="shared" ca="1" si="71"/>
        <v>66.898680221263788</v>
      </c>
      <c r="U227">
        <f>70</f>
        <v>70</v>
      </c>
      <c r="V227">
        <f>30</f>
        <v>30</v>
      </c>
      <c r="W227">
        <f t="shared" ca="1" si="69"/>
        <v>162.69537060751662</v>
      </c>
      <c r="X227">
        <f t="shared" ca="1" si="79"/>
        <v>158.68099570667044</v>
      </c>
      <c r="Y227">
        <f t="shared" ca="1" si="78"/>
        <v>4.0332805292437399</v>
      </c>
      <c r="Z227">
        <f t="shared" ca="1" si="59"/>
        <v>3.306853198041483</v>
      </c>
      <c r="AA227">
        <f t="shared" ca="1" si="60"/>
        <v>0.72642733120225689</v>
      </c>
      <c r="AB227">
        <f t="shared" ca="1" si="61"/>
        <v>154.88290000000001</v>
      </c>
    </row>
    <row r="228" spans="1:28" x14ac:dyDescent="0.25">
      <c r="A228" s="20">
        <f t="shared" ca="1" si="62"/>
        <v>46041</v>
      </c>
      <c r="B228" vm="673">
        <f ca="1"/>
        <v>46044</v>
      </c>
      <c r="C228" vm="674">
        <f ca="1"/>
        <v>166.66</v>
      </c>
      <c r="D228" vm="675">
        <f ca="1"/>
        <v>8957383</v>
      </c>
      <c r="E228">
        <f t="shared" ca="1" si="63"/>
        <v>1492837450.78</v>
      </c>
      <c r="F228">
        <f ca="1">SUM($E$2:E228)/SUM($D$2:D228)</f>
        <v>151.18304071037809</v>
      </c>
      <c r="G228">
        <f ca="1">_xlfn.STDEV.P($C$2:C228)</f>
        <v>8.3176259640997561</v>
      </c>
      <c r="H228">
        <f t="shared" ca="1" si="64"/>
        <v>159.50066667447786</v>
      </c>
      <c r="I228">
        <f t="shared" ca="1" si="65"/>
        <v>142.86541474627833</v>
      </c>
      <c r="J228">
        <f t="shared" ca="1" si="74"/>
        <v>159.20750000000001</v>
      </c>
      <c r="K228">
        <f t="shared" ca="1" si="75"/>
        <v>6.5077855195466485</v>
      </c>
      <c r="L228">
        <f t="shared" ca="1" si="76"/>
        <v>172.2230710390933</v>
      </c>
      <c r="M228">
        <f t="shared" ca="1" si="77"/>
        <v>146.19192896090672</v>
      </c>
      <c r="N228">
        <f t="shared" ca="1" si="66"/>
        <v>-6.9999999999993179E-2</v>
      </c>
      <c r="O228">
        <f t="shared" ca="1" si="67"/>
        <v>0</v>
      </c>
      <c r="P228">
        <f t="shared" ca="1" si="68"/>
        <v>6.9999999999993179E-2</v>
      </c>
      <c r="Q228">
        <f t="shared" ca="1" si="72"/>
        <v>1.1636816647527668</v>
      </c>
      <c r="R228">
        <f t="shared" ca="1" si="73"/>
        <v>0.58078712731301396</v>
      </c>
      <c r="S228">
        <f t="shared" ca="1" si="70"/>
        <v>2.0036285413839812</v>
      </c>
      <c r="T228">
        <f t="shared" ca="1" si="71"/>
        <v>66.706935087944316</v>
      </c>
      <c r="U228">
        <f>70</f>
        <v>70</v>
      </c>
      <c r="V228">
        <f>30</f>
        <v>30</v>
      </c>
      <c r="W228">
        <f t="shared" ca="1" si="69"/>
        <v>163.30531359097563</v>
      </c>
      <c r="X228">
        <f t="shared" ca="1" si="79"/>
        <v>159.27203306173189</v>
      </c>
      <c r="Y228">
        <f t="shared" ca="1" si="78"/>
        <v>4.006915645176349</v>
      </c>
      <c r="Z228">
        <f t="shared" ca="1" si="59"/>
        <v>3.4468656874684567</v>
      </c>
      <c r="AA228">
        <f t="shared" ca="1" si="60"/>
        <v>0.56004995770789234</v>
      </c>
      <c r="AB228">
        <f t="shared" ca="1" si="61"/>
        <v>154.9563</v>
      </c>
    </row>
    <row r="229" spans="1:28" x14ac:dyDescent="0.25">
      <c r="A229" s="20">
        <f t="shared" ca="1" si="62"/>
        <v>46041</v>
      </c>
      <c r="B229" vm="676">
        <f ca="1"/>
        <v>46045</v>
      </c>
      <c r="C229" vm="677">
        <f ca="1"/>
        <v>166.72</v>
      </c>
      <c r="D229" vm="678">
        <f ca="1"/>
        <v>8368686</v>
      </c>
      <c r="E229">
        <f t="shared" ca="1" si="63"/>
        <v>1395227329.9200001</v>
      </c>
      <c r="F229">
        <f ca="1">SUM($E$2:E229)/SUM($D$2:D229)</f>
        <v>151.244348603975</v>
      </c>
      <c r="G229">
        <f ca="1">_xlfn.STDEV.P($C$2:C229)</f>
        <v>8.3617082228712185</v>
      </c>
      <c r="H229">
        <f t="shared" ca="1" si="64"/>
        <v>159.60605682684621</v>
      </c>
      <c r="I229">
        <f t="shared" ca="1" si="65"/>
        <v>142.88264038110378</v>
      </c>
      <c r="J229">
        <f t="shared" ca="1" si="74"/>
        <v>160.01799999999997</v>
      </c>
      <c r="K229">
        <f t="shared" ca="1" si="75"/>
        <v>6.3756408140259646</v>
      </c>
      <c r="L229">
        <f t="shared" ca="1" si="76"/>
        <v>172.76928162805191</v>
      </c>
      <c r="M229">
        <f t="shared" ca="1" si="77"/>
        <v>147.26671837194803</v>
      </c>
      <c r="N229">
        <f t="shared" ca="1" si="66"/>
        <v>6.0000000000002274E-2</v>
      </c>
      <c r="O229">
        <f t="shared" ca="1" si="67"/>
        <v>6.0000000000002274E-2</v>
      </c>
      <c r="P229">
        <f t="shared" ca="1" si="68"/>
        <v>0</v>
      </c>
      <c r="Q229">
        <f t="shared" ca="1" si="72"/>
        <v>1.0848472601275694</v>
      </c>
      <c r="R229">
        <f t="shared" ca="1" si="73"/>
        <v>0.53930233250494153</v>
      </c>
      <c r="S229">
        <f t="shared" ca="1" si="70"/>
        <v>2.0115753163697452</v>
      </c>
      <c r="T229">
        <f t="shared" ca="1" si="71"/>
        <v>66.794786948731087</v>
      </c>
      <c r="U229">
        <f>70</f>
        <v>70</v>
      </c>
      <c r="V229">
        <f>30</f>
        <v>30</v>
      </c>
      <c r="W229">
        <f t="shared" ca="1" si="69"/>
        <v>163.83064996159476</v>
      </c>
      <c r="X229">
        <f t="shared" ca="1" si="79"/>
        <v>159.82373431641841</v>
      </c>
      <c r="Y229">
        <f t="shared" ca="1" si="78"/>
        <v>4.0028187628423382</v>
      </c>
      <c r="Z229">
        <f t="shared" ca="1" si="59"/>
        <v>3.5580563025432328</v>
      </c>
      <c r="AA229">
        <f t="shared" ca="1" si="60"/>
        <v>0.44476246029910538</v>
      </c>
      <c r="AB229">
        <f t="shared" ca="1" si="61"/>
        <v>155.01750000000001</v>
      </c>
    </row>
    <row r="230" spans="1:28" x14ac:dyDescent="0.25">
      <c r="A230" s="20">
        <f t="shared" ca="1" si="62"/>
        <v>46048</v>
      </c>
      <c r="B230" vm="679">
        <f ca="1"/>
        <v>46048</v>
      </c>
      <c r="C230" vm="680">
        <f ca="1"/>
        <v>167.5</v>
      </c>
      <c r="D230" vm="681">
        <f ca="1"/>
        <v>8912601</v>
      </c>
      <c r="E230">
        <f t="shared" ca="1" si="63"/>
        <v>1492860667.5</v>
      </c>
      <c r="F230">
        <f ca="1">SUM($E$2:E230)/SUM($D$2:D230)</f>
        <v>151.31237550390469</v>
      </c>
      <c r="G230">
        <f ca="1">_xlfn.STDEV.P($C$2:C230)</f>
        <v>8.4109907604716163</v>
      </c>
      <c r="H230">
        <f t="shared" ca="1" si="64"/>
        <v>159.7233662643763</v>
      </c>
      <c r="I230">
        <f t="shared" ca="1" si="65"/>
        <v>142.90138474343308</v>
      </c>
      <c r="J230">
        <f t="shared" ca="1" si="74"/>
        <v>160.86799999999999</v>
      </c>
      <c r="K230">
        <f t="shared" ca="1" si="75"/>
        <v>6.1698124171775177</v>
      </c>
      <c r="L230">
        <f t="shared" ca="1" si="76"/>
        <v>173.20762483435504</v>
      </c>
      <c r="M230">
        <f t="shared" ca="1" si="77"/>
        <v>148.52837516564495</v>
      </c>
      <c r="N230">
        <f t="shared" ca="1" si="66"/>
        <v>0.78000000000000114</v>
      </c>
      <c r="O230">
        <f t="shared" ca="1" si="67"/>
        <v>0.78000000000000114</v>
      </c>
      <c r="P230">
        <f t="shared" ca="1" si="68"/>
        <v>0</v>
      </c>
      <c r="Q230">
        <f t="shared" ca="1" si="72"/>
        <v>1.0630724558327431</v>
      </c>
      <c r="R230">
        <f t="shared" ca="1" si="73"/>
        <v>0.50078073732601713</v>
      </c>
      <c r="S230">
        <f t="shared" ca="1" si="70"/>
        <v>2.1228301661704374</v>
      </c>
      <c r="T230">
        <f t="shared" ca="1" si="71"/>
        <v>67.977765463105172</v>
      </c>
      <c r="U230">
        <f>70</f>
        <v>70</v>
      </c>
      <c r="V230">
        <f>30</f>
        <v>30</v>
      </c>
      <c r="W230">
        <f t="shared" ca="1" si="69"/>
        <v>164.39516535211865</v>
      </c>
      <c r="X230">
        <f t="shared" ca="1" si="79"/>
        <v>160.39234658927631</v>
      </c>
      <c r="Y230">
        <f t="shared" ca="1" si="78"/>
        <v>4.0776395101551088</v>
      </c>
      <c r="Z230">
        <f t="shared" ref="Z230:Z252" ca="1" si="80">Y230*(2/(9+1)) + Z229*(1-(2/(9+1)))</f>
        <v>3.6619729440656084</v>
      </c>
      <c r="AA230">
        <f t="shared" ref="AA230:AA252" ca="1" si="81">Y230-Z230</f>
        <v>0.41566656608950048</v>
      </c>
      <c r="AB230">
        <f t="shared" ref="AB230:AB252" ca="1" si="82">AVERAGE(C131:C230)</f>
        <v>155.07419999999999</v>
      </c>
    </row>
    <row r="231" spans="1:28" x14ac:dyDescent="0.25">
      <c r="A231" s="20">
        <f t="shared" ca="1" si="62"/>
        <v>46048</v>
      </c>
      <c r="B231" vm="682">
        <f ca="1"/>
        <v>46049</v>
      </c>
      <c r="C231" vm="683">
        <f ca="1"/>
        <v>169.05</v>
      </c>
      <c r="D231" vm="684">
        <f ca="1"/>
        <v>9784855</v>
      </c>
      <c r="E231">
        <f t="shared" ca="1" si="63"/>
        <v>1654129737.75</v>
      </c>
      <c r="F231">
        <f ca="1">SUM($E$2:E231)/SUM($D$2:D231)</f>
        <v>151.39349606543715</v>
      </c>
      <c r="G231">
        <f ca="1">_xlfn.STDEV.P($C$2:C231)</f>
        <v>8.4723292750013766</v>
      </c>
      <c r="H231">
        <f t="shared" ca="1" si="64"/>
        <v>159.86582534043853</v>
      </c>
      <c r="I231">
        <f t="shared" ca="1" si="65"/>
        <v>142.92116679043576</v>
      </c>
      <c r="J231">
        <f t="shared" ca="1" si="74"/>
        <v>161.81950000000001</v>
      </c>
      <c r="K231">
        <f t="shared" ca="1" si="75"/>
        <v>5.8688477081155064</v>
      </c>
      <c r="L231">
        <f t="shared" ca="1" si="76"/>
        <v>173.55719541623102</v>
      </c>
      <c r="M231">
        <f t="shared" ca="1" si="77"/>
        <v>150.08180458376899</v>
      </c>
      <c r="N231">
        <f t="shared" ca="1" si="66"/>
        <v>1.5500000000000114</v>
      </c>
      <c r="O231">
        <f t="shared" ca="1" si="67"/>
        <v>1.5500000000000114</v>
      </c>
      <c r="P231">
        <f t="shared" ca="1" si="68"/>
        <v>0</v>
      </c>
      <c r="Q231">
        <f t="shared" ca="1" si="72"/>
        <v>1.0978529947018336</v>
      </c>
      <c r="R231">
        <f t="shared" ca="1" si="73"/>
        <v>0.46501068465987305</v>
      </c>
      <c r="S231">
        <f t="shared" ca="1" si="70"/>
        <v>2.3609199334953908</v>
      </c>
      <c r="T231">
        <f t="shared" ca="1" si="71"/>
        <v>70.246241511621207</v>
      </c>
      <c r="U231">
        <f>70</f>
        <v>70</v>
      </c>
      <c r="V231">
        <f>30</f>
        <v>30</v>
      </c>
      <c r="W231">
        <f t="shared" ca="1" si="69"/>
        <v>165.11129375948502</v>
      </c>
      <c r="X231">
        <f t="shared" ca="1" si="79"/>
        <v>161.03365424932991</v>
      </c>
      <c r="Y231">
        <f t="shared" ca="1" si="78"/>
        <v>4.1599903576491215</v>
      </c>
      <c r="Z231">
        <f t="shared" ca="1" si="80"/>
        <v>3.7615764267823111</v>
      </c>
      <c r="AA231">
        <f t="shared" ca="1" si="81"/>
        <v>0.39841393086681043</v>
      </c>
      <c r="AB231">
        <f t="shared" ca="1" si="82"/>
        <v>155.18409999999997</v>
      </c>
    </row>
    <row r="232" spans="1:28" x14ac:dyDescent="0.25">
      <c r="A232" s="20">
        <f t="shared" ca="1" si="62"/>
        <v>46048</v>
      </c>
      <c r="B232" vm="685">
        <f ca="1"/>
        <v>46050</v>
      </c>
      <c r="C232" vm="686">
        <f ca="1"/>
        <v>169.93</v>
      </c>
      <c r="D232" vm="687">
        <f ca="1"/>
        <v>9200244</v>
      </c>
      <c r="E232">
        <f t="shared" ca="1" si="63"/>
        <v>1563397462.9200001</v>
      </c>
      <c r="F232">
        <f ca="1">SUM($E$2:E232)/SUM($D$2:D232)</f>
        <v>151.47286394112447</v>
      </c>
      <c r="G232">
        <f ca="1">_xlfn.STDEV.P($C$2:C232)</f>
        <v>8.5400117019134214</v>
      </c>
      <c r="H232">
        <f t="shared" ca="1" si="64"/>
        <v>160.01287564303789</v>
      </c>
      <c r="I232">
        <f t="shared" ca="1" si="65"/>
        <v>142.93285223921106</v>
      </c>
      <c r="J232">
        <f t="shared" ca="1" si="74"/>
        <v>162.76650000000001</v>
      </c>
      <c r="K232">
        <f t="shared" ca="1" si="75"/>
        <v>5.5487791687143142</v>
      </c>
      <c r="L232">
        <f t="shared" ca="1" si="76"/>
        <v>173.86405833742865</v>
      </c>
      <c r="M232">
        <f t="shared" ca="1" si="77"/>
        <v>151.66894166257137</v>
      </c>
      <c r="N232">
        <f t="shared" ca="1" si="66"/>
        <v>0.87999999999999545</v>
      </c>
      <c r="O232">
        <f t="shared" ca="1" si="67"/>
        <v>0.87999999999999545</v>
      </c>
      <c r="P232">
        <f t="shared" ca="1" si="68"/>
        <v>0</v>
      </c>
      <c r="Q232">
        <f t="shared" ca="1" si="72"/>
        <v>1.0822920665088451</v>
      </c>
      <c r="R232">
        <f t="shared" ca="1" si="73"/>
        <v>0.43179563575559637</v>
      </c>
      <c r="S232">
        <f t="shared" ca="1" si="70"/>
        <v>2.5064914438399759</v>
      </c>
      <c r="T232">
        <f t="shared" ca="1" si="71"/>
        <v>71.481464705788781</v>
      </c>
      <c r="U232">
        <f>70</f>
        <v>70</v>
      </c>
      <c r="V232">
        <f>30</f>
        <v>30</v>
      </c>
      <c r="W232">
        <f t="shared" ca="1" si="69"/>
        <v>165.85263318110273</v>
      </c>
      <c r="X232">
        <f t="shared" ca="1" si="79"/>
        <v>161.69264282345361</v>
      </c>
      <c r="Y232">
        <f t="shared" ca="1" si="78"/>
        <v>4.2776157753991129</v>
      </c>
      <c r="Z232">
        <f t="shared" ca="1" si="80"/>
        <v>3.8647842965056718</v>
      </c>
      <c r="AA232">
        <f t="shared" ca="1" si="81"/>
        <v>0.41283147889344107</v>
      </c>
      <c r="AB232">
        <f t="shared" ca="1" si="82"/>
        <v>155.30649999999997</v>
      </c>
    </row>
    <row r="233" spans="1:28" x14ac:dyDescent="0.25">
      <c r="A233" s="20">
        <f t="shared" ca="1" si="62"/>
        <v>46048</v>
      </c>
      <c r="B233" vm="688">
        <f ca="1"/>
        <v>46051</v>
      </c>
      <c r="C233" vm="689">
        <f ca="1"/>
        <v>171.19</v>
      </c>
      <c r="D233" vm="690">
        <f ca="1"/>
        <v>16786612</v>
      </c>
      <c r="E233">
        <f t="shared" ca="1" si="63"/>
        <v>2873700108.2799997</v>
      </c>
      <c r="F233">
        <f ca="1">SUM($E$2:E233)/SUM($D$2:D233)</f>
        <v>151.62570667637732</v>
      </c>
      <c r="G233">
        <f ca="1">_xlfn.STDEV.P($C$2:C233)</f>
        <v>8.6177670251594591</v>
      </c>
      <c r="H233">
        <f t="shared" ca="1" si="64"/>
        <v>160.24347370153677</v>
      </c>
      <c r="I233">
        <f t="shared" ca="1" si="65"/>
        <v>143.00793965121787</v>
      </c>
      <c r="J233">
        <f t="shared" ca="1" si="74"/>
        <v>163.71049999999997</v>
      </c>
      <c r="K233">
        <f t="shared" ca="1" si="75"/>
        <v>5.2754859840986281</v>
      </c>
      <c r="L233">
        <f t="shared" ca="1" si="76"/>
        <v>174.26147196819721</v>
      </c>
      <c r="M233">
        <f t="shared" ca="1" si="77"/>
        <v>153.15952803180272</v>
      </c>
      <c r="N233">
        <f t="shared" ca="1" si="66"/>
        <v>1.2599999999999909</v>
      </c>
      <c r="O233">
        <f t="shared" ca="1" si="67"/>
        <v>1.2599999999999909</v>
      </c>
      <c r="P233">
        <f t="shared" ca="1" si="68"/>
        <v>0</v>
      </c>
      <c r="Q233">
        <f t="shared" ca="1" si="72"/>
        <v>1.0949854903296412</v>
      </c>
      <c r="R233">
        <f t="shared" ca="1" si="73"/>
        <v>0.40095309034448234</v>
      </c>
      <c r="S233">
        <f t="shared" ca="1" si="70"/>
        <v>2.7309566048957867</v>
      </c>
      <c r="T233">
        <f t="shared" ca="1" si="71"/>
        <v>73.197222431164349</v>
      </c>
      <c r="U233">
        <f>70</f>
        <v>70</v>
      </c>
      <c r="V233">
        <f>30</f>
        <v>30</v>
      </c>
      <c r="W233">
        <f t="shared" ca="1" si="69"/>
        <v>166.67376653785615</v>
      </c>
      <c r="X233">
        <f t="shared" ca="1" si="79"/>
        <v>162.39615076245704</v>
      </c>
      <c r="Y233">
        <f t="shared" ca="1" si="78"/>
        <v>4.7765232591018218</v>
      </c>
      <c r="Z233">
        <f t="shared" ca="1" si="80"/>
        <v>4.0471320890249025</v>
      </c>
      <c r="AA233">
        <f t="shared" ca="1" si="81"/>
        <v>0.72939117007691934</v>
      </c>
      <c r="AB233">
        <f t="shared" ca="1" si="82"/>
        <v>155.48179999999996</v>
      </c>
    </row>
    <row r="234" spans="1:28" x14ac:dyDescent="0.25">
      <c r="A234" s="20">
        <f t="shared" ca="1" si="62"/>
        <v>46048</v>
      </c>
      <c r="B234" vm="691">
        <f ca="1"/>
        <v>46052</v>
      </c>
      <c r="C234" vm="692">
        <f ca="1"/>
        <v>176.9</v>
      </c>
      <c r="D234" vm="693">
        <f ca="1"/>
        <v>22946582</v>
      </c>
      <c r="E234">
        <f t="shared" ca="1" si="63"/>
        <v>4059250355.8000002</v>
      </c>
      <c r="F234">
        <f ca="1">SUM($E$2:E234)/SUM($D$2:D234)</f>
        <v>151.89071359964115</v>
      </c>
      <c r="G234">
        <f ca="1">_xlfn.STDEV.P($C$2:C234)</f>
        <v>8.7559203009002875</v>
      </c>
      <c r="H234">
        <f t="shared" ca="1" si="64"/>
        <v>160.64663390054145</v>
      </c>
      <c r="I234">
        <f t="shared" ca="1" si="65"/>
        <v>143.13479329874085</v>
      </c>
      <c r="J234">
        <f t="shared" ca="1" si="74"/>
        <v>164.935</v>
      </c>
      <c r="K234">
        <f t="shared" ca="1" si="75"/>
        <v>5.3560487203475713</v>
      </c>
      <c r="L234">
        <f t="shared" ca="1" si="76"/>
        <v>175.64709744069515</v>
      </c>
      <c r="M234">
        <f t="shared" ca="1" si="77"/>
        <v>154.22290255930486</v>
      </c>
      <c r="N234">
        <f t="shared" ca="1" si="66"/>
        <v>5.710000000000008</v>
      </c>
      <c r="O234">
        <f t="shared" ca="1" si="67"/>
        <v>5.710000000000008</v>
      </c>
      <c r="P234">
        <f t="shared" ca="1" si="68"/>
        <v>0</v>
      </c>
      <c r="Q234">
        <f t="shared" ca="1" si="72"/>
        <v>1.4246293838775246</v>
      </c>
      <c r="R234">
        <f t="shared" ca="1" si="73"/>
        <v>0.37231358389130503</v>
      </c>
      <c r="S234">
        <f t="shared" ca="1" si="70"/>
        <v>3.8264233310741558</v>
      </c>
      <c r="T234">
        <f t="shared" ca="1" si="71"/>
        <v>79.280723396937447</v>
      </c>
      <c r="U234">
        <f>70</f>
        <v>70</v>
      </c>
      <c r="V234">
        <f>30</f>
        <v>30</v>
      </c>
      <c r="W234">
        <f t="shared" ca="1" si="69"/>
        <v>168.24703322433982</v>
      </c>
      <c r="X234">
        <f t="shared" ca="1" si="79"/>
        <v>163.47050996523799</v>
      </c>
      <c r="Y234">
        <f t="shared" ca="1" si="78"/>
        <v>4.8840260083378269</v>
      </c>
      <c r="Z234">
        <f t="shared" ca="1" si="80"/>
        <v>4.2145108728874874</v>
      </c>
      <c r="AA234">
        <f t="shared" ca="1" si="81"/>
        <v>0.66951513545033947</v>
      </c>
      <c r="AB234">
        <f t="shared" ca="1" si="82"/>
        <v>155.71079999999995</v>
      </c>
    </row>
    <row r="235" spans="1:28" x14ac:dyDescent="0.25">
      <c r="A235" s="20">
        <f t="shared" ca="1" si="62"/>
        <v>46055</v>
      </c>
      <c r="B235" vm="694">
        <f ca="1"/>
        <v>46055</v>
      </c>
      <c r="C235" vm="695">
        <f ca="1"/>
        <v>174.03</v>
      </c>
      <c r="D235" vm="696">
        <f ca="1"/>
        <v>14235347</v>
      </c>
      <c r="E235">
        <f t="shared" ca="1" si="63"/>
        <v>2477377438.4099998</v>
      </c>
      <c r="F235">
        <f ca="1">SUM($E$2:E235)/SUM($D$2:D235)</f>
        <v>152.03379265259437</v>
      </c>
      <c r="G235">
        <f ca="1">_xlfn.STDEV.P($C$2:C235)</f>
        <v>8.8568794283136185</v>
      </c>
      <c r="H235">
        <f t="shared" ca="1" si="64"/>
        <v>160.89067208090799</v>
      </c>
      <c r="I235">
        <f t="shared" ca="1" si="65"/>
        <v>143.17691322428075</v>
      </c>
      <c r="J235">
        <f t="shared" ca="1" si="74"/>
        <v>165.8415</v>
      </c>
      <c r="K235">
        <f t="shared" ca="1" si="75"/>
        <v>5.2801059349420774</v>
      </c>
      <c r="L235">
        <f t="shared" ca="1" si="76"/>
        <v>176.40171186988414</v>
      </c>
      <c r="M235">
        <f t="shared" ca="1" si="77"/>
        <v>155.28128813011585</v>
      </c>
      <c r="N235">
        <f t="shared" ca="1" si="66"/>
        <v>-2.8700000000000045</v>
      </c>
      <c r="O235">
        <f t="shared" ca="1" si="67"/>
        <v>0</v>
      </c>
      <c r="P235">
        <f t="shared" ca="1" si="68"/>
        <v>2.8700000000000045</v>
      </c>
      <c r="Q235">
        <f t="shared" ca="1" si="72"/>
        <v>1.3228701421719873</v>
      </c>
      <c r="R235">
        <f t="shared" ca="1" si="73"/>
        <v>0.55071975647049787</v>
      </c>
      <c r="S235">
        <f t="shared" ca="1" si="70"/>
        <v>2.4020749694002554</v>
      </c>
      <c r="T235">
        <f t="shared" ca="1" si="71"/>
        <v>70.606173908734064</v>
      </c>
      <c r="U235">
        <f>70</f>
        <v>70</v>
      </c>
      <c r="V235">
        <f>30</f>
        <v>30</v>
      </c>
      <c r="W235">
        <f t="shared" ca="1" si="69"/>
        <v>169.13672042059522</v>
      </c>
      <c r="X235">
        <f t="shared" ca="1" si="79"/>
        <v>164.2526944122574</v>
      </c>
      <c r="Y235">
        <f t="shared" ca="1" si="78"/>
        <v>5.2324794328579003</v>
      </c>
      <c r="Z235">
        <f t="shared" ca="1" si="80"/>
        <v>4.4181045848815703</v>
      </c>
      <c r="AA235">
        <f t="shared" ca="1" si="81"/>
        <v>0.81437484797632997</v>
      </c>
      <c r="AB235">
        <f t="shared" ca="1" si="82"/>
        <v>155.90259999999998</v>
      </c>
    </row>
    <row r="236" spans="1:28" x14ac:dyDescent="0.25">
      <c r="A236" s="20">
        <f t="shared" ca="1" si="62"/>
        <v>46055</v>
      </c>
      <c r="B236" vm="697">
        <f ca="1"/>
        <v>46056</v>
      </c>
      <c r="C236" vm="698">
        <f ca="1"/>
        <v>178.04</v>
      </c>
      <c r="D236" vm="699">
        <f ca="1"/>
        <v>18425423</v>
      </c>
      <c r="E236">
        <f t="shared" ca="1" si="63"/>
        <v>3280462310.9200001</v>
      </c>
      <c r="F236">
        <f ca="1">SUM($E$2:E236)/SUM($D$2:D236)</f>
        <v>152.24952791593037</v>
      </c>
      <c r="G236">
        <f ca="1">_xlfn.STDEV.P($C$2:C236)</f>
        <v>9.0005764364467549</v>
      </c>
      <c r="H236">
        <f t="shared" ca="1" si="64"/>
        <v>161.25010435237712</v>
      </c>
      <c r="I236">
        <f t="shared" ca="1" si="65"/>
        <v>143.24895147948362</v>
      </c>
      <c r="J236">
        <f t="shared" ca="1" si="74"/>
        <v>166.55100000000002</v>
      </c>
      <c r="K236">
        <f t="shared" ca="1" si="75"/>
        <v>5.9137679679665638</v>
      </c>
      <c r="L236">
        <f t="shared" ca="1" si="76"/>
        <v>178.37853593593314</v>
      </c>
      <c r="M236">
        <f t="shared" ca="1" si="77"/>
        <v>154.72346406406689</v>
      </c>
      <c r="N236">
        <f t="shared" ca="1" si="66"/>
        <v>4.0099999999999909</v>
      </c>
      <c r="O236">
        <f t="shared" ca="1" si="67"/>
        <v>4.0099999999999909</v>
      </c>
      <c r="P236">
        <f t="shared" ca="1" si="68"/>
        <v>0</v>
      </c>
      <c r="Q236">
        <f t="shared" ca="1" si="72"/>
        <v>1.5148079891597017</v>
      </c>
      <c r="R236">
        <f t="shared" ca="1" si="73"/>
        <v>0.51138263100831949</v>
      </c>
      <c r="S236">
        <f t="shared" ca="1" si="70"/>
        <v>2.9621811483367684</v>
      </c>
      <c r="T236">
        <f t="shared" ca="1" si="71"/>
        <v>74.761376056221536</v>
      </c>
      <c r="U236">
        <f>70</f>
        <v>70</v>
      </c>
      <c r="V236">
        <f>30</f>
        <v>30</v>
      </c>
      <c r="W236">
        <f t="shared" ca="1" si="69"/>
        <v>170.50645574050364</v>
      </c>
      <c r="X236">
        <f t="shared" ca="1" si="79"/>
        <v>165.27397630764574</v>
      </c>
      <c r="Y236">
        <f t="shared" ca="1" si="78"/>
        <v>5.7003277918653055</v>
      </c>
      <c r="Z236">
        <f t="shared" ca="1" si="80"/>
        <v>4.6745492262783177</v>
      </c>
      <c r="AA236">
        <f t="shared" ca="1" si="81"/>
        <v>1.0257785655869878</v>
      </c>
      <c r="AB236">
        <f t="shared" ca="1" si="82"/>
        <v>156.10510000000002</v>
      </c>
    </row>
    <row r="237" spans="1:28" x14ac:dyDescent="0.25">
      <c r="A237" s="20">
        <f t="shared" ca="1" si="62"/>
        <v>46055</v>
      </c>
      <c r="B237" vm="700">
        <f ca="1"/>
        <v>46057</v>
      </c>
      <c r="C237" vm="701">
        <f ca="1"/>
        <v>181.23</v>
      </c>
      <c r="D237" vm="702">
        <f ca="1"/>
        <v>16170478</v>
      </c>
      <c r="E237">
        <f t="shared" ca="1" si="63"/>
        <v>2930575727.9400001</v>
      </c>
      <c r="F237">
        <f ca="1">SUM($E$2:E237)/SUM($D$2:D237)</f>
        <v>152.45898961547874</v>
      </c>
      <c r="G237">
        <f ca="1">_xlfn.STDEV.P($C$2:C237)</f>
        <v>9.1801083891741975</v>
      </c>
      <c r="H237">
        <f t="shared" ca="1" si="64"/>
        <v>161.63909800465294</v>
      </c>
      <c r="I237">
        <f t="shared" ca="1" si="65"/>
        <v>143.27888122630455</v>
      </c>
      <c r="J237">
        <f t="shared" ca="1" si="74"/>
        <v>167.78550000000001</v>
      </c>
      <c r="K237">
        <f t="shared" ca="1" si="75"/>
        <v>6.2796810805712262</v>
      </c>
      <c r="L237">
        <f t="shared" ca="1" si="76"/>
        <v>180.34486216114246</v>
      </c>
      <c r="M237">
        <f t="shared" ca="1" si="77"/>
        <v>155.22613783885757</v>
      </c>
      <c r="N237">
        <f t="shared" ca="1" si="66"/>
        <v>3.1899999999999977</v>
      </c>
      <c r="O237">
        <f t="shared" ca="1" si="67"/>
        <v>3.1899999999999977</v>
      </c>
      <c r="P237">
        <f t="shared" ca="1" si="68"/>
        <v>0</v>
      </c>
      <c r="Q237">
        <f t="shared" ca="1" si="72"/>
        <v>1.6344645613625801</v>
      </c>
      <c r="R237">
        <f t="shared" ca="1" si="73"/>
        <v>0.47485530022201095</v>
      </c>
      <c r="S237">
        <f t="shared" ca="1" si="70"/>
        <v>3.4420265723019465</v>
      </c>
      <c r="T237">
        <f t="shared" ca="1" si="71"/>
        <v>77.487752859574186</v>
      </c>
      <c r="U237">
        <f>70</f>
        <v>70</v>
      </c>
      <c r="V237">
        <f>30</f>
        <v>30</v>
      </c>
      <c r="W237">
        <f t="shared" ca="1" si="69"/>
        <v>172.15623178042617</v>
      </c>
      <c r="X237">
        <f t="shared" ca="1" si="79"/>
        <v>166.45590398856086</v>
      </c>
      <c r="Y237">
        <f t="shared" ca="1" si="78"/>
        <v>5.8423704914652035</v>
      </c>
      <c r="Z237">
        <f t="shared" ca="1" si="80"/>
        <v>4.9081134793156949</v>
      </c>
      <c r="AA237">
        <f t="shared" ca="1" si="81"/>
        <v>0.93425701214950863</v>
      </c>
      <c r="AB237">
        <f t="shared" ca="1" si="82"/>
        <v>156.3349</v>
      </c>
    </row>
    <row r="238" spans="1:28" x14ac:dyDescent="0.25">
      <c r="A238" s="20">
        <f t="shared" ca="1" si="62"/>
        <v>46055</v>
      </c>
      <c r="B238" vm="703">
        <f ca="1"/>
        <v>46058</v>
      </c>
      <c r="C238" vm="704">
        <f ca="1"/>
        <v>179.23</v>
      </c>
      <c r="D238" vm="705">
        <f ca="1"/>
        <v>10474142</v>
      </c>
      <c r="E238">
        <f t="shared" ca="1" si="63"/>
        <v>1877280470.6599998</v>
      </c>
      <c r="F238">
        <f ca="1">SUM($E$2:E238)/SUM($D$2:D238)</f>
        <v>152.58373689366113</v>
      </c>
      <c r="G238">
        <f ca="1">_xlfn.STDEV.P($C$2:C238)</f>
        <v>9.3278092987285586</v>
      </c>
      <c r="H238">
        <f t="shared" ca="1" si="64"/>
        <v>161.91154619238969</v>
      </c>
      <c r="I238">
        <f t="shared" ca="1" si="65"/>
        <v>143.25592759493256</v>
      </c>
      <c r="J238">
        <f t="shared" ca="1" si="74"/>
        <v>168.98700000000002</v>
      </c>
      <c r="K238">
        <f t="shared" ca="1" si="75"/>
        <v>6.0391844168772151</v>
      </c>
      <c r="L238">
        <f t="shared" ca="1" si="76"/>
        <v>181.06536883375446</v>
      </c>
      <c r="M238">
        <f t="shared" ca="1" si="77"/>
        <v>156.90863116624558</v>
      </c>
      <c r="N238">
        <f t="shared" ca="1" si="66"/>
        <v>-2</v>
      </c>
      <c r="O238">
        <f t="shared" ca="1" si="67"/>
        <v>0</v>
      </c>
      <c r="P238">
        <f t="shared" ca="1" si="68"/>
        <v>2</v>
      </c>
      <c r="Q238">
        <f t="shared" ca="1" si="72"/>
        <v>1.5177170926938246</v>
      </c>
      <c r="R238">
        <f t="shared" ca="1" si="73"/>
        <v>0.58379420734901011</v>
      </c>
      <c r="S238">
        <f t="shared" ca="1" si="70"/>
        <v>2.5997467490911341</v>
      </c>
      <c r="T238">
        <f t="shared" ca="1" si="71"/>
        <v>72.220267988227761</v>
      </c>
      <c r="U238">
        <f>70</f>
        <v>70</v>
      </c>
      <c r="V238">
        <f>30</f>
        <v>30</v>
      </c>
      <c r="W238">
        <f t="shared" ca="1" si="69"/>
        <v>173.24450381420675</v>
      </c>
      <c r="X238">
        <f t="shared" ca="1" si="79"/>
        <v>167.40213332274155</v>
      </c>
      <c r="Y238">
        <f t="shared" ca="1" si="78"/>
        <v>6.0171062761492919</v>
      </c>
      <c r="Z238">
        <f t="shared" ca="1" si="80"/>
        <v>5.1299120386824146</v>
      </c>
      <c r="AA238">
        <f t="shared" ca="1" si="81"/>
        <v>0.88719423746687731</v>
      </c>
      <c r="AB238">
        <f t="shared" ca="1" si="82"/>
        <v>156.55609999999999</v>
      </c>
    </row>
    <row r="239" spans="1:28" x14ac:dyDescent="0.25">
      <c r="A239" s="20">
        <f t="shared" ca="1" si="62"/>
        <v>46055</v>
      </c>
      <c r="B239" vm="706">
        <f ca="1"/>
        <v>46059</v>
      </c>
      <c r="C239" vm="707">
        <f ca="1"/>
        <v>180.86</v>
      </c>
      <c r="D239" vm="708">
        <f ca="1"/>
        <v>9901816</v>
      </c>
      <c r="E239">
        <f t="shared" ca="1" si="63"/>
        <v>1790842441.7600002</v>
      </c>
      <c r="F239">
        <f ca="1">SUM($E$2:E239)/SUM($D$2:D239)</f>
        <v>152.70775234121939</v>
      </c>
      <c r="G239">
        <f ca="1">_xlfn.STDEV.P($C$2:C239)</f>
        <v>9.4906400736640748</v>
      </c>
      <c r="H239">
        <f t="shared" ca="1" si="64"/>
        <v>162.19839241488347</v>
      </c>
      <c r="I239">
        <f t="shared" ca="1" si="65"/>
        <v>143.21711226755531</v>
      </c>
      <c r="J239">
        <f t="shared" ca="1" si="74"/>
        <v>170.06750000000002</v>
      </c>
      <c r="K239">
        <f t="shared" ca="1" si="75"/>
        <v>6.1377716468987069</v>
      </c>
      <c r="L239">
        <f t="shared" ca="1" si="76"/>
        <v>182.34304329379745</v>
      </c>
      <c r="M239">
        <f t="shared" ca="1" si="77"/>
        <v>157.7919567062026</v>
      </c>
      <c r="N239">
        <f t="shared" ca="1" si="66"/>
        <v>1.6300000000000239</v>
      </c>
      <c r="O239">
        <f t="shared" ca="1" si="67"/>
        <v>1.6300000000000239</v>
      </c>
      <c r="P239">
        <f t="shared" ca="1" si="68"/>
        <v>0</v>
      </c>
      <c r="Q239">
        <f t="shared" ca="1" si="72"/>
        <v>1.5257373003585533</v>
      </c>
      <c r="R239">
        <f t="shared" ca="1" si="73"/>
        <v>0.54209462110979512</v>
      </c>
      <c r="S239">
        <f t="shared" ca="1" si="70"/>
        <v>2.8145221165172427</v>
      </c>
      <c r="T239">
        <f t="shared" ca="1" si="71"/>
        <v>73.784396329230731</v>
      </c>
      <c r="U239">
        <f>70</f>
        <v>70</v>
      </c>
      <c r="V239">
        <f>30</f>
        <v>30</v>
      </c>
      <c r="W239">
        <f t="shared" ca="1" si="69"/>
        <v>174.41611861202111</v>
      </c>
      <c r="X239">
        <f t="shared" ca="1" si="79"/>
        <v>168.39901233587182</v>
      </c>
      <c r="Y239">
        <f t="shared" ca="1" si="78"/>
        <v>6.2242399390653418</v>
      </c>
      <c r="Z239">
        <f t="shared" ca="1" si="80"/>
        <v>5.3487776187590006</v>
      </c>
      <c r="AA239">
        <f t="shared" ca="1" si="81"/>
        <v>0.87546232030634119</v>
      </c>
      <c r="AB239">
        <f t="shared" ca="1" si="82"/>
        <v>156.79159999999999</v>
      </c>
    </row>
    <row r="240" spans="1:28" x14ac:dyDescent="0.25">
      <c r="A240" s="20">
        <f t="shared" ca="1" si="62"/>
        <v>46062</v>
      </c>
      <c r="B240" vm="709">
        <f ca="1"/>
        <v>46062</v>
      </c>
      <c r="C240" vm="710">
        <f ca="1"/>
        <v>182.6</v>
      </c>
      <c r="D240" vm="711">
        <f ca="1"/>
        <v>12021285</v>
      </c>
      <c r="E240">
        <f t="shared" ca="1" si="63"/>
        <v>2195086641</v>
      </c>
      <c r="F240">
        <f ca="1">SUM($E$2:E240)/SUM($D$2:D240)</f>
        <v>152.86607463000325</v>
      </c>
      <c r="G240">
        <f ca="1">_xlfn.STDEV.P($C$2:C240)</f>
        <v>9.6699670108647044</v>
      </c>
      <c r="H240">
        <f t="shared" ca="1" si="64"/>
        <v>162.53604164086795</v>
      </c>
      <c r="I240">
        <f t="shared" ca="1" si="65"/>
        <v>143.19610761913856</v>
      </c>
      <c r="J240">
        <f t="shared" ca="1" si="74"/>
        <v>171.09200000000004</v>
      </c>
      <c r="K240">
        <f t="shared" ca="1" si="75"/>
        <v>6.4421405399790901</v>
      </c>
      <c r="L240">
        <f t="shared" ca="1" si="76"/>
        <v>183.97628107995823</v>
      </c>
      <c r="M240">
        <f t="shared" ca="1" si="77"/>
        <v>158.20771892004186</v>
      </c>
      <c r="N240">
        <f t="shared" ca="1" si="66"/>
        <v>1.7399999999999807</v>
      </c>
      <c r="O240">
        <f t="shared" ca="1" si="67"/>
        <v>1.7399999999999807</v>
      </c>
      <c r="P240">
        <f t="shared" ca="1" si="68"/>
        <v>0</v>
      </c>
      <c r="Q240">
        <f t="shared" ca="1" si="72"/>
        <v>1.5410417789043696</v>
      </c>
      <c r="R240">
        <f t="shared" ca="1" si="73"/>
        <v>0.50337357674480976</v>
      </c>
      <c r="S240">
        <f t="shared" ca="1" si="70"/>
        <v>3.061427635653621</v>
      </c>
      <c r="T240">
        <f t="shared" ca="1" si="71"/>
        <v>75.378116029412737</v>
      </c>
      <c r="U240">
        <f>70</f>
        <v>70</v>
      </c>
      <c r="V240">
        <f>30</f>
        <v>30</v>
      </c>
      <c r="W240">
        <f t="shared" ca="1" si="69"/>
        <v>175.67517728709478</v>
      </c>
      <c r="X240">
        <f t="shared" ca="1" si="79"/>
        <v>169.45093734802944</v>
      </c>
      <c r="Y240">
        <f t="shared" ca="1" si="78"/>
        <v>6.2884701315030895</v>
      </c>
      <c r="Z240">
        <f t="shared" ca="1" si="80"/>
        <v>5.5367161213078191</v>
      </c>
      <c r="AA240">
        <f t="shared" ca="1" si="81"/>
        <v>0.75175401019527044</v>
      </c>
      <c r="AB240">
        <f t="shared" ca="1" si="82"/>
        <v>157.0222</v>
      </c>
    </row>
    <row r="241" spans="1:28" x14ac:dyDescent="0.25">
      <c r="A241" s="20">
        <f t="shared" ca="1" si="62"/>
        <v>46062</v>
      </c>
      <c r="B241" vm="712">
        <f ca="1"/>
        <v>46063</v>
      </c>
      <c r="C241" vm="713">
        <f ca="1"/>
        <v>182.26</v>
      </c>
      <c r="D241" vm="714">
        <f ca="1"/>
        <v>7458163</v>
      </c>
      <c r="E241">
        <f t="shared" ca="1" si="63"/>
        <v>1359324788.3799999</v>
      </c>
      <c r="F241">
        <f ca="1">SUM($E$2:E241)/SUM($D$2:D241)</f>
        <v>152.96234603507361</v>
      </c>
      <c r="G241">
        <f ca="1">_xlfn.STDEV.P($C$2:C241)</f>
        <v>9.8386728437522972</v>
      </c>
      <c r="H241">
        <f t="shared" ca="1" si="64"/>
        <v>162.80101887882591</v>
      </c>
      <c r="I241">
        <f t="shared" ca="1" si="65"/>
        <v>143.1236731913213</v>
      </c>
      <c r="J241">
        <f t="shared" ca="1" si="74"/>
        <v>172.08800000000002</v>
      </c>
      <c r="K241">
        <f t="shared" ca="1" si="75"/>
        <v>6.5566708497208337</v>
      </c>
      <c r="L241">
        <f t="shared" ca="1" si="76"/>
        <v>185.20134169944168</v>
      </c>
      <c r="M241">
        <f t="shared" ca="1" si="77"/>
        <v>158.97465830055836</v>
      </c>
      <c r="N241">
        <f t="shared" ca="1" si="66"/>
        <v>-0.34000000000000341</v>
      </c>
      <c r="O241">
        <f t="shared" ca="1" si="67"/>
        <v>0</v>
      </c>
      <c r="P241">
        <f t="shared" ca="1" si="68"/>
        <v>0.34000000000000341</v>
      </c>
      <c r="Q241">
        <f t="shared" ca="1" si="72"/>
        <v>1.430967366125486</v>
      </c>
      <c r="R241">
        <f t="shared" ca="1" si="73"/>
        <v>0.49170403554875219</v>
      </c>
      <c r="S241">
        <f t="shared" ca="1" si="70"/>
        <v>2.9102209106917254</v>
      </c>
      <c r="T241">
        <f t="shared" ca="1" si="71"/>
        <v>74.425997332639241</v>
      </c>
      <c r="U241">
        <f>70</f>
        <v>70</v>
      </c>
      <c r="V241">
        <f>30</f>
        <v>30</v>
      </c>
      <c r="W241">
        <f t="shared" ca="1" si="69"/>
        <v>176.68822693523404</v>
      </c>
      <c r="X241">
        <f t="shared" ca="1" si="79"/>
        <v>170.39975680373095</v>
      </c>
      <c r="Y241">
        <f t="shared" ca="1" si="78"/>
        <v>6.5511180585525892</v>
      </c>
      <c r="Z241">
        <f t="shared" ca="1" si="80"/>
        <v>5.7395965087567742</v>
      </c>
      <c r="AA241">
        <f t="shared" ca="1" si="81"/>
        <v>0.81152154979581503</v>
      </c>
      <c r="AB241">
        <f t="shared" ca="1" si="82"/>
        <v>157.2439</v>
      </c>
    </row>
    <row r="242" spans="1:28" x14ac:dyDescent="0.25">
      <c r="A242" s="20">
        <f t="shared" ca="1" si="62"/>
        <v>46062</v>
      </c>
      <c r="B242" vm="715">
        <f ca="1"/>
        <v>46064</v>
      </c>
      <c r="C242" vm="716">
        <f ca="1"/>
        <v>185.82</v>
      </c>
      <c r="D242" vm="717">
        <f ca="1"/>
        <v>10502119</v>
      </c>
      <c r="E242">
        <f t="shared" ca="1" si="63"/>
        <v>1951503752.5799999</v>
      </c>
      <c r="F242">
        <f ca="1">SUM($E$2:E242)/SUM($D$2:D242)</f>
        <v>153.11318828383159</v>
      </c>
      <c r="G242">
        <f ca="1">_xlfn.STDEV.P($C$2:C242)</f>
        <v>10.047784337014789</v>
      </c>
      <c r="H242">
        <f t="shared" ca="1" si="64"/>
        <v>163.16097262084639</v>
      </c>
      <c r="I242">
        <f t="shared" ca="1" si="65"/>
        <v>143.06540394681679</v>
      </c>
      <c r="J242">
        <f t="shared" ca="1" si="74"/>
        <v>173.18550000000002</v>
      </c>
      <c r="K242">
        <f t="shared" ca="1" si="75"/>
        <v>6.934850565687845</v>
      </c>
      <c r="L242">
        <f t="shared" ca="1" si="76"/>
        <v>187.0552011313757</v>
      </c>
      <c r="M242">
        <f t="shared" ca="1" si="77"/>
        <v>159.31579886862434</v>
      </c>
      <c r="N242">
        <f t="shared" ca="1" si="66"/>
        <v>3.5600000000000023</v>
      </c>
      <c r="O242">
        <f t="shared" ca="1" si="67"/>
        <v>3.5600000000000023</v>
      </c>
      <c r="P242">
        <f t="shared" ca="1" si="68"/>
        <v>0</v>
      </c>
      <c r="Q242">
        <f t="shared" ca="1" si="72"/>
        <v>1.5830411256879515</v>
      </c>
      <c r="R242">
        <f t="shared" ca="1" si="73"/>
        <v>0.45658231872384131</v>
      </c>
      <c r="S242">
        <f t="shared" ca="1" si="70"/>
        <v>3.4671538094435852</v>
      </c>
      <c r="T242">
        <f t="shared" ca="1" si="71"/>
        <v>77.614381714683859</v>
      </c>
      <c r="U242">
        <f>70</f>
        <v>70</v>
      </c>
      <c r="V242">
        <f>30</f>
        <v>30</v>
      </c>
      <c r="W242">
        <f t="shared" ca="1" si="69"/>
        <v>178.09311509904421</v>
      </c>
      <c r="X242">
        <f t="shared" ca="1" si="79"/>
        <v>171.54199704049162</v>
      </c>
      <c r="Y242">
        <f t="shared" ca="1" si="78"/>
        <v>6.4094192201035582</v>
      </c>
      <c r="Z242">
        <f t="shared" ca="1" si="80"/>
        <v>5.8735610510261314</v>
      </c>
      <c r="AA242">
        <f t="shared" ca="1" si="81"/>
        <v>0.53585816907742689</v>
      </c>
      <c r="AB242">
        <f t="shared" ca="1" si="82"/>
        <v>157.5137</v>
      </c>
    </row>
    <row r="243" spans="1:28" x14ac:dyDescent="0.25">
      <c r="A243" s="20">
        <f t="shared" ca="1" si="62"/>
        <v>46062</v>
      </c>
      <c r="B243" vm="718">
        <f ca="1"/>
        <v>46065</v>
      </c>
      <c r="C243" vm="719">
        <f ca="1"/>
        <v>182.4</v>
      </c>
      <c r="D243" vm="720">
        <f ca="1"/>
        <v>9673715</v>
      </c>
      <c r="E243">
        <f t="shared" ca="1" si="63"/>
        <v>1764485616</v>
      </c>
      <c r="F243">
        <f ca="1">SUM($E$2:E243)/SUM($D$2:D243)</f>
        <v>153.23651077337723</v>
      </c>
      <c r="G243">
        <f ca="1">_xlfn.STDEV.P($C$2:C243)</f>
        <v>10.205954260629269</v>
      </c>
      <c r="H243">
        <f t="shared" ca="1" si="64"/>
        <v>163.44246503400649</v>
      </c>
      <c r="I243">
        <f t="shared" ca="1" si="65"/>
        <v>143.03055651274798</v>
      </c>
      <c r="J243">
        <f t="shared" ca="1" si="74"/>
        <v>173.94350000000003</v>
      </c>
      <c r="K243">
        <f t="shared" ca="1" si="75"/>
        <v>7.0778291906933974</v>
      </c>
      <c r="L243">
        <f t="shared" ca="1" si="76"/>
        <v>188.09915838138681</v>
      </c>
      <c r="M243">
        <f t="shared" ca="1" si="77"/>
        <v>159.78784161861324</v>
      </c>
      <c r="N243">
        <f t="shared" ca="1" si="66"/>
        <v>-3.4199999999999875</v>
      </c>
      <c r="O243">
        <f t="shared" ca="1" si="67"/>
        <v>0</v>
      </c>
      <c r="P243">
        <f t="shared" ca="1" si="68"/>
        <v>3.4199999999999875</v>
      </c>
      <c r="Q243">
        <f t="shared" ca="1" si="72"/>
        <v>1.4699667595673838</v>
      </c>
      <c r="R243">
        <f t="shared" ca="1" si="73"/>
        <v>0.66825501024356604</v>
      </c>
      <c r="S243">
        <f t="shared" ca="1" si="70"/>
        <v>2.1997092981489348</v>
      </c>
      <c r="T243">
        <f t="shared" ca="1" si="71"/>
        <v>68.74716085681564</v>
      </c>
      <c r="U243">
        <f>70</f>
        <v>70</v>
      </c>
      <c r="V243">
        <f>30</f>
        <v>30</v>
      </c>
      <c r="W243">
        <f t="shared" ca="1" si="69"/>
        <v>178.75571277611434</v>
      </c>
      <c r="X243">
        <f t="shared" ca="1" si="79"/>
        <v>172.34629355601078</v>
      </c>
      <c r="Y243">
        <f t="shared" ca="1" si="78"/>
        <v>6.3322543840525896</v>
      </c>
      <c r="Z243">
        <f t="shared" ca="1" si="80"/>
        <v>5.9652997176314235</v>
      </c>
      <c r="AA243">
        <f t="shared" ca="1" si="81"/>
        <v>0.36695466642116603</v>
      </c>
      <c r="AB243">
        <f t="shared" ca="1" si="82"/>
        <v>157.7756</v>
      </c>
    </row>
    <row r="244" spans="1:28" x14ac:dyDescent="0.25">
      <c r="A244" s="20">
        <f t="shared" ca="1" si="62"/>
        <v>46062</v>
      </c>
      <c r="B244" vm="721">
        <f ca="1"/>
        <v>46066</v>
      </c>
      <c r="C244" vm="722">
        <f ca="1"/>
        <v>183.74</v>
      </c>
      <c r="D244" vm="723">
        <f ca="1"/>
        <v>9034683</v>
      </c>
      <c r="E244">
        <f t="shared" ca="1" si="63"/>
        <v>1660032654.4200001</v>
      </c>
      <c r="F244">
        <f ca="1">SUM($E$2:E244)/SUM($D$2:D244)</f>
        <v>153.3560016487551</v>
      </c>
      <c r="G244">
        <f ca="1">_xlfn.STDEV.P($C$2:C244)</f>
        <v>10.375008248629111</v>
      </c>
      <c r="H244">
        <f t="shared" ca="1" si="64"/>
        <v>163.73100989738421</v>
      </c>
      <c r="I244">
        <f t="shared" ca="1" si="65"/>
        <v>142.98099340012598</v>
      </c>
      <c r="J244">
        <f t="shared" ca="1" si="74"/>
        <v>174.82249999999999</v>
      </c>
      <c r="K244">
        <f t="shared" ca="1" si="75"/>
        <v>7.1515672739396221</v>
      </c>
      <c r="L244">
        <f t="shared" ca="1" si="76"/>
        <v>189.12563454787923</v>
      </c>
      <c r="M244">
        <f t="shared" ca="1" si="77"/>
        <v>160.51936545212075</v>
      </c>
      <c r="N244">
        <f t="shared" ca="1" si="66"/>
        <v>1.3400000000000034</v>
      </c>
      <c r="O244">
        <f t="shared" ca="1" si="67"/>
        <v>1.3400000000000034</v>
      </c>
      <c r="P244">
        <f t="shared" ca="1" si="68"/>
        <v>0</v>
      </c>
      <c r="Q244">
        <f t="shared" ca="1" si="72"/>
        <v>1.4606834195982852</v>
      </c>
      <c r="R244">
        <f t="shared" ca="1" si="73"/>
        <v>0.6205225095118827</v>
      </c>
      <c r="S244">
        <f t="shared" ca="1" si="70"/>
        <v>2.3539571848042908</v>
      </c>
      <c r="T244">
        <f t="shared" ca="1" si="71"/>
        <v>70.184473298267477</v>
      </c>
      <c r="U244">
        <f>70</f>
        <v>70</v>
      </c>
      <c r="V244">
        <f>30</f>
        <v>30</v>
      </c>
      <c r="W244">
        <f t="shared" ca="1" si="69"/>
        <v>179.52252619517367</v>
      </c>
      <c r="X244">
        <f t="shared" ca="1" si="79"/>
        <v>173.19027181112108</v>
      </c>
      <c r="Y244">
        <f t="shared" ca="1" si="78"/>
        <v>5.945162226074757</v>
      </c>
      <c r="Z244">
        <f t="shared" ca="1" si="80"/>
        <v>5.9612722193200902</v>
      </c>
      <c r="AA244">
        <f t="shared" ca="1" si="81"/>
        <v>-1.6109993245333243E-2</v>
      </c>
      <c r="AB244">
        <f t="shared" ca="1" si="82"/>
        <v>158.05250000000001</v>
      </c>
    </row>
    <row r="245" spans="1:28" x14ac:dyDescent="0.25">
      <c r="A245" s="20">
        <f t="shared" ca="1" si="62"/>
        <v>46069</v>
      </c>
      <c r="B245" vm="724">
        <f ca="1"/>
        <v>46070</v>
      </c>
      <c r="C245" vm="725">
        <f ca="1"/>
        <v>180.55</v>
      </c>
      <c r="D245" vm="726">
        <f ca="1"/>
        <v>9849048</v>
      </c>
      <c r="E245">
        <f t="shared" ca="1" si="63"/>
        <v>1778245616.4000001</v>
      </c>
      <c r="F245">
        <f ca="1">SUM($E$2:E245)/SUM($D$2:D245)</f>
        <v>153.47163655975518</v>
      </c>
      <c r="G245">
        <f ca="1">_xlfn.STDEV.P($C$2:C245)</f>
        <v>10.502399504672786</v>
      </c>
      <c r="H245">
        <f t="shared" ca="1" si="64"/>
        <v>163.97403606442796</v>
      </c>
      <c r="I245">
        <f t="shared" ca="1" si="65"/>
        <v>142.9692370550824</v>
      </c>
      <c r="J245">
        <f t="shared" ca="1" si="74"/>
        <v>175.53700000000003</v>
      </c>
      <c r="K245">
        <f t="shared" ca="1" si="75"/>
        <v>6.9624217656003315</v>
      </c>
      <c r="L245">
        <f t="shared" ca="1" si="76"/>
        <v>189.46184353120069</v>
      </c>
      <c r="M245">
        <f t="shared" ca="1" si="77"/>
        <v>161.61215646879938</v>
      </c>
      <c r="N245">
        <f t="shared" ca="1" si="66"/>
        <v>-3.1899999999999977</v>
      </c>
      <c r="O245">
        <f t="shared" ca="1" si="67"/>
        <v>0</v>
      </c>
      <c r="P245">
        <f t="shared" ca="1" si="68"/>
        <v>3.1899999999999977</v>
      </c>
      <c r="Q245">
        <f t="shared" ca="1" si="72"/>
        <v>1.3563488896269791</v>
      </c>
      <c r="R245">
        <f t="shared" ca="1" si="73"/>
        <v>0.80405661597531952</v>
      </c>
      <c r="S245">
        <f t="shared" ca="1" si="70"/>
        <v>1.6868823198248668</v>
      </c>
      <c r="T245">
        <f t="shared" ca="1" si="71"/>
        <v>62.782143727635201</v>
      </c>
      <c r="U245">
        <f>70</f>
        <v>70</v>
      </c>
      <c r="V245">
        <f>30</f>
        <v>30</v>
      </c>
      <c r="W245">
        <f t="shared" ca="1" si="69"/>
        <v>179.68059908822389</v>
      </c>
      <c r="X245">
        <f t="shared" ca="1" si="79"/>
        <v>173.73543686214913</v>
      </c>
      <c r="Y245">
        <f t="shared" ca="1" si="78"/>
        <v>5.838977062689537</v>
      </c>
      <c r="Z245">
        <f t="shared" ca="1" si="80"/>
        <v>5.9368131879939803</v>
      </c>
      <c r="AA245">
        <f t="shared" ca="1" si="81"/>
        <v>-9.78361253044433E-2</v>
      </c>
      <c r="AB245">
        <f t="shared" ca="1" si="82"/>
        <v>158.28379999999999</v>
      </c>
    </row>
    <row r="246" spans="1:28" x14ac:dyDescent="0.25">
      <c r="A246" s="20">
        <f t="shared" ca="1" si="62"/>
        <v>46069</v>
      </c>
      <c r="B246" vm="727">
        <f ca="1"/>
        <v>46071</v>
      </c>
      <c r="C246" vm="728">
        <f ca="1"/>
        <v>183.87</v>
      </c>
      <c r="D246" vm="729">
        <f ca="1"/>
        <v>10313434</v>
      </c>
      <c r="E246">
        <f t="shared" ca="1" si="63"/>
        <v>1896331109.5800002</v>
      </c>
      <c r="F246">
        <f ca="1">SUM($E$2:E246)/SUM($D$2:D246)</f>
        <v>153.60639179581389</v>
      </c>
      <c r="G246">
        <f ca="1">_xlfn.STDEV.P($C$2:C246)</f>
        <v>10.662963232436525</v>
      </c>
      <c r="H246">
        <f t="shared" ca="1" si="64"/>
        <v>164.2693550282504</v>
      </c>
      <c r="I246">
        <f t="shared" ca="1" si="65"/>
        <v>142.94342856337738</v>
      </c>
      <c r="J246">
        <f t="shared" ca="1" si="74"/>
        <v>176.46550000000002</v>
      </c>
      <c r="K246">
        <f t="shared" ca="1" si="75"/>
        <v>6.7606893723549888</v>
      </c>
      <c r="L246">
        <f t="shared" ca="1" si="76"/>
        <v>189.98687874471</v>
      </c>
      <c r="M246">
        <f t="shared" ca="1" si="77"/>
        <v>162.94412125529004</v>
      </c>
      <c r="N246">
        <f t="shared" ca="1" si="66"/>
        <v>3.3199999999999932</v>
      </c>
      <c r="O246">
        <f t="shared" ca="1" si="67"/>
        <v>3.3199999999999932</v>
      </c>
      <c r="P246">
        <f t="shared" ca="1" si="68"/>
        <v>0</v>
      </c>
      <c r="Q246">
        <f t="shared" ca="1" si="72"/>
        <v>1.4966096832250515</v>
      </c>
      <c r="R246">
        <f t="shared" ca="1" si="73"/>
        <v>0.74662400054851097</v>
      </c>
      <c r="S246">
        <f t="shared" ca="1" si="70"/>
        <v>2.0045025101330252</v>
      </c>
      <c r="T246">
        <f t="shared" ca="1" si="71"/>
        <v>66.716619585858666</v>
      </c>
      <c r="U246">
        <f>70</f>
        <v>70</v>
      </c>
      <c r="V246">
        <f>30</f>
        <v>30</v>
      </c>
      <c r="W246">
        <f t="shared" ca="1" si="69"/>
        <v>180.32512230542022</v>
      </c>
      <c r="X246">
        <f t="shared" ca="1" si="79"/>
        <v>174.48614524273069</v>
      </c>
      <c r="Y246">
        <f t="shared" ca="1" si="78"/>
        <v>5.7618351020579439</v>
      </c>
      <c r="Z246">
        <f t="shared" ca="1" si="80"/>
        <v>5.9018175708067728</v>
      </c>
      <c r="AA246">
        <f t="shared" ca="1" si="81"/>
        <v>-0.13998246874882891</v>
      </c>
      <c r="AB246">
        <f t="shared" ca="1" si="82"/>
        <v>158.5307</v>
      </c>
    </row>
    <row r="247" spans="1:28" x14ac:dyDescent="0.25">
      <c r="A247" s="20">
        <f t="shared" ca="1" si="62"/>
        <v>46069</v>
      </c>
      <c r="B247" vm="730">
        <f ca="1"/>
        <v>46072</v>
      </c>
      <c r="C247" vm="731">
        <f ca="1"/>
        <v>184.78</v>
      </c>
      <c r="D247" vm="732">
        <f ca="1"/>
        <v>10773342</v>
      </c>
      <c r="E247">
        <f t="shared" ca="1" si="63"/>
        <v>1990698134.76</v>
      </c>
      <c r="F247">
        <f ca="1">SUM($E$2:E247)/SUM($D$2:D247)</f>
        <v>153.75008070412028</v>
      </c>
      <c r="G247">
        <f ca="1">_xlfn.STDEV.P($C$2:C247)</f>
        <v>10.829013348155064</v>
      </c>
      <c r="H247">
        <f t="shared" ca="1" si="64"/>
        <v>164.57909405227534</v>
      </c>
      <c r="I247">
        <f t="shared" ca="1" si="65"/>
        <v>142.92106735596522</v>
      </c>
      <c r="J247">
        <f t="shared" ca="1" si="74"/>
        <v>177.36799999999999</v>
      </c>
      <c r="K247">
        <f t="shared" ca="1" si="75"/>
        <v>6.5954223359443533</v>
      </c>
      <c r="L247">
        <f t="shared" ca="1" si="76"/>
        <v>190.55884467188869</v>
      </c>
      <c r="M247">
        <f t="shared" ca="1" si="77"/>
        <v>164.1771553281113</v>
      </c>
      <c r="N247">
        <f t="shared" ca="1" si="66"/>
        <v>0.90999999999999659</v>
      </c>
      <c r="O247">
        <f t="shared" ca="1" si="67"/>
        <v>0.90999999999999659</v>
      </c>
      <c r="P247">
        <f t="shared" ca="1" si="68"/>
        <v>0</v>
      </c>
      <c r="Q247">
        <f t="shared" ca="1" si="72"/>
        <v>1.4547089915661189</v>
      </c>
      <c r="R247">
        <f t="shared" ca="1" si="73"/>
        <v>0.69329371479504587</v>
      </c>
      <c r="S247">
        <f t="shared" ca="1" si="70"/>
        <v>2.0982578675131442</v>
      </c>
      <c r="T247">
        <f t="shared" ca="1" si="71"/>
        <v>67.72379696068802</v>
      </c>
      <c r="U247">
        <f>70</f>
        <v>70</v>
      </c>
      <c r="V247">
        <f>30</f>
        <v>30</v>
      </c>
      <c r="W247">
        <f t="shared" ca="1" si="69"/>
        <v>181.01048810458633</v>
      </c>
      <c r="X247">
        <f t="shared" ca="1" si="79"/>
        <v>175.24865300252839</v>
      </c>
      <c r="Y247">
        <f t="shared" ca="1" si="78"/>
        <v>5.5679280377220266</v>
      </c>
      <c r="Z247">
        <f t="shared" ca="1" si="80"/>
        <v>5.8350396641898241</v>
      </c>
      <c r="AA247">
        <f t="shared" ca="1" si="81"/>
        <v>-0.26711162646779751</v>
      </c>
      <c r="AB247">
        <f t="shared" ca="1" si="82"/>
        <v>158.7713</v>
      </c>
    </row>
    <row r="248" spans="1:28" x14ac:dyDescent="0.25">
      <c r="A248" s="20">
        <f t="shared" ca="1" si="62"/>
        <v>46069</v>
      </c>
      <c r="B248" vm="733">
        <f ca="1"/>
        <v>46073</v>
      </c>
      <c r="C248" vm="734">
        <f ca="1"/>
        <v>183.93</v>
      </c>
      <c r="D248" vm="735">
        <f ca="1"/>
        <v>9566208</v>
      </c>
      <c r="E248">
        <f t="shared" ca="1" si="63"/>
        <v>1759512637.4400001</v>
      </c>
      <c r="F248">
        <f ca="1">SUM($E$2:E248)/SUM($D$2:D248)</f>
        <v>153.87309901113056</v>
      </c>
      <c r="G248">
        <f ca="1">_xlfn.STDEV.P($C$2:C248)</f>
        <v>10.98008969675228</v>
      </c>
      <c r="H248">
        <f t="shared" ca="1" si="64"/>
        <v>164.85318870788285</v>
      </c>
      <c r="I248">
        <f t="shared" ca="1" si="65"/>
        <v>142.89300931437828</v>
      </c>
      <c r="J248">
        <f t="shared" ca="1" si="74"/>
        <v>178.23150000000001</v>
      </c>
      <c r="K248">
        <f t="shared" ca="1" si="75"/>
        <v>6.2406909831659201</v>
      </c>
      <c r="L248">
        <f t="shared" ca="1" si="76"/>
        <v>190.71288196633185</v>
      </c>
      <c r="M248">
        <f t="shared" ca="1" si="77"/>
        <v>165.75011803366817</v>
      </c>
      <c r="N248">
        <f t="shared" ca="1" si="66"/>
        <v>-0.84999999999999432</v>
      </c>
      <c r="O248">
        <f t="shared" ca="1" si="67"/>
        <v>0</v>
      </c>
      <c r="P248">
        <f t="shared" ca="1" si="68"/>
        <v>0.84999999999999432</v>
      </c>
      <c r="Q248">
        <f t="shared" ca="1" si="72"/>
        <v>1.3508012064542532</v>
      </c>
      <c r="R248">
        <f t="shared" ca="1" si="73"/>
        <v>0.7044870208811137</v>
      </c>
      <c r="S248">
        <f t="shared" ca="1" si="70"/>
        <v>1.9174252561314522</v>
      </c>
      <c r="T248">
        <f t="shared" ca="1" si="71"/>
        <v>65.723200692174231</v>
      </c>
      <c r="U248">
        <f>70</f>
        <v>70</v>
      </c>
      <c r="V248">
        <f>30</f>
        <v>30</v>
      </c>
      <c r="W248">
        <f t="shared" ca="1" si="69"/>
        <v>181.45964378080384</v>
      </c>
      <c r="X248">
        <f t="shared" ca="1" si="79"/>
        <v>175.89171574308182</v>
      </c>
      <c r="Y248">
        <f t="shared" ca="1" si="78"/>
        <v>5.4307310153765229</v>
      </c>
      <c r="Z248">
        <f t="shared" ca="1" si="80"/>
        <v>5.7541779344271635</v>
      </c>
      <c r="AA248">
        <f t="shared" ca="1" si="81"/>
        <v>-0.3234469190506406</v>
      </c>
      <c r="AB248">
        <f t="shared" ca="1" si="82"/>
        <v>159.00900000000001</v>
      </c>
    </row>
    <row r="249" spans="1:28" x14ac:dyDescent="0.25">
      <c r="A249" s="20">
        <f t="shared" ca="1" si="62"/>
        <v>46076</v>
      </c>
      <c r="B249" vm="736">
        <f ca="1"/>
        <v>46076</v>
      </c>
      <c r="C249" vm="737">
        <f ca="1"/>
        <v>184.91</v>
      </c>
      <c r="D249" vm="738">
        <f ca="1"/>
        <v>7047219</v>
      </c>
      <c r="E249">
        <f t="shared" ca="1" si="63"/>
        <v>1303101265.29</v>
      </c>
      <c r="F249">
        <f ca="1">SUM($E$2:E249)/SUM($D$2:D249)</f>
        <v>153.96601828683663</v>
      </c>
      <c r="G249">
        <f ca="1">_xlfn.STDEV.P($C$2:C249)</f>
        <v>11.137500440875385</v>
      </c>
      <c r="H249">
        <f t="shared" ca="1" si="64"/>
        <v>165.10351872771201</v>
      </c>
      <c r="I249">
        <f t="shared" ca="1" si="65"/>
        <v>142.82851784596124</v>
      </c>
      <c r="J249">
        <f t="shared" ca="1" si="74"/>
        <v>179.14099999999999</v>
      </c>
      <c r="K249">
        <f t="shared" ca="1" si="75"/>
        <v>5.7834709119588101</v>
      </c>
      <c r="L249">
        <f t="shared" ca="1" si="76"/>
        <v>190.70794182391762</v>
      </c>
      <c r="M249">
        <f t="shared" ca="1" si="77"/>
        <v>167.57405817608236</v>
      </c>
      <c r="N249">
        <f t="shared" ca="1" si="66"/>
        <v>0.97999999999998977</v>
      </c>
      <c r="O249">
        <f t="shared" ca="1" si="67"/>
        <v>0.97999999999998977</v>
      </c>
      <c r="P249">
        <f t="shared" ca="1" si="68"/>
        <v>0</v>
      </c>
      <c r="Q249">
        <f t="shared" ca="1" si="72"/>
        <v>1.3243154059932343</v>
      </c>
      <c r="R249">
        <f t="shared" ca="1" si="73"/>
        <v>0.65416651938960568</v>
      </c>
      <c r="S249">
        <f t="shared" ca="1" si="70"/>
        <v>2.0244316496492911</v>
      </c>
      <c r="T249">
        <f t="shared" ca="1" si="71"/>
        <v>66.935936538160533</v>
      </c>
      <c r="U249">
        <f>70</f>
        <v>70</v>
      </c>
      <c r="V249">
        <f>30</f>
        <v>30</v>
      </c>
      <c r="W249">
        <f t="shared" ca="1" si="69"/>
        <v>181.99046781452634</v>
      </c>
      <c r="X249">
        <f t="shared" ca="1" si="79"/>
        <v>176.55973679914982</v>
      </c>
      <c r="Y249">
        <f t="shared" ca="1" si="78"/>
        <v>5.2956537925658722</v>
      </c>
      <c r="Z249">
        <f t="shared" ca="1" si="80"/>
        <v>5.6624731060549056</v>
      </c>
      <c r="AA249">
        <f t="shared" ca="1" si="81"/>
        <v>-0.36681931348903341</v>
      </c>
      <c r="AB249">
        <f t="shared" ca="1" si="82"/>
        <v>159.2971</v>
      </c>
    </row>
    <row r="250" spans="1:28" x14ac:dyDescent="0.25">
      <c r="A250" s="20">
        <f t="shared" ca="1" si="62"/>
        <v>46076</v>
      </c>
      <c r="B250" vm="739">
        <f ca="1"/>
        <v>46077</v>
      </c>
      <c r="C250" vm="740">
        <f ca="1"/>
        <v>185.34</v>
      </c>
      <c r="D250" vm="741">
        <f ca="1"/>
        <v>7451798</v>
      </c>
      <c r="E250">
        <f t="shared" ca="1" si="63"/>
        <v>1381116241.3199999</v>
      </c>
      <c r="F250">
        <f ca="1">SUM($E$2:E250)/SUM($D$2:D250)</f>
        <v>154.06502570429174</v>
      </c>
      <c r="G250">
        <f ca="1">_xlfn.STDEV.P($C$2:C250)</f>
        <v>11.29487428353613</v>
      </c>
      <c r="H250">
        <f t="shared" ca="1" si="64"/>
        <v>165.35989998782787</v>
      </c>
      <c r="I250">
        <f t="shared" ca="1" si="65"/>
        <v>142.77015142075561</v>
      </c>
      <c r="J250">
        <f t="shared" ca="1" si="74"/>
        <v>180.03299999999999</v>
      </c>
      <c r="K250">
        <f t="shared" ca="1" si="75"/>
        <v>5.2441627699657376</v>
      </c>
      <c r="L250">
        <f t="shared" ca="1" si="76"/>
        <v>190.52132553993147</v>
      </c>
      <c r="M250">
        <f t="shared" ca="1" si="77"/>
        <v>169.54467446006851</v>
      </c>
      <c r="N250">
        <f t="shared" ca="1" si="66"/>
        <v>0.43000000000000682</v>
      </c>
      <c r="O250">
        <f t="shared" ca="1" si="67"/>
        <v>0.43000000000000682</v>
      </c>
      <c r="P250">
        <f t="shared" ca="1" si="68"/>
        <v>0</v>
      </c>
      <c r="Q250">
        <f t="shared" ca="1" si="72"/>
        <v>1.2604357341365751</v>
      </c>
      <c r="R250">
        <f t="shared" ca="1" si="73"/>
        <v>0.6074403394332053</v>
      </c>
      <c r="S250">
        <f t="shared" ca="1" si="70"/>
        <v>2.0749951103225568</v>
      </c>
      <c r="T250">
        <f t="shared" ca="1" si="71"/>
        <v>67.479623084828148</v>
      </c>
      <c r="U250">
        <f>70</f>
        <v>70</v>
      </c>
      <c r="V250">
        <f>30</f>
        <v>30</v>
      </c>
      <c r="W250">
        <f t="shared" ca="1" si="69"/>
        <v>182.50578045844534</v>
      </c>
      <c r="X250">
        <f t="shared" ca="1" si="79"/>
        <v>177.21012666587947</v>
      </c>
      <c r="Y250">
        <f t="shared" ca="1" si="78"/>
        <v>5.040129999280424</v>
      </c>
      <c r="Z250">
        <f t="shared" ca="1" si="80"/>
        <v>5.5380044847000098</v>
      </c>
      <c r="AA250">
        <f t="shared" ca="1" si="81"/>
        <v>-0.49787448541958579</v>
      </c>
      <c r="AB250">
        <f t="shared" ca="1" si="82"/>
        <v>159.5976</v>
      </c>
    </row>
    <row r="251" spans="1:28" x14ac:dyDescent="0.25">
      <c r="A251" s="20">
        <f t="shared" ca="1" si="62"/>
        <v>46076</v>
      </c>
      <c r="B251" vm="742">
        <f ca="1"/>
        <v>46078</v>
      </c>
      <c r="C251" vm="743">
        <f ca="1"/>
        <v>184.22</v>
      </c>
      <c r="D251" vm="744">
        <f ca="1"/>
        <v>9440721</v>
      </c>
      <c r="E251">
        <f t="shared" ca="1" si="63"/>
        <v>1739169622.6199999</v>
      </c>
      <c r="F251">
        <f ca="1">SUM($E$2:E251)/SUM($D$2:D251)</f>
        <v>154.18510504647793</v>
      </c>
      <c r="G251">
        <f ca="1">_xlfn.STDEV.P($C$2:C251)</f>
        <v>11.435341616864797</v>
      </c>
      <c r="H251">
        <f t="shared" ca="1" si="64"/>
        <v>165.62044666334273</v>
      </c>
      <c r="I251">
        <f t="shared" ca="1" si="65"/>
        <v>142.74976342961313</v>
      </c>
      <c r="J251">
        <f t="shared" ca="1" si="74"/>
        <v>180.79149999999998</v>
      </c>
      <c r="K251">
        <f t="shared" ca="1" si="75"/>
        <v>4.6335268765584461</v>
      </c>
      <c r="L251">
        <f t="shared" ca="1" si="76"/>
        <v>190.05855375311688</v>
      </c>
      <c r="M251">
        <f t="shared" ca="1" si="77"/>
        <v>171.52444624688309</v>
      </c>
      <c r="N251">
        <f t="shared" ca="1" si="66"/>
        <v>-1.1200000000000045</v>
      </c>
      <c r="O251">
        <f t="shared" ca="1" si="67"/>
        <v>0</v>
      </c>
      <c r="P251">
        <f t="shared" ca="1" si="68"/>
        <v>1.1200000000000045</v>
      </c>
      <c r="Q251">
        <f t="shared" ca="1" si="72"/>
        <v>1.1704046102696768</v>
      </c>
      <c r="R251">
        <f t="shared" ca="1" si="73"/>
        <v>0.64405174375940533</v>
      </c>
      <c r="S251">
        <f t="shared" ca="1" si="70"/>
        <v>1.8172524515466542</v>
      </c>
      <c r="T251">
        <f t="shared" ca="1" si="71"/>
        <v>64.504423469362635</v>
      </c>
      <c r="U251">
        <f>70</f>
        <v>70</v>
      </c>
      <c r="V251">
        <f>30</f>
        <v>30</v>
      </c>
      <c r="W251">
        <f t="shared" ca="1" si="69"/>
        <v>182.76950654176142</v>
      </c>
      <c r="X251">
        <f t="shared" ca="1" si="79"/>
        <v>177.72937654248099</v>
      </c>
      <c r="Y251">
        <f t="shared" ca="1" si="78"/>
        <v>4.7777095914439371</v>
      </c>
      <c r="Z251">
        <f t="shared" ca="1" si="80"/>
        <v>5.3859455060487953</v>
      </c>
      <c r="AA251">
        <f t="shared" ca="1" si="81"/>
        <v>-0.60823591460485815</v>
      </c>
      <c r="AB251">
        <f t="shared" ca="1" si="82"/>
        <v>159.89400000000001</v>
      </c>
    </row>
    <row r="252" spans="1:28" x14ac:dyDescent="0.25">
      <c r="A252" s="20">
        <f t="shared" ca="1" si="62"/>
        <v>46076</v>
      </c>
      <c r="B252" vm="745">
        <f ca="1"/>
        <v>46079</v>
      </c>
      <c r="C252" vm="746">
        <f ca="1"/>
        <v>184.16</v>
      </c>
      <c r="D252" vm="747">
        <f ca="1"/>
        <v>7133769</v>
      </c>
      <c r="E252">
        <f t="shared" ca="1" si="63"/>
        <v>1313754899.04</v>
      </c>
      <c r="F252">
        <f ca="1">SUM($E$2:E252)/SUM($D$2:D252)</f>
        <v>154.27502913682949</v>
      </c>
      <c r="G252">
        <f ca="1">_xlfn.STDEV.P($C$2:C252)</f>
        <v>11.571111209884457</v>
      </c>
      <c r="H252">
        <f t="shared" ca="1" si="64"/>
        <v>165.84614034671395</v>
      </c>
      <c r="I252">
        <f t="shared" ca="1" si="65"/>
        <v>142.70391792694502</v>
      </c>
      <c r="J252">
        <f t="shared" ca="1" si="74"/>
        <v>181.50299999999999</v>
      </c>
      <c r="K252">
        <f t="shared" ca="1" si="75"/>
        <v>3.9146944493253808</v>
      </c>
      <c r="L252">
        <f t="shared" ca="1" si="76"/>
        <v>189.33238889865075</v>
      </c>
      <c r="M252">
        <f t="shared" ca="1" si="77"/>
        <v>173.67361110134922</v>
      </c>
      <c r="N252">
        <f t="shared" ca="1" si="66"/>
        <v>-6.0000000000002274E-2</v>
      </c>
      <c r="O252">
        <f t="shared" ca="1" si="67"/>
        <v>0</v>
      </c>
      <c r="P252">
        <f t="shared" ca="1" si="68"/>
        <v>6.0000000000002274E-2</v>
      </c>
      <c r="Q252">
        <f t="shared" ca="1" si="72"/>
        <v>1.0868042809646998</v>
      </c>
      <c r="R252">
        <f t="shared" ca="1" si="73"/>
        <v>0.60233376206230516</v>
      </c>
      <c r="S252">
        <f t="shared" ca="1" si="70"/>
        <v>1.8043223697832187</v>
      </c>
      <c r="T252">
        <f t="shared" ca="1" si="71"/>
        <v>64.340761576662004</v>
      </c>
      <c r="U252">
        <f>70</f>
        <v>70</v>
      </c>
      <c r="V252">
        <f>30</f>
        <v>30</v>
      </c>
      <c r="W252">
        <f t="shared" ca="1" si="69"/>
        <v>182.98342861225967</v>
      </c>
      <c r="X252">
        <f t="shared" ca="1" si="79"/>
        <v>178.20571902081574</v>
      </c>
      <c r="Y252">
        <f t="shared" si="78"/>
        <v>0</v>
      </c>
      <c r="Z252">
        <f t="shared" ca="1" si="80"/>
        <v>4.3087564048390368</v>
      </c>
      <c r="AA252">
        <f t="shared" ca="1" si="81"/>
        <v>-4.3087564048390368</v>
      </c>
      <c r="AB252">
        <f t="shared" ca="1" si="82"/>
        <v>160.20189999999999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958A5-38F8-4DFE-ABA7-C936EE8FD1D9}">
  <dimension ref="A1:I60"/>
  <sheetViews>
    <sheetView workbookViewId="0">
      <selection activeCell="O10" sqref="O10"/>
    </sheetView>
  </sheetViews>
  <sheetFormatPr defaultRowHeight="15" x14ac:dyDescent="0.25"/>
  <cols>
    <col min="1" max="2" width="10.42578125" bestFit="1" customWidth="1"/>
    <col min="5" max="6" width="10.42578125" bestFit="1" customWidth="1"/>
    <col min="7" max="7" width="12" bestFit="1" customWidth="1"/>
    <col min="8" max="8" width="12.85546875" bestFit="1" customWidth="1"/>
    <col min="9" max="9" width="12.140625" bestFit="1" customWidth="1"/>
  </cols>
  <sheetData>
    <row r="1" spans="1:9" x14ac:dyDescent="0.25">
      <c r="A1" t="s">
        <v>45</v>
      </c>
      <c r="B1" t="s">
        <v>46</v>
      </c>
      <c r="E1" t="s">
        <v>45</v>
      </c>
      <c r="F1" t="s">
        <v>46</v>
      </c>
      <c r="G1" t="s">
        <v>47</v>
      </c>
      <c r="H1" t="s">
        <v>48</v>
      </c>
      <c r="I1" t="s">
        <v>51</v>
      </c>
    </row>
    <row r="2" spans="1:9" x14ac:dyDescent="0.25">
      <c r="A2" s="23">
        <v>45712</v>
      </c>
      <c r="B2">
        <v>157.64499999999998</v>
      </c>
      <c r="E2" s="23">
        <v>45712</v>
      </c>
      <c r="F2">
        <v>157.64499999999998</v>
      </c>
    </row>
    <row r="3" spans="1:9" x14ac:dyDescent="0.25">
      <c r="A3" s="23">
        <v>45719</v>
      </c>
      <c r="B3">
        <v>153.03800000000001</v>
      </c>
      <c r="E3" s="23">
        <v>45719</v>
      </c>
      <c r="F3">
        <v>153.03800000000001</v>
      </c>
    </row>
    <row r="4" spans="1:9" x14ac:dyDescent="0.25">
      <c r="A4" s="23">
        <v>45726</v>
      </c>
      <c r="B4">
        <v>154.99</v>
      </c>
      <c r="E4" s="23">
        <v>45726</v>
      </c>
      <c r="F4">
        <v>154.99</v>
      </c>
    </row>
    <row r="5" spans="1:9" x14ac:dyDescent="0.25">
      <c r="A5" s="23">
        <v>45733</v>
      </c>
      <c r="B5">
        <v>162.62</v>
      </c>
      <c r="E5" s="23">
        <v>45733</v>
      </c>
      <c r="F5">
        <v>162.62</v>
      </c>
    </row>
    <row r="6" spans="1:9" x14ac:dyDescent="0.25">
      <c r="A6" s="23">
        <v>45740</v>
      </c>
      <c r="B6">
        <v>166.334</v>
      </c>
      <c r="E6" s="23">
        <v>45740</v>
      </c>
      <c r="F6">
        <v>166.334</v>
      </c>
    </row>
    <row r="7" spans="1:9" x14ac:dyDescent="0.25">
      <c r="A7" s="23">
        <v>45747</v>
      </c>
      <c r="B7">
        <v>160.334</v>
      </c>
      <c r="E7" s="23">
        <v>45747</v>
      </c>
      <c r="F7">
        <v>160.334</v>
      </c>
    </row>
    <row r="8" spans="1:9" x14ac:dyDescent="0.25">
      <c r="A8" s="23">
        <v>45754</v>
      </c>
      <c r="B8">
        <v>138.744</v>
      </c>
      <c r="E8" s="23">
        <v>45754</v>
      </c>
      <c r="F8">
        <v>138.744</v>
      </c>
    </row>
    <row r="9" spans="1:9" x14ac:dyDescent="0.25">
      <c r="A9" s="23">
        <v>45761</v>
      </c>
      <c r="B9">
        <v>135.77250000000001</v>
      </c>
      <c r="E9" s="23">
        <v>45761</v>
      </c>
      <c r="F9">
        <v>135.77250000000001</v>
      </c>
    </row>
    <row r="10" spans="1:9" x14ac:dyDescent="0.25">
      <c r="A10" s="23">
        <v>45768</v>
      </c>
      <c r="B10">
        <v>137.102</v>
      </c>
      <c r="E10" s="23">
        <v>45768</v>
      </c>
      <c r="F10">
        <v>137.102</v>
      </c>
    </row>
    <row r="11" spans="1:9" x14ac:dyDescent="0.25">
      <c r="A11" s="23">
        <v>45775</v>
      </c>
      <c r="B11">
        <v>138.04400000000001</v>
      </c>
      <c r="E11" s="23">
        <v>45775</v>
      </c>
      <c r="F11">
        <v>138.04400000000001</v>
      </c>
    </row>
    <row r="12" spans="1:9" x14ac:dyDescent="0.25">
      <c r="A12" s="23">
        <v>45782</v>
      </c>
      <c r="B12">
        <v>136.48400000000001</v>
      </c>
      <c r="E12" s="23">
        <v>45782</v>
      </c>
      <c r="F12">
        <v>136.48400000000001</v>
      </c>
    </row>
    <row r="13" spans="1:9" x14ac:dyDescent="0.25">
      <c r="A13" s="23">
        <v>45789</v>
      </c>
      <c r="B13">
        <v>142</v>
      </c>
      <c r="E13" s="23">
        <v>45789</v>
      </c>
      <c r="F13">
        <v>142</v>
      </c>
    </row>
    <row r="14" spans="1:9" x14ac:dyDescent="0.25">
      <c r="A14" s="23">
        <v>45796</v>
      </c>
      <c r="B14">
        <v>136.63</v>
      </c>
      <c r="E14" s="23">
        <v>45796</v>
      </c>
      <c r="F14">
        <v>136.63</v>
      </c>
    </row>
    <row r="15" spans="1:9" x14ac:dyDescent="0.25">
      <c r="A15" s="23">
        <v>45803</v>
      </c>
      <c r="B15">
        <v>137.11500000000001</v>
      </c>
      <c r="E15" s="23">
        <v>45803</v>
      </c>
      <c r="F15">
        <v>137.11500000000001</v>
      </c>
    </row>
    <row r="16" spans="1:9" x14ac:dyDescent="0.25">
      <c r="A16" s="23">
        <v>45810</v>
      </c>
      <c r="B16">
        <v>138.374</v>
      </c>
      <c r="E16" s="23">
        <v>45810</v>
      </c>
      <c r="F16">
        <v>138.374</v>
      </c>
    </row>
    <row r="17" spans="1:6" x14ac:dyDescent="0.25">
      <c r="A17" s="23">
        <v>45817</v>
      </c>
      <c r="B17">
        <v>143.95400000000001</v>
      </c>
      <c r="E17" s="23">
        <v>45817</v>
      </c>
      <c r="F17">
        <v>143.95400000000001</v>
      </c>
    </row>
    <row r="18" spans="1:6" x14ac:dyDescent="0.25">
      <c r="A18" s="23">
        <v>45824</v>
      </c>
      <c r="B18">
        <v>148.155</v>
      </c>
      <c r="E18" s="23">
        <v>45824</v>
      </c>
      <c r="F18">
        <v>148.155</v>
      </c>
    </row>
    <row r="19" spans="1:6" x14ac:dyDescent="0.25">
      <c r="A19" s="23">
        <v>45831</v>
      </c>
      <c r="B19">
        <v>144.374</v>
      </c>
      <c r="E19" s="23">
        <v>45831</v>
      </c>
      <c r="F19">
        <v>144.374</v>
      </c>
    </row>
    <row r="20" spans="1:6" x14ac:dyDescent="0.25">
      <c r="A20" s="23">
        <v>45838</v>
      </c>
      <c r="B20">
        <v>146.2775</v>
      </c>
      <c r="E20" s="23">
        <v>45838</v>
      </c>
      <c r="F20">
        <v>146.2775</v>
      </c>
    </row>
    <row r="21" spans="1:6" x14ac:dyDescent="0.25">
      <c r="A21" s="23">
        <v>45845</v>
      </c>
      <c r="B21">
        <v>152.62800000000001</v>
      </c>
      <c r="E21" s="23">
        <v>45845</v>
      </c>
      <c r="F21">
        <v>152.62800000000001</v>
      </c>
    </row>
    <row r="22" spans="1:6" x14ac:dyDescent="0.25">
      <c r="A22" s="23">
        <v>45852</v>
      </c>
      <c r="B22">
        <v>150.73599999999999</v>
      </c>
      <c r="E22" s="23">
        <v>45852</v>
      </c>
      <c r="F22">
        <v>150.73599999999999</v>
      </c>
    </row>
    <row r="23" spans="1:6" x14ac:dyDescent="0.25">
      <c r="A23" s="23">
        <v>45859</v>
      </c>
      <c r="B23">
        <v>152.702</v>
      </c>
      <c r="E23" s="23">
        <v>45859</v>
      </c>
      <c r="F23">
        <v>152.702</v>
      </c>
    </row>
    <row r="24" spans="1:6" x14ac:dyDescent="0.25">
      <c r="A24" s="23">
        <v>45866</v>
      </c>
      <c r="B24">
        <v>153.982</v>
      </c>
      <c r="E24" s="23">
        <v>45866</v>
      </c>
      <c r="F24">
        <v>153.982</v>
      </c>
    </row>
    <row r="25" spans="1:6" x14ac:dyDescent="0.25">
      <c r="A25" s="23">
        <v>45873</v>
      </c>
      <c r="B25">
        <v>153.006</v>
      </c>
      <c r="E25" s="23">
        <v>45873</v>
      </c>
      <c r="F25">
        <v>153.006</v>
      </c>
    </row>
    <row r="26" spans="1:6" x14ac:dyDescent="0.25">
      <c r="A26" s="23">
        <v>45880</v>
      </c>
      <c r="B26">
        <v>155.09399999999999</v>
      </c>
      <c r="E26" s="23">
        <v>45880</v>
      </c>
      <c r="F26">
        <v>155.09399999999999</v>
      </c>
    </row>
    <row r="27" spans="1:6" x14ac:dyDescent="0.25">
      <c r="A27" s="23">
        <v>45887</v>
      </c>
      <c r="B27">
        <v>154.85400000000001</v>
      </c>
      <c r="E27" s="23">
        <v>45887</v>
      </c>
      <c r="F27">
        <v>154.85400000000001</v>
      </c>
    </row>
    <row r="28" spans="1:6" x14ac:dyDescent="0.25">
      <c r="A28" s="23">
        <v>45894</v>
      </c>
      <c r="B28">
        <v>158.94399999999999</v>
      </c>
      <c r="E28" s="23">
        <v>45894</v>
      </c>
      <c r="F28">
        <v>158.94399999999999</v>
      </c>
    </row>
    <row r="29" spans="1:6" x14ac:dyDescent="0.25">
      <c r="A29" s="23">
        <v>45901</v>
      </c>
      <c r="B29">
        <v>157.81</v>
      </c>
      <c r="E29" s="23">
        <v>45901</v>
      </c>
      <c r="F29">
        <v>157.81</v>
      </c>
    </row>
    <row r="30" spans="1:6" x14ac:dyDescent="0.25">
      <c r="A30" s="23">
        <v>45908</v>
      </c>
      <c r="B30">
        <v>156.4</v>
      </c>
      <c r="E30" s="23">
        <v>45908</v>
      </c>
      <c r="F30">
        <v>156.4</v>
      </c>
    </row>
    <row r="31" spans="1:6" x14ac:dyDescent="0.25">
      <c r="A31" s="23">
        <v>45915</v>
      </c>
      <c r="B31">
        <v>158.398</v>
      </c>
      <c r="E31" s="23">
        <v>45915</v>
      </c>
      <c r="F31">
        <v>158.398</v>
      </c>
    </row>
    <row r="32" spans="1:6" x14ac:dyDescent="0.25">
      <c r="A32" s="23">
        <v>45922</v>
      </c>
      <c r="B32">
        <v>158.70599999999999</v>
      </c>
      <c r="E32" s="23">
        <v>45922</v>
      </c>
      <c r="F32">
        <v>158.70599999999999</v>
      </c>
    </row>
    <row r="33" spans="1:6" x14ac:dyDescent="0.25">
      <c r="A33" s="23">
        <v>45929</v>
      </c>
      <c r="B33">
        <v>154.578</v>
      </c>
      <c r="E33" s="23">
        <v>45929</v>
      </c>
      <c r="F33">
        <v>154.578</v>
      </c>
    </row>
    <row r="34" spans="1:6" x14ac:dyDescent="0.25">
      <c r="A34" s="23">
        <v>45936</v>
      </c>
      <c r="B34">
        <v>152.642</v>
      </c>
      <c r="E34" s="23">
        <v>45936</v>
      </c>
      <c r="F34">
        <v>152.642</v>
      </c>
    </row>
    <row r="35" spans="1:6" x14ac:dyDescent="0.25">
      <c r="A35" s="23">
        <v>45943</v>
      </c>
      <c r="B35">
        <v>152.24600000000001</v>
      </c>
      <c r="E35" s="23">
        <v>45943</v>
      </c>
      <c r="F35">
        <v>152.24600000000001</v>
      </c>
    </row>
    <row r="36" spans="1:6" x14ac:dyDescent="0.25">
      <c r="A36" s="23">
        <v>45950</v>
      </c>
      <c r="B36">
        <v>155.19200000000001</v>
      </c>
      <c r="E36" s="23">
        <v>45950</v>
      </c>
      <c r="F36">
        <v>155.19200000000001</v>
      </c>
    </row>
    <row r="37" spans="1:6" x14ac:dyDescent="0.25">
      <c r="A37" s="23">
        <v>45957</v>
      </c>
      <c r="B37">
        <v>155.15</v>
      </c>
      <c r="E37" s="23">
        <v>45957</v>
      </c>
      <c r="F37">
        <v>155.15</v>
      </c>
    </row>
    <row r="38" spans="1:6" x14ac:dyDescent="0.25">
      <c r="A38" s="23">
        <v>45964</v>
      </c>
      <c r="B38">
        <v>153.60999999999999</v>
      </c>
      <c r="E38" s="23">
        <v>45964</v>
      </c>
      <c r="F38">
        <v>153.60999999999999</v>
      </c>
    </row>
    <row r="39" spans="1:6" x14ac:dyDescent="0.25">
      <c r="A39" s="23">
        <v>45971</v>
      </c>
      <c r="B39">
        <v>155.68200000000002</v>
      </c>
      <c r="E39" s="23">
        <v>45971</v>
      </c>
      <c r="F39">
        <v>155.68200000000002</v>
      </c>
    </row>
    <row r="40" spans="1:6" x14ac:dyDescent="0.25">
      <c r="A40" s="23">
        <v>45978</v>
      </c>
      <c r="B40">
        <v>152.08599999999998</v>
      </c>
      <c r="E40" s="23">
        <v>45978</v>
      </c>
      <c r="F40">
        <v>152.08599999999998</v>
      </c>
    </row>
    <row r="41" spans="1:6" x14ac:dyDescent="0.25">
      <c r="A41" s="23">
        <v>45985</v>
      </c>
      <c r="B41">
        <v>149.72999999999999</v>
      </c>
      <c r="E41" s="23">
        <v>45985</v>
      </c>
      <c r="F41">
        <v>149.72999999999999</v>
      </c>
    </row>
    <row r="42" spans="1:6" x14ac:dyDescent="0.25">
      <c r="A42" s="23">
        <v>45992</v>
      </c>
      <c r="B42">
        <v>151.328</v>
      </c>
      <c r="E42" s="23">
        <v>45992</v>
      </c>
      <c r="F42">
        <v>151.328</v>
      </c>
    </row>
    <row r="43" spans="1:6" x14ac:dyDescent="0.25">
      <c r="A43" s="23">
        <v>45999</v>
      </c>
      <c r="B43">
        <v>149.864</v>
      </c>
      <c r="E43" s="23">
        <v>45999</v>
      </c>
      <c r="F43">
        <v>149.864</v>
      </c>
    </row>
    <row r="44" spans="1:6" x14ac:dyDescent="0.25">
      <c r="A44" s="23">
        <v>46006</v>
      </c>
      <c r="B44">
        <v>148.30199999999999</v>
      </c>
      <c r="E44" s="23">
        <v>46006</v>
      </c>
      <c r="F44">
        <v>148.30199999999999</v>
      </c>
    </row>
    <row r="45" spans="1:6" x14ac:dyDescent="0.25">
      <c r="A45" s="23">
        <v>46013</v>
      </c>
      <c r="B45">
        <v>150.20750000000001</v>
      </c>
      <c r="E45" s="23">
        <v>46013</v>
      </c>
      <c r="F45">
        <v>150.20750000000001</v>
      </c>
    </row>
    <row r="46" spans="1:6" x14ac:dyDescent="0.25">
      <c r="A46" s="23">
        <v>46020</v>
      </c>
      <c r="B46">
        <v>152.9025</v>
      </c>
      <c r="E46" s="23">
        <v>46020</v>
      </c>
      <c r="F46">
        <v>152.9025</v>
      </c>
    </row>
    <row r="47" spans="1:6" x14ac:dyDescent="0.25">
      <c r="A47" s="23">
        <v>46027</v>
      </c>
      <c r="B47">
        <v>159.38999999999999</v>
      </c>
      <c r="E47" s="23">
        <v>46027</v>
      </c>
      <c r="F47">
        <v>159.38999999999999</v>
      </c>
    </row>
    <row r="48" spans="1:6" x14ac:dyDescent="0.25">
      <c r="A48" s="23">
        <v>46034</v>
      </c>
      <c r="B48">
        <v>165.17400000000001</v>
      </c>
      <c r="E48" s="23">
        <v>46034</v>
      </c>
      <c r="F48">
        <v>165.17400000000001</v>
      </c>
    </row>
    <row r="49" spans="1:9" x14ac:dyDescent="0.25">
      <c r="A49" s="23">
        <v>46041</v>
      </c>
      <c r="B49">
        <v>166.35249999999999</v>
      </c>
      <c r="E49" s="23">
        <v>46041</v>
      </c>
      <c r="F49">
        <v>166.35249999999999</v>
      </c>
    </row>
    <row r="50" spans="1:9" x14ac:dyDescent="0.25">
      <c r="A50" s="23">
        <v>46048</v>
      </c>
      <c r="B50">
        <v>170.91400000000002</v>
      </c>
      <c r="E50" s="23">
        <v>46048</v>
      </c>
      <c r="F50">
        <v>170.91400000000002</v>
      </c>
    </row>
    <row r="51" spans="1:9" x14ac:dyDescent="0.25">
      <c r="A51" s="23">
        <v>46055</v>
      </c>
      <c r="B51">
        <v>178.678</v>
      </c>
      <c r="E51" s="23">
        <v>46055</v>
      </c>
      <c r="F51">
        <v>178.678</v>
      </c>
    </row>
    <row r="52" spans="1:9" x14ac:dyDescent="0.25">
      <c r="A52" s="23">
        <v>46062</v>
      </c>
      <c r="B52">
        <v>183.364</v>
      </c>
      <c r="E52" s="23">
        <v>46062</v>
      </c>
      <c r="F52">
        <v>183.364</v>
      </c>
    </row>
    <row r="53" spans="1:9" x14ac:dyDescent="0.25">
      <c r="A53" s="23">
        <v>46069</v>
      </c>
      <c r="B53">
        <v>183.2825</v>
      </c>
      <c r="E53" s="23">
        <v>46069</v>
      </c>
      <c r="F53">
        <v>183.2825</v>
      </c>
    </row>
    <row r="54" spans="1:9" ht="15.75" thickBot="1" x14ac:dyDescent="0.3">
      <c r="A54" s="23">
        <v>46076</v>
      </c>
      <c r="B54">
        <v>184.6575</v>
      </c>
      <c r="E54" s="23">
        <v>46076</v>
      </c>
      <c r="F54">
        <v>184.6575</v>
      </c>
    </row>
    <row r="55" spans="1:9" ht="15.75" thickBot="1" x14ac:dyDescent="0.3">
      <c r="E55" s="23">
        <v>46083</v>
      </c>
      <c r="G55">
        <f>_xlfn.FORECAST.ETS(E55,F2:F54,E2:E54,1,1,1)</f>
        <v>185.01009980109947</v>
      </c>
      <c r="H55">
        <v>177.54495919856399</v>
      </c>
      <c r="I55" s="29">
        <v>194.07908699999999</v>
      </c>
    </row>
    <row r="56" spans="1:9" ht="15.75" thickBot="1" x14ac:dyDescent="0.3">
      <c r="E56" s="23">
        <v>46090</v>
      </c>
      <c r="G56">
        <f t="shared" ref="G56:G60" si="0">_xlfn.FORECAST.ETS(E56,F3:F55,E3:E55,1,1,1)</f>
        <v>185.53439935827865</v>
      </c>
      <c r="H56">
        <v>177.20161097841</v>
      </c>
      <c r="I56" s="29">
        <v>183.83584400000001</v>
      </c>
    </row>
    <row r="57" spans="1:9" ht="15.75" thickBot="1" x14ac:dyDescent="0.3">
      <c r="E57" s="23">
        <v>46097</v>
      </c>
      <c r="G57">
        <f t="shared" si="0"/>
        <v>186.08924673081393</v>
      </c>
      <c r="H57">
        <v>179.21569833971699</v>
      </c>
      <c r="I57" s="29">
        <v>195.25428299999999</v>
      </c>
    </row>
    <row r="58" spans="1:9" ht="15.75" thickBot="1" x14ac:dyDescent="0.3">
      <c r="E58" s="23">
        <v>46104</v>
      </c>
      <c r="G58">
        <f t="shared" si="0"/>
        <v>185.30247667454282</v>
      </c>
      <c r="H58">
        <v>183.75772101508301</v>
      </c>
      <c r="I58" s="29">
        <v>198.587705</v>
      </c>
    </row>
    <row r="59" spans="1:9" ht="15.75" thickBot="1" x14ac:dyDescent="0.3">
      <c r="E59" s="23">
        <v>46111</v>
      </c>
      <c r="G59">
        <f t="shared" si="0"/>
        <v>187.28625748138904</v>
      </c>
      <c r="H59">
        <v>187.45041946293401</v>
      </c>
      <c r="I59" s="29">
        <v>199.39606800000001</v>
      </c>
    </row>
    <row r="60" spans="1:9" ht="15.75" thickBot="1" x14ac:dyDescent="0.3">
      <c r="E60" s="23">
        <v>46118</v>
      </c>
      <c r="G60">
        <f t="shared" si="0"/>
        <v>187.20232799506925</v>
      </c>
      <c r="H60">
        <v>190.015603272931</v>
      </c>
      <c r="I60" s="29">
        <v>187.108869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16B0-F384-49AE-90FD-3B1DBB0145A6}">
  <dimension ref="A1:B252"/>
  <sheetViews>
    <sheetView workbookViewId="0">
      <selection sqref="A1:B252"/>
    </sheetView>
  </sheetViews>
  <sheetFormatPr defaultRowHeight="15" x14ac:dyDescent="0.25"/>
  <cols>
    <col min="1" max="1" width="10.42578125" style="20" bestFit="1" customWidth="1"/>
  </cols>
  <sheetData>
    <row r="1" spans="1:2" x14ac:dyDescent="0.25">
      <c r="A1" s="20" t="s">
        <v>45</v>
      </c>
      <c r="B1" t="s">
        <v>43</v>
      </c>
    </row>
    <row r="2" spans="1:2" x14ac:dyDescent="0.25">
      <c r="A2" s="20">
        <v>45712</v>
      </c>
      <c r="B2" vm="2">
        <v>156.66999999999999</v>
      </c>
    </row>
    <row r="3" spans="1:2" x14ac:dyDescent="0.25">
      <c r="A3" s="20">
        <v>45712</v>
      </c>
      <c r="B3" vm="5">
        <v>158.62</v>
      </c>
    </row>
    <row r="4" spans="1:2" x14ac:dyDescent="0.25">
      <c r="A4" s="20">
        <v>45719</v>
      </c>
      <c r="B4" vm="8">
        <v>153.09</v>
      </c>
    </row>
    <row r="5" spans="1:2" x14ac:dyDescent="0.25">
      <c r="A5" s="20">
        <v>45719</v>
      </c>
      <c r="B5" vm="11">
        <v>152</v>
      </c>
    </row>
    <row r="6" spans="1:2" x14ac:dyDescent="0.25">
      <c r="A6" s="20">
        <v>45719</v>
      </c>
      <c r="B6" vm="14">
        <v>150.81</v>
      </c>
    </row>
    <row r="7" spans="1:2" x14ac:dyDescent="0.25">
      <c r="A7" s="20">
        <v>45719</v>
      </c>
      <c r="B7" vm="17">
        <v>152.94999999999999</v>
      </c>
    </row>
    <row r="8" spans="1:2" x14ac:dyDescent="0.25">
      <c r="A8" s="20">
        <v>45719</v>
      </c>
      <c r="B8" vm="20">
        <v>156.34</v>
      </c>
    </row>
    <row r="9" spans="1:2" x14ac:dyDescent="0.25">
      <c r="A9" s="20">
        <v>45726</v>
      </c>
      <c r="B9" vm="23">
        <v>157.57</v>
      </c>
    </row>
    <row r="10" spans="1:2" x14ac:dyDescent="0.25">
      <c r="A10" s="20">
        <v>45726</v>
      </c>
      <c r="B10" vm="26">
        <v>154.08000000000001</v>
      </c>
    </row>
    <row r="11" spans="1:2" x14ac:dyDescent="0.25">
      <c r="A11" s="20">
        <v>45726</v>
      </c>
      <c r="B11" vm="29">
        <v>152.66999999999999</v>
      </c>
    </row>
    <row r="12" spans="1:2" x14ac:dyDescent="0.25">
      <c r="A12" s="20">
        <v>45726</v>
      </c>
      <c r="B12" vm="32">
        <v>153.61000000000001</v>
      </c>
    </row>
    <row r="13" spans="1:2" x14ac:dyDescent="0.25">
      <c r="A13" s="20">
        <v>45726</v>
      </c>
      <c r="B13" vm="35">
        <v>157.02000000000001</v>
      </c>
    </row>
    <row r="14" spans="1:2" x14ac:dyDescent="0.25">
      <c r="A14" s="20">
        <v>45733</v>
      </c>
      <c r="B14" vm="38">
        <v>158.72</v>
      </c>
    </row>
    <row r="15" spans="1:2" x14ac:dyDescent="0.25">
      <c r="A15" s="20">
        <v>45733</v>
      </c>
      <c r="B15" vm="41">
        <v>160.81</v>
      </c>
    </row>
    <row r="16" spans="1:2" x14ac:dyDescent="0.25">
      <c r="A16" s="20">
        <v>45733</v>
      </c>
      <c r="B16" vm="44">
        <v>164.05</v>
      </c>
    </row>
    <row r="17" spans="1:2" x14ac:dyDescent="0.25">
      <c r="A17" s="20">
        <v>45733</v>
      </c>
      <c r="B17" vm="47">
        <v>164.77</v>
      </c>
    </row>
    <row r="18" spans="1:2" x14ac:dyDescent="0.25">
      <c r="A18" s="20">
        <v>45733</v>
      </c>
      <c r="B18" vm="50">
        <v>164.75</v>
      </c>
    </row>
    <row r="19" spans="1:2" x14ac:dyDescent="0.25">
      <c r="A19" s="20">
        <v>45740</v>
      </c>
      <c r="B19" vm="53">
        <v>165.02</v>
      </c>
    </row>
    <row r="20" spans="1:2" x14ac:dyDescent="0.25">
      <c r="A20" s="20">
        <v>45740</v>
      </c>
      <c r="B20" vm="56">
        <v>165.94</v>
      </c>
    </row>
    <row r="21" spans="1:2" x14ac:dyDescent="0.25">
      <c r="A21" s="20">
        <v>45740</v>
      </c>
      <c r="B21" vm="59">
        <v>167.97</v>
      </c>
    </row>
    <row r="22" spans="1:2" x14ac:dyDescent="0.25">
      <c r="A22" s="20">
        <v>45740</v>
      </c>
      <c r="B22" vm="62">
        <v>166.65</v>
      </c>
    </row>
    <row r="23" spans="1:2" x14ac:dyDescent="0.25">
      <c r="A23" s="20">
        <v>45740</v>
      </c>
      <c r="B23" vm="65">
        <v>166.09</v>
      </c>
    </row>
    <row r="24" spans="1:2" x14ac:dyDescent="0.25">
      <c r="A24" s="20">
        <v>45747</v>
      </c>
      <c r="B24" vm="68">
        <v>167.29</v>
      </c>
    </row>
    <row r="25" spans="1:2" x14ac:dyDescent="0.25">
      <c r="A25" s="20">
        <v>45747</v>
      </c>
      <c r="B25" vm="71">
        <v>168.51</v>
      </c>
    </row>
    <row r="26" spans="1:2" x14ac:dyDescent="0.25">
      <c r="A26" s="20">
        <v>45747</v>
      </c>
      <c r="B26" vm="74">
        <v>166.47</v>
      </c>
    </row>
    <row r="27" spans="1:2" x14ac:dyDescent="0.25">
      <c r="A27" s="20">
        <v>45747</v>
      </c>
      <c r="B27" vm="77">
        <v>156.12</v>
      </c>
    </row>
    <row r="28" spans="1:2" x14ac:dyDescent="0.25">
      <c r="A28" s="20">
        <v>45747</v>
      </c>
      <c r="B28" vm="80">
        <v>143.28</v>
      </c>
    </row>
    <row r="29" spans="1:2" x14ac:dyDescent="0.25">
      <c r="A29" s="20">
        <v>45754</v>
      </c>
      <c r="B29" vm="83">
        <v>140.15</v>
      </c>
    </row>
    <row r="30" spans="1:2" x14ac:dyDescent="0.25">
      <c r="A30" s="20">
        <v>45754</v>
      </c>
      <c r="B30" vm="86">
        <v>136.93</v>
      </c>
    </row>
    <row r="31" spans="1:2" x14ac:dyDescent="0.25">
      <c r="A31" s="20">
        <v>45754</v>
      </c>
      <c r="B31" vm="89">
        <v>146.03</v>
      </c>
    </row>
    <row r="32" spans="1:2" x14ac:dyDescent="0.25">
      <c r="A32" s="20">
        <v>45754</v>
      </c>
      <c r="B32" vm="92">
        <v>134.97999999999999</v>
      </c>
    </row>
    <row r="33" spans="1:2" x14ac:dyDescent="0.25">
      <c r="A33" s="20">
        <v>45754</v>
      </c>
      <c r="B33" vm="95">
        <v>135.63</v>
      </c>
    </row>
    <row r="34" spans="1:2" x14ac:dyDescent="0.25">
      <c r="A34" s="20">
        <v>45761</v>
      </c>
      <c r="B34" vm="98">
        <v>135.32</v>
      </c>
    </row>
    <row r="35" spans="1:2" x14ac:dyDescent="0.25">
      <c r="A35" s="20">
        <v>45761</v>
      </c>
      <c r="B35" vm="101">
        <v>134.54</v>
      </c>
    </row>
    <row r="36" spans="1:2" x14ac:dyDescent="0.25">
      <c r="A36" s="20">
        <v>45761</v>
      </c>
      <c r="B36" vm="104">
        <v>135.36000000000001</v>
      </c>
    </row>
    <row r="37" spans="1:2" x14ac:dyDescent="0.25">
      <c r="A37" s="20">
        <v>45761</v>
      </c>
      <c r="B37" vm="107">
        <v>137.87</v>
      </c>
    </row>
    <row r="38" spans="1:2" x14ac:dyDescent="0.25">
      <c r="A38" s="20">
        <v>45768</v>
      </c>
      <c r="B38" vm="110">
        <v>133.72999999999999</v>
      </c>
    </row>
    <row r="39" spans="1:2" x14ac:dyDescent="0.25">
      <c r="A39" s="20">
        <v>45768</v>
      </c>
      <c r="B39" vm="113">
        <v>137.30000000000001</v>
      </c>
    </row>
    <row r="40" spans="1:2" x14ac:dyDescent="0.25">
      <c r="A40" s="20">
        <v>45768</v>
      </c>
      <c r="B40" vm="116">
        <v>136.68</v>
      </c>
    </row>
    <row r="41" spans="1:2" x14ac:dyDescent="0.25">
      <c r="A41" s="20">
        <v>45768</v>
      </c>
      <c r="B41" vm="119">
        <v>139.07</v>
      </c>
    </row>
    <row r="42" spans="1:2" x14ac:dyDescent="0.25">
      <c r="A42" s="20">
        <v>45768</v>
      </c>
      <c r="B42" vm="122">
        <v>138.72999999999999</v>
      </c>
    </row>
    <row r="43" spans="1:2" x14ac:dyDescent="0.25">
      <c r="A43" s="20">
        <v>45775</v>
      </c>
      <c r="B43" vm="125">
        <v>140.1</v>
      </c>
    </row>
    <row r="44" spans="1:2" x14ac:dyDescent="0.25">
      <c r="A44" s="20">
        <v>45775</v>
      </c>
      <c r="B44" vm="128">
        <v>139.30000000000001</v>
      </c>
    </row>
    <row r="45" spans="1:2" x14ac:dyDescent="0.25">
      <c r="A45" s="20">
        <v>45775</v>
      </c>
      <c r="B45" vm="131">
        <v>136.06</v>
      </c>
    </row>
    <row r="46" spans="1:2" x14ac:dyDescent="0.25">
      <c r="A46" s="20">
        <v>45775</v>
      </c>
      <c r="B46" vm="134">
        <v>136.26</v>
      </c>
    </row>
    <row r="47" spans="1:2" x14ac:dyDescent="0.25">
      <c r="A47" s="20">
        <v>45775</v>
      </c>
      <c r="B47" vm="137">
        <v>138.5</v>
      </c>
    </row>
    <row r="48" spans="1:2" x14ac:dyDescent="0.25">
      <c r="A48" s="20">
        <v>45782</v>
      </c>
      <c r="B48" vm="140">
        <v>135.5</v>
      </c>
    </row>
    <row r="49" spans="1:2" x14ac:dyDescent="0.25">
      <c r="A49" s="20">
        <v>45782</v>
      </c>
      <c r="B49" vm="143">
        <v>135.6</v>
      </c>
    </row>
    <row r="50" spans="1:2" x14ac:dyDescent="0.25">
      <c r="A50" s="20">
        <v>45782</v>
      </c>
      <c r="B50" vm="146">
        <v>135.79</v>
      </c>
    </row>
    <row r="51" spans="1:2" x14ac:dyDescent="0.25">
      <c r="A51" s="20">
        <v>45782</v>
      </c>
      <c r="B51" vm="149">
        <v>137.04</v>
      </c>
    </row>
    <row r="52" spans="1:2" x14ac:dyDescent="0.25">
      <c r="A52" s="20">
        <v>45782</v>
      </c>
      <c r="B52" vm="152">
        <v>138.49</v>
      </c>
    </row>
    <row r="53" spans="1:2" x14ac:dyDescent="0.25">
      <c r="A53" s="20">
        <v>45789</v>
      </c>
      <c r="B53" vm="155">
        <v>141.62</v>
      </c>
    </row>
    <row r="54" spans="1:2" x14ac:dyDescent="0.25">
      <c r="A54" s="20">
        <v>45789</v>
      </c>
      <c r="B54" vm="158">
        <v>142.35</v>
      </c>
    </row>
    <row r="55" spans="1:2" x14ac:dyDescent="0.25">
      <c r="A55" s="20">
        <v>45789</v>
      </c>
      <c r="B55" vm="161">
        <v>141.66999999999999</v>
      </c>
    </row>
    <row r="56" spans="1:2" x14ac:dyDescent="0.25">
      <c r="A56" s="20">
        <v>45789</v>
      </c>
      <c r="B56" vm="164">
        <v>142.26</v>
      </c>
    </row>
    <row r="57" spans="1:2" x14ac:dyDescent="0.25">
      <c r="A57" s="20">
        <v>45789</v>
      </c>
      <c r="B57" vm="167">
        <v>142.1</v>
      </c>
    </row>
    <row r="58" spans="1:2" x14ac:dyDescent="0.25">
      <c r="A58" s="20">
        <v>45796</v>
      </c>
      <c r="B58" vm="152">
        <v>138.49</v>
      </c>
    </row>
    <row r="59" spans="1:2" x14ac:dyDescent="0.25">
      <c r="A59" s="20">
        <v>45796</v>
      </c>
      <c r="B59" vm="172">
        <v>137.27000000000001</v>
      </c>
    </row>
    <row r="60" spans="1:2" x14ac:dyDescent="0.25">
      <c r="A60" s="20">
        <v>45796</v>
      </c>
      <c r="B60" vm="175">
        <v>135.56</v>
      </c>
    </row>
    <row r="61" spans="1:2" x14ac:dyDescent="0.25">
      <c r="A61" s="20">
        <v>45796</v>
      </c>
      <c r="B61" vm="178">
        <v>135.29</v>
      </c>
    </row>
    <row r="62" spans="1:2" x14ac:dyDescent="0.25">
      <c r="A62" s="20">
        <v>45796</v>
      </c>
      <c r="B62" vm="181">
        <v>136.54</v>
      </c>
    </row>
    <row r="63" spans="1:2" x14ac:dyDescent="0.25">
      <c r="A63" s="20">
        <v>45803</v>
      </c>
      <c r="B63" vm="184">
        <v>137.83000000000001</v>
      </c>
    </row>
    <row r="64" spans="1:2" x14ac:dyDescent="0.25">
      <c r="A64" s="20">
        <v>45803</v>
      </c>
      <c r="B64" vm="187">
        <v>136.02000000000001</v>
      </c>
    </row>
    <row r="65" spans="1:2" x14ac:dyDescent="0.25">
      <c r="A65" s="20">
        <v>45803</v>
      </c>
      <c r="B65" vm="190">
        <v>137.91</v>
      </c>
    </row>
    <row r="66" spans="1:2" x14ac:dyDescent="0.25">
      <c r="A66" s="20">
        <v>45803</v>
      </c>
      <c r="B66" vm="193">
        <v>136.69999999999999</v>
      </c>
    </row>
    <row r="67" spans="1:2" x14ac:dyDescent="0.25">
      <c r="A67" s="20">
        <v>45810</v>
      </c>
      <c r="B67" vm="196">
        <v>137.84</v>
      </c>
    </row>
    <row r="68" spans="1:2" x14ac:dyDescent="0.25">
      <c r="A68" s="20">
        <v>45810</v>
      </c>
      <c r="B68" vm="199">
        <v>139.55000000000001</v>
      </c>
    </row>
    <row r="69" spans="1:2" x14ac:dyDescent="0.25">
      <c r="A69" s="20">
        <v>45810</v>
      </c>
      <c r="B69" vm="202">
        <v>137.37</v>
      </c>
    </row>
    <row r="70" spans="1:2" x14ac:dyDescent="0.25">
      <c r="A70" s="20">
        <v>45810</v>
      </c>
      <c r="B70" vm="205">
        <v>136.9</v>
      </c>
    </row>
    <row r="71" spans="1:2" x14ac:dyDescent="0.25">
      <c r="A71" s="20">
        <v>45810</v>
      </c>
      <c r="B71" vm="208">
        <v>140.21</v>
      </c>
    </row>
    <row r="72" spans="1:2" x14ac:dyDescent="0.25">
      <c r="A72" s="20">
        <v>45817</v>
      </c>
      <c r="B72" vm="211">
        <v>140.76</v>
      </c>
    </row>
    <row r="73" spans="1:2" x14ac:dyDescent="0.25">
      <c r="A73" s="20">
        <v>45817</v>
      </c>
      <c r="B73" vm="214">
        <v>143.35</v>
      </c>
    </row>
    <row r="74" spans="1:2" x14ac:dyDescent="0.25">
      <c r="A74" s="20">
        <v>45817</v>
      </c>
      <c r="B74" vm="217">
        <v>144.78</v>
      </c>
    </row>
    <row r="75" spans="1:2" x14ac:dyDescent="0.25">
      <c r="A75" s="20">
        <v>45817</v>
      </c>
      <c r="B75" vm="220">
        <v>144.97</v>
      </c>
    </row>
    <row r="76" spans="1:2" x14ac:dyDescent="0.25">
      <c r="A76" s="20">
        <v>45817</v>
      </c>
      <c r="B76" vm="223">
        <v>145.91</v>
      </c>
    </row>
    <row r="77" spans="1:2" x14ac:dyDescent="0.25">
      <c r="A77" s="20">
        <v>45824</v>
      </c>
      <c r="B77" vm="89">
        <v>146.03</v>
      </c>
    </row>
    <row r="78" spans="1:2" x14ac:dyDescent="0.25">
      <c r="A78" s="20">
        <v>45824</v>
      </c>
      <c r="B78" vm="228">
        <v>148.85</v>
      </c>
    </row>
    <row r="79" spans="1:2" x14ac:dyDescent="0.25">
      <c r="A79" s="20">
        <v>45824</v>
      </c>
      <c r="B79" vm="231">
        <v>148.19</v>
      </c>
    </row>
    <row r="80" spans="1:2" x14ac:dyDescent="0.25">
      <c r="A80" s="20">
        <v>45824</v>
      </c>
      <c r="B80" vm="234">
        <v>149.55000000000001</v>
      </c>
    </row>
    <row r="81" spans="1:2" x14ac:dyDescent="0.25">
      <c r="A81" s="20">
        <v>45831</v>
      </c>
      <c r="B81" vm="237">
        <v>146.86000000000001</v>
      </c>
    </row>
    <row r="82" spans="1:2" x14ac:dyDescent="0.25">
      <c r="A82" s="20">
        <v>45831</v>
      </c>
      <c r="B82" vm="240">
        <v>143.55000000000001</v>
      </c>
    </row>
    <row r="83" spans="1:2" x14ac:dyDescent="0.25">
      <c r="A83" s="20">
        <v>45831</v>
      </c>
      <c r="B83" vm="243">
        <v>143.22999999999999</v>
      </c>
    </row>
    <row r="84" spans="1:2" x14ac:dyDescent="0.25">
      <c r="A84" s="20">
        <v>45831</v>
      </c>
      <c r="B84" vm="246">
        <v>144.44</v>
      </c>
    </row>
    <row r="85" spans="1:2" x14ac:dyDescent="0.25">
      <c r="A85" s="20">
        <v>45831</v>
      </c>
      <c r="B85" vm="249">
        <v>143.79</v>
      </c>
    </row>
    <row r="86" spans="1:2" x14ac:dyDescent="0.25">
      <c r="A86" s="20">
        <v>45838</v>
      </c>
      <c r="B86" vm="252">
        <v>143.19</v>
      </c>
    </row>
    <row r="87" spans="1:2" x14ac:dyDescent="0.25">
      <c r="A87" s="20">
        <v>45838</v>
      </c>
      <c r="B87" vm="255">
        <v>145.57</v>
      </c>
    </row>
    <row r="88" spans="1:2" x14ac:dyDescent="0.25">
      <c r="A88" s="20">
        <v>45838</v>
      </c>
      <c r="B88" vm="258">
        <v>147.97999999999999</v>
      </c>
    </row>
    <row r="89" spans="1:2" x14ac:dyDescent="0.25">
      <c r="A89" s="20">
        <v>45838</v>
      </c>
      <c r="B89" vm="261">
        <v>148.37</v>
      </c>
    </row>
    <row r="90" spans="1:2" x14ac:dyDescent="0.25">
      <c r="A90" s="20">
        <v>45845</v>
      </c>
      <c r="B90" vm="264">
        <v>147.4</v>
      </c>
    </row>
    <row r="91" spans="1:2" x14ac:dyDescent="0.25">
      <c r="A91" s="20">
        <v>45845</v>
      </c>
      <c r="B91" vm="267">
        <v>153.24</v>
      </c>
    </row>
    <row r="92" spans="1:2" x14ac:dyDescent="0.25">
      <c r="A92" s="20">
        <v>45845</v>
      </c>
      <c r="B92" vm="270">
        <v>153.02000000000001</v>
      </c>
    </row>
    <row r="93" spans="1:2" x14ac:dyDescent="0.25">
      <c r="A93" s="20">
        <v>45845</v>
      </c>
      <c r="B93" vm="273">
        <v>154.16999999999999</v>
      </c>
    </row>
    <row r="94" spans="1:2" x14ac:dyDescent="0.25">
      <c r="A94" s="20">
        <v>45845</v>
      </c>
      <c r="B94" vm="276">
        <v>155.31</v>
      </c>
    </row>
    <row r="95" spans="1:2" x14ac:dyDescent="0.25">
      <c r="A95" s="20">
        <v>45852</v>
      </c>
      <c r="B95" vm="279">
        <v>151.65</v>
      </c>
    </row>
    <row r="96" spans="1:2" x14ac:dyDescent="0.25">
      <c r="A96" s="20">
        <v>45852</v>
      </c>
      <c r="B96" vm="282">
        <v>150.69</v>
      </c>
    </row>
    <row r="97" spans="1:2" x14ac:dyDescent="0.25">
      <c r="A97" s="20">
        <v>45852</v>
      </c>
      <c r="B97" vm="285">
        <v>149.91999999999999</v>
      </c>
    </row>
    <row r="98" spans="1:2" x14ac:dyDescent="0.25">
      <c r="A98" s="20">
        <v>45852</v>
      </c>
      <c r="B98" vm="288">
        <v>151.38</v>
      </c>
    </row>
    <row r="99" spans="1:2" x14ac:dyDescent="0.25">
      <c r="A99" s="20">
        <v>45852</v>
      </c>
      <c r="B99" vm="291">
        <v>150.04</v>
      </c>
    </row>
    <row r="100" spans="1:2" x14ac:dyDescent="0.25">
      <c r="A100" s="20">
        <v>45859</v>
      </c>
      <c r="B100" vm="294">
        <v>149.68</v>
      </c>
    </row>
    <row r="101" spans="1:2" x14ac:dyDescent="0.25">
      <c r="A101" s="20">
        <v>45859</v>
      </c>
      <c r="B101" vm="291">
        <v>150.04</v>
      </c>
    </row>
    <row r="102" spans="1:2" x14ac:dyDescent="0.25">
      <c r="A102" s="20">
        <v>45859</v>
      </c>
      <c r="B102" vm="299">
        <v>153.12</v>
      </c>
    </row>
    <row r="103" spans="1:2" x14ac:dyDescent="0.25">
      <c r="A103" s="20">
        <v>45859</v>
      </c>
      <c r="B103" vm="302">
        <v>155.83000000000001</v>
      </c>
    </row>
    <row r="104" spans="1:2" x14ac:dyDescent="0.25">
      <c r="A104" s="20">
        <v>45859</v>
      </c>
      <c r="B104" vm="305">
        <v>154.84</v>
      </c>
    </row>
    <row r="105" spans="1:2" x14ac:dyDescent="0.25">
      <c r="A105" s="20">
        <v>45866</v>
      </c>
      <c r="B105" vm="308">
        <v>156.28</v>
      </c>
    </row>
    <row r="106" spans="1:2" x14ac:dyDescent="0.25">
      <c r="A106" s="20">
        <v>45866</v>
      </c>
      <c r="B106" vm="311">
        <v>157.03</v>
      </c>
    </row>
    <row r="107" spans="1:2" x14ac:dyDescent="0.25">
      <c r="A107" s="20">
        <v>45866</v>
      </c>
      <c r="B107" vm="314">
        <v>153.56</v>
      </c>
    </row>
    <row r="108" spans="1:2" x14ac:dyDescent="0.25">
      <c r="A108" s="20">
        <v>45866</v>
      </c>
      <c r="B108" vm="317">
        <v>151.63999999999999</v>
      </c>
    </row>
    <row r="109" spans="1:2" x14ac:dyDescent="0.25">
      <c r="A109" s="20">
        <v>45866</v>
      </c>
      <c r="B109" vm="320">
        <v>151.4</v>
      </c>
    </row>
    <row r="110" spans="1:2" x14ac:dyDescent="0.25">
      <c r="A110" s="20">
        <v>45873</v>
      </c>
      <c r="B110" vm="323">
        <v>151.04</v>
      </c>
    </row>
    <row r="111" spans="1:2" x14ac:dyDescent="0.25">
      <c r="A111" s="20">
        <v>45873</v>
      </c>
      <c r="B111" vm="326">
        <v>153.04</v>
      </c>
    </row>
    <row r="112" spans="1:2" x14ac:dyDescent="0.25">
      <c r="A112" s="20">
        <v>45873</v>
      </c>
      <c r="B112" vm="329">
        <v>152.78</v>
      </c>
    </row>
    <row r="113" spans="1:2" x14ac:dyDescent="0.25">
      <c r="A113" s="20">
        <v>45873</v>
      </c>
      <c r="B113" vm="332">
        <v>153.16</v>
      </c>
    </row>
    <row r="114" spans="1:2" x14ac:dyDescent="0.25">
      <c r="A114" s="20">
        <v>45873</v>
      </c>
      <c r="B114" vm="335">
        <v>155.01</v>
      </c>
    </row>
    <row r="115" spans="1:2" x14ac:dyDescent="0.25">
      <c r="A115" s="20">
        <v>45880</v>
      </c>
      <c r="B115" vm="338">
        <v>153.44999999999999</v>
      </c>
    </row>
    <row r="116" spans="1:2" x14ac:dyDescent="0.25">
      <c r="A116" s="20">
        <v>45880</v>
      </c>
      <c r="B116" vm="341">
        <v>154.44</v>
      </c>
    </row>
    <row r="117" spans="1:2" x14ac:dyDescent="0.25">
      <c r="A117" s="20">
        <v>45880</v>
      </c>
      <c r="B117" vm="344">
        <v>155.87</v>
      </c>
    </row>
    <row r="118" spans="1:2" x14ac:dyDescent="0.25">
      <c r="A118" s="20">
        <v>45880</v>
      </c>
      <c r="B118" vm="347">
        <v>155.16</v>
      </c>
    </row>
    <row r="119" spans="1:2" x14ac:dyDescent="0.25">
      <c r="A119" s="20">
        <v>45880</v>
      </c>
      <c r="B119" vm="350">
        <v>156.55000000000001</v>
      </c>
    </row>
    <row r="120" spans="1:2" x14ac:dyDescent="0.25">
      <c r="A120" s="20">
        <v>45887</v>
      </c>
      <c r="B120" vm="353">
        <v>155.32</v>
      </c>
    </row>
    <row r="121" spans="1:2" x14ac:dyDescent="0.25">
      <c r="A121" s="20">
        <v>45887</v>
      </c>
      <c r="B121" vm="11">
        <v>152</v>
      </c>
    </row>
    <row r="122" spans="1:2" x14ac:dyDescent="0.25">
      <c r="A122" s="20">
        <v>45887</v>
      </c>
      <c r="B122" vm="358">
        <v>153.22</v>
      </c>
    </row>
    <row r="123" spans="1:2" x14ac:dyDescent="0.25">
      <c r="A123" s="20">
        <v>45887</v>
      </c>
      <c r="B123" vm="361">
        <v>155.55000000000001</v>
      </c>
    </row>
    <row r="124" spans="1:2" x14ac:dyDescent="0.25">
      <c r="A124" s="20">
        <v>45887</v>
      </c>
      <c r="B124" vm="364">
        <v>158.18</v>
      </c>
    </row>
    <row r="125" spans="1:2" x14ac:dyDescent="0.25">
      <c r="A125" s="20">
        <v>45894</v>
      </c>
      <c r="B125" vm="367">
        <v>158.19999999999999</v>
      </c>
    </row>
    <row r="126" spans="1:2" x14ac:dyDescent="0.25">
      <c r="A126" s="20">
        <v>45894</v>
      </c>
      <c r="B126" vm="370">
        <v>157.36000000000001</v>
      </c>
    </row>
    <row r="127" spans="1:2" x14ac:dyDescent="0.25">
      <c r="A127" s="20">
        <v>45894</v>
      </c>
      <c r="B127" vm="373">
        <v>159.24</v>
      </c>
    </row>
    <row r="128" spans="1:2" x14ac:dyDescent="0.25">
      <c r="A128" s="20">
        <v>45894</v>
      </c>
      <c r="B128" vm="376">
        <v>159.32</v>
      </c>
    </row>
    <row r="129" spans="1:2" x14ac:dyDescent="0.25">
      <c r="A129" s="20">
        <v>45894</v>
      </c>
      <c r="B129" vm="379">
        <v>160.6</v>
      </c>
    </row>
    <row r="130" spans="1:2" x14ac:dyDescent="0.25">
      <c r="A130" s="20">
        <v>45901</v>
      </c>
      <c r="B130" vm="382">
        <v>161.83000000000001</v>
      </c>
    </row>
    <row r="131" spans="1:2" x14ac:dyDescent="0.25">
      <c r="A131" s="20">
        <v>45901</v>
      </c>
      <c r="B131" vm="385">
        <v>158.06</v>
      </c>
    </row>
    <row r="132" spans="1:2" x14ac:dyDescent="0.25">
      <c r="A132" s="20">
        <v>45901</v>
      </c>
      <c r="B132" vm="388">
        <v>157.69</v>
      </c>
    </row>
    <row r="133" spans="1:2" x14ac:dyDescent="0.25">
      <c r="A133" s="20">
        <v>45901</v>
      </c>
      <c r="B133" vm="391">
        <v>153.66</v>
      </c>
    </row>
    <row r="134" spans="1:2" x14ac:dyDescent="0.25">
      <c r="A134" s="20">
        <v>45908</v>
      </c>
      <c r="B134" vm="394">
        <v>154</v>
      </c>
    </row>
    <row r="135" spans="1:2" x14ac:dyDescent="0.25">
      <c r="A135" s="20">
        <v>45908</v>
      </c>
      <c r="B135" vm="397">
        <v>154.85</v>
      </c>
    </row>
    <row r="136" spans="1:2" x14ac:dyDescent="0.25">
      <c r="A136" s="20">
        <v>45908</v>
      </c>
      <c r="B136" vm="400">
        <v>157.79</v>
      </c>
    </row>
    <row r="137" spans="1:2" x14ac:dyDescent="0.25">
      <c r="A137" s="20">
        <v>45908</v>
      </c>
      <c r="B137" vm="403">
        <v>158.25</v>
      </c>
    </row>
    <row r="138" spans="1:2" x14ac:dyDescent="0.25">
      <c r="A138" s="20">
        <v>45908</v>
      </c>
      <c r="B138" vm="406">
        <v>157.11000000000001</v>
      </c>
    </row>
    <row r="139" spans="1:2" x14ac:dyDescent="0.25">
      <c r="A139" s="20">
        <v>45915</v>
      </c>
      <c r="B139" vm="409">
        <v>157.31</v>
      </c>
    </row>
    <row r="140" spans="1:2" x14ac:dyDescent="0.25">
      <c r="A140" s="20">
        <v>45915</v>
      </c>
      <c r="B140" vm="412">
        <v>159.54</v>
      </c>
    </row>
    <row r="141" spans="1:2" x14ac:dyDescent="0.25">
      <c r="A141" s="20">
        <v>45915</v>
      </c>
      <c r="B141" vm="415">
        <v>160.09</v>
      </c>
    </row>
    <row r="142" spans="1:2" x14ac:dyDescent="0.25">
      <c r="A142" s="20">
        <v>45915</v>
      </c>
      <c r="B142" vm="418">
        <v>158.84</v>
      </c>
    </row>
    <row r="143" spans="1:2" x14ac:dyDescent="0.25">
      <c r="A143" s="20">
        <v>45915</v>
      </c>
      <c r="B143" vm="421">
        <v>156.21</v>
      </c>
    </row>
    <row r="144" spans="1:2" x14ac:dyDescent="0.25">
      <c r="A144" s="20">
        <v>45922</v>
      </c>
      <c r="B144" vm="424">
        <v>156.05000000000001</v>
      </c>
    </row>
    <row r="145" spans="1:2" x14ac:dyDescent="0.25">
      <c r="A145" s="20">
        <v>45922</v>
      </c>
      <c r="B145" vm="427">
        <v>157.41999999999999</v>
      </c>
    </row>
    <row r="146" spans="1:2" x14ac:dyDescent="0.25">
      <c r="A146" s="20">
        <v>45922</v>
      </c>
      <c r="B146" vm="430">
        <v>159.18</v>
      </c>
    </row>
    <row r="147" spans="1:2" x14ac:dyDescent="0.25">
      <c r="A147" s="20">
        <v>45922</v>
      </c>
      <c r="B147" vm="433">
        <v>160.72</v>
      </c>
    </row>
    <row r="148" spans="1:2" x14ac:dyDescent="0.25">
      <c r="A148" s="20">
        <v>45922</v>
      </c>
      <c r="B148" vm="436">
        <v>160.16</v>
      </c>
    </row>
    <row r="149" spans="1:2" x14ac:dyDescent="0.25">
      <c r="A149" s="20">
        <v>45929</v>
      </c>
      <c r="B149" vm="439">
        <v>156.1</v>
      </c>
    </row>
    <row r="150" spans="1:2" x14ac:dyDescent="0.25">
      <c r="A150" s="20">
        <v>45929</v>
      </c>
      <c r="B150" vm="442">
        <v>155.29</v>
      </c>
    </row>
    <row r="151" spans="1:2" x14ac:dyDescent="0.25">
      <c r="A151" s="20">
        <v>45929</v>
      </c>
      <c r="B151" vm="445">
        <v>154.58000000000001</v>
      </c>
    </row>
    <row r="152" spans="1:2" x14ac:dyDescent="0.25">
      <c r="A152" s="20">
        <v>45929</v>
      </c>
      <c r="B152" vm="448">
        <v>153.37</v>
      </c>
    </row>
    <row r="153" spans="1:2" x14ac:dyDescent="0.25">
      <c r="A153" s="20">
        <v>45929</v>
      </c>
      <c r="B153" vm="451">
        <v>153.55000000000001</v>
      </c>
    </row>
    <row r="154" spans="1:2" x14ac:dyDescent="0.25">
      <c r="A154" s="20">
        <v>45936</v>
      </c>
      <c r="B154" vm="454">
        <v>154.02000000000001</v>
      </c>
    </row>
    <row r="155" spans="1:2" x14ac:dyDescent="0.25">
      <c r="A155" s="20">
        <v>45936</v>
      </c>
      <c r="B155" vm="457">
        <v>154.91</v>
      </c>
    </row>
    <row r="156" spans="1:2" x14ac:dyDescent="0.25">
      <c r="A156" s="20">
        <v>45936</v>
      </c>
      <c r="B156" vm="460">
        <v>153.74</v>
      </c>
    </row>
    <row r="157" spans="1:2" x14ac:dyDescent="0.25">
      <c r="A157" s="20">
        <v>45936</v>
      </c>
      <c r="B157" vm="317">
        <v>151.63999999999999</v>
      </c>
    </row>
    <row r="158" spans="1:2" x14ac:dyDescent="0.25">
      <c r="A158" s="20">
        <v>45936</v>
      </c>
      <c r="B158" vm="465">
        <v>148.9</v>
      </c>
    </row>
    <row r="159" spans="1:2" x14ac:dyDescent="0.25">
      <c r="A159" s="20">
        <v>45943</v>
      </c>
      <c r="B159" vm="468">
        <v>151.94</v>
      </c>
    </row>
    <row r="160" spans="1:2" x14ac:dyDescent="0.25">
      <c r="A160" s="20">
        <v>45943</v>
      </c>
      <c r="B160" vm="471">
        <v>152.38999999999999</v>
      </c>
    </row>
    <row r="161" spans="1:2" x14ac:dyDescent="0.25">
      <c r="A161" s="20">
        <v>45943</v>
      </c>
      <c r="B161" vm="474">
        <v>152.11000000000001</v>
      </c>
    </row>
    <row r="162" spans="1:2" x14ac:dyDescent="0.25">
      <c r="A162" s="20">
        <v>45943</v>
      </c>
      <c r="B162" vm="477">
        <v>151.71</v>
      </c>
    </row>
    <row r="163" spans="1:2" x14ac:dyDescent="0.25">
      <c r="A163" s="20">
        <v>45943</v>
      </c>
      <c r="B163" vm="480">
        <v>153.08000000000001</v>
      </c>
    </row>
    <row r="164" spans="1:2" x14ac:dyDescent="0.25">
      <c r="A164" s="20">
        <v>45950</v>
      </c>
      <c r="B164" vm="483">
        <v>154.47999999999999</v>
      </c>
    </row>
    <row r="165" spans="1:2" x14ac:dyDescent="0.25">
      <c r="A165" s="20">
        <v>45950</v>
      </c>
      <c r="B165" vm="486">
        <v>153.79</v>
      </c>
    </row>
    <row r="166" spans="1:2" x14ac:dyDescent="0.25">
      <c r="A166" s="20">
        <v>45950</v>
      </c>
      <c r="B166" vm="489">
        <v>155.57</v>
      </c>
    </row>
    <row r="167" spans="1:2" x14ac:dyDescent="0.25">
      <c r="A167" s="20">
        <v>45950</v>
      </c>
      <c r="B167" vm="492">
        <v>156.56</v>
      </c>
    </row>
    <row r="168" spans="1:2" x14ac:dyDescent="0.25">
      <c r="A168" s="20">
        <v>45950</v>
      </c>
      <c r="B168" vm="495">
        <v>155.56</v>
      </c>
    </row>
    <row r="169" spans="1:2" x14ac:dyDescent="0.25">
      <c r="A169" s="20">
        <v>45957</v>
      </c>
      <c r="B169" vm="498">
        <v>155.28</v>
      </c>
    </row>
    <row r="170" spans="1:2" x14ac:dyDescent="0.25">
      <c r="A170" s="20">
        <v>45957</v>
      </c>
      <c r="B170" vm="501">
        <v>154.13</v>
      </c>
    </row>
    <row r="171" spans="1:2" x14ac:dyDescent="0.25">
      <c r="A171" s="20">
        <v>45957</v>
      </c>
      <c r="B171" vm="504">
        <v>155.1</v>
      </c>
    </row>
    <row r="172" spans="1:2" x14ac:dyDescent="0.25">
      <c r="A172" s="20">
        <v>45957</v>
      </c>
      <c r="B172" vm="507">
        <v>153.52000000000001</v>
      </c>
    </row>
    <row r="173" spans="1:2" x14ac:dyDescent="0.25">
      <c r="A173" s="20">
        <v>45957</v>
      </c>
      <c r="B173" vm="510">
        <v>157.72</v>
      </c>
    </row>
    <row r="174" spans="1:2" x14ac:dyDescent="0.25">
      <c r="A174" s="20">
        <v>45964</v>
      </c>
      <c r="B174" vm="513">
        <v>154.04</v>
      </c>
    </row>
    <row r="175" spans="1:2" x14ac:dyDescent="0.25">
      <c r="A175" s="20">
        <v>45964</v>
      </c>
      <c r="B175" vm="516">
        <v>153.38999999999999</v>
      </c>
    </row>
    <row r="176" spans="1:2" x14ac:dyDescent="0.25">
      <c r="A176" s="20">
        <v>45964</v>
      </c>
      <c r="B176" vm="519">
        <v>152.66</v>
      </c>
    </row>
    <row r="177" spans="1:2" x14ac:dyDescent="0.25">
      <c r="A177" s="20">
        <v>45964</v>
      </c>
      <c r="B177" vm="522">
        <v>152.94</v>
      </c>
    </row>
    <row r="178" spans="1:2" x14ac:dyDescent="0.25">
      <c r="A178" s="20">
        <v>45964</v>
      </c>
      <c r="B178" vm="525">
        <v>155.02000000000001</v>
      </c>
    </row>
    <row r="179" spans="1:2" x14ac:dyDescent="0.25">
      <c r="A179" s="20">
        <v>45971</v>
      </c>
      <c r="B179" vm="528">
        <v>155.65</v>
      </c>
    </row>
    <row r="180" spans="1:2" x14ac:dyDescent="0.25">
      <c r="A180" s="20">
        <v>45971</v>
      </c>
      <c r="B180" vm="531">
        <v>156.24</v>
      </c>
    </row>
    <row r="181" spans="1:2" x14ac:dyDescent="0.25">
      <c r="A181" s="20">
        <v>45971</v>
      </c>
      <c r="B181" vm="534">
        <v>153.32</v>
      </c>
    </row>
    <row r="182" spans="1:2" x14ac:dyDescent="0.25">
      <c r="A182" s="20">
        <v>45971</v>
      </c>
      <c r="B182" vm="537">
        <v>155.58000000000001</v>
      </c>
    </row>
    <row r="183" spans="1:2" x14ac:dyDescent="0.25">
      <c r="A183" s="20">
        <v>45971</v>
      </c>
      <c r="B183" vm="540">
        <v>157.62</v>
      </c>
    </row>
    <row r="184" spans="1:2" x14ac:dyDescent="0.25">
      <c r="A184" s="20">
        <v>45978</v>
      </c>
      <c r="B184" vm="543">
        <v>154.82</v>
      </c>
    </row>
    <row r="185" spans="1:2" x14ac:dyDescent="0.25">
      <c r="A185" s="20">
        <v>45978</v>
      </c>
      <c r="B185" vm="546">
        <v>153.62</v>
      </c>
    </row>
    <row r="186" spans="1:2" x14ac:dyDescent="0.25">
      <c r="A186" s="20">
        <v>45978</v>
      </c>
      <c r="B186" vm="549">
        <v>151.69999999999999</v>
      </c>
    </row>
    <row r="187" spans="1:2" x14ac:dyDescent="0.25">
      <c r="A187" s="20">
        <v>45978</v>
      </c>
      <c r="B187" vm="552">
        <v>150.31</v>
      </c>
    </row>
    <row r="188" spans="1:2" x14ac:dyDescent="0.25">
      <c r="A188" s="20">
        <v>45978</v>
      </c>
      <c r="B188" vm="555">
        <v>149.97999999999999</v>
      </c>
    </row>
    <row r="189" spans="1:2" x14ac:dyDescent="0.25">
      <c r="A189" s="20">
        <v>45985</v>
      </c>
      <c r="B189" vm="558">
        <v>149.75</v>
      </c>
    </row>
    <row r="190" spans="1:2" x14ac:dyDescent="0.25">
      <c r="A190" s="20">
        <v>45985</v>
      </c>
      <c r="B190" vm="561">
        <v>148.53</v>
      </c>
    </row>
    <row r="191" spans="1:2" x14ac:dyDescent="0.25">
      <c r="A191" s="20">
        <v>45985</v>
      </c>
      <c r="B191" vm="564">
        <v>149.51</v>
      </c>
    </row>
    <row r="192" spans="1:2" x14ac:dyDescent="0.25">
      <c r="A192" s="20">
        <v>45985</v>
      </c>
      <c r="B192" vm="567">
        <v>151.13</v>
      </c>
    </row>
    <row r="193" spans="1:2" x14ac:dyDescent="0.25">
      <c r="A193" s="20">
        <v>45992</v>
      </c>
      <c r="B193" vm="570">
        <v>152.54</v>
      </c>
    </row>
    <row r="194" spans="1:2" x14ac:dyDescent="0.25">
      <c r="A194" s="20">
        <v>45992</v>
      </c>
      <c r="B194" vm="573">
        <v>150.25</v>
      </c>
    </row>
    <row r="195" spans="1:2" x14ac:dyDescent="0.25">
      <c r="A195" s="20">
        <v>45992</v>
      </c>
      <c r="B195" vm="576">
        <v>151.59</v>
      </c>
    </row>
    <row r="196" spans="1:2" x14ac:dyDescent="0.25">
      <c r="A196" s="20">
        <v>45992</v>
      </c>
      <c r="B196" vm="579">
        <v>152.26</v>
      </c>
    </row>
    <row r="197" spans="1:2" x14ac:dyDescent="0.25">
      <c r="A197" s="20">
        <v>45992</v>
      </c>
      <c r="B197" vm="582">
        <v>150</v>
      </c>
    </row>
    <row r="198" spans="1:2" x14ac:dyDescent="0.25">
      <c r="A198" s="20">
        <v>45999</v>
      </c>
      <c r="B198" vm="585">
        <v>148.71</v>
      </c>
    </row>
    <row r="199" spans="1:2" x14ac:dyDescent="0.25">
      <c r="A199" s="20">
        <v>45999</v>
      </c>
      <c r="B199" vm="588">
        <v>148.49</v>
      </c>
    </row>
    <row r="200" spans="1:2" x14ac:dyDescent="0.25">
      <c r="A200" s="20">
        <v>45999</v>
      </c>
      <c r="B200" vm="591">
        <v>151.41</v>
      </c>
    </row>
    <row r="201" spans="1:2" x14ac:dyDescent="0.25">
      <c r="A201" s="20">
        <v>45999</v>
      </c>
      <c r="B201" vm="594">
        <v>150.72</v>
      </c>
    </row>
    <row r="202" spans="1:2" x14ac:dyDescent="0.25">
      <c r="A202" s="20">
        <v>45999</v>
      </c>
      <c r="B202" vm="597">
        <v>149.99</v>
      </c>
    </row>
    <row r="203" spans="1:2" x14ac:dyDescent="0.25">
      <c r="A203" s="20">
        <v>46006</v>
      </c>
      <c r="B203" vm="600">
        <v>149.80000000000001</v>
      </c>
    </row>
    <row r="204" spans="1:2" x14ac:dyDescent="0.25">
      <c r="A204" s="20">
        <v>46006</v>
      </c>
      <c r="B204" vm="603">
        <v>146.75</v>
      </c>
    </row>
    <row r="205" spans="1:2" x14ac:dyDescent="0.25">
      <c r="A205" s="20">
        <v>46006</v>
      </c>
      <c r="B205" vm="606">
        <v>149.52000000000001</v>
      </c>
    </row>
    <row r="206" spans="1:2" x14ac:dyDescent="0.25">
      <c r="A206" s="20">
        <v>46006</v>
      </c>
      <c r="B206" vm="609">
        <v>147.69</v>
      </c>
    </row>
    <row r="207" spans="1:2" x14ac:dyDescent="0.25">
      <c r="A207" s="20">
        <v>46006</v>
      </c>
      <c r="B207" vm="612">
        <v>147.75</v>
      </c>
    </row>
    <row r="208" spans="1:2" x14ac:dyDescent="0.25">
      <c r="A208" s="20">
        <v>46013</v>
      </c>
      <c r="B208" vm="600">
        <v>149.80000000000001</v>
      </c>
    </row>
    <row r="209" spans="1:2" x14ac:dyDescent="0.25">
      <c r="A209" s="20">
        <v>46013</v>
      </c>
      <c r="B209" vm="617">
        <v>150.51</v>
      </c>
    </row>
    <row r="210" spans="1:2" x14ac:dyDescent="0.25">
      <c r="A210" s="20">
        <v>46013</v>
      </c>
      <c r="B210" vm="620">
        <v>150.5</v>
      </c>
    </row>
    <row r="211" spans="1:2" x14ac:dyDescent="0.25">
      <c r="A211" s="20">
        <v>46013</v>
      </c>
      <c r="B211" vm="623">
        <v>150.02000000000001</v>
      </c>
    </row>
    <row r="212" spans="1:2" x14ac:dyDescent="0.25">
      <c r="A212" s="20">
        <v>46020</v>
      </c>
      <c r="B212" vm="626">
        <v>150.99</v>
      </c>
    </row>
    <row r="213" spans="1:2" x14ac:dyDescent="0.25">
      <c r="A213" s="20">
        <v>46020</v>
      </c>
      <c r="B213" vm="629">
        <v>152.31</v>
      </c>
    </row>
    <row r="214" spans="1:2" x14ac:dyDescent="0.25">
      <c r="A214" s="20">
        <v>46020</v>
      </c>
      <c r="B214" vm="632">
        <v>152.41</v>
      </c>
    </row>
    <row r="215" spans="1:2" x14ac:dyDescent="0.25">
      <c r="A215" s="20">
        <v>46020</v>
      </c>
      <c r="B215" vm="635">
        <v>155.9</v>
      </c>
    </row>
    <row r="216" spans="1:2" x14ac:dyDescent="0.25">
      <c r="A216" s="20">
        <v>46027</v>
      </c>
      <c r="B216" vm="638">
        <v>163.85</v>
      </c>
    </row>
    <row r="217" spans="1:2" x14ac:dyDescent="0.25">
      <c r="A217" s="20">
        <v>46027</v>
      </c>
      <c r="B217" vm="641">
        <v>156.54</v>
      </c>
    </row>
    <row r="218" spans="1:2" x14ac:dyDescent="0.25">
      <c r="A218" s="20">
        <v>46027</v>
      </c>
      <c r="B218" vm="644">
        <v>155.19999999999999</v>
      </c>
    </row>
    <row r="219" spans="1:2" x14ac:dyDescent="0.25">
      <c r="A219" s="20">
        <v>46027</v>
      </c>
      <c r="B219" vm="647">
        <v>159.25</v>
      </c>
    </row>
    <row r="220" spans="1:2" x14ac:dyDescent="0.25">
      <c r="A220" s="20">
        <v>46027</v>
      </c>
      <c r="B220" vm="650">
        <v>162.11000000000001</v>
      </c>
    </row>
    <row r="221" spans="1:2" x14ac:dyDescent="0.25">
      <c r="A221" s="20">
        <v>46034</v>
      </c>
      <c r="B221" vm="653">
        <v>162.34</v>
      </c>
    </row>
    <row r="222" spans="1:2" x14ac:dyDescent="0.25">
      <c r="A222" s="20">
        <v>46034</v>
      </c>
      <c r="B222" vm="656">
        <v>163.87</v>
      </c>
    </row>
    <row r="223" spans="1:2" x14ac:dyDescent="0.25">
      <c r="A223" s="20">
        <v>46034</v>
      </c>
      <c r="B223" vm="659">
        <v>167.24</v>
      </c>
    </row>
    <row r="224" spans="1:2" x14ac:dyDescent="0.25">
      <c r="A224" s="20">
        <v>46034</v>
      </c>
      <c r="B224" vm="662">
        <v>166.16</v>
      </c>
    </row>
    <row r="225" spans="1:2" x14ac:dyDescent="0.25">
      <c r="A225" s="20">
        <v>46034</v>
      </c>
      <c r="B225" vm="665">
        <v>166.26</v>
      </c>
    </row>
    <row r="226" spans="1:2" x14ac:dyDescent="0.25">
      <c r="A226" s="20">
        <v>46041</v>
      </c>
      <c r="B226" vm="668">
        <v>165.3</v>
      </c>
    </row>
    <row r="227" spans="1:2" x14ac:dyDescent="0.25">
      <c r="A227" s="20">
        <v>46041</v>
      </c>
      <c r="B227" vm="671">
        <v>166.73</v>
      </c>
    </row>
    <row r="228" spans="1:2" x14ac:dyDescent="0.25">
      <c r="A228" s="20">
        <v>46041</v>
      </c>
      <c r="B228" vm="674">
        <v>166.66</v>
      </c>
    </row>
    <row r="229" spans="1:2" x14ac:dyDescent="0.25">
      <c r="A229" s="20">
        <v>46041</v>
      </c>
      <c r="B229" vm="677">
        <v>166.72</v>
      </c>
    </row>
    <row r="230" spans="1:2" x14ac:dyDescent="0.25">
      <c r="A230" s="20">
        <v>46048</v>
      </c>
      <c r="B230" vm="680">
        <v>167.5</v>
      </c>
    </row>
    <row r="231" spans="1:2" x14ac:dyDescent="0.25">
      <c r="A231" s="20">
        <v>46048</v>
      </c>
      <c r="B231" vm="683">
        <v>169.05</v>
      </c>
    </row>
    <row r="232" spans="1:2" x14ac:dyDescent="0.25">
      <c r="A232" s="20">
        <v>46048</v>
      </c>
      <c r="B232" vm="686">
        <v>169.93</v>
      </c>
    </row>
    <row r="233" spans="1:2" x14ac:dyDescent="0.25">
      <c r="A233" s="20">
        <v>46048</v>
      </c>
      <c r="B233" vm="689">
        <v>171.19</v>
      </c>
    </row>
    <row r="234" spans="1:2" x14ac:dyDescent="0.25">
      <c r="A234" s="20">
        <v>46048</v>
      </c>
      <c r="B234" vm="692">
        <v>176.9</v>
      </c>
    </row>
    <row r="235" spans="1:2" x14ac:dyDescent="0.25">
      <c r="A235" s="20">
        <v>46055</v>
      </c>
      <c r="B235" vm="695">
        <v>174.03</v>
      </c>
    </row>
    <row r="236" spans="1:2" x14ac:dyDescent="0.25">
      <c r="A236" s="20">
        <v>46055</v>
      </c>
      <c r="B236" vm="698">
        <v>178.04</v>
      </c>
    </row>
    <row r="237" spans="1:2" x14ac:dyDescent="0.25">
      <c r="A237" s="20">
        <v>46055</v>
      </c>
      <c r="B237" vm="701">
        <v>181.23</v>
      </c>
    </row>
    <row r="238" spans="1:2" x14ac:dyDescent="0.25">
      <c r="A238" s="20">
        <v>46055</v>
      </c>
      <c r="B238" vm="704">
        <v>179.23</v>
      </c>
    </row>
    <row r="239" spans="1:2" x14ac:dyDescent="0.25">
      <c r="A239" s="20">
        <v>46055</v>
      </c>
      <c r="B239" vm="707">
        <v>180.86</v>
      </c>
    </row>
    <row r="240" spans="1:2" x14ac:dyDescent="0.25">
      <c r="A240" s="20">
        <v>46062</v>
      </c>
      <c r="B240" vm="710">
        <v>182.6</v>
      </c>
    </row>
    <row r="241" spans="1:2" x14ac:dyDescent="0.25">
      <c r="A241" s="20">
        <v>46062</v>
      </c>
      <c r="B241" vm="713">
        <v>182.26</v>
      </c>
    </row>
    <row r="242" spans="1:2" x14ac:dyDescent="0.25">
      <c r="A242" s="20">
        <v>46062</v>
      </c>
      <c r="B242" vm="716">
        <v>185.82</v>
      </c>
    </row>
    <row r="243" spans="1:2" x14ac:dyDescent="0.25">
      <c r="A243" s="20">
        <v>46062</v>
      </c>
      <c r="B243" vm="719">
        <v>182.4</v>
      </c>
    </row>
    <row r="244" spans="1:2" x14ac:dyDescent="0.25">
      <c r="A244" s="20">
        <v>46062</v>
      </c>
      <c r="B244" vm="722">
        <v>183.74</v>
      </c>
    </row>
    <row r="245" spans="1:2" x14ac:dyDescent="0.25">
      <c r="A245" s="20">
        <v>46069</v>
      </c>
      <c r="B245" vm="725">
        <v>180.55</v>
      </c>
    </row>
    <row r="246" spans="1:2" x14ac:dyDescent="0.25">
      <c r="A246" s="20">
        <v>46069</v>
      </c>
      <c r="B246" vm="728">
        <v>183.87</v>
      </c>
    </row>
    <row r="247" spans="1:2" x14ac:dyDescent="0.25">
      <c r="A247" s="20">
        <v>46069</v>
      </c>
      <c r="B247" vm="731">
        <v>184.78</v>
      </c>
    </row>
    <row r="248" spans="1:2" x14ac:dyDescent="0.25">
      <c r="A248" s="20">
        <v>46069</v>
      </c>
      <c r="B248" vm="734">
        <v>183.93</v>
      </c>
    </row>
    <row r="249" spans="1:2" x14ac:dyDescent="0.25">
      <c r="A249" s="20">
        <v>46076</v>
      </c>
      <c r="B249" vm="737">
        <v>184.91</v>
      </c>
    </row>
    <row r="250" spans="1:2" x14ac:dyDescent="0.25">
      <c r="A250" s="20">
        <v>46076</v>
      </c>
      <c r="B250" vm="740">
        <v>185.34</v>
      </c>
    </row>
    <row r="251" spans="1:2" x14ac:dyDescent="0.25">
      <c r="A251" s="20">
        <v>46076</v>
      </c>
      <c r="B251" vm="743">
        <v>184.22</v>
      </c>
    </row>
    <row r="252" spans="1:2" x14ac:dyDescent="0.25">
      <c r="A252" s="20">
        <v>46076</v>
      </c>
      <c r="B252" vm="746">
        <v>184.16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4C35-70BE-41E7-92F0-6607B2127896}">
  <dimension ref="A1:B1000"/>
  <sheetViews>
    <sheetView workbookViewId="0">
      <selection activeCell="O7" sqref="O7"/>
    </sheetView>
  </sheetViews>
  <sheetFormatPr defaultRowHeight="15" x14ac:dyDescent="0.25"/>
  <cols>
    <col min="1" max="1" width="10.7109375" style="20" bestFit="1" customWidth="1"/>
    <col min="2" max="2" width="9.85546875" bestFit="1" customWidth="1"/>
  </cols>
  <sheetData>
    <row r="1" spans="1:2" ht="18" customHeight="1" thickBot="1" x14ac:dyDescent="0.3">
      <c r="A1" s="26" t="s">
        <v>49</v>
      </c>
      <c r="B1" s="22" t="s">
        <v>50</v>
      </c>
    </row>
    <row r="2" spans="1:2" ht="15.75" thickBot="1" x14ac:dyDescent="0.3">
      <c r="A2" s="27">
        <v>36572</v>
      </c>
      <c r="B2" s="24">
        <v>0.33</v>
      </c>
    </row>
    <row r="3" spans="1:2" ht="15.75" thickBot="1" x14ac:dyDescent="0.3">
      <c r="A3" s="27">
        <v>36663</v>
      </c>
      <c r="B3" s="24">
        <v>0.33</v>
      </c>
    </row>
    <row r="4" spans="1:2" ht="15.75" thickBot="1" x14ac:dyDescent="0.3">
      <c r="A4" s="27">
        <v>36754</v>
      </c>
      <c r="B4" s="24">
        <v>0.33</v>
      </c>
    </row>
    <row r="5" spans="1:2" ht="15.75" thickBot="1" x14ac:dyDescent="0.3">
      <c r="A5" s="27">
        <v>36845</v>
      </c>
      <c r="B5" s="24">
        <v>0.33</v>
      </c>
    </row>
    <row r="6" spans="1:2" ht="15.75" thickBot="1" x14ac:dyDescent="0.3">
      <c r="A6" s="27">
        <v>36936</v>
      </c>
      <c r="B6" s="24">
        <v>0.33</v>
      </c>
    </row>
    <row r="7" spans="1:2" ht="15.75" thickBot="1" x14ac:dyDescent="0.3">
      <c r="A7" s="27">
        <v>37027</v>
      </c>
      <c r="B7" s="24">
        <v>0.33</v>
      </c>
    </row>
    <row r="8" spans="1:2" ht="15.75" thickBot="1" x14ac:dyDescent="0.3">
      <c r="A8" s="27">
        <v>37118</v>
      </c>
      <c r="B8" s="24">
        <v>0.33</v>
      </c>
    </row>
    <row r="9" spans="1:2" ht="15.75" thickBot="1" x14ac:dyDescent="0.3">
      <c r="A9" s="27">
        <v>37209</v>
      </c>
      <c r="B9" s="24">
        <v>0.35</v>
      </c>
    </row>
    <row r="10" spans="1:2" ht="15.75" thickBot="1" x14ac:dyDescent="0.3">
      <c r="A10" s="27">
        <v>37300</v>
      </c>
      <c r="B10" s="24">
        <v>0.35</v>
      </c>
    </row>
    <row r="11" spans="1:2" ht="15.75" thickBot="1" x14ac:dyDescent="0.3">
      <c r="A11" s="27">
        <v>37391</v>
      </c>
      <c r="B11" s="24">
        <v>0.35</v>
      </c>
    </row>
    <row r="12" spans="1:2" ht="15.75" thickBot="1" x14ac:dyDescent="0.3">
      <c r="A12" s="27">
        <v>37483</v>
      </c>
      <c r="B12" s="24">
        <v>0.35</v>
      </c>
    </row>
    <row r="13" spans="1:2" ht="15.75" thickBot="1" x14ac:dyDescent="0.3">
      <c r="A13" s="27">
        <v>37574</v>
      </c>
      <c r="B13" s="24">
        <v>0.35</v>
      </c>
    </row>
    <row r="14" spans="1:2" ht="15.75" thickBot="1" x14ac:dyDescent="0.3">
      <c r="A14" s="27">
        <v>37664</v>
      </c>
      <c r="B14" s="24">
        <v>0.35</v>
      </c>
    </row>
    <row r="15" spans="1:2" ht="15.75" thickBot="1" x14ac:dyDescent="0.3">
      <c r="A15" s="27">
        <v>37756</v>
      </c>
      <c r="B15" s="24">
        <v>0.35</v>
      </c>
    </row>
    <row r="16" spans="1:2" ht="15.75" thickBot="1" x14ac:dyDescent="0.3">
      <c r="A16" s="27">
        <v>37848</v>
      </c>
      <c r="B16" s="24">
        <v>0.37</v>
      </c>
    </row>
    <row r="17" spans="1:2" ht="15.75" thickBot="1" x14ac:dyDescent="0.3">
      <c r="A17" s="27">
        <v>37939</v>
      </c>
      <c r="B17" s="24">
        <v>0.37</v>
      </c>
    </row>
    <row r="18" spans="1:2" ht="15.75" thickBot="1" x14ac:dyDescent="0.3">
      <c r="A18" s="27">
        <v>38030</v>
      </c>
      <c r="B18" s="24">
        <v>0.37</v>
      </c>
    </row>
    <row r="19" spans="1:2" ht="15.75" thickBot="1" x14ac:dyDescent="0.3">
      <c r="A19" s="27">
        <v>38124</v>
      </c>
      <c r="B19" s="24">
        <v>0.37</v>
      </c>
    </row>
    <row r="20" spans="1:2" ht="15.75" thickBot="1" x14ac:dyDescent="0.3">
      <c r="A20" s="27">
        <v>38216</v>
      </c>
      <c r="B20" s="24">
        <v>0.4</v>
      </c>
    </row>
    <row r="21" spans="1:2" ht="15.75" thickBot="1" x14ac:dyDescent="0.3">
      <c r="A21" s="27">
        <v>38307</v>
      </c>
      <c r="B21" s="24">
        <v>0.4</v>
      </c>
    </row>
    <row r="22" spans="1:2" ht="15.75" thickBot="1" x14ac:dyDescent="0.3">
      <c r="A22" s="27">
        <v>38397</v>
      </c>
      <c r="B22" s="24">
        <v>0.4</v>
      </c>
    </row>
    <row r="23" spans="1:2" ht="15.75" thickBot="1" x14ac:dyDescent="0.3">
      <c r="A23" s="27">
        <v>38489</v>
      </c>
      <c r="B23" s="24">
        <v>0.45</v>
      </c>
    </row>
    <row r="24" spans="1:2" ht="15.75" thickBot="1" x14ac:dyDescent="0.3">
      <c r="A24" s="27">
        <v>38581</v>
      </c>
      <c r="B24" s="24">
        <v>0.45</v>
      </c>
    </row>
    <row r="25" spans="1:2" ht="15.75" thickBot="1" x14ac:dyDescent="0.3">
      <c r="A25" s="27">
        <v>38672</v>
      </c>
      <c r="B25" s="24">
        <v>0.45</v>
      </c>
    </row>
    <row r="26" spans="1:2" ht="15.75" thickBot="1" x14ac:dyDescent="0.3">
      <c r="A26" s="27">
        <v>38762</v>
      </c>
      <c r="B26" s="24">
        <v>0.45</v>
      </c>
    </row>
    <row r="27" spans="1:2" ht="15.75" thickBot="1" x14ac:dyDescent="0.3">
      <c r="A27" s="27">
        <v>38854</v>
      </c>
      <c r="B27" s="24">
        <v>0.52</v>
      </c>
    </row>
    <row r="28" spans="1:2" ht="15.75" thickBot="1" x14ac:dyDescent="0.3">
      <c r="A28" s="27">
        <v>38945</v>
      </c>
      <c r="B28" s="24">
        <v>0.52</v>
      </c>
    </row>
    <row r="29" spans="1:2" ht="15.75" thickBot="1" x14ac:dyDescent="0.3">
      <c r="A29" s="27">
        <v>39036</v>
      </c>
      <c r="B29" s="24">
        <v>0.52</v>
      </c>
    </row>
    <row r="30" spans="1:2" ht="15.75" thickBot="1" x14ac:dyDescent="0.3">
      <c r="A30" s="27">
        <v>39127</v>
      </c>
      <c r="B30" s="24">
        <v>0.52</v>
      </c>
    </row>
    <row r="31" spans="1:2" ht="15.75" thickBot="1" x14ac:dyDescent="0.3">
      <c r="A31" s="27">
        <v>39218</v>
      </c>
      <c r="B31" s="24">
        <v>0.57999999999999996</v>
      </c>
    </row>
    <row r="32" spans="1:2" ht="15.75" thickBot="1" x14ac:dyDescent="0.3">
      <c r="A32" s="27">
        <v>39309</v>
      </c>
      <c r="B32" s="24">
        <v>0.57999999999999996</v>
      </c>
    </row>
    <row r="33" spans="1:2" ht="15.75" thickBot="1" x14ac:dyDescent="0.3">
      <c r="A33" s="27">
        <v>39400</v>
      </c>
      <c r="B33" s="24">
        <v>0.57999999999999996</v>
      </c>
    </row>
    <row r="34" spans="1:2" ht="15.75" thickBot="1" x14ac:dyDescent="0.3">
      <c r="A34" s="27">
        <v>39491</v>
      </c>
      <c r="B34" s="24">
        <v>0.57999999999999996</v>
      </c>
    </row>
    <row r="35" spans="1:2" ht="15.75" thickBot="1" x14ac:dyDescent="0.3">
      <c r="A35" s="27">
        <v>39583</v>
      </c>
      <c r="B35" s="24">
        <v>0.65</v>
      </c>
    </row>
    <row r="36" spans="1:2" ht="15.75" thickBot="1" x14ac:dyDescent="0.3">
      <c r="A36" s="27">
        <v>39675</v>
      </c>
      <c r="B36" s="24">
        <v>0.65</v>
      </c>
    </row>
    <row r="37" spans="1:2" ht="15.75" thickBot="1" x14ac:dyDescent="0.3">
      <c r="A37" s="27">
        <v>39766</v>
      </c>
      <c r="B37" s="24">
        <v>0.65</v>
      </c>
    </row>
    <row r="38" spans="1:2" ht="15.75" thickBot="1" x14ac:dyDescent="0.3">
      <c r="A38" s="27">
        <v>39856</v>
      </c>
      <c r="B38" s="24">
        <v>0.65</v>
      </c>
    </row>
    <row r="39" spans="1:2" ht="15.75" thickBot="1" x14ac:dyDescent="0.3">
      <c r="A39" s="27">
        <v>39948</v>
      </c>
      <c r="B39" s="24">
        <v>0.65</v>
      </c>
    </row>
    <row r="40" spans="1:2" ht="15.75" thickBot="1" x14ac:dyDescent="0.3">
      <c r="A40" s="27">
        <v>40042</v>
      </c>
      <c r="B40" s="24">
        <v>0.68</v>
      </c>
    </row>
    <row r="41" spans="1:2" ht="15.75" thickBot="1" x14ac:dyDescent="0.3">
      <c r="A41" s="27">
        <v>40133</v>
      </c>
      <c r="B41" s="24">
        <v>0.68</v>
      </c>
    </row>
    <row r="42" spans="1:2" ht="15.75" thickBot="1" x14ac:dyDescent="0.3">
      <c r="A42" s="27">
        <v>40221</v>
      </c>
      <c r="B42" s="24">
        <v>0.68</v>
      </c>
    </row>
    <row r="43" spans="1:2" ht="15.75" thickBot="1" x14ac:dyDescent="0.3">
      <c r="A43" s="27">
        <v>40315</v>
      </c>
      <c r="B43" s="24">
        <v>0.72</v>
      </c>
    </row>
    <row r="44" spans="1:2" ht="15.75" thickBot="1" x14ac:dyDescent="0.3">
      <c r="A44" s="27">
        <v>40407</v>
      </c>
      <c r="B44" s="24">
        <v>0.72</v>
      </c>
    </row>
    <row r="45" spans="1:2" ht="15.75" thickBot="1" x14ac:dyDescent="0.3">
      <c r="A45" s="27">
        <v>40498</v>
      </c>
      <c r="B45" s="24">
        <v>0.72</v>
      </c>
    </row>
    <row r="46" spans="1:2" ht="15.75" thickBot="1" x14ac:dyDescent="0.3">
      <c r="A46" s="27">
        <v>40588</v>
      </c>
      <c r="B46" s="24">
        <v>0.72</v>
      </c>
    </row>
    <row r="47" spans="1:2" ht="15.75" thickBot="1" x14ac:dyDescent="0.3">
      <c r="A47" s="27">
        <v>40680</v>
      </c>
      <c r="B47" s="24">
        <v>0.78</v>
      </c>
    </row>
    <row r="48" spans="1:2" ht="15.75" thickBot="1" x14ac:dyDescent="0.3">
      <c r="A48" s="27">
        <v>40772</v>
      </c>
      <c r="B48" s="24">
        <v>0.78</v>
      </c>
    </row>
    <row r="49" spans="1:2" ht="15.75" thickBot="1" x14ac:dyDescent="0.3">
      <c r="A49" s="27">
        <v>40863</v>
      </c>
      <c r="B49" s="24">
        <v>0.81</v>
      </c>
    </row>
    <row r="50" spans="1:2" ht="15.75" thickBot="1" x14ac:dyDescent="0.3">
      <c r="A50" s="27">
        <v>40954</v>
      </c>
      <c r="B50" s="24">
        <v>0.81</v>
      </c>
    </row>
    <row r="51" spans="1:2" ht="15.75" thickBot="1" x14ac:dyDescent="0.3">
      <c r="A51" s="27">
        <v>41045</v>
      </c>
      <c r="B51" s="24">
        <v>0.9</v>
      </c>
    </row>
    <row r="52" spans="1:2" ht="15.75" thickBot="1" x14ac:dyDescent="0.3">
      <c r="A52" s="27">
        <v>41136</v>
      </c>
      <c r="B52" s="24">
        <v>0.9</v>
      </c>
    </row>
    <row r="53" spans="1:2" ht="15.75" thickBot="1" x14ac:dyDescent="0.3">
      <c r="A53" s="27">
        <v>41227</v>
      </c>
      <c r="B53" s="24">
        <v>0.9</v>
      </c>
    </row>
    <row r="54" spans="1:2" ht="15.75" thickBot="1" x14ac:dyDescent="0.3">
      <c r="A54" s="27">
        <v>41318</v>
      </c>
      <c r="B54" s="24">
        <v>0.9</v>
      </c>
    </row>
    <row r="55" spans="1:2" ht="15.75" thickBot="1" x14ac:dyDescent="0.3">
      <c r="A55" s="27">
        <v>41409</v>
      </c>
      <c r="B55" s="24">
        <v>1</v>
      </c>
    </row>
    <row r="56" spans="1:2" ht="15.75" thickBot="1" x14ac:dyDescent="0.3">
      <c r="A56" s="27">
        <v>41501</v>
      </c>
      <c r="B56" s="24">
        <v>1</v>
      </c>
    </row>
    <row r="57" spans="1:2" ht="15.75" thickBot="1" x14ac:dyDescent="0.3">
      <c r="A57" s="27">
        <v>41592</v>
      </c>
      <c r="B57" s="24">
        <v>1</v>
      </c>
    </row>
    <row r="58" spans="1:2" ht="15.75" thickBot="1" x14ac:dyDescent="0.3">
      <c r="A58" s="27">
        <v>41682</v>
      </c>
      <c r="B58" s="24">
        <v>1</v>
      </c>
    </row>
    <row r="59" spans="1:2" ht="15.75" thickBot="1" x14ac:dyDescent="0.3">
      <c r="A59" s="27">
        <v>41774</v>
      </c>
      <c r="B59" s="24">
        <v>1.07</v>
      </c>
    </row>
    <row r="60" spans="1:2" ht="15.75" thickBot="1" x14ac:dyDescent="0.3">
      <c r="A60" s="27">
        <v>41866</v>
      </c>
      <c r="B60" s="24">
        <v>1.07</v>
      </c>
    </row>
    <row r="61" spans="1:2" ht="15.75" thickBot="1" x14ac:dyDescent="0.3">
      <c r="A61" s="27">
        <v>41957</v>
      </c>
      <c r="B61" s="24">
        <v>1.07</v>
      </c>
    </row>
    <row r="62" spans="1:2" ht="15.75" thickBot="1" x14ac:dyDescent="0.3">
      <c r="A62" s="27">
        <v>42047</v>
      </c>
      <c r="B62" s="24">
        <v>1.07</v>
      </c>
    </row>
    <row r="63" spans="1:2" ht="15.75" thickBot="1" x14ac:dyDescent="0.3">
      <c r="A63" s="27">
        <v>42139</v>
      </c>
      <c r="B63" s="24">
        <v>1.07</v>
      </c>
    </row>
    <row r="64" spans="1:2" ht="15.75" thickBot="1" x14ac:dyDescent="0.3">
      <c r="A64" s="27">
        <v>42233</v>
      </c>
      <c r="B64" s="24">
        <v>1.07</v>
      </c>
    </row>
    <row r="65" spans="1:2" ht="15.75" thickBot="1" x14ac:dyDescent="0.3">
      <c r="A65" s="27">
        <v>42324</v>
      </c>
      <c r="B65" s="24">
        <v>1.07</v>
      </c>
    </row>
    <row r="66" spans="1:2" ht="15.75" thickBot="1" x14ac:dyDescent="0.3">
      <c r="A66" s="27">
        <v>42416</v>
      </c>
      <c r="B66" s="24">
        <v>1.07</v>
      </c>
    </row>
    <row r="67" spans="1:2" ht="15.75" thickBot="1" x14ac:dyDescent="0.3">
      <c r="A67" s="27">
        <v>42507</v>
      </c>
      <c r="B67" s="24">
        <v>1.07</v>
      </c>
    </row>
    <row r="68" spans="1:2" ht="15.75" thickBot="1" x14ac:dyDescent="0.3">
      <c r="A68" s="27">
        <v>42599</v>
      </c>
      <c r="B68" s="24">
        <v>1.07</v>
      </c>
    </row>
    <row r="69" spans="1:2" ht="15.75" thickBot="1" x14ac:dyDescent="0.3">
      <c r="A69" s="27">
        <v>42690</v>
      </c>
      <c r="B69" s="24">
        <v>1.08</v>
      </c>
    </row>
    <row r="70" spans="1:2" ht="15.75" thickBot="1" x14ac:dyDescent="0.3">
      <c r="A70" s="27">
        <v>42780</v>
      </c>
      <c r="B70" s="24">
        <v>1.08</v>
      </c>
    </row>
    <row r="71" spans="1:2" ht="15.75" thickBot="1" x14ac:dyDescent="0.3">
      <c r="A71" s="27">
        <v>42872</v>
      </c>
      <c r="B71" s="24">
        <v>1.08</v>
      </c>
    </row>
    <row r="72" spans="1:2" ht="15.75" thickBot="1" x14ac:dyDescent="0.3">
      <c r="A72" s="27">
        <v>42963</v>
      </c>
      <c r="B72" s="24">
        <v>1.08</v>
      </c>
    </row>
    <row r="73" spans="1:2" ht="15.75" thickBot="1" x14ac:dyDescent="0.3">
      <c r="A73" s="27">
        <v>43055</v>
      </c>
      <c r="B73" s="24">
        <v>1.08</v>
      </c>
    </row>
    <row r="74" spans="1:2" ht="15.75" thickBot="1" x14ac:dyDescent="0.3">
      <c r="A74" s="27">
        <v>43146</v>
      </c>
      <c r="B74" s="24">
        <v>1.1200000000000001</v>
      </c>
    </row>
    <row r="75" spans="1:2" ht="15.75" thickBot="1" x14ac:dyDescent="0.3">
      <c r="A75" s="27">
        <v>43237</v>
      </c>
      <c r="B75" s="24">
        <v>1.1200000000000001</v>
      </c>
    </row>
    <row r="76" spans="1:2" ht="15.75" thickBot="1" x14ac:dyDescent="0.3">
      <c r="A76" s="27">
        <v>43328</v>
      </c>
      <c r="B76" s="24">
        <v>1.1200000000000001</v>
      </c>
    </row>
    <row r="77" spans="1:2" ht="15.75" thickBot="1" x14ac:dyDescent="0.3">
      <c r="A77" s="27">
        <v>43419</v>
      </c>
      <c r="B77" s="24">
        <v>1.1200000000000001</v>
      </c>
    </row>
    <row r="78" spans="1:2" ht="15.75" thickBot="1" x14ac:dyDescent="0.3">
      <c r="A78" s="27">
        <v>43510</v>
      </c>
      <c r="B78" s="24">
        <v>1.19</v>
      </c>
    </row>
    <row r="79" spans="1:2" ht="15.75" thickBot="1" x14ac:dyDescent="0.3">
      <c r="A79" s="27">
        <v>43601</v>
      </c>
      <c r="B79" s="24">
        <v>1.19</v>
      </c>
    </row>
    <row r="80" spans="1:2" ht="15.75" thickBot="1" x14ac:dyDescent="0.3">
      <c r="A80" s="27">
        <v>43693</v>
      </c>
      <c r="B80" s="24">
        <v>1.19</v>
      </c>
    </row>
    <row r="81" spans="1:2" ht="15.75" thickBot="1" x14ac:dyDescent="0.3">
      <c r="A81" s="27">
        <v>43784</v>
      </c>
      <c r="B81" s="24">
        <v>1.19</v>
      </c>
    </row>
    <row r="82" spans="1:2" ht="15.75" thickBot="1" x14ac:dyDescent="0.3">
      <c r="A82" s="27">
        <v>43875</v>
      </c>
      <c r="B82" s="24">
        <v>1.29</v>
      </c>
    </row>
    <row r="83" spans="1:2" ht="15.75" thickBot="1" x14ac:dyDescent="0.3">
      <c r="A83" s="27">
        <v>43969</v>
      </c>
      <c r="B83" s="24">
        <v>1.29</v>
      </c>
    </row>
    <row r="84" spans="1:2" ht="15.75" thickBot="1" x14ac:dyDescent="0.3">
      <c r="A84" s="27">
        <v>44061</v>
      </c>
      <c r="B84" s="24">
        <v>1.29</v>
      </c>
    </row>
    <row r="85" spans="1:2" ht="15.75" thickBot="1" x14ac:dyDescent="0.3">
      <c r="A85" s="27">
        <v>44152</v>
      </c>
      <c r="B85" s="24">
        <v>1.29</v>
      </c>
    </row>
    <row r="86" spans="1:2" ht="15.75" thickBot="1" x14ac:dyDescent="0.3">
      <c r="A86" s="27">
        <v>44243</v>
      </c>
      <c r="B86" s="24">
        <v>1.29</v>
      </c>
    </row>
    <row r="87" spans="1:2" ht="15.75" thickBot="1" x14ac:dyDescent="0.3">
      <c r="A87" s="27">
        <v>44334</v>
      </c>
      <c r="B87" s="24">
        <v>1.34</v>
      </c>
    </row>
    <row r="88" spans="1:2" ht="15.75" thickBot="1" x14ac:dyDescent="0.3">
      <c r="A88" s="27">
        <v>44426</v>
      </c>
      <c r="B88" s="24">
        <v>1.34</v>
      </c>
    </row>
    <row r="89" spans="1:2" ht="15.75" thickBot="1" x14ac:dyDescent="0.3">
      <c r="A89" s="27">
        <v>44517</v>
      </c>
      <c r="B89" s="24">
        <v>1.34</v>
      </c>
    </row>
    <row r="90" spans="1:2" ht="15.75" thickBot="1" x14ac:dyDescent="0.3">
      <c r="A90" s="27">
        <v>44607</v>
      </c>
      <c r="B90" s="24">
        <v>1.42</v>
      </c>
    </row>
    <row r="91" spans="1:2" ht="15.75" thickBot="1" x14ac:dyDescent="0.3">
      <c r="A91" s="27">
        <v>44699</v>
      </c>
      <c r="B91" s="24">
        <v>1.42</v>
      </c>
    </row>
    <row r="92" spans="1:2" ht="15.75" thickBot="1" x14ac:dyDescent="0.3">
      <c r="A92" s="27">
        <v>44791</v>
      </c>
      <c r="B92" s="24">
        <v>1.42</v>
      </c>
    </row>
    <row r="93" spans="1:2" ht="15.75" thickBot="1" x14ac:dyDescent="0.3">
      <c r="A93" s="27">
        <v>44882</v>
      </c>
      <c r="B93" s="24">
        <v>1.42</v>
      </c>
    </row>
    <row r="94" spans="1:2" ht="15.75" thickBot="1" x14ac:dyDescent="0.3">
      <c r="A94" s="27">
        <v>44972</v>
      </c>
      <c r="B94" s="24">
        <v>1.51</v>
      </c>
    </row>
    <row r="95" spans="1:2" ht="15.75" thickBot="1" x14ac:dyDescent="0.3">
      <c r="A95" s="27">
        <v>45064</v>
      </c>
      <c r="B95" s="24">
        <v>1.51</v>
      </c>
    </row>
    <row r="96" spans="1:2" ht="15.75" thickBot="1" x14ac:dyDescent="0.3">
      <c r="A96" s="27">
        <v>45155</v>
      </c>
      <c r="B96" s="24">
        <v>1.51</v>
      </c>
    </row>
    <row r="97" spans="1:2" ht="15.75" thickBot="1" x14ac:dyDescent="0.3">
      <c r="A97" s="27">
        <v>45246</v>
      </c>
      <c r="B97" s="24">
        <v>1.51</v>
      </c>
    </row>
    <row r="98" spans="1:2" ht="15.75" thickBot="1" x14ac:dyDescent="0.3">
      <c r="A98" s="27">
        <v>45337</v>
      </c>
      <c r="B98" s="24">
        <v>1.63</v>
      </c>
    </row>
    <row r="99" spans="1:2" ht="15.75" thickBot="1" x14ac:dyDescent="0.3">
      <c r="A99" s="27">
        <v>45428</v>
      </c>
      <c r="B99" s="24">
        <v>1.63</v>
      </c>
    </row>
    <row r="100" spans="1:2" ht="15.75" thickBot="1" x14ac:dyDescent="0.3">
      <c r="A100" s="27">
        <v>45523</v>
      </c>
      <c r="B100" s="24">
        <v>1.63</v>
      </c>
    </row>
    <row r="101" spans="1:2" ht="15.75" thickBot="1" x14ac:dyDescent="0.3">
      <c r="A101" s="27">
        <v>45614</v>
      </c>
      <c r="B101" s="24">
        <v>1.63</v>
      </c>
    </row>
    <row r="102" spans="1:2" ht="15.75" thickBot="1" x14ac:dyDescent="0.3">
      <c r="A102" s="27">
        <v>45702</v>
      </c>
      <c r="B102" s="24">
        <v>1.71</v>
      </c>
    </row>
    <row r="103" spans="1:2" ht="15.75" thickBot="1" x14ac:dyDescent="0.3">
      <c r="A103" s="27">
        <v>45796</v>
      </c>
      <c r="B103" s="24">
        <v>1.71</v>
      </c>
    </row>
    <row r="104" spans="1:2" ht="15.75" thickBot="1" x14ac:dyDescent="0.3">
      <c r="A104" s="27">
        <v>45888</v>
      </c>
      <c r="B104" s="24">
        <v>1.71</v>
      </c>
    </row>
    <row r="105" spans="1:2" ht="15.75" thickBot="1" x14ac:dyDescent="0.3">
      <c r="A105" s="27">
        <v>45979</v>
      </c>
      <c r="B105" s="24">
        <v>1.71</v>
      </c>
    </row>
    <row r="106" spans="1:2" ht="15.75" thickBot="1" x14ac:dyDescent="0.3">
      <c r="A106" s="28"/>
      <c r="B106" s="25"/>
    </row>
    <row r="107" spans="1:2" ht="15.75" thickBot="1" x14ac:dyDescent="0.3">
      <c r="A107" s="28"/>
      <c r="B107" s="25"/>
    </row>
    <row r="108" spans="1:2" ht="15.75" thickBot="1" x14ac:dyDescent="0.3">
      <c r="A108" s="28"/>
      <c r="B108" s="25"/>
    </row>
    <row r="109" spans="1:2" ht="15.75" thickBot="1" x14ac:dyDescent="0.3">
      <c r="A109" s="28"/>
      <c r="B109" s="25"/>
    </row>
    <row r="110" spans="1:2" ht="15.75" thickBot="1" x14ac:dyDescent="0.3">
      <c r="A110" s="28"/>
      <c r="B110" s="25"/>
    </row>
    <row r="111" spans="1:2" ht="15.75" thickBot="1" x14ac:dyDescent="0.3">
      <c r="A111" s="28"/>
      <c r="B111" s="25"/>
    </row>
    <row r="112" spans="1:2" ht="15.75" thickBot="1" x14ac:dyDescent="0.3">
      <c r="A112" s="28"/>
      <c r="B112" s="25"/>
    </row>
    <row r="113" spans="1:2" ht="15.75" thickBot="1" x14ac:dyDescent="0.3">
      <c r="A113" s="28"/>
      <c r="B113" s="25"/>
    </row>
    <row r="114" spans="1:2" ht="15.75" thickBot="1" x14ac:dyDescent="0.3">
      <c r="A114" s="28"/>
      <c r="B114" s="25"/>
    </row>
    <row r="115" spans="1:2" ht="15.75" thickBot="1" x14ac:dyDescent="0.3">
      <c r="A115" s="28"/>
      <c r="B115" s="25"/>
    </row>
    <row r="116" spans="1:2" ht="15.75" thickBot="1" x14ac:dyDescent="0.3">
      <c r="A116" s="28"/>
      <c r="B116" s="25"/>
    </row>
    <row r="117" spans="1:2" ht="15.75" thickBot="1" x14ac:dyDescent="0.3">
      <c r="A117" s="28"/>
      <c r="B117" s="25"/>
    </row>
    <row r="118" spans="1:2" ht="15.75" thickBot="1" x14ac:dyDescent="0.3">
      <c r="A118" s="28"/>
      <c r="B118" s="25"/>
    </row>
    <row r="119" spans="1:2" ht="15.75" thickBot="1" x14ac:dyDescent="0.3">
      <c r="A119" s="28"/>
      <c r="B119" s="25"/>
    </row>
    <row r="120" spans="1:2" ht="15.75" thickBot="1" x14ac:dyDescent="0.3">
      <c r="A120" s="28"/>
      <c r="B120" s="25"/>
    </row>
    <row r="121" spans="1:2" ht="15.75" thickBot="1" x14ac:dyDescent="0.3">
      <c r="A121" s="28"/>
      <c r="B121" s="25"/>
    </row>
    <row r="122" spans="1:2" ht="15.75" thickBot="1" x14ac:dyDescent="0.3">
      <c r="A122" s="28"/>
      <c r="B122" s="25"/>
    </row>
    <row r="123" spans="1:2" ht="15.75" thickBot="1" x14ac:dyDescent="0.3">
      <c r="A123" s="28"/>
      <c r="B123" s="25"/>
    </row>
    <row r="124" spans="1:2" ht="15.75" thickBot="1" x14ac:dyDescent="0.3">
      <c r="A124" s="28"/>
      <c r="B124" s="25"/>
    </row>
    <row r="125" spans="1:2" ht="15.75" thickBot="1" x14ac:dyDescent="0.3">
      <c r="A125" s="28"/>
      <c r="B125" s="25"/>
    </row>
    <row r="126" spans="1:2" ht="15.75" thickBot="1" x14ac:dyDescent="0.3">
      <c r="A126" s="28"/>
      <c r="B126" s="25"/>
    </row>
    <row r="127" spans="1:2" ht="15.75" thickBot="1" x14ac:dyDescent="0.3">
      <c r="A127" s="28"/>
      <c r="B127" s="25"/>
    </row>
    <row r="128" spans="1:2" ht="15.75" thickBot="1" x14ac:dyDescent="0.3">
      <c r="A128" s="28"/>
      <c r="B128" s="25"/>
    </row>
    <row r="129" spans="1:2" ht="15.75" thickBot="1" x14ac:dyDescent="0.3">
      <c r="A129" s="28"/>
      <c r="B129" s="25"/>
    </row>
    <row r="130" spans="1:2" ht="15.75" thickBot="1" x14ac:dyDescent="0.3">
      <c r="A130" s="28"/>
      <c r="B130" s="25"/>
    </row>
    <row r="131" spans="1:2" ht="15.75" thickBot="1" x14ac:dyDescent="0.3">
      <c r="A131" s="28"/>
      <c r="B131" s="25"/>
    </row>
    <row r="132" spans="1:2" ht="15.75" thickBot="1" x14ac:dyDescent="0.3">
      <c r="A132" s="28"/>
      <c r="B132" s="25"/>
    </row>
    <row r="133" spans="1:2" ht="15.75" thickBot="1" x14ac:dyDescent="0.3">
      <c r="A133" s="28"/>
      <c r="B133" s="25"/>
    </row>
    <row r="134" spans="1:2" ht="15.75" thickBot="1" x14ac:dyDescent="0.3">
      <c r="A134" s="28"/>
      <c r="B134" s="25"/>
    </row>
    <row r="135" spans="1:2" ht="15.75" thickBot="1" x14ac:dyDescent="0.3">
      <c r="A135" s="28"/>
      <c r="B135" s="25"/>
    </row>
    <row r="136" spans="1:2" ht="15.75" thickBot="1" x14ac:dyDescent="0.3">
      <c r="A136" s="28"/>
      <c r="B136" s="25"/>
    </row>
    <row r="137" spans="1:2" ht="15.75" thickBot="1" x14ac:dyDescent="0.3">
      <c r="A137" s="28"/>
      <c r="B137" s="25"/>
    </row>
    <row r="138" spans="1:2" ht="15.75" thickBot="1" x14ac:dyDescent="0.3">
      <c r="A138" s="28"/>
      <c r="B138" s="25"/>
    </row>
    <row r="139" spans="1:2" ht="15.75" thickBot="1" x14ac:dyDescent="0.3">
      <c r="A139" s="28"/>
      <c r="B139" s="25"/>
    </row>
    <row r="140" spans="1:2" ht="15.75" thickBot="1" x14ac:dyDescent="0.3">
      <c r="A140" s="28"/>
      <c r="B140" s="25"/>
    </row>
    <row r="141" spans="1:2" ht="15.75" thickBot="1" x14ac:dyDescent="0.3">
      <c r="A141" s="28"/>
      <c r="B141" s="25"/>
    </row>
    <row r="142" spans="1:2" ht="15.75" thickBot="1" x14ac:dyDescent="0.3">
      <c r="A142" s="28"/>
      <c r="B142" s="25"/>
    </row>
    <row r="143" spans="1:2" ht="15.75" thickBot="1" x14ac:dyDescent="0.3">
      <c r="A143" s="28"/>
      <c r="B143" s="25"/>
    </row>
    <row r="144" spans="1:2" ht="15.75" thickBot="1" x14ac:dyDescent="0.3">
      <c r="A144" s="28"/>
      <c r="B144" s="25"/>
    </row>
    <row r="145" spans="1:2" ht="15.75" thickBot="1" x14ac:dyDescent="0.3">
      <c r="A145" s="28"/>
      <c r="B145" s="25"/>
    </row>
    <row r="146" spans="1:2" ht="15.75" thickBot="1" x14ac:dyDescent="0.3">
      <c r="A146" s="28"/>
      <c r="B146" s="25"/>
    </row>
    <row r="147" spans="1:2" ht="15.75" thickBot="1" x14ac:dyDescent="0.3">
      <c r="A147" s="28"/>
      <c r="B147" s="25"/>
    </row>
    <row r="148" spans="1:2" ht="15.75" thickBot="1" x14ac:dyDescent="0.3">
      <c r="A148" s="28"/>
      <c r="B148" s="25"/>
    </row>
    <row r="149" spans="1:2" ht="15.75" thickBot="1" x14ac:dyDescent="0.3">
      <c r="A149" s="28"/>
      <c r="B149" s="25"/>
    </row>
    <row r="150" spans="1:2" ht="15.75" thickBot="1" x14ac:dyDescent="0.3">
      <c r="A150" s="28"/>
      <c r="B150" s="25"/>
    </row>
    <row r="151" spans="1:2" ht="15.75" thickBot="1" x14ac:dyDescent="0.3">
      <c r="A151" s="28"/>
      <c r="B151" s="25"/>
    </row>
    <row r="152" spans="1:2" ht="15.75" thickBot="1" x14ac:dyDescent="0.3">
      <c r="A152" s="28"/>
      <c r="B152" s="25"/>
    </row>
    <row r="153" spans="1:2" ht="15.75" thickBot="1" x14ac:dyDescent="0.3">
      <c r="A153" s="28"/>
      <c r="B153" s="25"/>
    </row>
    <row r="154" spans="1:2" ht="15.75" thickBot="1" x14ac:dyDescent="0.3">
      <c r="A154" s="28"/>
      <c r="B154" s="25"/>
    </row>
    <row r="155" spans="1:2" ht="15.75" thickBot="1" x14ac:dyDescent="0.3">
      <c r="A155" s="28"/>
      <c r="B155" s="25"/>
    </row>
    <row r="156" spans="1:2" ht="15.75" thickBot="1" x14ac:dyDescent="0.3">
      <c r="A156" s="28"/>
      <c r="B156" s="25"/>
    </row>
    <row r="157" spans="1:2" ht="15.75" thickBot="1" x14ac:dyDescent="0.3">
      <c r="A157" s="28"/>
      <c r="B157" s="25"/>
    </row>
    <row r="158" spans="1:2" ht="15.75" thickBot="1" x14ac:dyDescent="0.3">
      <c r="A158" s="28"/>
      <c r="B158" s="25"/>
    </row>
    <row r="159" spans="1:2" ht="15.75" thickBot="1" x14ac:dyDescent="0.3">
      <c r="A159" s="28"/>
      <c r="B159" s="25"/>
    </row>
    <row r="160" spans="1:2" ht="15.75" thickBot="1" x14ac:dyDescent="0.3">
      <c r="A160" s="28"/>
      <c r="B160" s="25"/>
    </row>
    <row r="161" spans="1:2" ht="15.75" thickBot="1" x14ac:dyDescent="0.3">
      <c r="A161" s="28"/>
      <c r="B161" s="25"/>
    </row>
    <row r="162" spans="1:2" ht="15.75" thickBot="1" x14ac:dyDescent="0.3">
      <c r="A162" s="28"/>
      <c r="B162" s="25"/>
    </row>
    <row r="163" spans="1:2" ht="15.75" thickBot="1" x14ac:dyDescent="0.3">
      <c r="A163" s="28"/>
      <c r="B163" s="25"/>
    </row>
    <row r="164" spans="1:2" ht="15.75" thickBot="1" x14ac:dyDescent="0.3">
      <c r="A164" s="28"/>
      <c r="B164" s="25"/>
    </row>
    <row r="165" spans="1:2" ht="15.75" thickBot="1" x14ac:dyDescent="0.3">
      <c r="A165" s="28"/>
      <c r="B165" s="25"/>
    </row>
    <row r="166" spans="1:2" ht="15.75" thickBot="1" x14ac:dyDescent="0.3">
      <c r="A166" s="28"/>
      <c r="B166" s="25"/>
    </row>
    <row r="167" spans="1:2" ht="15.75" thickBot="1" x14ac:dyDescent="0.3">
      <c r="A167" s="28"/>
      <c r="B167" s="25"/>
    </row>
    <row r="168" spans="1:2" ht="15.75" thickBot="1" x14ac:dyDescent="0.3">
      <c r="A168" s="28"/>
      <c r="B168" s="25"/>
    </row>
    <row r="169" spans="1:2" ht="15.75" thickBot="1" x14ac:dyDescent="0.3">
      <c r="A169" s="28"/>
      <c r="B169" s="25"/>
    </row>
    <row r="170" spans="1:2" ht="15.75" thickBot="1" x14ac:dyDescent="0.3">
      <c r="A170" s="28"/>
      <c r="B170" s="25"/>
    </row>
    <row r="171" spans="1:2" ht="15.75" thickBot="1" x14ac:dyDescent="0.3">
      <c r="A171" s="28"/>
      <c r="B171" s="25"/>
    </row>
    <row r="172" spans="1:2" ht="15.75" thickBot="1" x14ac:dyDescent="0.3">
      <c r="A172" s="28"/>
      <c r="B172" s="25"/>
    </row>
    <row r="173" spans="1:2" ht="15.75" thickBot="1" x14ac:dyDescent="0.3">
      <c r="A173" s="28"/>
      <c r="B173" s="25"/>
    </row>
    <row r="174" spans="1:2" ht="15.75" thickBot="1" x14ac:dyDescent="0.3">
      <c r="A174" s="28"/>
      <c r="B174" s="25"/>
    </row>
    <row r="175" spans="1:2" ht="15.75" thickBot="1" x14ac:dyDescent="0.3">
      <c r="A175" s="28"/>
      <c r="B175" s="25"/>
    </row>
    <row r="176" spans="1:2" ht="15.75" thickBot="1" x14ac:dyDescent="0.3">
      <c r="A176" s="28"/>
      <c r="B176" s="25"/>
    </row>
    <row r="177" spans="1:2" ht="15.75" thickBot="1" x14ac:dyDescent="0.3">
      <c r="A177" s="28"/>
      <c r="B177" s="25"/>
    </row>
    <row r="178" spans="1:2" ht="15.75" thickBot="1" x14ac:dyDescent="0.3">
      <c r="A178" s="28"/>
      <c r="B178" s="25"/>
    </row>
    <row r="179" spans="1:2" ht="15.75" thickBot="1" x14ac:dyDescent="0.3">
      <c r="A179" s="28"/>
      <c r="B179" s="25"/>
    </row>
    <row r="180" spans="1:2" ht="15.75" thickBot="1" x14ac:dyDescent="0.3">
      <c r="A180" s="28"/>
      <c r="B180" s="25"/>
    </row>
    <row r="181" spans="1:2" ht="15.75" thickBot="1" x14ac:dyDescent="0.3">
      <c r="A181" s="28"/>
      <c r="B181" s="25"/>
    </row>
    <row r="182" spans="1:2" ht="15.75" thickBot="1" x14ac:dyDescent="0.3">
      <c r="A182" s="28"/>
      <c r="B182" s="25"/>
    </row>
    <row r="183" spans="1:2" ht="15.75" thickBot="1" x14ac:dyDescent="0.3">
      <c r="A183" s="28"/>
      <c r="B183" s="25"/>
    </row>
    <row r="184" spans="1:2" ht="15.75" thickBot="1" x14ac:dyDescent="0.3">
      <c r="A184" s="28"/>
      <c r="B184" s="25"/>
    </row>
    <row r="185" spans="1:2" ht="15.75" thickBot="1" x14ac:dyDescent="0.3">
      <c r="A185" s="28"/>
      <c r="B185" s="25"/>
    </row>
    <row r="186" spans="1:2" ht="15.75" thickBot="1" x14ac:dyDescent="0.3">
      <c r="A186" s="28"/>
      <c r="B186" s="25"/>
    </row>
    <row r="187" spans="1:2" ht="15.75" thickBot="1" x14ac:dyDescent="0.3">
      <c r="A187" s="28"/>
      <c r="B187" s="25"/>
    </row>
    <row r="188" spans="1:2" ht="15.75" thickBot="1" x14ac:dyDescent="0.3">
      <c r="A188" s="28"/>
      <c r="B188" s="25"/>
    </row>
    <row r="189" spans="1:2" ht="15.75" thickBot="1" x14ac:dyDescent="0.3">
      <c r="A189" s="28"/>
      <c r="B189" s="25"/>
    </row>
    <row r="190" spans="1:2" ht="15.75" thickBot="1" x14ac:dyDescent="0.3">
      <c r="A190" s="28"/>
      <c r="B190" s="25"/>
    </row>
    <row r="191" spans="1:2" ht="15.75" thickBot="1" x14ac:dyDescent="0.3">
      <c r="A191" s="28"/>
      <c r="B191" s="25"/>
    </row>
    <row r="192" spans="1:2" ht="15.75" thickBot="1" x14ac:dyDescent="0.3">
      <c r="A192" s="28"/>
      <c r="B192" s="25"/>
    </row>
    <row r="193" spans="1:2" ht="15.75" thickBot="1" x14ac:dyDescent="0.3">
      <c r="A193" s="28"/>
      <c r="B193" s="25"/>
    </row>
    <row r="194" spans="1:2" ht="15.75" thickBot="1" x14ac:dyDescent="0.3">
      <c r="A194" s="28"/>
      <c r="B194" s="25"/>
    </row>
    <row r="195" spans="1:2" ht="15.75" thickBot="1" x14ac:dyDescent="0.3">
      <c r="A195" s="28"/>
      <c r="B195" s="25"/>
    </row>
    <row r="196" spans="1:2" ht="15.75" thickBot="1" x14ac:dyDescent="0.3">
      <c r="A196" s="28"/>
      <c r="B196" s="25"/>
    </row>
    <row r="197" spans="1:2" ht="15.75" thickBot="1" x14ac:dyDescent="0.3">
      <c r="A197" s="28"/>
      <c r="B197" s="25"/>
    </row>
    <row r="198" spans="1:2" ht="15.75" thickBot="1" x14ac:dyDescent="0.3">
      <c r="A198" s="28"/>
      <c r="B198" s="25"/>
    </row>
    <row r="199" spans="1:2" ht="15.75" thickBot="1" x14ac:dyDescent="0.3">
      <c r="A199" s="28"/>
      <c r="B199" s="25"/>
    </row>
    <row r="200" spans="1:2" ht="15.75" thickBot="1" x14ac:dyDescent="0.3">
      <c r="A200" s="28"/>
      <c r="B200" s="25"/>
    </row>
    <row r="201" spans="1:2" ht="15.75" thickBot="1" x14ac:dyDescent="0.3">
      <c r="A201" s="28"/>
      <c r="B201" s="25"/>
    </row>
    <row r="202" spans="1:2" ht="15.75" thickBot="1" x14ac:dyDescent="0.3">
      <c r="A202" s="28"/>
      <c r="B202" s="25"/>
    </row>
    <row r="203" spans="1:2" ht="15.75" thickBot="1" x14ac:dyDescent="0.3">
      <c r="A203" s="28"/>
      <c r="B203" s="25"/>
    </row>
    <row r="204" spans="1:2" ht="15.75" thickBot="1" x14ac:dyDescent="0.3">
      <c r="A204" s="28"/>
      <c r="B204" s="25"/>
    </row>
    <row r="205" spans="1:2" ht="15.75" thickBot="1" x14ac:dyDescent="0.3">
      <c r="A205" s="28"/>
      <c r="B205" s="25"/>
    </row>
    <row r="206" spans="1:2" ht="15.75" thickBot="1" x14ac:dyDescent="0.3">
      <c r="A206" s="28"/>
      <c r="B206" s="25"/>
    </row>
    <row r="207" spans="1:2" ht="15.75" thickBot="1" x14ac:dyDescent="0.3">
      <c r="A207" s="28"/>
      <c r="B207" s="25"/>
    </row>
    <row r="208" spans="1:2" ht="15.75" thickBot="1" x14ac:dyDescent="0.3">
      <c r="A208" s="28"/>
      <c r="B208" s="25"/>
    </row>
    <row r="209" spans="1:2" ht="15.75" thickBot="1" x14ac:dyDescent="0.3">
      <c r="A209" s="28"/>
      <c r="B209" s="25"/>
    </row>
    <row r="210" spans="1:2" ht="15.75" thickBot="1" x14ac:dyDescent="0.3">
      <c r="A210" s="28"/>
      <c r="B210" s="25"/>
    </row>
    <row r="211" spans="1:2" ht="15.75" thickBot="1" x14ac:dyDescent="0.3">
      <c r="A211" s="28"/>
      <c r="B211" s="25"/>
    </row>
    <row r="212" spans="1:2" ht="15.75" thickBot="1" x14ac:dyDescent="0.3">
      <c r="A212" s="28"/>
      <c r="B212" s="25"/>
    </row>
    <row r="213" spans="1:2" ht="15.75" thickBot="1" x14ac:dyDescent="0.3">
      <c r="A213" s="28"/>
      <c r="B213" s="25"/>
    </row>
    <row r="214" spans="1:2" ht="15.75" thickBot="1" x14ac:dyDescent="0.3">
      <c r="A214" s="28"/>
      <c r="B214" s="25"/>
    </row>
    <row r="215" spans="1:2" ht="15.75" thickBot="1" x14ac:dyDescent="0.3">
      <c r="A215" s="28"/>
      <c r="B215" s="25"/>
    </row>
    <row r="216" spans="1:2" ht="15.75" thickBot="1" x14ac:dyDescent="0.3">
      <c r="A216" s="28"/>
      <c r="B216" s="25"/>
    </row>
    <row r="217" spans="1:2" ht="15.75" thickBot="1" x14ac:dyDescent="0.3">
      <c r="A217" s="28"/>
      <c r="B217" s="25"/>
    </row>
    <row r="218" spans="1:2" ht="15.75" thickBot="1" x14ac:dyDescent="0.3">
      <c r="A218" s="28"/>
      <c r="B218" s="25"/>
    </row>
    <row r="219" spans="1:2" ht="15.75" thickBot="1" x14ac:dyDescent="0.3">
      <c r="A219" s="28"/>
      <c r="B219" s="25"/>
    </row>
    <row r="220" spans="1:2" ht="15.75" thickBot="1" x14ac:dyDescent="0.3">
      <c r="A220" s="28"/>
      <c r="B220" s="25"/>
    </row>
    <row r="221" spans="1:2" ht="15.75" thickBot="1" x14ac:dyDescent="0.3">
      <c r="A221" s="28"/>
      <c r="B221" s="25"/>
    </row>
    <row r="222" spans="1:2" ht="15.75" thickBot="1" x14ac:dyDescent="0.3">
      <c r="A222" s="28"/>
      <c r="B222" s="25"/>
    </row>
    <row r="223" spans="1:2" ht="15.75" thickBot="1" x14ac:dyDescent="0.3">
      <c r="A223" s="28"/>
      <c r="B223" s="25"/>
    </row>
    <row r="224" spans="1:2" ht="15.75" thickBot="1" x14ac:dyDescent="0.3">
      <c r="A224" s="28"/>
      <c r="B224" s="25"/>
    </row>
    <row r="225" spans="1:2" ht="15.75" thickBot="1" x14ac:dyDescent="0.3">
      <c r="A225" s="28"/>
      <c r="B225" s="25"/>
    </row>
    <row r="226" spans="1:2" ht="15.75" thickBot="1" x14ac:dyDescent="0.3">
      <c r="A226" s="28"/>
      <c r="B226" s="25"/>
    </row>
    <row r="227" spans="1:2" ht="15.75" thickBot="1" x14ac:dyDescent="0.3">
      <c r="A227" s="28"/>
      <c r="B227" s="25"/>
    </row>
    <row r="228" spans="1:2" ht="15.75" thickBot="1" x14ac:dyDescent="0.3">
      <c r="A228" s="28"/>
      <c r="B228" s="25"/>
    </row>
    <row r="229" spans="1:2" ht="15.75" thickBot="1" x14ac:dyDescent="0.3">
      <c r="A229" s="28"/>
      <c r="B229" s="25"/>
    </row>
    <row r="230" spans="1:2" ht="15.75" thickBot="1" x14ac:dyDescent="0.3">
      <c r="A230" s="28"/>
      <c r="B230" s="25"/>
    </row>
    <row r="231" spans="1:2" ht="15.75" thickBot="1" x14ac:dyDescent="0.3">
      <c r="A231" s="28"/>
      <c r="B231" s="25"/>
    </row>
    <row r="232" spans="1:2" ht="15.75" thickBot="1" x14ac:dyDescent="0.3">
      <c r="A232" s="28"/>
      <c r="B232" s="25"/>
    </row>
    <row r="233" spans="1:2" ht="15.75" thickBot="1" x14ac:dyDescent="0.3">
      <c r="A233" s="28"/>
      <c r="B233" s="25"/>
    </row>
    <row r="234" spans="1:2" ht="15.75" thickBot="1" x14ac:dyDescent="0.3">
      <c r="A234" s="28"/>
      <c r="B234" s="25"/>
    </row>
    <row r="235" spans="1:2" ht="15.75" thickBot="1" x14ac:dyDescent="0.3">
      <c r="A235" s="28"/>
      <c r="B235" s="25"/>
    </row>
    <row r="236" spans="1:2" ht="15.75" thickBot="1" x14ac:dyDescent="0.3">
      <c r="A236" s="28"/>
      <c r="B236" s="25"/>
    </row>
    <row r="237" spans="1:2" ht="15.75" thickBot="1" x14ac:dyDescent="0.3">
      <c r="A237" s="28"/>
      <c r="B237" s="25"/>
    </row>
    <row r="238" spans="1:2" ht="15.75" thickBot="1" x14ac:dyDescent="0.3">
      <c r="A238" s="28"/>
      <c r="B238" s="25"/>
    </row>
    <row r="239" spans="1:2" ht="15.75" thickBot="1" x14ac:dyDescent="0.3">
      <c r="A239" s="28"/>
      <c r="B239" s="25"/>
    </row>
    <row r="240" spans="1:2" ht="15.75" thickBot="1" x14ac:dyDescent="0.3">
      <c r="A240" s="28"/>
      <c r="B240" s="25"/>
    </row>
    <row r="241" spans="1:2" ht="15.75" thickBot="1" x14ac:dyDescent="0.3">
      <c r="A241" s="28"/>
      <c r="B241" s="25"/>
    </row>
    <row r="242" spans="1:2" ht="15.75" thickBot="1" x14ac:dyDescent="0.3">
      <c r="A242" s="28"/>
      <c r="B242" s="25"/>
    </row>
    <row r="243" spans="1:2" ht="15.75" thickBot="1" x14ac:dyDescent="0.3">
      <c r="A243" s="28"/>
      <c r="B243" s="25"/>
    </row>
    <row r="244" spans="1:2" ht="15.75" thickBot="1" x14ac:dyDescent="0.3">
      <c r="A244" s="28"/>
      <c r="B244" s="25"/>
    </row>
    <row r="245" spans="1:2" ht="15.75" thickBot="1" x14ac:dyDescent="0.3">
      <c r="A245" s="28"/>
      <c r="B245" s="25"/>
    </row>
    <row r="246" spans="1:2" ht="15.75" thickBot="1" x14ac:dyDescent="0.3">
      <c r="A246" s="28"/>
      <c r="B246" s="25"/>
    </row>
    <row r="247" spans="1:2" ht="15.75" thickBot="1" x14ac:dyDescent="0.3">
      <c r="A247" s="28"/>
      <c r="B247" s="25"/>
    </row>
    <row r="248" spans="1:2" ht="15.75" thickBot="1" x14ac:dyDescent="0.3">
      <c r="A248" s="28"/>
      <c r="B248" s="25"/>
    </row>
    <row r="249" spans="1:2" ht="15.75" thickBot="1" x14ac:dyDescent="0.3">
      <c r="A249" s="28"/>
      <c r="B249" s="25"/>
    </row>
    <row r="250" spans="1:2" ht="15.75" thickBot="1" x14ac:dyDescent="0.3">
      <c r="A250" s="28"/>
      <c r="B250" s="25"/>
    </row>
    <row r="251" spans="1:2" ht="15.75" thickBot="1" x14ac:dyDescent="0.3">
      <c r="A251" s="28"/>
      <c r="B251" s="25"/>
    </row>
    <row r="252" spans="1:2" ht="15.75" thickBot="1" x14ac:dyDescent="0.3">
      <c r="A252" s="28"/>
      <c r="B252" s="25"/>
    </row>
    <row r="253" spans="1:2" ht="15.75" thickBot="1" x14ac:dyDescent="0.3">
      <c r="A253" s="28"/>
      <c r="B253" s="25"/>
    </row>
    <row r="254" spans="1:2" ht="15.75" thickBot="1" x14ac:dyDescent="0.3">
      <c r="A254" s="28"/>
      <c r="B254" s="25"/>
    </row>
    <row r="255" spans="1:2" ht="15.75" thickBot="1" x14ac:dyDescent="0.3">
      <c r="A255" s="28"/>
      <c r="B255" s="25"/>
    </row>
    <row r="256" spans="1:2" ht="15.75" thickBot="1" x14ac:dyDescent="0.3">
      <c r="A256" s="28"/>
      <c r="B256" s="25"/>
    </row>
    <row r="257" spans="1:2" ht="15.75" thickBot="1" x14ac:dyDescent="0.3">
      <c r="A257" s="28"/>
      <c r="B257" s="25"/>
    </row>
    <row r="258" spans="1:2" ht="15.75" thickBot="1" x14ac:dyDescent="0.3">
      <c r="A258" s="28"/>
      <c r="B258" s="25"/>
    </row>
    <row r="259" spans="1:2" ht="15.75" thickBot="1" x14ac:dyDescent="0.3">
      <c r="A259" s="28"/>
      <c r="B259" s="25"/>
    </row>
    <row r="260" spans="1:2" ht="15.75" thickBot="1" x14ac:dyDescent="0.3">
      <c r="A260" s="28"/>
      <c r="B260" s="25"/>
    </row>
    <row r="261" spans="1:2" ht="15.75" thickBot="1" x14ac:dyDescent="0.3">
      <c r="A261" s="28"/>
      <c r="B261" s="25"/>
    </row>
    <row r="262" spans="1:2" ht="15.75" thickBot="1" x14ac:dyDescent="0.3">
      <c r="A262" s="28"/>
      <c r="B262" s="25"/>
    </row>
    <row r="263" spans="1:2" ht="15.75" thickBot="1" x14ac:dyDescent="0.3">
      <c r="A263" s="28"/>
      <c r="B263" s="25"/>
    </row>
    <row r="264" spans="1:2" ht="15.75" thickBot="1" x14ac:dyDescent="0.3">
      <c r="A264" s="28"/>
      <c r="B264" s="25"/>
    </row>
    <row r="265" spans="1:2" ht="15.75" thickBot="1" x14ac:dyDescent="0.3">
      <c r="A265" s="28"/>
      <c r="B265" s="25"/>
    </row>
    <row r="266" spans="1:2" ht="15.75" thickBot="1" x14ac:dyDescent="0.3">
      <c r="A266" s="28"/>
      <c r="B266" s="25"/>
    </row>
    <row r="267" spans="1:2" ht="15.75" thickBot="1" x14ac:dyDescent="0.3">
      <c r="A267" s="28"/>
      <c r="B267" s="25"/>
    </row>
    <row r="268" spans="1:2" ht="15.75" thickBot="1" x14ac:dyDescent="0.3">
      <c r="A268" s="28"/>
      <c r="B268" s="25"/>
    </row>
    <row r="269" spans="1:2" ht="15.75" thickBot="1" x14ac:dyDescent="0.3">
      <c r="A269" s="28"/>
      <c r="B269" s="25"/>
    </row>
    <row r="270" spans="1:2" ht="15.75" thickBot="1" x14ac:dyDescent="0.3">
      <c r="A270" s="28"/>
      <c r="B270" s="25"/>
    </row>
    <row r="271" spans="1:2" ht="15.75" thickBot="1" x14ac:dyDescent="0.3">
      <c r="A271" s="28"/>
      <c r="B271" s="25"/>
    </row>
    <row r="272" spans="1:2" ht="15.75" thickBot="1" x14ac:dyDescent="0.3">
      <c r="A272" s="28"/>
      <c r="B272" s="25"/>
    </row>
    <row r="273" spans="1:2" ht="15.75" thickBot="1" x14ac:dyDescent="0.3">
      <c r="A273" s="28"/>
      <c r="B273" s="25"/>
    </row>
    <row r="274" spans="1:2" ht="15.75" thickBot="1" x14ac:dyDescent="0.3">
      <c r="A274" s="28"/>
      <c r="B274" s="25"/>
    </row>
    <row r="275" spans="1:2" ht="15.75" thickBot="1" x14ac:dyDescent="0.3">
      <c r="A275" s="28"/>
      <c r="B275" s="25"/>
    </row>
    <row r="276" spans="1:2" ht="15.75" thickBot="1" x14ac:dyDescent="0.3">
      <c r="A276" s="28"/>
      <c r="B276" s="25"/>
    </row>
    <row r="277" spans="1:2" ht="15.75" thickBot="1" x14ac:dyDescent="0.3">
      <c r="A277" s="28"/>
      <c r="B277" s="25"/>
    </row>
    <row r="278" spans="1:2" ht="15.75" thickBot="1" x14ac:dyDescent="0.3">
      <c r="A278" s="28"/>
      <c r="B278" s="25"/>
    </row>
    <row r="279" spans="1:2" ht="15.75" thickBot="1" x14ac:dyDescent="0.3">
      <c r="A279" s="28"/>
      <c r="B279" s="25"/>
    </row>
    <row r="280" spans="1:2" ht="15.75" thickBot="1" x14ac:dyDescent="0.3">
      <c r="A280" s="28"/>
      <c r="B280" s="25"/>
    </row>
    <row r="281" spans="1:2" ht="15.75" thickBot="1" x14ac:dyDescent="0.3">
      <c r="A281" s="28"/>
      <c r="B281" s="25"/>
    </row>
    <row r="282" spans="1:2" ht="15.75" thickBot="1" x14ac:dyDescent="0.3">
      <c r="A282" s="28"/>
      <c r="B282" s="25"/>
    </row>
    <row r="283" spans="1:2" ht="15.75" thickBot="1" x14ac:dyDescent="0.3">
      <c r="A283" s="28"/>
      <c r="B283" s="25"/>
    </row>
    <row r="284" spans="1:2" ht="15.75" thickBot="1" x14ac:dyDescent="0.3">
      <c r="A284" s="28"/>
      <c r="B284" s="25"/>
    </row>
    <row r="285" spans="1:2" ht="15.75" thickBot="1" x14ac:dyDescent="0.3">
      <c r="A285" s="28"/>
      <c r="B285" s="25"/>
    </row>
    <row r="286" spans="1:2" ht="15.75" thickBot="1" x14ac:dyDescent="0.3">
      <c r="A286" s="28"/>
      <c r="B286" s="25"/>
    </row>
    <row r="287" spans="1:2" ht="15.75" thickBot="1" x14ac:dyDescent="0.3">
      <c r="A287" s="28"/>
      <c r="B287" s="25"/>
    </row>
    <row r="288" spans="1:2" ht="15.75" thickBot="1" x14ac:dyDescent="0.3">
      <c r="A288" s="28"/>
      <c r="B288" s="25"/>
    </row>
    <row r="289" spans="1:2" ht="15.75" thickBot="1" x14ac:dyDescent="0.3">
      <c r="A289" s="28"/>
      <c r="B289" s="25"/>
    </row>
    <row r="290" spans="1:2" ht="15.75" thickBot="1" x14ac:dyDescent="0.3">
      <c r="A290" s="28"/>
      <c r="B290" s="25"/>
    </row>
    <row r="291" spans="1:2" ht="15.75" thickBot="1" x14ac:dyDescent="0.3">
      <c r="A291" s="28"/>
      <c r="B291" s="25"/>
    </row>
    <row r="292" spans="1:2" ht="15.75" thickBot="1" x14ac:dyDescent="0.3">
      <c r="A292" s="28"/>
      <c r="B292" s="25"/>
    </row>
    <row r="293" spans="1:2" ht="15.75" thickBot="1" x14ac:dyDescent="0.3">
      <c r="A293" s="28"/>
      <c r="B293" s="25"/>
    </row>
    <row r="294" spans="1:2" ht="15.75" thickBot="1" x14ac:dyDescent="0.3">
      <c r="A294" s="28"/>
      <c r="B294" s="25"/>
    </row>
    <row r="295" spans="1:2" ht="15.75" thickBot="1" x14ac:dyDescent="0.3">
      <c r="A295" s="28"/>
      <c r="B295" s="25"/>
    </row>
    <row r="296" spans="1:2" ht="15.75" thickBot="1" x14ac:dyDescent="0.3">
      <c r="A296" s="28"/>
      <c r="B296" s="25"/>
    </row>
    <row r="297" spans="1:2" ht="15.75" thickBot="1" x14ac:dyDescent="0.3">
      <c r="A297" s="28"/>
      <c r="B297" s="25"/>
    </row>
    <row r="298" spans="1:2" ht="15.75" thickBot="1" x14ac:dyDescent="0.3">
      <c r="A298" s="28"/>
      <c r="B298" s="25"/>
    </row>
    <row r="299" spans="1:2" ht="15.75" thickBot="1" x14ac:dyDescent="0.3">
      <c r="A299" s="28"/>
      <c r="B299" s="25"/>
    </row>
    <row r="300" spans="1:2" ht="15.75" thickBot="1" x14ac:dyDescent="0.3">
      <c r="A300" s="28"/>
      <c r="B300" s="25"/>
    </row>
    <row r="301" spans="1:2" ht="15.75" thickBot="1" x14ac:dyDescent="0.3">
      <c r="A301" s="28"/>
      <c r="B301" s="25"/>
    </row>
    <row r="302" spans="1:2" ht="15.75" thickBot="1" x14ac:dyDescent="0.3">
      <c r="A302" s="28"/>
      <c r="B302" s="25"/>
    </row>
    <row r="303" spans="1:2" ht="15.75" thickBot="1" x14ac:dyDescent="0.3">
      <c r="A303" s="28"/>
      <c r="B303" s="25"/>
    </row>
    <row r="304" spans="1:2" ht="15.75" thickBot="1" x14ac:dyDescent="0.3">
      <c r="A304" s="28"/>
      <c r="B304" s="25"/>
    </row>
    <row r="305" spans="1:2" ht="15.75" thickBot="1" x14ac:dyDescent="0.3">
      <c r="A305" s="28"/>
      <c r="B305" s="25"/>
    </row>
    <row r="306" spans="1:2" ht="15.75" thickBot="1" x14ac:dyDescent="0.3">
      <c r="A306" s="28"/>
      <c r="B306" s="25"/>
    </row>
    <row r="307" spans="1:2" ht="15.75" thickBot="1" x14ac:dyDescent="0.3">
      <c r="A307" s="28"/>
      <c r="B307" s="25"/>
    </row>
    <row r="308" spans="1:2" ht="15.75" thickBot="1" x14ac:dyDescent="0.3">
      <c r="A308" s="28"/>
      <c r="B308" s="25"/>
    </row>
    <row r="309" spans="1:2" ht="15.75" thickBot="1" x14ac:dyDescent="0.3">
      <c r="A309" s="28"/>
      <c r="B309" s="25"/>
    </row>
    <row r="310" spans="1:2" ht="15.75" thickBot="1" x14ac:dyDescent="0.3">
      <c r="A310" s="28"/>
      <c r="B310" s="25"/>
    </row>
    <row r="311" spans="1:2" ht="15.75" thickBot="1" x14ac:dyDescent="0.3">
      <c r="A311" s="28"/>
      <c r="B311" s="25"/>
    </row>
    <row r="312" spans="1:2" ht="15.75" thickBot="1" x14ac:dyDescent="0.3">
      <c r="A312" s="28"/>
      <c r="B312" s="25"/>
    </row>
    <row r="313" spans="1:2" ht="15.75" thickBot="1" x14ac:dyDescent="0.3">
      <c r="A313" s="28"/>
      <c r="B313" s="25"/>
    </row>
    <row r="314" spans="1:2" ht="15.75" thickBot="1" x14ac:dyDescent="0.3">
      <c r="A314" s="28"/>
      <c r="B314" s="25"/>
    </row>
    <row r="315" spans="1:2" ht="15.75" thickBot="1" x14ac:dyDescent="0.3">
      <c r="A315" s="28"/>
      <c r="B315" s="25"/>
    </row>
    <row r="316" spans="1:2" ht="15.75" thickBot="1" x14ac:dyDescent="0.3">
      <c r="A316" s="28"/>
      <c r="B316" s="25"/>
    </row>
    <row r="317" spans="1:2" ht="15.75" thickBot="1" x14ac:dyDescent="0.3">
      <c r="A317" s="28"/>
      <c r="B317" s="25"/>
    </row>
    <row r="318" spans="1:2" ht="15.75" thickBot="1" x14ac:dyDescent="0.3">
      <c r="A318" s="28"/>
      <c r="B318" s="25"/>
    </row>
    <row r="319" spans="1:2" ht="15.75" thickBot="1" x14ac:dyDescent="0.3">
      <c r="A319" s="28"/>
      <c r="B319" s="25"/>
    </row>
    <row r="320" spans="1:2" ht="15.75" thickBot="1" x14ac:dyDescent="0.3">
      <c r="A320" s="28"/>
      <c r="B320" s="25"/>
    </row>
    <row r="321" spans="1:2" ht="15.75" thickBot="1" x14ac:dyDescent="0.3">
      <c r="A321" s="28"/>
      <c r="B321" s="25"/>
    </row>
    <row r="322" spans="1:2" ht="15.75" thickBot="1" x14ac:dyDescent="0.3">
      <c r="A322" s="28"/>
      <c r="B322" s="25"/>
    </row>
    <row r="323" spans="1:2" ht="15.75" thickBot="1" x14ac:dyDescent="0.3">
      <c r="A323" s="28"/>
      <c r="B323" s="25"/>
    </row>
    <row r="324" spans="1:2" ht="15.75" thickBot="1" x14ac:dyDescent="0.3">
      <c r="A324" s="28"/>
      <c r="B324" s="25"/>
    </row>
    <row r="325" spans="1:2" ht="15.75" thickBot="1" x14ac:dyDescent="0.3">
      <c r="A325" s="28"/>
      <c r="B325" s="25"/>
    </row>
    <row r="326" spans="1:2" ht="15.75" thickBot="1" x14ac:dyDescent="0.3">
      <c r="A326" s="28"/>
      <c r="B326" s="25"/>
    </row>
    <row r="327" spans="1:2" ht="15.75" thickBot="1" x14ac:dyDescent="0.3">
      <c r="A327" s="28"/>
      <c r="B327" s="25"/>
    </row>
    <row r="328" spans="1:2" ht="15.75" thickBot="1" x14ac:dyDescent="0.3">
      <c r="A328" s="28"/>
      <c r="B328" s="25"/>
    </row>
    <row r="329" spans="1:2" ht="15.75" thickBot="1" x14ac:dyDescent="0.3">
      <c r="A329" s="28"/>
      <c r="B329" s="25"/>
    </row>
    <row r="330" spans="1:2" ht="15.75" thickBot="1" x14ac:dyDescent="0.3">
      <c r="A330" s="28"/>
      <c r="B330" s="25"/>
    </row>
    <row r="331" spans="1:2" ht="15.75" thickBot="1" x14ac:dyDescent="0.3">
      <c r="A331" s="28"/>
      <c r="B331" s="25"/>
    </row>
    <row r="332" spans="1:2" ht="15.75" thickBot="1" x14ac:dyDescent="0.3">
      <c r="A332" s="28"/>
      <c r="B332" s="25"/>
    </row>
    <row r="333" spans="1:2" ht="15.75" thickBot="1" x14ac:dyDescent="0.3">
      <c r="A333" s="28"/>
      <c r="B333" s="25"/>
    </row>
    <row r="334" spans="1:2" ht="15.75" thickBot="1" x14ac:dyDescent="0.3">
      <c r="A334" s="28"/>
      <c r="B334" s="25"/>
    </row>
    <row r="335" spans="1:2" ht="15.75" thickBot="1" x14ac:dyDescent="0.3">
      <c r="A335" s="28"/>
      <c r="B335" s="25"/>
    </row>
    <row r="336" spans="1:2" ht="15.75" thickBot="1" x14ac:dyDescent="0.3">
      <c r="A336" s="28"/>
      <c r="B336" s="25"/>
    </row>
    <row r="337" spans="1:2" ht="15.75" thickBot="1" x14ac:dyDescent="0.3">
      <c r="A337" s="28"/>
      <c r="B337" s="25"/>
    </row>
    <row r="338" spans="1:2" ht="15.75" thickBot="1" x14ac:dyDescent="0.3">
      <c r="A338" s="28"/>
      <c r="B338" s="25"/>
    </row>
    <row r="339" spans="1:2" ht="15.75" thickBot="1" x14ac:dyDescent="0.3">
      <c r="A339" s="28"/>
      <c r="B339" s="25"/>
    </row>
    <row r="340" spans="1:2" ht="15.75" thickBot="1" x14ac:dyDescent="0.3">
      <c r="A340" s="28"/>
      <c r="B340" s="25"/>
    </row>
    <row r="341" spans="1:2" ht="15.75" thickBot="1" x14ac:dyDescent="0.3">
      <c r="A341" s="28"/>
      <c r="B341" s="25"/>
    </row>
    <row r="342" spans="1:2" ht="15.75" thickBot="1" x14ac:dyDescent="0.3">
      <c r="A342" s="28"/>
      <c r="B342" s="25"/>
    </row>
    <row r="343" spans="1:2" ht="15.75" thickBot="1" x14ac:dyDescent="0.3">
      <c r="A343" s="28"/>
      <c r="B343" s="25"/>
    </row>
    <row r="344" spans="1:2" ht="15.75" thickBot="1" x14ac:dyDescent="0.3">
      <c r="A344" s="28"/>
      <c r="B344" s="25"/>
    </row>
    <row r="345" spans="1:2" ht="15.75" thickBot="1" x14ac:dyDescent="0.3">
      <c r="A345" s="28"/>
      <c r="B345" s="25"/>
    </row>
    <row r="346" spans="1:2" ht="15.75" thickBot="1" x14ac:dyDescent="0.3">
      <c r="A346" s="28"/>
      <c r="B346" s="25"/>
    </row>
    <row r="347" spans="1:2" ht="15.75" thickBot="1" x14ac:dyDescent="0.3">
      <c r="A347" s="28"/>
      <c r="B347" s="25"/>
    </row>
    <row r="348" spans="1:2" ht="15.75" thickBot="1" x14ac:dyDescent="0.3">
      <c r="A348" s="28"/>
      <c r="B348" s="25"/>
    </row>
    <row r="349" spans="1:2" ht="15.75" thickBot="1" x14ac:dyDescent="0.3">
      <c r="A349" s="28"/>
      <c r="B349" s="25"/>
    </row>
    <row r="350" spans="1:2" ht="15.75" thickBot="1" x14ac:dyDescent="0.3">
      <c r="A350" s="28"/>
      <c r="B350" s="25"/>
    </row>
    <row r="351" spans="1:2" ht="15.75" thickBot="1" x14ac:dyDescent="0.3">
      <c r="A351" s="28"/>
      <c r="B351" s="25"/>
    </row>
    <row r="352" spans="1:2" ht="15.75" thickBot="1" x14ac:dyDescent="0.3">
      <c r="A352" s="28"/>
      <c r="B352" s="25"/>
    </row>
    <row r="353" spans="1:2" ht="15.75" thickBot="1" x14ac:dyDescent="0.3">
      <c r="A353" s="28"/>
      <c r="B353" s="25"/>
    </row>
    <row r="354" spans="1:2" ht="15.75" thickBot="1" x14ac:dyDescent="0.3">
      <c r="A354" s="28"/>
      <c r="B354" s="25"/>
    </row>
    <row r="355" spans="1:2" ht="15.75" thickBot="1" x14ac:dyDescent="0.3">
      <c r="A355" s="28"/>
      <c r="B355" s="25"/>
    </row>
    <row r="356" spans="1:2" ht="15.75" thickBot="1" x14ac:dyDescent="0.3">
      <c r="A356" s="28"/>
      <c r="B356" s="25"/>
    </row>
    <row r="357" spans="1:2" ht="15.75" thickBot="1" x14ac:dyDescent="0.3">
      <c r="A357" s="28"/>
      <c r="B357" s="25"/>
    </row>
    <row r="358" spans="1:2" ht="15.75" thickBot="1" x14ac:dyDescent="0.3">
      <c r="A358" s="28"/>
      <c r="B358" s="25"/>
    </row>
    <row r="359" spans="1:2" ht="15.75" thickBot="1" x14ac:dyDescent="0.3">
      <c r="A359" s="28"/>
      <c r="B359" s="25"/>
    </row>
    <row r="360" spans="1:2" ht="15.75" thickBot="1" x14ac:dyDescent="0.3">
      <c r="A360" s="28"/>
      <c r="B360" s="25"/>
    </row>
    <row r="361" spans="1:2" ht="15.75" thickBot="1" x14ac:dyDescent="0.3">
      <c r="A361" s="28"/>
      <c r="B361" s="25"/>
    </row>
    <row r="362" spans="1:2" ht="15.75" thickBot="1" x14ac:dyDescent="0.3">
      <c r="A362" s="28"/>
      <c r="B362" s="25"/>
    </row>
    <row r="363" spans="1:2" ht="15.75" thickBot="1" x14ac:dyDescent="0.3">
      <c r="A363" s="28"/>
      <c r="B363" s="25"/>
    </row>
    <row r="364" spans="1:2" ht="15.75" thickBot="1" x14ac:dyDescent="0.3">
      <c r="A364" s="28"/>
      <c r="B364" s="25"/>
    </row>
    <row r="365" spans="1:2" ht="15.75" thickBot="1" x14ac:dyDescent="0.3">
      <c r="A365" s="28"/>
      <c r="B365" s="25"/>
    </row>
    <row r="366" spans="1:2" ht="15.75" thickBot="1" x14ac:dyDescent="0.3">
      <c r="A366" s="28"/>
      <c r="B366" s="25"/>
    </row>
    <row r="367" spans="1:2" ht="15.75" thickBot="1" x14ac:dyDescent="0.3">
      <c r="A367" s="28"/>
      <c r="B367" s="25"/>
    </row>
    <row r="368" spans="1:2" ht="15.75" thickBot="1" x14ac:dyDescent="0.3">
      <c r="A368" s="28"/>
      <c r="B368" s="25"/>
    </row>
    <row r="369" spans="1:2" ht="15.75" thickBot="1" x14ac:dyDescent="0.3">
      <c r="A369" s="28"/>
      <c r="B369" s="25"/>
    </row>
    <row r="370" spans="1:2" ht="15.75" thickBot="1" x14ac:dyDescent="0.3">
      <c r="A370" s="28"/>
      <c r="B370" s="25"/>
    </row>
    <row r="371" spans="1:2" ht="15.75" thickBot="1" x14ac:dyDescent="0.3">
      <c r="A371" s="28"/>
      <c r="B371" s="25"/>
    </row>
    <row r="372" spans="1:2" ht="15.75" thickBot="1" x14ac:dyDescent="0.3">
      <c r="A372" s="28"/>
      <c r="B372" s="25"/>
    </row>
    <row r="373" spans="1:2" ht="15.75" thickBot="1" x14ac:dyDescent="0.3">
      <c r="A373" s="28"/>
      <c r="B373" s="25"/>
    </row>
    <row r="374" spans="1:2" ht="15.75" thickBot="1" x14ac:dyDescent="0.3">
      <c r="A374" s="28"/>
      <c r="B374" s="25"/>
    </row>
    <row r="375" spans="1:2" ht="15.75" thickBot="1" x14ac:dyDescent="0.3">
      <c r="A375" s="28"/>
      <c r="B375" s="25"/>
    </row>
    <row r="376" spans="1:2" ht="15.75" thickBot="1" x14ac:dyDescent="0.3">
      <c r="A376" s="28"/>
      <c r="B376" s="25"/>
    </row>
    <row r="377" spans="1:2" ht="15.75" thickBot="1" x14ac:dyDescent="0.3">
      <c r="A377" s="28"/>
      <c r="B377" s="25"/>
    </row>
    <row r="378" spans="1:2" ht="15.75" thickBot="1" x14ac:dyDescent="0.3">
      <c r="A378" s="28"/>
      <c r="B378" s="25"/>
    </row>
    <row r="379" spans="1:2" ht="15.75" thickBot="1" x14ac:dyDescent="0.3">
      <c r="A379" s="28"/>
      <c r="B379" s="25"/>
    </row>
    <row r="380" spans="1:2" ht="15.75" thickBot="1" x14ac:dyDescent="0.3">
      <c r="A380" s="28"/>
      <c r="B380" s="25"/>
    </row>
    <row r="381" spans="1:2" ht="15.75" thickBot="1" x14ac:dyDescent="0.3">
      <c r="A381" s="28"/>
      <c r="B381" s="25"/>
    </row>
    <row r="382" spans="1:2" ht="15.75" thickBot="1" x14ac:dyDescent="0.3">
      <c r="A382" s="28"/>
      <c r="B382" s="25"/>
    </row>
    <row r="383" spans="1:2" ht="15.75" thickBot="1" x14ac:dyDescent="0.3">
      <c r="A383" s="28"/>
      <c r="B383" s="25"/>
    </row>
    <row r="384" spans="1:2" ht="15.75" thickBot="1" x14ac:dyDescent="0.3">
      <c r="A384" s="28"/>
      <c r="B384" s="25"/>
    </row>
    <row r="385" spans="1:2" ht="15.75" thickBot="1" x14ac:dyDescent="0.3">
      <c r="A385" s="28"/>
      <c r="B385" s="25"/>
    </row>
    <row r="386" spans="1:2" ht="15.75" thickBot="1" x14ac:dyDescent="0.3">
      <c r="A386" s="28"/>
      <c r="B386" s="25"/>
    </row>
    <row r="387" spans="1:2" ht="15.75" thickBot="1" x14ac:dyDescent="0.3">
      <c r="A387" s="28"/>
      <c r="B387" s="25"/>
    </row>
    <row r="388" spans="1:2" ht="15.75" thickBot="1" x14ac:dyDescent="0.3">
      <c r="A388" s="28"/>
      <c r="B388" s="25"/>
    </row>
    <row r="389" spans="1:2" ht="15.75" thickBot="1" x14ac:dyDescent="0.3">
      <c r="A389" s="28"/>
      <c r="B389" s="25"/>
    </row>
    <row r="390" spans="1:2" ht="15.75" thickBot="1" x14ac:dyDescent="0.3">
      <c r="A390" s="28"/>
      <c r="B390" s="25"/>
    </row>
    <row r="391" spans="1:2" ht="15.75" thickBot="1" x14ac:dyDescent="0.3">
      <c r="A391" s="28"/>
      <c r="B391" s="25"/>
    </row>
    <row r="392" spans="1:2" ht="15.75" thickBot="1" x14ac:dyDescent="0.3">
      <c r="A392" s="28"/>
      <c r="B392" s="25"/>
    </row>
    <row r="393" spans="1:2" ht="15.75" thickBot="1" x14ac:dyDescent="0.3">
      <c r="A393" s="28"/>
      <c r="B393" s="25"/>
    </row>
    <row r="394" spans="1:2" ht="15.75" thickBot="1" x14ac:dyDescent="0.3">
      <c r="A394" s="28"/>
      <c r="B394" s="25"/>
    </row>
    <row r="395" spans="1:2" ht="15.75" thickBot="1" x14ac:dyDescent="0.3">
      <c r="A395" s="28"/>
      <c r="B395" s="25"/>
    </row>
    <row r="396" spans="1:2" ht="15.75" thickBot="1" x14ac:dyDescent="0.3">
      <c r="A396" s="28"/>
      <c r="B396" s="25"/>
    </row>
    <row r="397" spans="1:2" ht="15.75" thickBot="1" x14ac:dyDescent="0.3">
      <c r="A397" s="28"/>
      <c r="B397" s="25"/>
    </row>
    <row r="398" spans="1:2" ht="15.75" thickBot="1" x14ac:dyDescent="0.3">
      <c r="A398" s="28"/>
      <c r="B398" s="25"/>
    </row>
    <row r="399" spans="1:2" ht="15.75" thickBot="1" x14ac:dyDescent="0.3">
      <c r="A399" s="28"/>
      <c r="B399" s="25"/>
    </row>
    <row r="400" spans="1:2" ht="15.75" thickBot="1" x14ac:dyDescent="0.3">
      <c r="A400" s="28"/>
      <c r="B400" s="25"/>
    </row>
    <row r="401" spans="1:2" ht="15.75" thickBot="1" x14ac:dyDescent="0.3">
      <c r="A401" s="28"/>
      <c r="B401" s="25"/>
    </row>
    <row r="402" spans="1:2" ht="15.75" thickBot="1" x14ac:dyDescent="0.3">
      <c r="A402" s="28"/>
      <c r="B402" s="25"/>
    </row>
    <row r="403" spans="1:2" ht="15.75" thickBot="1" x14ac:dyDescent="0.3">
      <c r="A403" s="28"/>
      <c r="B403" s="25"/>
    </row>
    <row r="404" spans="1:2" ht="15.75" thickBot="1" x14ac:dyDescent="0.3">
      <c r="A404" s="28"/>
      <c r="B404" s="25"/>
    </row>
    <row r="405" spans="1:2" ht="15.75" thickBot="1" x14ac:dyDescent="0.3">
      <c r="A405" s="28"/>
      <c r="B405" s="25"/>
    </row>
    <row r="406" spans="1:2" ht="15.75" thickBot="1" x14ac:dyDescent="0.3">
      <c r="A406" s="28"/>
      <c r="B406" s="25"/>
    </row>
    <row r="407" spans="1:2" ht="15.75" thickBot="1" x14ac:dyDescent="0.3">
      <c r="A407" s="28"/>
      <c r="B407" s="25"/>
    </row>
    <row r="408" spans="1:2" ht="15.75" thickBot="1" x14ac:dyDescent="0.3">
      <c r="A408" s="28"/>
      <c r="B408" s="25"/>
    </row>
    <row r="409" spans="1:2" ht="15.75" thickBot="1" x14ac:dyDescent="0.3">
      <c r="A409" s="28"/>
      <c r="B409" s="25"/>
    </row>
    <row r="410" spans="1:2" ht="15.75" thickBot="1" x14ac:dyDescent="0.3">
      <c r="A410" s="28"/>
      <c r="B410" s="25"/>
    </row>
    <row r="411" spans="1:2" ht="15.75" thickBot="1" x14ac:dyDescent="0.3">
      <c r="A411" s="28"/>
      <c r="B411" s="25"/>
    </row>
    <row r="412" spans="1:2" ht="15.75" thickBot="1" x14ac:dyDescent="0.3">
      <c r="A412" s="28"/>
      <c r="B412" s="25"/>
    </row>
    <row r="413" spans="1:2" ht="15.75" thickBot="1" x14ac:dyDescent="0.3">
      <c r="A413" s="28"/>
      <c r="B413" s="25"/>
    </row>
    <row r="414" spans="1:2" ht="15.75" thickBot="1" x14ac:dyDescent="0.3">
      <c r="A414" s="28"/>
      <c r="B414" s="25"/>
    </row>
    <row r="415" spans="1:2" ht="15.75" thickBot="1" x14ac:dyDescent="0.3">
      <c r="A415" s="28"/>
      <c r="B415" s="25"/>
    </row>
    <row r="416" spans="1:2" ht="15.75" thickBot="1" x14ac:dyDescent="0.3">
      <c r="A416" s="28"/>
      <c r="B416" s="25"/>
    </row>
    <row r="417" spans="1:2" ht="15.75" thickBot="1" x14ac:dyDescent="0.3">
      <c r="A417" s="28"/>
      <c r="B417" s="25"/>
    </row>
    <row r="418" spans="1:2" ht="15.75" thickBot="1" x14ac:dyDescent="0.3">
      <c r="A418" s="28"/>
      <c r="B418" s="25"/>
    </row>
    <row r="419" spans="1:2" ht="15.75" thickBot="1" x14ac:dyDescent="0.3">
      <c r="A419" s="28"/>
      <c r="B419" s="25"/>
    </row>
    <row r="420" spans="1:2" ht="15.75" thickBot="1" x14ac:dyDescent="0.3">
      <c r="A420" s="28"/>
      <c r="B420" s="25"/>
    </row>
    <row r="421" spans="1:2" ht="15.75" thickBot="1" x14ac:dyDescent="0.3">
      <c r="A421" s="28"/>
      <c r="B421" s="25"/>
    </row>
    <row r="422" spans="1:2" ht="15.75" thickBot="1" x14ac:dyDescent="0.3">
      <c r="A422" s="28"/>
      <c r="B422" s="25"/>
    </row>
    <row r="423" spans="1:2" ht="15.75" thickBot="1" x14ac:dyDescent="0.3">
      <c r="A423" s="28"/>
      <c r="B423" s="25"/>
    </row>
    <row r="424" spans="1:2" ht="15.75" thickBot="1" x14ac:dyDescent="0.3">
      <c r="A424" s="28"/>
      <c r="B424" s="25"/>
    </row>
    <row r="425" spans="1:2" ht="15.75" thickBot="1" x14ac:dyDescent="0.3">
      <c r="A425" s="28"/>
      <c r="B425" s="25"/>
    </row>
    <row r="426" spans="1:2" ht="15.75" thickBot="1" x14ac:dyDescent="0.3">
      <c r="A426" s="28"/>
      <c r="B426" s="25"/>
    </row>
    <row r="427" spans="1:2" ht="15.75" thickBot="1" x14ac:dyDescent="0.3">
      <c r="A427" s="28"/>
      <c r="B427" s="25"/>
    </row>
    <row r="428" spans="1:2" ht="15.75" thickBot="1" x14ac:dyDescent="0.3">
      <c r="A428" s="28"/>
      <c r="B428" s="25"/>
    </row>
    <row r="429" spans="1:2" ht="15.75" thickBot="1" x14ac:dyDescent="0.3">
      <c r="A429" s="28"/>
      <c r="B429" s="25"/>
    </row>
    <row r="430" spans="1:2" ht="15.75" thickBot="1" x14ac:dyDescent="0.3">
      <c r="A430" s="28"/>
      <c r="B430" s="25"/>
    </row>
    <row r="431" spans="1:2" ht="15.75" thickBot="1" x14ac:dyDescent="0.3">
      <c r="A431" s="28"/>
      <c r="B431" s="25"/>
    </row>
    <row r="432" spans="1:2" ht="15.75" thickBot="1" x14ac:dyDescent="0.3">
      <c r="A432" s="28"/>
      <c r="B432" s="25"/>
    </row>
    <row r="433" spans="1:2" ht="15.75" thickBot="1" x14ac:dyDescent="0.3">
      <c r="A433" s="28"/>
      <c r="B433" s="25"/>
    </row>
    <row r="434" spans="1:2" ht="15.75" thickBot="1" x14ac:dyDescent="0.3">
      <c r="A434" s="28"/>
      <c r="B434" s="25"/>
    </row>
    <row r="435" spans="1:2" ht="15.75" thickBot="1" x14ac:dyDescent="0.3">
      <c r="A435" s="28"/>
      <c r="B435" s="25"/>
    </row>
    <row r="436" spans="1:2" ht="15.75" thickBot="1" x14ac:dyDescent="0.3">
      <c r="A436" s="28"/>
      <c r="B436" s="25"/>
    </row>
    <row r="437" spans="1:2" ht="15.75" thickBot="1" x14ac:dyDescent="0.3">
      <c r="A437" s="28"/>
      <c r="B437" s="25"/>
    </row>
    <row r="438" spans="1:2" ht="15.75" thickBot="1" x14ac:dyDescent="0.3">
      <c r="A438" s="28"/>
      <c r="B438" s="25"/>
    </row>
    <row r="439" spans="1:2" ht="15.75" thickBot="1" x14ac:dyDescent="0.3">
      <c r="A439" s="28"/>
      <c r="B439" s="25"/>
    </row>
    <row r="440" spans="1:2" ht="15.75" thickBot="1" x14ac:dyDescent="0.3">
      <c r="A440" s="28"/>
      <c r="B440" s="25"/>
    </row>
    <row r="441" spans="1:2" ht="15.75" thickBot="1" x14ac:dyDescent="0.3">
      <c r="A441" s="28"/>
      <c r="B441" s="25"/>
    </row>
    <row r="442" spans="1:2" ht="15.75" thickBot="1" x14ac:dyDescent="0.3">
      <c r="A442" s="28"/>
      <c r="B442" s="25"/>
    </row>
    <row r="443" spans="1:2" ht="15.75" thickBot="1" x14ac:dyDescent="0.3">
      <c r="A443" s="28"/>
      <c r="B443" s="25"/>
    </row>
    <row r="444" spans="1:2" ht="15.75" thickBot="1" x14ac:dyDescent="0.3">
      <c r="A444" s="28"/>
      <c r="B444" s="25"/>
    </row>
    <row r="445" spans="1:2" ht="15.75" thickBot="1" x14ac:dyDescent="0.3">
      <c r="A445" s="28"/>
      <c r="B445" s="25"/>
    </row>
    <row r="446" spans="1:2" ht="15.75" thickBot="1" x14ac:dyDescent="0.3">
      <c r="A446" s="28"/>
      <c r="B446" s="25"/>
    </row>
    <row r="447" spans="1:2" ht="15.75" thickBot="1" x14ac:dyDescent="0.3">
      <c r="A447" s="28"/>
      <c r="B447" s="25"/>
    </row>
    <row r="448" spans="1:2" ht="15.75" thickBot="1" x14ac:dyDescent="0.3">
      <c r="A448" s="28"/>
      <c r="B448" s="25"/>
    </row>
    <row r="449" spans="1:2" ht="15.75" thickBot="1" x14ac:dyDescent="0.3">
      <c r="A449" s="28"/>
      <c r="B449" s="25"/>
    </row>
    <row r="450" spans="1:2" ht="15.75" thickBot="1" x14ac:dyDescent="0.3">
      <c r="A450" s="28"/>
      <c r="B450" s="25"/>
    </row>
    <row r="451" spans="1:2" ht="15.75" thickBot="1" x14ac:dyDescent="0.3">
      <c r="A451" s="28"/>
      <c r="B451" s="25"/>
    </row>
    <row r="452" spans="1:2" ht="15.75" thickBot="1" x14ac:dyDescent="0.3">
      <c r="A452" s="28"/>
      <c r="B452" s="25"/>
    </row>
    <row r="453" spans="1:2" ht="15.75" thickBot="1" x14ac:dyDescent="0.3">
      <c r="A453" s="28"/>
      <c r="B453" s="25"/>
    </row>
    <row r="454" spans="1:2" ht="15.75" thickBot="1" x14ac:dyDescent="0.3">
      <c r="A454" s="28"/>
      <c r="B454" s="25"/>
    </row>
    <row r="455" spans="1:2" ht="15.75" thickBot="1" x14ac:dyDescent="0.3">
      <c r="A455" s="28"/>
      <c r="B455" s="25"/>
    </row>
    <row r="456" spans="1:2" ht="15.75" thickBot="1" x14ac:dyDescent="0.3">
      <c r="A456" s="28"/>
      <c r="B456" s="25"/>
    </row>
    <row r="457" spans="1:2" ht="15.75" thickBot="1" x14ac:dyDescent="0.3">
      <c r="A457" s="28"/>
      <c r="B457" s="25"/>
    </row>
    <row r="458" spans="1:2" ht="15.75" thickBot="1" x14ac:dyDescent="0.3">
      <c r="A458" s="28"/>
      <c r="B458" s="25"/>
    </row>
    <row r="459" spans="1:2" ht="15.75" thickBot="1" x14ac:dyDescent="0.3">
      <c r="A459" s="28"/>
      <c r="B459" s="25"/>
    </row>
    <row r="460" spans="1:2" ht="15.75" thickBot="1" x14ac:dyDescent="0.3">
      <c r="A460" s="28"/>
      <c r="B460" s="25"/>
    </row>
    <row r="461" spans="1:2" ht="15.75" thickBot="1" x14ac:dyDescent="0.3">
      <c r="A461" s="28"/>
      <c r="B461" s="25"/>
    </row>
    <row r="462" spans="1:2" ht="15.75" thickBot="1" x14ac:dyDescent="0.3">
      <c r="A462" s="28"/>
      <c r="B462" s="25"/>
    </row>
    <row r="463" spans="1:2" ht="15.75" thickBot="1" x14ac:dyDescent="0.3">
      <c r="A463" s="28"/>
      <c r="B463" s="25"/>
    </row>
    <row r="464" spans="1:2" ht="15.75" thickBot="1" x14ac:dyDescent="0.3">
      <c r="A464" s="28"/>
      <c r="B464" s="25"/>
    </row>
    <row r="465" spans="1:2" ht="15.75" thickBot="1" x14ac:dyDescent="0.3">
      <c r="A465" s="28"/>
      <c r="B465" s="25"/>
    </row>
    <row r="466" spans="1:2" ht="15.75" thickBot="1" x14ac:dyDescent="0.3">
      <c r="A466" s="28"/>
      <c r="B466" s="25"/>
    </row>
    <row r="467" spans="1:2" ht="15.75" thickBot="1" x14ac:dyDescent="0.3">
      <c r="A467" s="28"/>
      <c r="B467" s="25"/>
    </row>
    <row r="468" spans="1:2" ht="15.75" thickBot="1" x14ac:dyDescent="0.3">
      <c r="A468" s="28"/>
      <c r="B468" s="25"/>
    </row>
    <row r="469" spans="1:2" ht="15.75" thickBot="1" x14ac:dyDescent="0.3">
      <c r="A469" s="28"/>
      <c r="B469" s="25"/>
    </row>
    <row r="470" spans="1:2" ht="15.75" thickBot="1" x14ac:dyDescent="0.3">
      <c r="A470" s="28"/>
      <c r="B470" s="25"/>
    </row>
    <row r="471" spans="1:2" ht="15.75" thickBot="1" x14ac:dyDescent="0.3">
      <c r="A471" s="28"/>
      <c r="B471" s="25"/>
    </row>
    <row r="472" spans="1:2" ht="15.75" thickBot="1" x14ac:dyDescent="0.3">
      <c r="A472" s="28"/>
      <c r="B472" s="25"/>
    </row>
    <row r="473" spans="1:2" ht="15.75" thickBot="1" x14ac:dyDescent="0.3">
      <c r="A473" s="28"/>
      <c r="B473" s="25"/>
    </row>
    <row r="474" spans="1:2" ht="15.75" thickBot="1" x14ac:dyDescent="0.3">
      <c r="A474" s="28"/>
      <c r="B474" s="25"/>
    </row>
    <row r="475" spans="1:2" ht="15.75" thickBot="1" x14ac:dyDescent="0.3">
      <c r="A475" s="28"/>
      <c r="B475" s="25"/>
    </row>
    <row r="476" spans="1:2" ht="15.75" thickBot="1" x14ac:dyDescent="0.3">
      <c r="A476" s="28"/>
      <c r="B476" s="25"/>
    </row>
    <row r="477" spans="1:2" ht="15.75" thickBot="1" x14ac:dyDescent="0.3">
      <c r="A477" s="28"/>
      <c r="B477" s="25"/>
    </row>
    <row r="478" spans="1:2" ht="15.75" thickBot="1" x14ac:dyDescent="0.3">
      <c r="A478" s="28"/>
      <c r="B478" s="25"/>
    </row>
    <row r="479" spans="1:2" ht="15.75" thickBot="1" x14ac:dyDescent="0.3">
      <c r="A479" s="28"/>
      <c r="B479" s="25"/>
    </row>
    <row r="480" spans="1:2" ht="15.75" thickBot="1" x14ac:dyDescent="0.3">
      <c r="A480" s="28"/>
      <c r="B480" s="25"/>
    </row>
    <row r="481" spans="1:2" ht="15.75" thickBot="1" x14ac:dyDescent="0.3">
      <c r="A481" s="28"/>
      <c r="B481" s="25"/>
    </row>
    <row r="482" spans="1:2" ht="15.75" thickBot="1" x14ac:dyDescent="0.3">
      <c r="A482" s="28"/>
      <c r="B482" s="25"/>
    </row>
    <row r="483" spans="1:2" ht="15.75" thickBot="1" x14ac:dyDescent="0.3">
      <c r="A483" s="28"/>
      <c r="B483" s="25"/>
    </row>
    <row r="484" spans="1:2" ht="15.75" thickBot="1" x14ac:dyDescent="0.3">
      <c r="A484" s="28"/>
      <c r="B484" s="25"/>
    </row>
    <row r="485" spans="1:2" ht="15.75" thickBot="1" x14ac:dyDescent="0.3">
      <c r="A485" s="28"/>
      <c r="B485" s="25"/>
    </row>
    <row r="486" spans="1:2" ht="15.75" thickBot="1" x14ac:dyDescent="0.3">
      <c r="A486" s="28"/>
      <c r="B486" s="25"/>
    </row>
    <row r="487" spans="1:2" ht="15.75" thickBot="1" x14ac:dyDescent="0.3">
      <c r="A487" s="28"/>
      <c r="B487" s="25"/>
    </row>
    <row r="488" spans="1:2" ht="15.75" thickBot="1" x14ac:dyDescent="0.3">
      <c r="A488" s="28"/>
      <c r="B488" s="25"/>
    </row>
    <row r="489" spans="1:2" ht="15.75" thickBot="1" x14ac:dyDescent="0.3">
      <c r="A489" s="28"/>
      <c r="B489" s="25"/>
    </row>
    <row r="490" spans="1:2" ht="15.75" thickBot="1" x14ac:dyDescent="0.3">
      <c r="A490" s="28"/>
      <c r="B490" s="25"/>
    </row>
    <row r="491" spans="1:2" ht="15.75" thickBot="1" x14ac:dyDescent="0.3">
      <c r="A491" s="28"/>
      <c r="B491" s="25"/>
    </row>
    <row r="492" spans="1:2" ht="15.75" thickBot="1" x14ac:dyDescent="0.3">
      <c r="A492" s="28"/>
      <c r="B492" s="25"/>
    </row>
    <row r="493" spans="1:2" ht="15.75" thickBot="1" x14ac:dyDescent="0.3">
      <c r="A493" s="28"/>
      <c r="B493" s="25"/>
    </row>
    <row r="494" spans="1:2" ht="15.75" thickBot="1" x14ac:dyDescent="0.3">
      <c r="A494" s="28"/>
      <c r="B494" s="25"/>
    </row>
    <row r="495" spans="1:2" ht="15.75" thickBot="1" x14ac:dyDescent="0.3">
      <c r="A495" s="28"/>
      <c r="B495" s="25"/>
    </row>
    <row r="496" spans="1:2" ht="15.75" thickBot="1" x14ac:dyDescent="0.3">
      <c r="A496" s="28"/>
      <c r="B496" s="25"/>
    </row>
    <row r="497" spans="1:2" ht="15.75" thickBot="1" x14ac:dyDescent="0.3">
      <c r="A497" s="28"/>
      <c r="B497" s="25"/>
    </row>
    <row r="498" spans="1:2" ht="15.75" thickBot="1" x14ac:dyDescent="0.3">
      <c r="A498" s="28"/>
      <c r="B498" s="25"/>
    </row>
    <row r="499" spans="1:2" ht="15.75" thickBot="1" x14ac:dyDescent="0.3">
      <c r="A499" s="28"/>
      <c r="B499" s="25"/>
    </row>
    <row r="500" spans="1:2" ht="15.75" thickBot="1" x14ac:dyDescent="0.3">
      <c r="A500" s="28"/>
      <c r="B500" s="25"/>
    </row>
    <row r="501" spans="1:2" ht="15.75" thickBot="1" x14ac:dyDescent="0.3">
      <c r="A501" s="28"/>
      <c r="B501" s="25"/>
    </row>
    <row r="502" spans="1:2" ht="15.75" thickBot="1" x14ac:dyDescent="0.3">
      <c r="A502" s="28"/>
      <c r="B502" s="25"/>
    </row>
    <row r="503" spans="1:2" ht="15.75" thickBot="1" x14ac:dyDescent="0.3">
      <c r="A503" s="28"/>
      <c r="B503" s="25"/>
    </row>
    <row r="504" spans="1:2" ht="15.75" thickBot="1" x14ac:dyDescent="0.3">
      <c r="A504" s="28"/>
      <c r="B504" s="25"/>
    </row>
    <row r="505" spans="1:2" ht="15.75" thickBot="1" x14ac:dyDescent="0.3">
      <c r="A505" s="28"/>
      <c r="B505" s="25"/>
    </row>
    <row r="506" spans="1:2" ht="15.75" thickBot="1" x14ac:dyDescent="0.3">
      <c r="A506" s="28"/>
      <c r="B506" s="25"/>
    </row>
    <row r="507" spans="1:2" ht="15.75" thickBot="1" x14ac:dyDescent="0.3">
      <c r="A507" s="28"/>
      <c r="B507" s="25"/>
    </row>
    <row r="508" spans="1:2" ht="15.75" thickBot="1" x14ac:dyDescent="0.3">
      <c r="A508" s="28"/>
      <c r="B508" s="25"/>
    </row>
    <row r="509" spans="1:2" ht="15.75" thickBot="1" x14ac:dyDescent="0.3">
      <c r="A509" s="28"/>
      <c r="B509" s="25"/>
    </row>
    <row r="510" spans="1:2" ht="15.75" thickBot="1" x14ac:dyDescent="0.3">
      <c r="A510" s="28"/>
      <c r="B510" s="25"/>
    </row>
    <row r="511" spans="1:2" ht="15.75" thickBot="1" x14ac:dyDescent="0.3">
      <c r="A511" s="28"/>
      <c r="B511" s="25"/>
    </row>
    <row r="512" spans="1:2" ht="15.75" thickBot="1" x14ac:dyDescent="0.3">
      <c r="A512" s="28"/>
      <c r="B512" s="25"/>
    </row>
    <row r="513" spans="1:2" ht="15.75" thickBot="1" x14ac:dyDescent="0.3">
      <c r="A513" s="28"/>
      <c r="B513" s="25"/>
    </row>
    <row r="514" spans="1:2" ht="15.75" thickBot="1" x14ac:dyDescent="0.3">
      <c r="A514" s="28"/>
      <c r="B514" s="25"/>
    </row>
    <row r="515" spans="1:2" ht="15.75" thickBot="1" x14ac:dyDescent="0.3">
      <c r="A515" s="28"/>
      <c r="B515" s="25"/>
    </row>
    <row r="516" spans="1:2" ht="15.75" thickBot="1" x14ac:dyDescent="0.3">
      <c r="A516" s="28"/>
      <c r="B516" s="25"/>
    </row>
    <row r="517" spans="1:2" ht="15.75" thickBot="1" x14ac:dyDescent="0.3">
      <c r="A517" s="28"/>
      <c r="B517" s="25"/>
    </row>
    <row r="518" spans="1:2" ht="15.75" thickBot="1" x14ac:dyDescent="0.3">
      <c r="A518" s="28"/>
      <c r="B518" s="25"/>
    </row>
    <row r="519" spans="1:2" ht="15.75" thickBot="1" x14ac:dyDescent="0.3">
      <c r="A519" s="28"/>
      <c r="B519" s="25"/>
    </row>
    <row r="520" spans="1:2" ht="15.75" thickBot="1" x14ac:dyDescent="0.3">
      <c r="A520" s="28"/>
      <c r="B520" s="25"/>
    </row>
    <row r="521" spans="1:2" ht="15.75" thickBot="1" x14ac:dyDescent="0.3">
      <c r="A521" s="28"/>
      <c r="B521" s="25"/>
    </row>
    <row r="522" spans="1:2" ht="15.75" thickBot="1" x14ac:dyDescent="0.3">
      <c r="A522" s="28"/>
      <c r="B522" s="25"/>
    </row>
    <row r="523" spans="1:2" ht="15.75" thickBot="1" x14ac:dyDescent="0.3">
      <c r="A523" s="28"/>
      <c r="B523" s="25"/>
    </row>
    <row r="524" spans="1:2" ht="15.75" thickBot="1" x14ac:dyDescent="0.3">
      <c r="A524" s="28"/>
      <c r="B524" s="25"/>
    </row>
    <row r="525" spans="1:2" ht="15.75" thickBot="1" x14ac:dyDescent="0.3">
      <c r="A525" s="28"/>
      <c r="B525" s="25"/>
    </row>
    <row r="526" spans="1:2" ht="15.75" thickBot="1" x14ac:dyDescent="0.3">
      <c r="A526" s="28"/>
      <c r="B526" s="25"/>
    </row>
    <row r="527" spans="1:2" ht="15.75" thickBot="1" x14ac:dyDescent="0.3">
      <c r="A527" s="28"/>
      <c r="B527" s="25"/>
    </row>
    <row r="528" spans="1:2" ht="15.75" thickBot="1" x14ac:dyDescent="0.3">
      <c r="A528" s="28"/>
      <c r="B528" s="25"/>
    </row>
    <row r="529" spans="1:2" ht="15.75" thickBot="1" x14ac:dyDescent="0.3">
      <c r="A529" s="28"/>
      <c r="B529" s="25"/>
    </row>
    <row r="530" spans="1:2" ht="15.75" thickBot="1" x14ac:dyDescent="0.3">
      <c r="A530" s="28"/>
      <c r="B530" s="25"/>
    </row>
    <row r="531" spans="1:2" ht="15.75" thickBot="1" x14ac:dyDescent="0.3">
      <c r="A531" s="28"/>
      <c r="B531" s="25"/>
    </row>
    <row r="532" spans="1:2" ht="15.75" thickBot="1" x14ac:dyDescent="0.3">
      <c r="A532" s="28"/>
      <c r="B532" s="25"/>
    </row>
    <row r="533" spans="1:2" ht="15.75" thickBot="1" x14ac:dyDescent="0.3">
      <c r="A533" s="28"/>
      <c r="B533" s="25"/>
    </row>
    <row r="534" spans="1:2" ht="15.75" thickBot="1" x14ac:dyDescent="0.3">
      <c r="A534" s="28"/>
      <c r="B534" s="25"/>
    </row>
    <row r="535" spans="1:2" ht="15.75" thickBot="1" x14ac:dyDescent="0.3">
      <c r="A535" s="28"/>
      <c r="B535" s="25"/>
    </row>
    <row r="536" spans="1:2" ht="15.75" thickBot="1" x14ac:dyDescent="0.3">
      <c r="A536" s="28"/>
      <c r="B536" s="25"/>
    </row>
    <row r="537" spans="1:2" ht="15.75" thickBot="1" x14ac:dyDescent="0.3">
      <c r="A537" s="28"/>
      <c r="B537" s="25"/>
    </row>
    <row r="538" spans="1:2" ht="15.75" thickBot="1" x14ac:dyDescent="0.3">
      <c r="A538" s="28"/>
      <c r="B538" s="25"/>
    </row>
    <row r="539" spans="1:2" ht="15.75" thickBot="1" x14ac:dyDescent="0.3">
      <c r="A539" s="28"/>
      <c r="B539" s="25"/>
    </row>
    <row r="540" spans="1:2" ht="15.75" thickBot="1" x14ac:dyDescent="0.3">
      <c r="A540" s="28"/>
      <c r="B540" s="25"/>
    </row>
    <row r="541" spans="1:2" ht="15.75" thickBot="1" x14ac:dyDescent="0.3">
      <c r="A541" s="28"/>
      <c r="B541" s="25"/>
    </row>
    <row r="542" spans="1:2" ht="15.75" thickBot="1" x14ac:dyDescent="0.3">
      <c r="A542" s="28"/>
      <c r="B542" s="25"/>
    </row>
    <row r="543" spans="1:2" ht="15.75" thickBot="1" x14ac:dyDescent="0.3">
      <c r="A543" s="28"/>
      <c r="B543" s="25"/>
    </row>
    <row r="544" spans="1:2" ht="15.75" thickBot="1" x14ac:dyDescent="0.3">
      <c r="A544" s="28"/>
      <c r="B544" s="25"/>
    </row>
    <row r="545" spans="1:2" ht="15.75" thickBot="1" x14ac:dyDescent="0.3">
      <c r="A545" s="28"/>
      <c r="B545" s="25"/>
    </row>
    <row r="546" spans="1:2" ht="15.75" thickBot="1" x14ac:dyDescent="0.3">
      <c r="A546" s="28"/>
      <c r="B546" s="25"/>
    </row>
    <row r="547" spans="1:2" ht="15.75" thickBot="1" x14ac:dyDescent="0.3">
      <c r="A547" s="28"/>
      <c r="B547" s="25"/>
    </row>
    <row r="548" spans="1:2" ht="15.75" thickBot="1" x14ac:dyDescent="0.3">
      <c r="A548" s="28"/>
      <c r="B548" s="25"/>
    </row>
    <row r="549" spans="1:2" ht="15.75" thickBot="1" x14ac:dyDescent="0.3">
      <c r="A549" s="28"/>
      <c r="B549" s="25"/>
    </row>
    <row r="550" spans="1:2" ht="15.75" thickBot="1" x14ac:dyDescent="0.3">
      <c r="A550" s="28"/>
      <c r="B550" s="25"/>
    </row>
    <row r="551" spans="1:2" ht="15.75" thickBot="1" x14ac:dyDescent="0.3">
      <c r="A551" s="28"/>
      <c r="B551" s="25"/>
    </row>
    <row r="552" spans="1:2" ht="15.75" thickBot="1" x14ac:dyDescent="0.3">
      <c r="A552" s="28"/>
      <c r="B552" s="25"/>
    </row>
    <row r="553" spans="1:2" ht="15.75" thickBot="1" x14ac:dyDescent="0.3">
      <c r="A553" s="28"/>
      <c r="B553" s="25"/>
    </row>
    <row r="554" spans="1:2" ht="15.75" thickBot="1" x14ac:dyDescent="0.3">
      <c r="A554" s="28"/>
      <c r="B554" s="25"/>
    </row>
    <row r="555" spans="1:2" ht="15.75" thickBot="1" x14ac:dyDescent="0.3">
      <c r="A555" s="28"/>
      <c r="B555" s="25"/>
    </row>
    <row r="556" spans="1:2" ht="15.75" thickBot="1" x14ac:dyDescent="0.3">
      <c r="A556" s="28"/>
      <c r="B556" s="25"/>
    </row>
    <row r="557" spans="1:2" ht="15.75" thickBot="1" x14ac:dyDescent="0.3">
      <c r="A557" s="28"/>
      <c r="B557" s="25"/>
    </row>
    <row r="558" spans="1:2" ht="15.75" thickBot="1" x14ac:dyDescent="0.3">
      <c r="A558" s="28"/>
      <c r="B558" s="25"/>
    </row>
    <row r="559" spans="1:2" ht="15.75" thickBot="1" x14ac:dyDescent="0.3">
      <c r="A559" s="28"/>
      <c r="B559" s="25"/>
    </row>
    <row r="560" spans="1:2" ht="15.75" thickBot="1" x14ac:dyDescent="0.3">
      <c r="A560" s="28"/>
      <c r="B560" s="25"/>
    </row>
    <row r="561" spans="1:2" ht="15.75" thickBot="1" x14ac:dyDescent="0.3">
      <c r="A561" s="28"/>
      <c r="B561" s="25"/>
    </row>
    <row r="562" spans="1:2" ht="15.75" thickBot="1" x14ac:dyDescent="0.3">
      <c r="A562" s="28"/>
      <c r="B562" s="25"/>
    </row>
    <row r="563" spans="1:2" ht="15.75" thickBot="1" x14ac:dyDescent="0.3">
      <c r="A563" s="28"/>
      <c r="B563" s="25"/>
    </row>
    <row r="564" spans="1:2" ht="15.75" thickBot="1" x14ac:dyDescent="0.3">
      <c r="A564" s="28"/>
      <c r="B564" s="25"/>
    </row>
    <row r="565" spans="1:2" ht="15.75" thickBot="1" x14ac:dyDescent="0.3">
      <c r="A565" s="28"/>
      <c r="B565" s="25"/>
    </row>
    <row r="566" spans="1:2" ht="15.75" thickBot="1" x14ac:dyDescent="0.3">
      <c r="A566" s="28"/>
      <c r="B566" s="25"/>
    </row>
    <row r="567" spans="1:2" ht="15.75" thickBot="1" x14ac:dyDescent="0.3">
      <c r="A567" s="28"/>
      <c r="B567" s="25"/>
    </row>
    <row r="568" spans="1:2" ht="15.75" thickBot="1" x14ac:dyDescent="0.3">
      <c r="A568" s="28"/>
      <c r="B568" s="25"/>
    </row>
    <row r="569" spans="1:2" ht="15.75" thickBot="1" x14ac:dyDescent="0.3">
      <c r="A569" s="28"/>
      <c r="B569" s="25"/>
    </row>
    <row r="570" spans="1:2" ht="15.75" thickBot="1" x14ac:dyDescent="0.3">
      <c r="A570" s="28"/>
      <c r="B570" s="25"/>
    </row>
    <row r="571" spans="1:2" ht="15.75" thickBot="1" x14ac:dyDescent="0.3">
      <c r="A571" s="28"/>
      <c r="B571" s="25"/>
    </row>
    <row r="572" spans="1:2" ht="15.75" thickBot="1" x14ac:dyDescent="0.3">
      <c r="A572" s="28"/>
      <c r="B572" s="25"/>
    </row>
    <row r="573" spans="1:2" ht="15.75" thickBot="1" x14ac:dyDescent="0.3">
      <c r="A573" s="28"/>
      <c r="B573" s="25"/>
    </row>
    <row r="574" spans="1:2" ht="15.75" thickBot="1" x14ac:dyDescent="0.3">
      <c r="A574" s="28"/>
      <c r="B574" s="25"/>
    </row>
    <row r="575" spans="1:2" ht="15.75" thickBot="1" x14ac:dyDescent="0.3">
      <c r="A575" s="28"/>
      <c r="B575" s="25"/>
    </row>
    <row r="576" spans="1:2" ht="15.75" thickBot="1" x14ac:dyDescent="0.3">
      <c r="A576" s="28"/>
      <c r="B576" s="25"/>
    </row>
    <row r="577" spans="1:2" ht="15.75" thickBot="1" x14ac:dyDescent="0.3">
      <c r="A577" s="28"/>
      <c r="B577" s="25"/>
    </row>
    <row r="578" spans="1:2" ht="15.75" thickBot="1" x14ac:dyDescent="0.3">
      <c r="A578" s="28"/>
      <c r="B578" s="25"/>
    </row>
    <row r="579" spans="1:2" ht="15.75" thickBot="1" x14ac:dyDescent="0.3">
      <c r="A579" s="28"/>
      <c r="B579" s="25"/>
    </row>
    <row r="580" spans="1:2" ht="15.75" thickBot="1" x14ac:dyDescent="0.3">
      <c r="A580" s="28"/>
      <c r="B580" s="25"/>
    </row>
    <row r="581" spans="1:2" ht="15.75" thickBot="1" x14ac:dyDescent="0.3">
      <c r="A581" s="28"/>
      <c r="B581" s="25"/>
    </row>
    <row r="582" spans="1:2" ht="15.75" thickBot="1" x14ac:dyDescent="0.3">
      <c r="A582" s="28"/>
      <c r="B582" s="25"/>
    </row>
    <row r="583" spans="1:2" ht="15.75" thickBot="1" x14ac:dyDescent="0.3">
      <c r="A583" s="28"/>
      <c r="B583" s="25"/>
    </row>
    <row r="584" spans="1:2" ht="15.75" thickBot="1" x14ac:dyDescent="0.3">
      <c r="A584" s="28"/>
      <c r="B584" s="25"/>
    </row>
    <row r="585" spans="1:2" ht="15.75" thickBot="1" x14ac:dyDescent="0.3">
      <c r="A585" s="28"/>
      <c r="B585" s="25"/>
    </row>
    <row r="586" spans="1:2" ht="15.75" thickBot="1" x14ac:dyDescent="0.3">
      <c r="A586" s="28"/>
      <c r="B586" s="25"/>
    </row>
    <row r="587" spans="1:2" ht="15.75" thickBot="1" x14ac:dyDescent="0.3">
      <c r="A587" s="28"/>
      <c r="B587" s="25"/>
    </row>
    <row r="588" spans="1:2" ht="15.75" thickBot="1" x14ac:dyDescent="0.3">
      <c r="A588" s="28"/>
      <c r="B588" s="25"/>
    </row>
    <row r="589" spans="1:2" ht="15.75" thickBot="1" x14ac:dyDescent="0.3">
      <c r="A589" s="28"/>
      <c r="B589" s="25"/>
    </row>
    <row r="590" spans="1:2" ht="15.75" thickBot="1" x14ac:dyDescent="0.3">
      <c r="A590" s="28"/>
      <c r="B590" s="25"/>
    </row>
    <row r="591" spans="1:2" ht="15.75" thickBot="1" x14ac:dyDescent="0.3">
      <c r="A591" s="28"/>
      <c r="B591" s="25"/>
    </row>
    <row r="592" spans="1:2" ht="15.75" thickBot="1" x14ac:dyDescent="0.3">
      <c r="A592" s="28"/>
      <c r="B592" s="25"/>
    </row>
    <row r="593" spans="1:2" ht="15.75" thickBot="1" x14ac:dyDescent="0.3">
      <c r="A593" s="28"/>
      <c r="B593" s="25"/>
    </row>
    <row r="594" spans="1:2" ht="15.75" thickBot="1" x14ac:dyDescent="0.3">
      <c r="A594" s="28"/>
      <c r="B594" s="25"/>
    </row>
    <row r="595" spans="1:2" ht="15.75" thickBot="1" x14ac:dyDescent="0.3">
      <c r="A595" s="28"/>
      <c r="B595" s="25"/>
    </row>
    <row r="596" spans="1:2" ht="15.75" thickBot="1" x14ac:dyDescent="0.3">
      <c r="A596" s="28"/>
      <c r="B596" s="25"/>
    </row>
    <row r="597" spans="1:2" ht="15.75" thickBot="1" x14ac:dyDescent="0.3">
      <c r="A597" s="28"/>
      <c r="B597" s="25"/>
    </row>
    <row r="598" spans="1:2" ht="15.75" thickBot="1" x14ac:dyDescent="0.3">
      <c r="A598" s="28"/>
      <c r="B598" s="25"/>
    </row>
    <row r="599" spans="1:2" ht="15.75" thickBot="1" x14ac:dyDescent="0.3">
      <c r="A599" s="28"/>
      <c r="B599" s="25"/>
    </row>
    <row r="600" spans="1:2" ht="15.75" thickBot="1" x14ac:dyDescent="0.3">
      <c r="A600" s="28"/>
      <c r="B600" s="25"/>
    </row>
    <row r="601" spans="1:2" ht="15.75" thickBot="1" x14ac:dyDescent="0.3">
      <c r="A601" s="28"/>
      <c r="B601" s="25"/>
    </row>
    <row r="602" spans="1:2" ht="15.75" thickBot="1" x14ac:dyDescent="0.3">
      <c r="A602" s="28"/>
      <c r="B602" s="25"/>
    </row>
    <row r="603" spans="1:2" ht="15.75" thickBot="1" x14ac:dyDescent="0.3">
      <c r="A603" s="28"/>
      <c r="B603" s="25"/>
    </row>
    <row r="604" spans="1:2" ht="15.75" thickBot="1" x14ac:dyDescent="0.3">
      <c r="A604" s="28"/>
      <c r="B604" s="25"/>
    </row>
    <row r="605" spans="1:2" ht="15.75" thickBot="1" x14ac:dyDescent="0.3">
      <c r="A605" s="28"/>
      <c r="B605" s="25"/>
    </row>
    <row r="606" spans="1:2" ht="15.75" thickBot="1" x14ac:dyDescent="0.3">
      <c r="A606" s="28"/>
      <c r="B606" s="25"/>
    </row>
    <row r="607" spans="1:2" ht="15.75" thickBot="1" x14ac:dyDescent="0.3">
      <c r="A607" s="28"/>
      <c r="B607" s="25"/>
    </row>
    <row r="608" spans="1:2" ht="15.75" thickBot="1" x14ac:dyDescent="0.3">
      <c r="A608" s="28"/>
      <c r="B608" s="25"/>
    </row>
    <row r="609" spans="1:2" ht="15.75" thickBot="1" x14ac:dyDescent="0.3">
      <c r="A609" s="28"/>
      <c r="B609" s="25"/>
    </row>
    <row r="610" spans="1:2" ht="15.75" thickBot="1" x14ac:dyDescent="0.3">
      <c r="A610" s="28"/>
      <c r="B610" s="25"/>
    </row>
    <row r="611" spans="1:2" ht="15.75" thickBot="1" x14ac:dyDescent="0.3">
      <c r="A611" s="28"/>
      <c r="B611" s="25"/>
    </row>
    <row r="612" spans="1:2" ht="15.75" thickBot="1" x14ac:dyDescent="0.3">
      <c r="A612" s="28"/>
      <c r="B612" s="25"/>
    </row>
    <row r="613" spans="1:2" ht="15.75" thickBot="1" x14ac:dyDescent="0.3">
      <c r="A613" s="28"/>
      <c r="B613" s="25"/>
    </row>
    <row r="614" spans="1:2" ht="15.75" thickBot="1" x14ac:dyDescent="0.3">
      <c r="A614" s="28"/>
      <c r="B614" s="25"/>
    </row>
    <row r="615" spans="1:2" ht="15.75" thickBot="1" x14ac:dyDescent="0.3">
      <c r="A615" s="28"/>
      <c r="B615" s="25"/>
    </row>
    <row r="616" spans="1:2" ht="15.75" thickBot="1" x14ac:dyDescent="0.3">
      <c r="A616" s="28"/>
      <c r="B616" s="25"/>
    </row>
    <row r="617" spans="1:2" ht="15.75" thickBot="1" x14ac:dyDescent="0.3">
      <c r="A617" s="28"/>
      <c r="B617" s="25"/>
    </row>
    <row r="618" spans="1:2" ht="15.75" thickBot="1" x14ac:dyDescent="0.3">
      <c r="A618" s="28"/>
      <c r="B618" s="25"/>
    </row>
    <row r="619" spans="1:2" ht="15.75" thickBot="1" x14ac:dyDescent="0.3">
      <c r="A619" s="28"/>
      <c r="B619" s="25"/>
    </row>
    <row r="620" spans="1:2" ht="15.75" thickBot="1" x14ac:dyDescent="0.3">
      <c r="A620" s="28"/>
      <c r="B620" s="25"/>
    </row>
    <row r="621" spans="1:2" ht="15.75" thickBot="1" x14ac:dyDescent="0.3">
      <c r="A621" s="28"/>
      <c r="B621" s="25"/>
    </row>
    <row r="622" spans="1:2" ht="15.75" thickBot="1" x14ac:dyDescent="0.3">
      <c r="A622" s="28"/>
      <c r="B622" s="25"/>
    </row>
    <row r="623" spans="1:2" ht="15.75" thickBot="1" x14ac:dyDescent="0.3">
      <c r="A623" s="28"/>
      <c r="B623" s="25"/>
    </row>
    <row r="624" spans="1:2" ht="15.75" thickBot="1" x14ac:dyDescent="0.3">
      <c r="A624" s="28"/>
      <c r="B624" s="25"/>
    </row>
    <row r="625" spans="1:2" ht="15.75" thickBot="1" x14ac:dyDescent="0.3">
      <c r="A625" s="28"/>
      <c r="B625" s="25"/>
    </row>
    <row r="626" spans="1:2" ht="15.75" thickBot="1" x14ac:dyDescent="0.3">
      <c r="A626" s="28"/>
      <c r="B626" s="25"/>
    </row>
    <row r="627" spans="1:2" ht="15.75" thickBot="1" x14ac:dyDescent="0.3">
      <c r="A627" s="28"/>
      <c r="B627" s="25"/>
    </row>
    <row r="628" spans="1:2" ht="15.75" thickBot="1" x14ac:dyDescent="0.3">
      <c r="A628" s="28"/>
      <c r="B628" s="25"/>
    </row>
    <row r="629" spans="1:2" ht="15.75" thickBot="1" x14ac:dyDescent="0.3">
      <c r="A629" s="28"/>
      <c r="B629" s="25"/>
    </row>
    <row r="630" spans="1:2" ht="15.75" thickBot="1" x14ac:dyDescent="0.3">
      <c r="A630" s="28"/>
      <c r="B630" s="25"/>
    </row>
    <row r="631" spans="1:2" ht="15.75" thickBot="1" x14ac:dyDescent="0.3">
      <c r="A631" s="28"/>
      <c r="B631" s="25"/>
    </row>
    <row r="632" spans="1:2" ht="15.75" thickBot="1" x14ac:dyDescent="0.3">
      <c r="A632" s="28"/>
      <c r="B632" s="25"/>
    </row>
    <row r="633" spans="1:2" ht="15.75" thickBot="1" x14ac:dyDescent="0.3">
      <c r="A633" s="28"/>
      <c r="B633" s="25"/>
    </row>
    <row r="634" spans="1:2" ht="15.75" thickBot="1" x14ac:dyDescent="0.3">
      <c r="A634" s="28"/>
      <c r="B634" s="25"/>
    </row>
    <row r="635" spans="1:2" ht="15.75" thickBot="1" x14ac:dyDescent="0.3">
      <c r="A635" s="28"/>
      <c r="B635" s="25"/>
    </row>
    <row r="636" spans="1:2" ht="15.75" thickBot="1" x14ac:dyDescent="0.3">
      <c r="A636" s="28"/>
      <c r="B636" s="25"/>
    </row>
    <row r="637" spans="1:2" ht="15.75" thickBot="1" x14ac:dyDescent="0.3">
      <c r="A637" s="28"/>
      <c r="B637" s="25"/>
    </row>
    <row r="638" spans="1:2" ht="15.75" thickBot="1" x14ac:dyDescent="0.3">
      <c r="A638" s="28"/>
      <c r="B638" s="25"/>
    </row>
    <row r="639" spans="1:2" ht="15.75" thickBot="1" x14ac:dyDescent="0.3">
      <c r="A639" s="28"/>
      <c r="B639" s="25"/>
    </row>
    <row r="640" spans="1:2" ht="15.75" thickBot="1" x14ac:dyDescent="0.3">
      <c r="A640" s="28"/>
      <c r="B640" s="25"/>
    </row>
    <row r="641" spans="1:2" ht="15.75" thickBot="1" x14ac:dyDescent="0.3">
      <c r="A641" s="28"/>
      <c r="B641" s="25"/>
    </row>
    <row r="642" spans="1:2" ht="15.75" thickBot="1" x14ac:dyDescent="0.3">
      <c r="A642" s="28"/>
      <c r="B642" s="25"/>
    </row>
    <row r="643" spans="1:2" ht="15.75" thickBot="1" x14ac:dyDescent="0.3">
      <c r="A643" s="28"/>
      <c r="B643" s="25"/>
    </row>
    <row r="644" spans="1:2" ht="15.75" thickBot="1" x14ac:dyDescent="0.3">
      <c r="A644" s="28"/>
      <c r="B644" s="25"/>
    </row>
    <row r="645" spans="1:2" ht="15.75" thickBot="1" x14ac:dyDescent="0.3">
      <c r="A645" s="28"/>
      <c r="B645" s="25"/>
    </row>
    <row r="646" spans="1:2" ht="15.75" thickBot="1" x14ac:dyDescent="0.3">
      <c r="A646" s="28"/>
      <c r="B646" s="25"/>
    </row>
    <row r="647" spans="1:2" ht="15.75" thickBot="1" x14ac:dyDescent="0.3">
      <c r="A647" s="28"/>
      <c r="B647" s="25"/>
    </row>
    <row r="648" spans="1:2" ht="15.75" thickBot="1" x14ac:dyDescent="0.3">
      <c r="A648" s="28"/>
      <c r="B648" s="25"/>
    </row>
    <row r="649" spans="1:2" ht="15.75" thickBot="1" x14ac:dyDescent="0.3">
      <c r="A649" s="28"/>
      <c r="B649" s="25"/>
    </row>
    <row r="650" spans="1:2" ht="15.75" thickBot="1" x14ac:dyDescent="0.3">
      <c r="A650" s="28"/>
      <c r="B650" s="25"/>
    </row>
    <row r="651" spans="1:2" ht="15.75" thickBot="1" x14ac:dyDescent="0.3">
      <c r="A651" s="28"/>
      <c r="B651" s="25"/>
    </row>
    <row r="652" spans="1:2" ht="15.75" thickBot="1" x14ac:dyDescent="0.3">
      <c r="A652" s="28"/>
      <c r="B652" s="25"/>
    </row>
    <row r="653" spans="1:2" ht="15.75" thickBot="1" x14ac:dyDescent="0.3">
      <c r="A653" s="28"/>
      <c r="B653" s="25"/>
    </row>
    <row r="654" spans="1:2" ht="15.75" thickBot="1" x14ac:dyDescent="0.3">
      <c r="A654" s="28"/>
      <c r="B654" s="25"/>
    </row>
    <row r="655" spans="1:2" ht="15.75" thickBot="1" x14ac:dyDescent="0.3">
      <c r="A655" s="28"/>
      <c r="B655" s="25"/>
    </row>
    <row r="656" spans="1:2" ht="15.75" thickBot="1" x14ac:dyDescent="0.3">
      <c r="A656" s="28"/>
      <c r="B656" s="25"/>
    </row>
    <row r="657" spans="1:2" ht="15.75" thickBot="1" x14ac:dyDescent="0.3">
      <c r="A657" s="28"/>
      <c r="B657" s="25"/>
    </row>
    <row r="658" spans="1:2" ht="15.75" thickBot="1" x14ac:dyDescent="0.3">
      <c r="A658" s="28"/>
      <c r="B658" s="25"/>
    </row>
    <row r="659" spans="1:2" ht="15.75" thickBot="1" x14ac:dyDescent="0.3">
      <c r="A659" s="28"/>
      <c r="B659" s="25"/>
    </row>
    <row r="660" spans="1:2" ht="15.75" thickBot="1" x14ac:dyDescent="0.3">
      <c r="A660" s="28"/>
      <c r="B660" s="25"/>
    </row>
    <row r="661" spans="1:2" ht="15.75" thickBot="1" x14ac:dyDescent="0.3">
      <c r="A661" s="28"/>
      <c r="B661" s="25"/>
    </row>
    <row r="662" spans="1:2" ht="15.75" thickBot="1" x14ac:dyDescent="0.3">
      <c r="A662" s="28"/>
      <c r="B662" s="25"/>
    </row>
    <row r="663" spans="1:2" ht="15.75" thickBot="1" x14ac:dyDescent="0.3">
      <c r="A663" s="28"/>
      <c r="B663" s="25"/>
    </row>
    <row r="664" spans="1:2" ht="15.75" thickBot="1" x14ac:dyDescent="0.3">
      <c r="A664" s="28"/>
      <c r="B664" s="25"/>
    </row>
    <row r="665" spans="1:2" ht="15.75" thickBot="1" x14ac:dyDescent="0.3">
      <c r="A665" s="28"/>
      <c r="B665" s="25"/>
    </row>
    <row r="666" spans="1:2" ht="15.75" thickBot="1" x14ac:dyDescent="0.3">
      <c r="A666" s="28"/>
      <c r="B666" s="25"/>
    </row>
    <row r="667" spans="1:2" ht="15.75" thickBot="1" x14ac:dyDescent="0.3">
      <c r="A667" s="28"/>
      <c r="B667" s="25"/>
    </row>
    <row r="668" spans="1:2" ht="15.75" thickBot="1" x14ac:dyDescent="0.3">
      <c r="A668" s="28"/>
      <c r="B668" s="25"/>
    </row>
    <row r="669" spans="1:2" ht="15.75" thickBot="1" x14ac:dyDescent="0.3">
      <c r="A669" s="28"/>
      <c r="B669" s="25"/>
    </row>
    <row r="670" spans="1:2" ht="15.75" thickBot="1" x14ac:dyDescent="0.3">
      <c r="A670" s="28"/>
      <c r="B670" s="25"/>
    </row>
    <row r="671" spans="1:2" ht="15.75" thickBot="1" x14ac:dyDescent="0.3">
      <c r="A671" s="28"/>
      <c r="B671" s="25"/>
    </row>
    <row r="672" spans="1:2" ht="15.75" thickBot="1" x14ac:dyDescent="0.3">
      <c r="A672" s="28"/>
      <c r="B672" s="25"/>
    </row>
    <row r="673" spans="1:2" ht="15.75" thickBot="1" x14ac:dyDescent="0.3">
      <c r="A673" s="28"/>
      <c r="B673" s="25"/>
    </row>
    <row r="674" spans="1:2" ht="15.75" thickBot="1" x14ac:dyDescent="0.3">
      <c r="A674" s="28"/>
      <c r="B674" s="25"/>
    </row>
    <row r="675" spans="1:2" ht="15.75" thickBot="1" x14ac:dyDescent="0.3">
      <c r="A675" s="28"/>
      <c r="B675" s="25"/>
    </row>
    <row r="676" spans="1:2" ht="15.75" thickBot="1" x14ac:dyDescent="0.3">
      <c r="A676" s="28"/>
      <c r="B676" s="25"/>
    </row>
    <row r="677" spans="1:2" ht="15.75" thickBot="1" x14ac:dyDescent="0.3">
      <c r="A677" s="28"/>
      <c r="B677" s="25"/>
    </row>
    <row r="678" spans="1:2" ht="15.75" thickBot="1" x14ac:dyDescent="0.3">
      <c r="A678" s="28"/>
      <c r="B678" s="25"/>
    </row>
    <row r="679" spans="1:2" ht="15.75" thickBot="1" x14ac:dyDescent="0.3">
      <c r="A679" s="28"/>
      <c r="B679" s="25"/>
    </row>
    <row r="680" spans="1:2" ht="15.75" thickBot="1" x14ac:dyDescent="0.3">
      <c r="A680" s="28"/>
      <c r="B680" s="25"/>
    </row>
    <row r="681" spans="1:2" ht="15.75" thickBot="1" x14ac:dyDescent="0.3">
      <c r="A681" s="28"/>
      <c r="B681" s="25"/>
    </row>
    <row r="682" spans="1:2" ht="15.75" thickBot="1" x14ac:dyDescent="0.3">
      <c r="A682" s="28"/>
      <c r="B682" s="25"/>
    </row>
    <row r="683" spans="1:2" ht="15.75" thickBot="1" x14ac:dyDescent="0.3">
      <c r="A683" s="28"/>
      <c r="B683" s="25"/>
    </row>
    <row r="684" spans="1:2" ht="15.75" thickBot="1" x14ac:dyDescent="0.3">
      <c r="A684" s="28"/>
      <c r="B684" s="25"/>
    </row>
    <row r="685" spans="1:2" ht="15.75" thickBot="1" x14ac:dyDescent="0.3">
      <c r="A685" s="28"/>
      <c r="B685" s="25"/>
    </row>
    <row r="686" spans="1:2" ht="15.75" thickBot="1" x14ac:dyDescent="0.3">
      <c r="A686" s="28"/>
      <c r="B686" s="25"/>
    </row>
    <row r="687" spans="1:2" ht="15.75" thickBot="1" x14ac:dyDescent="0.3">
      <c r="A687" s="28"/>
      <c r="B687" s="25"/>
    </row>
    <row r="688" spans="1:2" ht="15.75" thickBot="1" x14ac:dyDescent="0.3">
      <c r="A688" s="28"/>
      <c r="B688" s="25"/>
    </row>
    <row r="689" spans="1:2" ht="15.75" thickBot="1" x14ac:dyDescent="0.3">
      <c r="A689" s="28"/>
      <c r="B689" s="25"/>
    </row>
    <row r="690" spans="1:2" ht="15.75" thickBot="1" x14ac:dyDescent="0.3">
      <c r="A690" s="28"/>
      <c r="B690" s="25"/>
    </row>
    <row r="691" spans="1:2" ht="15.75" thickBot="1" x14ac:dyDescent="0.3">
      <c r="A691" s="28"/>
      <c r="B691" s="25"/>
    </row>
    <row r="692" spans="1:2" ht="15.75" thickBot="1" x14ac:dyDescent="0.3">
      <c r="A692" s="28"/>
      <c r="B692" s="25"/>
    </row>
    <row r="693" spans="1:2" ht="15.75" thickBot="1" x14ac:dyDescent="0.3">
      <c r="A693" s="28"/>
      <c r="B693" s="25"/>
    </row>
    <row r="694" spans="1:2" ht="15.75" thickBot="1" x14ac:dyDescent="0.3">
      <c r="A694" s="28"/>
      <c r="B694" s="25"/>
    </row>
    <row r="695" spans="1:2" ht="15.75" thickBot="1" x14ac:dyDescent="0.3">
      <c r="A695" s="28"/>
      <c r="B695" s="25"/>
    </row>
    <row r="696" spans="1:2" ht="15.75" thickBot="1" x14ac:dyDescent="0.3">
      <c r="A696" s="28"/>
      <c r="B696" s="25"/>
    </row>
    <row r="697" spans="1:2" ht="15.75" thickBot="1" x14ac:dyDescent="0.3">
      <c r="A697" s="28"/>
      <c r="B697" s="25"/>
    </row>
    <row r="698" spans="1:2" ht="15.75" thickBot="1" x14ac:dyDescent="0.3">
      <c r="A698" s="28"/>
      <c r="B698" s="25"/>
    </row>
    <row r="699" spans="1:2" ht="15.75" thickBot="1" x14ac:dyDescent="0.3">
      <c r="A699" s="28"/>
      <c r="B699" s="25"/>
    </row>
    <row r="700" spans="1:2" ht="15.75" thickBot="1" x14ac:dyDescent="0.3">
      <c r="A700" s="28"/>
      <c r="B700" s="25"/>
    </row>
    <row r="701" spans="1:2" ht="15.75" thickBot="1" x14ac:dyDescent="0.3">
      <c r="A701" s="28"/>
      <c r="B701" s="25"/>
    </row>
    <row r="702" spans="1:2" ht="15.75" thickBot="1" x14ac:dyDescent="0.3">
      <c r="A702" s="28"/>
      <c r="B702" s="25"/>
    </row>
    <row r="703" spans="1:2" ht="15.75" thickBot="1" x14ac:dyDescent="0.3">
      <c r="A703" s="28"/>
      <c r="B703" s="25"/>
    </row>
    <row r="704" spans="1:2" ht="15.75" thickBot="1" x14ac:dyDescent="0.3">
      <c r="A704" s="28"/>
      <c r="B704" s="25"/>
    </row>
    <row r="705" spans="1:2" ht="15.75" thickBot="1" x14ac:dyDescent="0.3">
      <c r="A705" s="28"/>
      <c r="B705" s="25"/>
    </row>
    <row r="706" spans="1:2" ht="15.75" thickBot="1" x14ac:dyDescent="0.3">
      <c r="A706" s="28"/>
      <c r="B706" s="25"/>
    </row>
    <row r="707" spans="1:2" ht="15.75" thickBot="1" x14ac:dyDescent="0.3">
      <c r="A707" s="28"/>
      <c r="B707" s="25"/>
    </row>
    <row r="708" spans="1:2" ht="15.75" thickBot="1" x14ac:dyDescent="0.3">
      <c r="A708" s="28"/>
      <c r="B708" s="25"/>
    </row>
    <row r="709" spans="1:2" ht="15.75" thickBot="1" x14ac:dyDescent="0.3">
      <c r="A709" s="28"/>
      <c r="B709" s="25"/>
    </row>
    <row r="710" spans="1:2" ht="15.75" thickBot="1" x14ac:dyDescent="0.3">
      <c r="A710" s="28"/>
      <c r="B710" s="25"/>
    </row>
    <row r="711" spans="1:2" ht="15.75" thickBot="1" x14ac:dyDescent="0.3">
      <c r="A711" s="28"/>
      <c r="B711" s="25"/>
    </row>
    <row r="712" spans="1:2" ht="15.75" thickBot="1" x14ac:dyDescent="0.3">
      <c r="A712" s="28"/>
      <c r="B712" s="25"/>
    </row>
    <row r="713" spans="1:2" ht="15.75" thickBot="1" x14ac:dyDescent="0.3">
      <c r="A713" s="28"/>
      <c r="B713" s="25"/>
    </row>
    <row r="714" spans="1:2" ht="15.75" thickBot="1" x14ac:dyDescent="0.3">
      <c r="A714" s="28"/>
      <c r="B714" s="25"/>
    </row>
    <row r="715" spans="1:2" ht="15.75" thickBot="1" x14ac:dyDescent="0.3">
      <c r="A715" s="28"/>
      <c r="B715" s="25"/>
    </row>
    <row r="716" spans="1:2" ht="15.75" thickBot="1" x14ac:dyDescent="0.3">
      <c r="A716" s="28"/>
      <c r="B716" s="25"/>
    </row>
    <row r="717" spans="1:2" ht="15.75" thickBot="1" x14ac:dyDescent="0.3">
      <c r="A717" s="28"/>
      <c r="B717" s="25"/>
    </row>
    <row r="718" spans="1:2" ht="15.75" thickBot="1" x14ac:dyDescent="0.3">
      <c r="A718" s="28"/>
      <c r="B718" s="25"/>
    </row>
    <row r="719" spans="1:2" ht="15.75" thickBot="1" x14ac:dyDescent="0.3">
      <c r="A719" s="28"/>
      <c r="B719" s="25"/>
    </row>
    <row r="720" spans="1:2" ht="15.75" thickBot="1" x14ac:dyDescent="0.3">
      <c r="A720" s="28"/>
      <c r="B720" s="25"/>
    </row>
    <row r="721" spans="1:2" ht="15.75" thickBot="1" x14ac:dyDescent="0.3">
      <c r="A721" s="28"/>
      <c r="B721" s="25"/>
    </row>
    <row r="722" spans="1:2" ht="15.75" thickBot="1" x14ac:dyDescent="0.3">
      <c r="A722" s="28"/>
      <c r="B722" s="25"/>
    </row>
    <row r="723" spans="1:2" ht="15.75" thickBot="1" x14ac:dyDescent="0.3">
      <c r="A723" s="28"/>
      <c r="B723" s="25"/>
    </row>
    <row r="724" spans="1:2" ht="15.75" thickBot="1" x14ac:dyDescent="0.3">
      <c r="A724" s="28"/>
      <c r="B724" s="25"/>
    </row>
    <row r="725" spans="1:2" ht="15.75" thickBot="1" x14ac:dyDescent="0.3">
      <c r="A725" s="28"/>
      <c r="B725" s="25"/>
    </row>
    <row r="726" spans="1:2" ht="15.75" thickBot="1" x14ac:dyDescent="0.3">
      <c r="A726" s="28"/>
      <c r="B726" s="25"/>
    </row>
    <row r="727" spans="1:2" ht="15.75" thickBot="1" x14ac:dyDescent="0.3">
      <c r="A727" s="28"/>
      <c r="B727" s="25"/>
    </row>
    <row r="728" spans="1:2" ht="15.75" thickBot="1" x14ac:dyDescent="0.3">
      <c r="A728" s="28"/>
      <c r="B728" s="25"/>
    </row>
    <row r="729" spans="1:2" ht="15.75" thickBot="1" x14ac:dyDescent="0.3">
      <c r="A729" s="28"/>
      <c r="B729" s="25"/>
    </row>
    <row r="730" spans="1:2" ht="15.75" thickBot="1" x14ac:dyDescent="0.3">
      <c r="A730" s="28"/>
      <c r="B730" s="25"/>
    </row>
    <row r="731" spans="1:2" ht="15.75" thickBot="1" x14ac:dyDescent="0.3">
      <c r="A731" s="28"/>
      <c r="B731" s="25"/>
    </row>
    <row r="732" spans="1:2" ht="15.75" thickBot="1" x14ac:dyDescent="0.3">
      <c r="A732" s="28"/>
      <c r="B732" s="25"/>
    </row>
    <row r="733" spans="1:2" ht="15.75" thickBot="1" x14ac:dyDescent="0.3">
      <c r="A733" s="28"/>
      <c r="B733" s="25"/>
    </row>
    <row r="734" spans="1:2" ht="15.75" thickBot="1" x14ac:dyDescent="0.3">
      <c r="A734" s="28"/>
      <c r="B734" s="25"/>
    </row>
    <row r="735" spans="1:2" ht="15.75" thickBot="1" x14ac:dyDescent="0.3">
      <c r="A735" s="28"/>
      <c r="B735" s="25"/>
    </row>
    <row r="736" spans="1:2" ht="15.75" thickBot="1" x14ac:dyDescent="0.3">
      <c r="A736" s="28"/>
      <c r="B736" s="25"/>
    </row>
    <row r="737" spans="1:2" ht="15.75" thickBot="1" x14ac:dyDescent="0.3">
      <c r="A737" s="28"/>
      <c r="B737" s="25"/>
    </row>
    <row r="738" spans="1:2" ht="15.75" thickBot="1" x14ac:dyDescent="0.3">
      <c r="A738" s="28"/>
      <c r="B738" s="25"/>
    </row>
    <row r="739" spans="1:2" ht="15.75" thickBot="1" x14ac:dyDescent="0.3">
      <c r="A739" s="28"/>
      <c r="B739" s="25"/>
    </row>
    <row r="740" spans="1:2" ht="15.75" thickBot="1" x14ac:dyDescent="0.3">
      <c r="A740" s="28"/>
      <c r="B740" s="25"/>
    </row>
    <row r="741" spans="1:2" ht="15.75" thickBot="1" x14ac:dyDescent="0.3">
      <c r="A741" s="28"/>
      <c r="B741" s="25"/>
    </row>
    <row r="742" spans="1:2" ht="15.75" thickBot="1" x14ac:dyDescent="0.3">
      <c r="A742" s="28"/>
      <c r="B742" s="25"/>
    </row>
    <row r="743" spans="1:2" ht="15.75" thickBot="1" x14ac:dyDescent="0.3">
      <c r="A743" s="28"/>
      <c r="B743" s="25"/>
    </row>
    <row r="744" spans="1:2" ht="15.75" thickBot="1" x14ac:dyDescent="0.3">
      <c r="A744" s="28"/>
      <c r="B744" s="25"/>
    </row>
    <row r="745" spans="1:2" ht="15.75" thickBot="1" x14ac:dyDescent="0.3">
      <c r="A745" s="28"/>
      <c r="B745" s="25"/>
    </row>
    <row r="746" spans="1:2" ht="15.75" thickBot="1" x14ac:dyDescent="0.3">
      <c r="A746" s="28"/>
      <c r="B746" s="25"/>
    </row>
    <row r="747" spans="1:2" ht="15.75" thickBot="1" x14ac:dyDescent="0.3">
      <c r="A747" s="28"/>
      <c r="B747" s="25"/>
    </row>
    <row r="748" spans="1:2" ht="15.75" thickBot="1" x14ac:dyDescent="0.3">
      <c r="A748" s="28"/>
      <c r="B748" s="25"/>
    </row>
    <row r="749" spans="1:2" ht="15.75" thickBot="1" x14ac:dyDescent="0.3">
      <c r="A749" s="28"/>
      <c r="B749" s="25"/>
    </row>
    <row r="750" spans="1:2" ht="15.75" thickBot="1" x14ac:dyDescent="0.3">
      <c r="A750" s="28"/>
      <c r="B750" s="25"/>
    </row>
    <row r="751" spans="1:2" ht="15.75" thickBot="1" x14ac:dyDescent="0.3">
      <c r="A751" s="28"/>
      <c r="B751" s="25"/>
    </row>
    <row r="752" spans="1:2" ht="15.75" thickBot="1" x14ac:dyDescent="0.3">
      <c r="A752" s="28"/>
      <c r="B752" s="25"/>
    </row>
    <row r="753" spans="1:2" ht="15.75" thickBot="1" x14ac:dyDescent="0.3">
      <c r="A753" s="28"/>
      <c r="B753" s="25"/>
    </row>
    <row r="754" spans="1:2" ht="15.75" thickBot="1" x14ac:dyDescent="0.3">
      <c r="A754" s="28"/>
      <c r="B754" s="25"/>
    </row>
    <row r="755" spans="1:2" ht="15.75" thickBot="1" x14ac:dyDescent="0.3">
      <c r="A755" s="28"/>
      <c r="B755" s="25"/>
    </row>
    <row r="756" spans="1:2" ht="15.75" thickBot="1" x14ac:dyDescent="0.3">
      <c r="A756" s="28"/>
      <c r="B756" s="25"/>
    </row>
    <row r="757" spans="1:2" ht="15.75" thickBot="1" x14ac:dyDescent="0.3">
      <c r="A757" s="28"/>
      <c r="B757" s="25"/>
    </row>
    <row r="758" spans="1:2" ht="15.75" thickBot="1" x14ac:dyDescent="0.3">
      <c r="A758" s="28"/>
      <c r="B758" s="25"/>
    </row>
    <row r="759" spans="1:2" ht="15.75" thickBot="1" x14ac:dyDescent="0.3">
      <c r="A759" s="28"/>
      <c r="B759" s="25"/>
    </row>
    <row r="760" spans="1:2" ht="15.75" thickBot="1" x14ac:dyDescent="0.3">
      <c r="A760" s="28"/>
      <c r="B760" s="25"/>
    </row>
    <row r="761" spans="1:2" ht="15.75" thickBot="1" x14ac:dyDescent="0.3">
      <c r="A761" s="28"/>
      <c r="B761" s="25"/>
    </row>
    <row r="762" spans="1:2" ht="15.75" thickBot="1" x14ac:dyDescent="0.3">
      <c r="A762" s="28"/>
      <c r="B762" s="25"/>
    </row>
    <row r="763" spans="1:2" ht="15.75" thickBot="1" x14ac:dyDescent="0.3">
      <c r="A763" s="28"/>
      <c r="B763" s="25"/>
    </row>
    <row r="764" spans="1:2" ht="15.75" thickBot="1" x14ac:dyDescent="0.3">
      <c r="A764" s="28"/>
      <c r="B764" s="25"/>
    </row>
    <row r="765" spans="1:2" ht="15.75" thickBot="1" x14ac:dyDescent="0.3">
      <c r="A765" s="28"/>
      <c r="B765" s="25"/>
    </row>
    <row r="766" spans="1:2" ht="15.75" thickBot="1" x14ac:dyDescent="0.3">
      <c r="A766" s="28"/>
      <c r="B766" s="25"/>
    </row>
    <row r="767" spans="1:2" ht="15.75" thickBot="1" x14ac:dyDescent="0.3">
      <c r="A767" s="28"/>
      <c r="B767" s="25"/>
    </row>
    <row r="768" spans="1:2" ht="15.75" thickBot="1" x14ac:dyDescent="0.3">
      <c r="A768" s="28"/>
      <c r="B768" s="25"/>
    </row>
    <row r="769" spans="1:2" ht="15.75" thickBot="1" x14ac:dyDescent="0.3">
      <c r="A769" s="28"/>
      <c r="B769" s="25"/>
    </row>
    <row r="770" spans="1:2" ht="15.75" thickBot="1" x14ac:dyDescent="0.3">
      <c r="A770" s="28"/>
      <c r="B770" s="25"/>
    </row>
    <row r="771" spans="1:2" ht="15.75" thickBot="1" x14ac:dyDescent="0.3">
      <c r="A771" s="28"/>
      <c r="B771" s="25"/>
    </row>
    <row r="772" spans="1:2" ht="15.75" thickBot="1" x14ac:dyDescent="0.3">
      <c r="A772" s="28"/>
      <c r="B772" s="25"/>
    </row>
    <row r="773" spans="1:2" ht="15.75" thickBot="1" x14ac:dyDescent="0.3">
      <c r="A773" s="28"/>
      <c r="B773" s="25"/>
    </row>
    <row r="774" spans="1:2" ht="15.75" thickBot="1" x14ac:dyDescent="0.3">
      <c r="A774" s="28"/>
      <c r="B774" s="25"/>
    </row>
    <row r="775" spans="1:2" ht="15.75" thickBot="1" x14ac:dyDescent="0.3">
      <c r="A775" s="28"/>
      <c r="B775" s="25"/>
    </row>
    <row r="776" spans="1:2" ht="15.75" thickBot="1" x14ac:dyDescent="0.3">
      <c r="A776" s="28"/>
      <c r="B776" s="25"/>
    </row>
    <row r="777" spans="1:2" ht="15.75" thickBot="1" x14ac:dyDescent="0.3">
      <c r="A777" s="28"/>
      <c r="B777" s="25"/>
    </row>
    <row r="778" spans="1:2" ht="15.75" thickBot="1" x14ac:dyDescent="0.3">
      <c r="A778" s="28"/>
      <c r="B778" s="25"/>
    </row>
    <row r="779" spans="1:2" ht="15.75" thickBot="1" x14ac:dyDescent="0.3">
      <c r="A779" s="28"/>
      <c r="B779" s="25"/>
    </row>
    <row r="780" spans="1:2" ht="15.75" thickBot="1" x14ac:dyDescent="0.3">
      <c r="A780" s="28"/>
      <c r="B780" s="25"/>
    </row>
    <row r="781" spans="1:2" ht="15.75" thickBot="1" x14ac:dyDescent="0.3">
      <c r="A781" s="28"/>
      <c r="B781" s="25"/>
    </row>
    <row r="782" spans="1:2" ht="15.75" thickBot="1" x14ac:dyDescent="0.3">
      <c r="A782" s="28"/>
      <c r="B782" s="25"/>
    </row>
    <row r="783" spans="1:2" ht="15.75" thickBot="1" x14ac:dyDescent="0.3">
      <c r="A783" s="28"/>
      <c r="B783" s="25"/>
    </row>
    <row r="784" spans="1:2" ht="15.75" thickBot="1" x14ac:dyDescent="0.3">
      <c r="A784" s="28"/>
      <c r="B784" s="25"/>
    </row>
    <row r="785" spans="1:2" ht="15.75" thickBot="1" x14ac:dyDescent="0.3">
      <c r="A785" s="28"/>
      <c r="B785" s="25"/>
    </row>
    <row r="786" spans="1:2" ht="15.75" thickBot="1" x14ac:dyDescent="0.3">
      <c r="A786" s="28"/>
      <c r="B786" s="25"/>
    </row>
    <row r="787" spans="1:2" ht="15.75" thickBot="1" x14ac:dyDescent="0.3">
      <c r="A787" s="28"/>
      <c r="B787" s="25"/>
    </row>
    <row r="788" spans="1:2" ht="15.75" thickBot="1" x14ac:dyDescent="0.3">
      <c r="A788" s="28"/>
      <c r="B788" s="25"/>
    </row>
    <row r="789" spans="1:2" ht="15.75" thickBot="1" x14ac:dyDescent="0.3">
      <c r="A789" s="28"/>
      <c r="B789" s="25"/>
    </row>
    <row r="790" spans="1:2" ht="15.75" thickBot="1" x14ac:dyDescent="0.3">
      <c r="A790" s="28"/>
      <c r="B790" s="25"/>
    </row>
    <row r="791" spans="1:2" ht="15.75" thickBot="1" x14ac:dyDescent="0.3">
      <c r="A791" s="28"/>
      <c r="B791" s="25"/>
    </row>
    <row r="792" spans="1:2" ht="15.75" thickBot="1" x14ac:dyDescent="0.3">
      <c r="A792" s="28"/>
      <c r="B792" s="25"/>
    </row>
    <row r="793" spans="1:2" ht="15.75" thickBot="1" x14ac:dyDescent="0.3">
      <c r="A793" s="28"/>
      <c r="B793" s="25"/>
    </row>
    <row r="794" spans="1:2" ht="15.75" thickBot="1" x14ac:dyDescent="0.3">
      <c r="A794" s="28"/>
      <c r="B794" s="25"/>
    </row>
    <row r="795" spans="1:2" ht="15.75" thickBot="1" x14ac:dyDescent="0.3">
      <c r="A795" s="28"/>
      <c r="B795" s="25"/>
    </row>
    <row r="796" spans="1:2" ht="15.75" thickBot="1" x14ac:dyDescent="0.3">
      <c r="A796" s="28"/>
      <c r="B796" s="25"/>
    </row>
    <row r="797" spans="1:2" ht="15.75" thickBot="1" x14ac:dyDescent="0.3">
      <c r="A797" s="28"/>
      <c r="B797" s="25"/>
    </row>
    <row r="798" spans="1:2" ht="15.75" thickBot="1" x14ac:dyDescent="0.3">
      <c r="A798" s="28"/>
      <c r="B798" s="25"/>
    </row>
    <row r="799" spans="1:2" ht="15.75" thickBot="1" x14ac:dyDescent="0.3">
      <c r="A799" s="28"/>
      <c r="B799" s="25"/>
    </row>
    <row r="800" spans="1:2" ht="15.75" thickBot="1" x14ac:dyDescent="0.3">
      <c r="A800" s="28"/>
      <c r="B800" s="25"/>
    </row>
    <row r="801" spans="1:2" ht="15.75" thickBot="1" x14ac:dyDescent="0.3">
      <c r="A801" s="28"/>
      <c r="B801" s="25"/>
    </row>
    <row r="802" spans="1:2" ht="15.75" thickBot="1" x14ac:dyDescent="0.3">
      <c r="A802" s="28"/>
      <c r="B802" s="25"/>
    </row>
    <row r="803" spans="1:2" ht="15.75" thickBot="1" x14ac:dyDescent="0.3">
      <c r="A803" s="28"/>
      <c r="B803" s="25"/>
    </row>
    <row r="804" spans="1:2" ht="15.75" thickBot="1" x14ac:dyDescent="0.3">
      <c r="A804" s="28"/>
      <c r="B804" s="25"/>
    </row>
    <row r="805" spans="1:2" ht="15.75" thickBot="1" x14ac:dyDescent="0.3">
      <c r="A805" s="28"/>
      <c r="B805" s="25"/>
    </row>
    <row r="806" spans="1:2" ht="15.75" thickBot="1" x14ac:dyDescent="0.3">
      <c r="A806" s="28"/>
      <c r="B806" s="25"/>
    </row>
    <row r="807" spans="1:2" ht="15.75" thickBot="1" x14ac:dyDescent="0.3">
      <c r="A807" s="28"/>
      <c r="B807" s="25"/>
    </row>
    <row r="808" spans="1:2" ht="15.75" thickBot="1" x14ac:dyDescent="0.3">
      <c r="A808" s="28"/>
      <c r="B808" s="25"/>
    </row>
    <row r="809" spans="1:2" ht="15.75" thickBot="1" x14ac:dyDescent="0.3">
      <c r="A809" s="28"/>
      <c r="B809" s="25"/>
    </row>
    <row r="810" spans="1:2" ht="15.75" thickBot="1" x14ac:dyDescent="0.3">
      <c r="A810" s="28"/>
      <c r="B810" s="25"/>
    </row>
    <row r="811" spans="1:2" ht="15.75" thickBot="1" x14ac:dyDescent="0.3">
      <c r="A811" s="28"/>
      <c r="B811" s="25"/>
    </row>
    <row r="812" spans="1:2" ht="15.75" thickBot="1" x14ac:dyDescent="0.3">
      <c r="A812" s="28"/>
      <c r="B812" s="25"/>
    </row>
    <row r="813" spans="1:2" ht="15.75" thickBot="1" x14ac:dyDescent="0.3">
      <c r="A813" s="28"/>
      <c r="B813" s="25"/>
    </row>
    <row r="814" spans="1:2" ht="15.75" thickBot="1" x14ac:dyDescent="0.3">
      <c r="A814" s="28"/>
      <c r="B814" s="25"/>
    </row>
    <row r="815" spans="1:2" ht="15.75" thickBot="1" x14ac:dyDescent="0.3">
      <c r="A815" s="28"/>
      <c r="B815" s="25"/>
    </row>
    <row r="816" spans="1:2" ht="15.75" thickBot="1" x14ac:dyDescent="0.3">
      <c r="A816" s="28"/>
      <c r="B816" s="25"/>
    </row>
    <row r="817" spans="1:2" ht="15.75" thickBot="1" x14ac:dyDescent="0.3">
      <c r="A817" s="28"/>
      <c r="B817" s="25"/>
    </row>
    <row r="818" spans="1:2" ht="15.75" thickBot="1" x14ac:dyDescent="0.3">
      <c r="A818" s="28"/>
      <c r="B818" s="25"/>
    </row>
    <row r="819" spans="1:2" ht="15.75" thickBot="1" x14ac:dyDescent="0.3">
      <c r="A819" s="28"/>
      <c r="B819" s="25"/>
    </row>
    <row r="820" spans="1:2" ht="15.75" thickBot="1" x14ac:dyDescent="0.3">
      <c r="A820" s="28"/>
      <c r="B820" s="25"/>
    </row>
    <row r="821" spans="1:2" ht="15.75" thickBot="1" x14ac:dyDescent="0.3">
      <c r="A821" s="28"/>
      <c r="B821" s="25"/>
    </row>
    <row r="822" spans="1:2" ht="15.75" thickBot="1" x14ac:dyDescent="0.3">
      <c r="A822" s="28"/>
      <c r="B822" s="25"/>
    </row>
    <row r="823" spans="1:2" ht="15.75" thickBot="1" x14ac:dyDescent="0.3">
      <c r="A823" s="28"/>
      <c r="B823" s="25"/>
    </row>
    <row r="824" spans="1:2" ht="15.75" thickBot="1" x14ac:dyDescent="0.3">
      <c r="A824" s="28"/>
      <c r="B824" s="25"/>
    </row>
    <row r="825" spans="1:2" ht="15.75" thickBot="1" x14ac:dyDescent="0.3">
      <c r="A825" s="28"/>
      <c r="B825" s="25"/>
    </row>
    <row r="826" spans="1:2" ht="15.75" thickBot="1" x14ac:dyDescent="0.3">
      <c r="A826" s="28"/>
      <c r="B826" s="25"/>
    </row>
    <row r="827" spans="1:2" ht="15.75" thickBot="1" x14ac:dyDescent="0.3">
      <c r="A827" s="28"/>
      <c r="B827" s="25"/>
    </row>
    <row r="828" spans="1:2" ht="15.75" thickBot="1" x14ac:dyDescent="0.3">
      <c r="A828" s="28"/>
      <c r="B828" s="25"/>
    </row>
    <row r="829" spans="1:2" ht="15.75" thickBot="1" x14ac:dyDescent="0.3">
      <c r="A829" s="28"/>
      <c r="B829" s="25"/>
    </row>
    <row r="830" spans="1:2" ht="15.75" thickBot="1" x14ac:dyDescent="0.3">
      <c r="A830" s="28"/>
      <c r="B830" s="25"/>
    </row>
    <row r="831" spans="1:2" ht="15.75" thickBot="1" x14ac:dyDescent="0.3">
      <c r="A831" s="28"/>
      <c r="B831" s="25"/>
    </row>
    <row r="832" spans="1:2" ht="15.75" thickBot="1" x14ac:dyDescent="0.3">
      <c r="A832" s="28"/>
      <c r="B832" s="25"/>
    </row>
    <row r="833" spans="1:2" ht="15.75" thickBot="1" x14ac:dyDescent="0.3">
      <c r="A833" s="28"/>
      <c r="B833" s="25"/>
    </row>
    <row r="834" spans="1:2" ht="15.75" thickBot="1" x14ac:dyDescent="0.3">
      <c r="A834" s="28"/>
      <c r="B834" s="25"/>
    </row>
    <row r="835" spans="1:2" ht="15.75" thickBot="1" x14ac:dyDescent="0.3">
      <c r="A835" s="28"/>
      <c r="B835" s="25"/>
    </row>
    <row r="836" spans="1:2" ht="15.75" thickBot="1" x14ac:dyDescent="0.3">
      <c r="A836" s="28"/>
      <c r="B836" s="25"/>
    </row>
    <row r="837" spans="1:2" ht="15.75" thickBot="1" x14ac:dyDescent="0.3">
      <c r="A837" s="28"/>
      <c r="B837" s="25"/>
    </row>
    <row r="838" spans="1:2" ht="15.75" thickBot="1" x14ac:dyDescent="0.3">
      <c r="A838" s="28"/>
      <c r="B838" s="25"/>
    </row>
    <row r="839" spans="1:2" ht="15.75" thickBot="1" x14ac:dyDescent="0.3">
      <c r="A839" s="28"/>
      <c r="B839" s="25"/>
    </row>
    <row r="840" spans="1:2" ht="15.75" thickBot="1" x14ac:dyDescent="0.3">
      <c r="A840" s="28"/>
      <c r="B840" s="25"/>
    </row>
    <row r="841" spans="1:2" ht="15.75" thickBot="1" x14ac:dyDescent="0.3">
      <c r="A841" s="28"/>
      <c r="B841" s="25"/>
    </row>
    <row r="842" spans="1:2" ht="15.75" thickBot="1" x14ac:dyDescent="0.3">
      <c r="A842" s="28"/>
      <c r="B842" s="25"/>
    </row>
    <row r="843" spans="1:2" ht="15.75" thickBot="1" x14ac:dyDescent="0.3">
      <c r="A843" s="28"/>
      <c r="B843" s="25"/>
    </row>
    <row r="844" spans="1:2" ht="15.75" thickBot="1" x14ac:dyDescent="0.3">
      <c r="A844" s="28"/>
      <c r="B844" s="25"/>
    </row>
    <row r="845" spans="1:2" ht="15.75" thickBot="1" x14ac:dyDescent="0.3">
      <c r="A845" s="28"/>
      <c r="B845" s="25"/>
    </row>
    <row r="846" spans="1:2" ht="15.75" thickBot="1" x14ac:dyDescent="0.3">
      <c r="A846" s="28"/>
      <c r="B846" s="25"/>
    </row>
    <row r="847" spans="1:2" ht="15.75" thickBot="1" x14ac:dyDescent="0.3">
      <c r="A847" s="28"/>
      <c r="B847" s="25"/>
    </row>
    <row r="848" spans="1:2" ht="15.75" thickBot="1" x14ac:dyDescent="0.3">
      <c r="A848" s="28"/>
      <c r="B848" s="25"/>
    </row>
    <row r="849" spans="1:2" ht="15.75" thickBot="1" x14ac:dyDescent="0.3">
      <c r="A849" s="28"/>
      <c r="B849" s="25"/>
    </row>
    <row r="850" spans="1:2" ht="15.75" thickBot="1" x14ac:dyDescent="0.3">
      <c r="A850" s="28"/>
      <c r="B850" s="25"/>
    </row>
    <row r="851" spans="1:2" ht="15.75" thickBot="1" x14ac:dyDescent="0.3">
      <c r="A851" s="28"/>
      <c r="B851" s="25"/>
    </row>
    <row r="852" spans="1:2" ht="15.75" thickBot="1" x14ac:dyDescent="0.3">
      <c r="A852" s="28"/>
      <c r="B852" s="25"/>
    </row>
    <row r="853" spans="1:2" ht="15.75" thickBot="1" x14ac:dyDescent="0.3">
      <c r="A853" s="28"/>
      <c r="B853" s="25"/>
    </row>
    <row r="854" spans="1:2" ht="15.75" thickBot="1" x14ac:dyDescent="0.3">
      <c r="A854" s="28"/>
      <c r="B854" s="25"/>
    </row>
    <row r="855" spans="1:2" ht="15.75" thickBot="1" x14ac:dyDescent="0.3">
      <c r="A855" s="28"/>
      <c r="B855" s="25"/>
    </row>
    <row r="856" spans="1:2" ht="15.75" thickBot="1" x14ac:dyDescent="0.3">
      <c r="A856" s="28"/>
      <c r="B856" s="25"/>
    </row>
    <row r="857" spans="1:2" ht="15.75" thickBot="1" x14ac:dyDescent="0.3">
      <c r="A857" s="28"/>
      <c r="B857" s="25"/>
    </row>
    <row r="858" spans="1:2" ht="15.75" thickBot="1" x14ac:dyDescent="0.3">
      <c r="A858" s="28"/>
      <c r="B858" s="25"/>
    </row>
    <row r="859" spans="1:2" ht="15.75" thickBot="1" x14ac:dyDescent="0.3">
      <c r="A859" s="28"/>
      <c r="B859" s="25"/>
    </row>
    <row r="860" spans="1:2" ht="15.75" thickBot="1" x14ac:dyDescent="0.3">
      <c r="A860" s="28"/>
      <c r="B860" s="25"/>
    </row>
    <row r="861" spans="1:2" ht="15.75" thickBot="1" x14ac:dyDescent="0.3">
      <c r="A861" s="28"/>
      <c r="B861" s="25"/>
    </row>
    <row r="862" spans="1:2" ht="15.75" thickBot="1" x14ac:dyDescent="0.3">
      <c r="A862" s="28"/>
      <c r="B862" s="25"/>
    </row>
    <row r="863" spans="1:2" ht="15.75" thickBot="1" x14ac:dyDescent="0.3">
      <c r="A863" s="28"/>
      <c r="B863" s="25"/>
    </row>
    <row r="864" spans="1:2" ht="15.75" thickBot="1" x14ac:dyDescent="0.3">
      <c r="A864" s="28"/>
      <c r="B864" s="25"/>
    </row>
    <row r="865" spans="1:2" ht="15.75" thickBot="1" x14ac:dyDescent="0.3">
      <c r="A865" s="28"/>
      <c r="B865" s="25"/>
    </row>
    <row r="866" spans="1:2" ht="15.75" thickBot="1" x14ac:dyDescent="0.3">
      <c r="A866" s="28"/>
      <c r="B866" s="25"/>
    </row>
    <row r="867" spans="1:2" ht="15.75" thickBot="1" x14ac:dyDescent="0.3">
      <c r="A867" s="28"/>
      <c r="B867" s="25"/>
    </row>
    <row r="868" spans="1:2" ht="15.75" thickBot="1" x14ac:dyDescent="0.3">
      <c r="A868" s="28"/>
      <c r="B868" s="25"/>
    </row>
    <row r="869" spans="1:2" ht="15.75" thickBot="1" x14ac:dyDescent="0.3">
      <c r="A869" s="28"/>
      <c r="B869" s="25"/>
    </row>
    <row r="870" spans="1:2" ht="15.75" thickBot="1" x14ac:dyDescent="0.3">
      <c r="A870" s="28"/>
      <c r="B870" s="25"/>
    </row>
    <row r="871" spans="1:2" ht="15.75" thickBot="1" x14ac:dyDescent="0.3">
      <c r="A871" s="28"/>
      <c r="B871" s="25"/>
    </row>
    <row r="872" spans="1:2" ht="15.75" thickBot="1" x14ac:dyDescent="0.3">
      <c r="A872" s="28"/>
      <c r="B872" s="25"/>
    </row>
    <row r="873" spans="1:2" ht="15.75" thickBot="1" x14ac:dyDescent="0.3">
      <c r="A873" s="28"/>
      <c r="B873" s="25"/>
    </row>
    <row r="874" spans="1:2" ht="15.75" thickBot="1" x14ac:dyDescent="0.3">
      <c r="A874" s="28"/>
      <c r="B874" s="25"/>
    </row>
    <row r="875" spans="1:2" ht="15.75" thickBot="1" x14ac:dyDescent="0.3">
      <c r="A875" s="28"/>
      <c r="B875" s="25"/>
    </row>
    <row r="876" spans="1:2" ht="15.75" thickBot="1" x14ac:dyDescent="0.3">
      <c r="A876" s="28"/>
      <c r="B876" s="25"/>
    </row>
    <row r="877" spans="1:2" ht="15.75" thickBot="1" x14ac:dyDescent="0.3">
      <c r="A877" s="28"/>
      <c r="B877" s="25"/>
    </row>
    <row r="878" spans="1:2" ht="15.75" thickBot="1" x14ac:dyDescent="0.3">
      <c r="A878" s="28"/>
      <c r="B878" s="25"/>
    </row>
    <row r="879" spans="1:2" ht="15.75" thickBot="1" x14ac:dyDescent="0.3">
      <c r="A879" s="28"/>
      <c r="B879" s="25"/>
    </row>
    <row r="880" spans="1:2" ht="15.75" thickBot="1" x14ac:dyDescent="0.3">
      <c r="A880" s="28"/>
      <c r="B880" s="25"/>
    </row>
    <row r="881" spans="1:2" ht="15.75" thickBot="1" x14ac:dyDescent="0.3">
      <c r="A881" s="28"/>
      <c r="B881" s="25"/>
    </row>
    <row r="882" spans="1:2" ht="15.75" thickBot="1" x14ac:dyDescent="0.3">
      <c r="A882" s="28"/>
      <c r="B882" s="25"/>
    </row>
    <row r="883" spans="1:2" ht="15.75" thickBot="1" x14ac:dyDescent="0.3">
      <c r="A883" s="28"/>
      <c r="B883" s="25"/>
    </row>
    <row r="884" spans="1:2" ht="15.75" thickBot="1" x14ac:dyDescent="0.3">
      <c r="A884" s="28"/>
      <c r="B884" s="25"/>
    </row>
    <row r="885" spans="1:2" ht="15.75" thickBot="1" x14ac:dyDescent="0.3">
      <c r="A885" s="28"/>
      <c r="B885" s="25"/>
    </row>
    <row r="886" spans="1:2" ht="15.75" thickBot="1" x14ac:dyDescent="0.3">
      <c r="A886" s="28"/>
      <c r="B886" s="25"/>
    </row>
    <row r="887" spans="1:2" ht="15.75" thickBot="1" x14ac:dyDescent="0.3">
      <c r="A887" s="28"/>
      <c r="B887" s="25"/>
    </row>
    <row r="888" spans="1:2" ht="15.75" thickBot="1" x14ac:dyDescent="0.3">
      <c r="A888" s="28"/>
      <c r="B888" s="25"/>
    </row>
    <row r="889" spans="1:2" ht="15.75" thickBot="1" x14ac:dyDescent="0.3">
      <c r="A889" s="28"/>
      <c r="B889" s="25"/>
    </row>
    <row r="890" spans="1:2" ht="15.75" thickBot="1" x14ac:dyDescent="0.3">
      <c r="A890" s="28"/>
      <c r="B890" s="25"/>
    </row>
    <row r="891" spans="1:2" ht="15.75" thickBot="1" x14ac:dyDescent="0.3">
      <c r="A891" s="28"/>
      <c r="B891" s="25"/>
    </row>
    <row r="892" spans="1:2" ht="15.75" thickBot="1" x14ac:dyDescent="0.3">
      <c r="A892" s="28"/>
      <c r="B892" s="25"/>
    </row>
    <row r="893" spans="1:2" ht="15.75" thickBot="1" x14ac:dyDescent="0.3">
      <c r="A893" s="28"/>
      <c r="B893" s="25"/>
    </row>
    <row r="894" spans="1:2" ht="15.75" thickBot="1" x14ac:dyDescent="0.3">
      <c r="A894" s="28"/>
      <c r="B894" s="25"/>
    </row>
    <row r="895" spans="1:2" ht="15.75" thickBot="1" x14ac:dyDescent="0.3">
      <c r="A895" s="28"/>
      <c r="B895" s="25"/>
    </row>
    <row r="896" spans="1:2" ht="15.75" thickBot="1" x14ac:dyDescent="0.3">
      <c r="A896" s="28"/>
      <c r="B896" s="25"/>
    </row>
    <row r="897" spans="1:2" ht="15.75" thickBot="1" x14ac:dyDescent="0.3">
      <c r="A897" s="28"/>
      <c r="B897" s="25"/>
    </row>
    <row r="898" spans="1:2" ht="15.75" thickBot="1" x14ac:dyDescent="0.3">
      <c r="A898" s="28"/>
      <c r="B898" s="25"/>
    </row>
    <row r="899" spans="1:2" ht="15.75" thickBot="1" x14ac:dyDescent="0.3">
      <c r="A899" s="28"/>
      <c r="B899" s="25"/>
    </row>
    <row r="900" spans="1:2" ht="15.75" thickBot="1" x14ac:dyDescent="0.3">
      <c r="A900" s="28"/>
      <c r="B900" s="25"/>
    </row>
    <row r="901" spans="1:2" ht="15.75" thickBot="1" x14ac:dyDescent="0.3">
      <c r="A901" s="28"/>
      <c r="B901" s="25"/>
    </row>
    <row r="902" spans="1:2" ht="15.75" thickBot="1" x14ac:dyDescent="0.3">
      <c r="A902" s="28"/>
      <c r="B902" s="25"/>
    </row>
    <row r="903" spans="1:2" ht="15.75" thickBot="1" x14ac:dyDescent="0.3">
      <c r="A903" s="28"/>
      <c r="B903" s="25"/>
    </row>
    <row r="904" spans="1:2" ht="15.75" thickBot="1" x14ac:dyDescent="0.3">
      <c r="A904" s="28"/>
      <c r="B904" s="25"/>
    </row>
    <row r="905" spans="1:2" ht="15.75" thickBot="1" x14ac:dyDescent="0.3">
      <c r="A905" s="28"/>
      <c r="B905" s="25"/>
    </row>
    <row r="906" spans="1:2" ht="15.75" thickBot="1" x14ac:dyDescent="0.3">
      <c r="A906" s="28"/>
      <c r="B906" s="25"/>
    </row>
    <row r="907" spans="1:2" ht="15.75" thickBot="1" x14ac:dyDescent="0.3">
      <c r="A907" s="28"/>
      <c r="B907" s="25"/>
    </row>
    <row r="908" spans="1:2" ht="15.75" thickBot="1" x14ac:dyDescent="0.3">
      <c r="A908" s="28"/>
      <c r="B908" s="25"/>
    </row>
    <row r="909" spans="1:2" ht="15.75" thickBot="1" x14ac:dyDescent="0.3">
      <c r="A909" s="28"/>
      <c r="B909" s="25"/>
    </row>
    <row r="910" spans="1:2" ht="15.75" thickBot="1" x14ac:dyDescent="0.3">
      <c r="A910" s="28"/>
      <c r="B910" s="25"/>
    </row>
    <row r="911" spans="1:2" ht="15.75" thickBot="1" x14ac:dyDescent="0.3">
      <c r="A911" s="28"/>
      <c r="B911" s="25"/>
    </row>
    <row r="912" spans="1:2" ht="15.75" thickBot="1" x14ac:dyDescent="0.3">
      <c r="A912" s="28"/>
      <c r="B912" s="25"/>
    </row>
    <row r="913" spans="1:2" ht="15.75" thickBot="1" x14ac:dyDescent="0.3">
      <c r="A913" s="28"/>
      <c r="B913" s="25"/>
    </row>
    <row r="914" spans="1:2" ht="15.75" thickBot="1" x14ac:dyDescent="0.3">
      <c r="A914" s="28"/>
      <c r="B914" s="25"/>
    </row>
    <row r="915" spans="1:2" ht="15.75" thickBot="1" x14ac:dyDescent="0.3">
      <c r="A915" s="28"/>
      <c r="B915" s="25"/>
    </row>
    <row r="916" spans="1:2" ht="15.75" thickBot="1" x14ac:dyDescent="0.3">
      <c r="A916" s="28"/>
      <c r="B916" s="25"/>
    </row>
    <row r="917" spans="1:2" ht="15.75" thickBot="1" x14ac:dyDescent="0.3">
      <c r="A917" s="28"/>
      <c r="B917" s="25"/>
    </row>
    <row r="918" spans="1:2" ht="15.75" thickBot="1" x14ac:dyDescent="0.3">
      <c r="A918" s="28"/>
      <c r="B918" s="25"/>
    </row>
    <row r="919" spans="1:2" ht="15.75" thickBot="1" x14ac:dyDescent="0.3">
      <c r="A919" s="28"/>
      <c r="B919" s="25"/>
    </row>
    <row r="920" spans="1:2" ht="15.75" thickBot="1" x14ac:dyDescent="0.3">
      <c r="A920" s="28"/>
      <c r="B920" s="25"/>
    </row>
    <row r="921" spans="1:2" ht="15.75" thickBot="1" x14ac:dyDescent="0.3">
      <c r="A921" s="28"/>
      <c r="B921" s="25"/>
    </row>
    <row r="922" spans="1:2" ht="15.75" thickBot="1" x14ac:dyDescent="0.3">
      <c r="A922" s="28"/>
      <c r="B922" s="25"/>
    </row>
    <row r="923" spans="1:2" ht="15.75" thickBot="1" x14ac:dyDescent="0.3">
      <c r="A923" s="28"/>
      <c r="B923" s="25"/>
    </row>
    <row r="924" spans="1:2" ht="15.75" thickBot="1" x14ac:dyDescent="0.3">
      <c r="A924" s="28"/>
      <c r="B924" s="25"/>
    </row>
    <row r="925" spans="1:2" ht="15.75" thickBot="1" x14ac:dyDescent="0.3">
      <c r="A925" s="28"/>
      <c r="B925" s="25"/>
    </row>
    <row r="926" spans="1:2" ht="15.75" thickBot="1" x14ac:dyDescent="0.3">
      <c r="A926" s="28"/>
      <c r="B926" s="25"/>
    </row>
    <row r="927" spans="1:2" ht="15.75" thickBot="1" x14ac:dyDescent="0.3">
      <c r="A927" s="28"/>
      <c r="B927" s="25"/>
    </row>
    <row r="928" spans="1:2" ht="15.75" thickBot="1" x14ac:dyDescent="0.3">
      <c r="A928" s="28"/>
      <c r="B928" s="25"/>
    </row>
    <row r="929" spans="1:2" ht="15.75" thickBot="1" x14ac:dyDescent="0.3">
      <c r="A929" s="28"/>
      <c r="B929" s="25"/>
    </row>
    <row r="930" spans="1:2" ht="15.75" thickBot="1" x14ac:dyDescent="0.3">
      <c r="A930" s="28"/>
      <c r="B930" s="25"/>
    </row>
    <row r="931" spans="1:2" ht="15.75" thickBot="1" x14ac:dyDescent="0.3">
      <c r="A931" s="28"/>
      <c r="B931" s="25"/>
    </row>
    <row r="932" spans="1:2" ht="15.75" thickBot="1" x14ac:dyDescent="0.3">
      <c r="A932" s="28"/>
      <c r="B932" s="25"/>
    </row>
    <row r="933" spans="1:2" ht="15.75" thickBot="1" x14ac:dyDescent="0.3">
      <c r="A933" s="28"/>
      <c r="B933" s="25"/>
    </row>
    <row r="934" spans="1:2" ht="15.75" thickBot="1" x14ac:dyDescent="0.3">
      <c r="A934" s="28"/>
      <c r="B934" s="25"/>
    </row>
    <row r="935" spans="1:2" ht="15.75" thickBot="1" x14ac:dyDescent="0.3">
      <c r="A935" s="28"/>
      <c r="B935" s="25"/>
    </row>
    <row r="936" spans="1:2" ht="15.75" thickBot="1" x14ac:dyDescent="0.3">
      <c r="A936" s="28"/>
      <c r="B936" s="25"/>
    </row>
    <row r="937" spans="1:2" ht="15.75" thickBot="1" x14ac:dyDescent="0.3">
      <c r="A937" s="28"/>
      <c r="B937" s="25"/>
    </row>
    <row r="938" spans="1:2" ht="15.75" thickBot="1" x14ac:dyDescent="0.3">
      <c r="A938" s="28"/>
      <c r="B938" s="25"/>
    </row>
    <row r="939" spans="1:2" ht="15.75" thickBot="1" x14ac:dyDescent="0.3">
      <c r="A939" s="28"/>
      <c r="B939" s="25"/>
    </row>
    <row r="940" spans="1:2" ht="15.75" thickBot="1" x14ac:dyDescent="0.3">
      <c r="A940" s="28"/>
      <c r="B940" s="25"/>
    </row>
    <row r="941" spans="1:2" ht="15.75" thickBot="1" x14ac:dyDescent="0.3">
      <c r="A941" s="28"/>
      <c r="B941" s="25"/>
    </row>
    <row r="942" spans="1:2" ht="15.75" thickBot="1" x14ac:dyDescent="0.3">
      <c r="A942" s="28"/>
      <c r="B942" s="25"/>
    </row>
    <row r="943" spans="1:2" ht="15.75" thickBot="1" x14ac:dyDescent="0.3">
      <c r="A943" s="28"/>
      <c r="B943" s="25"/>
    </row>
    <row r="944" spans="1:2" ht="15.75" thickBot="1" x14ac:dyDescent="0.3">
      <c r="A944" s="28"/>
      <c r="B944" s="25"/>
    </row>
    <row r="945" spans="1:2" ht="15.75" thickBot="1" x14ac:dyDescent="0.3">
      <c r="A945" s="28"/>
      <c r="B945" s="25"/>
    </row>
    <row r="946" spans="1:2" ht="15.75" thickBot="1" x14ac:dyDescent="0.3">
      <c r="A946" s="28"/>
      <c r="B946" s="25"/>
    </row>
    <row r="947" spans="1:2" ht="15.75" thickBot="1" x14ac:dyDescent="0.3">
      <c r="A947" s="28"/>
      <c r="B947" s="25"/>
    </row>
    <row r="948" spans="1:2" ht="15.75" thickBot="1" x14ac:dyDescent="0.3">
      <c r="A948" s="28"/>
      <c r="B948" s="25"/>
    </row>
    <row r="949" spans="1:2" ht="15.75" thickBot="1" x14ac:dyDescent="0.3">
      <c r="A949" s="28"/>
      <c r="B949" s="25"/>
    </row>
    <row r="950" spans="1:2" ht="15.75" thickBot="1" x14ac:dyDescent="0.3">
      <c r="A950" s="28"/>
      <c r="B950" s="25"/>
    </row>
    <row r="951" spans="1:2" ht="15.75" thickBot="1" x14ac:dyDescent="0.3">
      <c r="A951" s="28"/>
      <c r="B951" s="25"/>
    </row>
    <row r="952" spans="1:2" ht="15.75" thickBot="1" x14ac:dyDescent="0.3">
      <c r="A952" s="28"/>
      <c r="B952" s="25"/>
    </row>
    <row r="953" spans="1:2" ht="15.75" thickBot="1" x14ac:dyDescent="0.3">
      <c r="A953" s="28"/>
      <c r="B953" s="25"/>
    </row>
    <row r="954" spans="1:2" ht="15.75" thickBot="1" x14ac:dyDescent="0.3">
      <c r="A954" s="28"/>
      <c r="B954" s="25"/>
    </row>
    <row r="955" spans="1:2" ht="15.75" thickBot="1" x14ac:dyDescent="0.3">
      <c r="A955" s="28"/>
      <c r="B955" s="25"/>
    </row>
    <row r="956" spans="1:2" ht="15.75" thickBot="1" x14ac:dyDescent="0.3">
      <c r="A956" s="28"/>
      <c r="B956" s="25"/>
    </row>
    <row r="957" spans="1:2" ht="15.75" thickBot="1" x14ac:dyDescent="0.3">
      <c r="A957" s="28"/>
      <c r="B957" s="25"/>
    </row>
    <row r="958" spans="1:2" ht="15.75" thickBot="1" x14ac:dyDescent="0.3">
      <c r="A958" s="28"/>
      <c r="B958" s="25"/>
    </row>
    <row r="959" spans="1:2" ht="15.75" thickBot="1" x14ac:dyDescent="0.3">
      <c r="A959" s="28"/>
      <c r="B959" s="25"/>
    </row>
    <row r="960" spans="1:2" ht="15.75" thickBot="1" x14ac:dyDescent="0.3">
      <c r="A960" s="28"/>
      <c r="B960" s="25"/>
    </row>
    <row r="961" spans="1:2" ht="15.75" thickBot="1" x14ac:dyDescent="0.3">
      <c r="A961" s="28"/>
      <c r="B961" s="25"/>
    </row>
    <row r="962" spans="1:2" ht="15.75" thickBot="1" x14ac:dyDescent="0.3">
      <c r="A962" s="28"/>
      <c r="B962" s="25"/>
    </row>
    <row r="963" spans="1:2" ht="15.75" thickBot="1" x14ac:dyDescent="0.3">
      <c r="A963" s="28"/>
      <c r="B963" s="25"/>
    </row>
    <row r="964" spans="1:2" ht="15.75" thickBot="1" x14ac:dyDescent="0.3">
      <c r="A964" s="28"/>
      <c r="B964" s="25"/>
    </row>
    <row r="965" spans="1:2" ht="15.75" thickBot="1" x14ac:dyDescent="0.3">
      <c r="A965" s="28"/>
      <c r="B965" s="25"/>
    </row>
    <row r="966" spans="1:2" ht="15.75" thickBot="1" x14ac:dyDescent="0.3">
      <c r="A966" s="28"/>
      <c r="B966" s="25"/>
    </row>
    <row r="967" spans="1:2" ht="15.75" thickBot="1" x14ac:dyDescent="0.3">
      <c r="A967" s="28"/>
      <c r="B967" s="25"/>
    </row>
    <row r="968" spans="1:2" ht="15.75" thickBot="1" x14ac:dyDescent="0.3">
      <c r="A968" s="28"/>
      <c r="B968" s="25"/>
    </row>
    <row r="969" spans="1:2" ht="15.75" thickBot="1" x14ac:dyDescent="0.3">
      <c r="A969" s="28"/>
      <c r="B969" s="25"/>
    </row>
    <row r="970" spans="1:2" ht="15.75" thickBot="1" x14ac:dyDescent="0.3">
      <c r="A970" s="28"/>
      <c r="B970" s="25"/>
    </row>
    <row r="971" spans="1:2" ht="15.75" thickBot="1" x14ac:dyDescent="0.3">
      <c r="A971" s="28"/>
      <c r="B971" s="25"/>
    </row>
    <row r="972" spans="1:2" ht="15.75" thickBot="1" x14ac:dyDescent="0.3">
      <c r="A972" s="28"/>
      <c r="B972" s="25"/>
    </row>
    <row r="973" spans="1:2" ht="15.75" thickBot="1" x14ac:dyDescent="0.3">
      <c r="A973" s="28"/>
      <c r="B973" s="25"/>
    </row>
    <row r="974" spans="1:2" ht="15.75" thickBot="1" x14ac:dyDescent="0.3">
      <c r="A974" s="28"/>
      <c r="B974" s="25"/>
    </row>
    <row r="975" spans="1:2" ht="15.75" thickBot="1" x14ac:dyDescent="0.3">
      <c r="A975" s="28"/>
      <c r="B975" s="25"/>
    </row>
    <row r="976" spans="1:2" ht="15.75" thickBot="1" x14ac:dyDescent="0.3">
      <c r="A976" s="28"/>
      <c r="B976" s="25"/>
    </row>
    <row r="977" spans="1:2" ht="15.75" thickBot="1" x14ac:dyDescent="0.3">
      <c r="A977" s="28"/>
      <c r="B977" s="25"/>
    </row>
    <row r="978" spans="1:2" ht="15.75" thickBot="1" x14ac:dyDescent="0.3">
      <c r="A978" s="28"/>
      <c r="B978" s="25"/>
    </row>
    <row r="979" spans="1:2" ht="15.75" thickBot="1" x14ac:dyDescent="0.3">
      <c r="A979" s="28"/>
      <c r="B979" s="25"/>
    </row>
    <row r="980" spans="1:2" ht="15.75" thickBot="1" x14ac:dyDescent="0.3">
      <c r="A980" s="28"/>
      <c r="B980" s="25"/>
    </row>
    <row r="981" spans="1:2" ht="15.75" thickBot="1" x14ac:dyDescent="0.3">
      <c r="A981" s="28"/>
      <c r="B981" s="25"/>
    </row>
    <row r="982" spans="1:2" ht="15.75" thickBot="1" x14ac:dyDescent="0.3">
      <c r="A982" s="28"/>
      <c r="B982" s="25"/>
    </row>
    <row r="983" spans="1:2" ht="15.75" thickBot="1" x14ac:dyDescent="0.3">
      <c r="A983" s="28"/>
      <c r="B983" s="25"/>
    </row>
    <row r="984" spans="1:2" ht="15.75" thickBot="1" x14ac:dyDescent="0.3">
      <c r="A984" s="28"/>
      <c r="B984" s="25"/>
    </row>
    <row r="985" spans="1:2" ht="15.75" thickBot="1" x14ac:dyDescent="0.3">
      <c r="A985" s="28"/>
      <c r="B985" s="25"/>
    </row>
    <row r="986" spans="1:2" ht="15.75" thickBot="1" x14ac:dyDescent="0.3">
      <c r="A986" s="28"/>
      <c r="B986" s="25"/>
    </row>
    <row r="987" spans="1:2" ht="15.75" thickBot="1" x14ac:dyDescent="0.3">
      <c r="A987" s="28"/>
      <c r="B987" s="25"/>
    </row>
    <row r="988" spans="1:2" ht="15.75" thickBot="1" x14ac:dyDescent="0.3">
      <c r="A988" s="28"/>
      <c r="B988" s="25"/>
    </row>
    <row r="989" spans="1:2" ht="15.75" thickBot="1" x14ac:dyDescent="0.3">
      <c r="A989" s="28"/>
      <c r="B989" s="25"/>
    </row>
    <row r="990" spans="1:2" ht="15.75" thickBot="1" x14ac:dyDescent="0.3">
      <c r="A990" s="28"/>
      <c r="B990" s="25"/>
    </row>
    <row r="991" spans="1:2" ht="15.75" thickBot="1" x14ac:dyDescent="0.3">
      <c r="A991" s="28"/>
      <c r="B991" s="25"/>
    </row>
    <row r="992" spans="1:2" ht="15.75" thickBot="1" x14ac:dyDescent="0.3">
      <c r="A992" s="28"/>
      <c r="B992" s="25"/>
    </row>
    <row r="993" spans="1:2" ht="15.75" thickBot="1" x14ac:dyDescent="0.3">
      <c r="A993" s="28"/>
      <c r="B993" s="25"/>
    </row>
    <row r="994" spans="1:2" ht="15.75" thickBot="1" x14ac:dyDescent="0.3">
      <c r="A994" s="28"/>
      <c r="B994" s="25"/>
    </row>
    <row r="995" spans="1:2" ht="15.75" thickBot="1" x14ac:dyDescent="0.3">
      <c r="A995" s="28"/>
      <c r="B995" s="25"/>
    </row>
    <row r="996" spans="1:2" ht="15.75" thickBot="1" x14ac:dyDescent="0.3">
      <c r="A996" s="28"/>
      <c r="B996" s="25"/>
    </row>
    <row r="997" spans="1:2" ht="15.75" thickBot="1" x14ac:dyDescent="0.3">
      <c r="A997" s="28"/>
      <c r="B997" s="25"/>
    </row>
    <row r="998" spans="1:2" ht="15.75" thickBot="1" x14ac:dyDescent="0.3">
      <c r="A998" s="28"/>
      <c r="B998" s="25"/>
    </row>
    <row r="999" spans="1:2" ht="15.75" thickBot="1" x14ac:dyDescent="0.3">
      <c r="A999" s="28"/>
      <c r="B999" s="25"/>
    </row>
    <row r="1000" spans="1:2" ht="15.75" thickBot="1" x14ac:dyDescent="0.3">
      <c r="A1000" s="28"/>
      <c r="B1000" s="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80F720-A55F-4C9A-BC8B-B653E2D6BB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Intro</vt:lpstr>
      <vt:lpstr>Dashboard</vt:lpstr>
      <vt:lpstr>Data</vt:lpstr>
      <vt:lpstr>Forecast</vt:lpstr>
      <vt:lpstr>Weekly</vt:lpstr>
      <vt:lpstr>Dividends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2026-01-19T03:32:40Z</dcterms:created>
  <dcterms:modified xsi:type="dcterms:W3CDTF">2026-02-28T01:28:48Z</dcterms:modified>
</cp:coreProperties>
</file>