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wner\Documents\ExcelStockWorksheet\"/>
    </mc:Choice>
  </mc:AlternateContent>
  <xr:revisionPtr revIDLastSave="0" documentId="13_ncr:1_{26BCF2A7-A7E7-4C35-A711-6836AE8C41A9}" xr6:coauthVersionLast="47" xr6:coauthVersionMax="47" xr10:uidLastSave="{00000000-0000-0000-0000-000000000000}"/>
  <bookViews>
    <workbookView xWindow="4980" yWindow="180" windowWidth="8625" windowHeight="10620" firstSheet="1" activeTab="4" xr2:uid="{92AFEA67-FCE1-458C-9A7E-ADF426D7B024}"/>
  </bookViews>
  <sheets>
    <sheet name="Intro" sheetId="10" r:id="rId1"/>
    <sheet name="Data" sheetId="1" r:id="rId2"/>
    <sheet name="Forecast Average" sheetId="20" r:id="rId3"/>
    <sheet name="Weeky" sheetId="19" r:id="rId4"/>
    <sheet name="Dashboard" sheetId="7" r:id="rId5"/>
    <sheet name="Dividends" sheetId="18" r:id="rId6"/>
  </sheets>
  <definedNames>
    <definedName name="data">Data!$1:$1048576</definedName>
    <definedName name="ExternalData_1" localSheetId="2" hidden="1">'Forecast Average'!$A$1:$B$120</definedName>
    <definedName name="ExternalData_1" localSheetId="3" hidden="1">Weeky!#REF!</definedName>
    <definedName name="FromArray_1">_xlfn.ANCHORARRAY(Data!$B$1)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24" i="1" l="1"/>
  <c r="V524" i="1"/>
  <c r="U525" i="1"/>
  <c r="V525" i="1"/>
  <c r="Y525" i="1"/>
  <c r="C113" i="20"/>
  <c r="C115" i="20"/>
  <c r="C114" i="20"/>
  <c r="C116" i="20"/>
  <c r="C118" i="20"/>
  <c r="C119" i="20"/>
  <c r="C117" i="20"/>
  <c r="C120" i="20"/>
  <c r="C112" i="20"/>
  <c r="B1" i="1" a="1"/>
  <c r="A524" i="1" l="1"/>
  <c r="A525" i="1"/>
  <c r="E524" i="1"/>
  <c r="G524" i="1"/>
  <c r="E525" i="1"/>
  <c r="N525" i="1"/>
  <c r="J524" i="1"/>
  <c r="J525" i="1"/>
  <c r="AB525" i="1"/>
  <c r="N524" i="1"/>
  <c r="K524" i="1"/>
  <c r="K525" i="1"/>
  <c r="AB524" i="1"/>
  <c r="G525" i="1"/>
  <c r="B1" i="1"/>
  <c r="E515" i="1"/>
  <c r="G515" i="1"/>
  <c r="J515" i="1"/>
  <c r="K515" i="1"/>
  <c r="N515" i="1"/>
  <c r="O515" i="1" s="1"/>
  <c r="U515" i="1"/>
  <c r="V515" i="1"/>
  <c r="AB515" i="1"/>
  <c r="E516" i="1"/>
  <c r="G516" i="1"/>
  <c r="J516" i="1"/>
  <c r="K516" i="1"/>
  <c r="N516" i="1"/>
  <c r="O516" i="1" s="1"/>
  <c r="U516" i="1"/>
  <c r="V516" i="1"/>
  <c r="AB516" i="1"/>
  <c r="E517" i="1"/>
  <c r="G517" i="1"/>
  <c r="J517" i="1"/>
  <c r="K517" i="1"/>
  <c r="N517" i="1"/>
  <c r="P517" i="1" s="1"/>
  <c r="U517" i="1"/>
  <c r="V517" i="1"/>
  <c r="AB517" i="1"/>
  <c r="E518" i="1"/>
  <c r="G518" i="1"/>
  <c r="J518" i="1"/>
  <c r="K518" i="1"/>
  <c r="N518" i="1"/>
  <c r="P518" i="1" s="1"/>
  <c r="U518" i="1"/>
  <c r="V518" i="1"/>
  <c r="AB518" i="1"/>
  <c r="E519" i="1"/>
  <c r="G519" i="1"/>
  <c r="J519" i="1"/>
  <c r="K519" i="1"/>
  <c r="N519" i="1"/>
  <c r="P519" i="1" s="1"/>
  <c r="U519" i="1"/>
  <c r="V519" i="1"/>
  <c r="AB519" i="1"/>
  <c r="E520" i="1"/>
  <c r="G520" i="1"/>
  <c r="J520" i="1"/>
  <c r="K520" i="1"/>
  <c r="N520" i="1"/>
  <c r="P520" i="1" s="1"/>
  <c r="U520" i="1"/>
  <c r="V520" i="1"/>
  <c r="AB520" i="1"/>
  <c r="E521" i="1"/>
  <c r="G521" i="1"/>
  <c r="J521" i="1"/>
  <c r="K521" i="1"/>
  <c r="N521" i="1"/>
  <c r="P521" i="1" s="1"/>
  <c r="U521" i="1"/>
  <c r="V521" i="1"/>
  <c r="AB521" i="1"/>
  <c r="E522" i="1"/>
  <c r="G522" i="1"/>
  <c r="J522" i="1"/>
  <c r="K522" i="1"/>
  <c r="N522" i="1"/>
  <c r="P522" i="1" s="1"/>
  <c r="U522" i="1"/>
  <c r="V522" i="1"/>
  <c r="AB522" i="1"/>
  <c r="E523" i="1"/>
  <c r="G523" i="1"/>
  <c r="J523" i="1"/>
  <c r="K523" i="1"/>
  <c r="N523" i="1"/>
  <c r="P523" i="1" s="1"/>
  <c r="U523" i="1"/>
  <c r="V523" i="1"/>
  <c r="AB523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15" i="1"/>
  <c r="L525" i="1" l="1"/>
  <c r="M525" i="1"/>
  <c r="L524" i="1"/>
  <c r="M524" i="1"/>
  <c r="O525" i="1"/>
  <c r="P525" i="1"/>
  <c r="P524" i="1"/>
  <c r="O524" i="1"/>
  <c r="O521" i="1"/>
  <c r="M516" i="1"/>
  <c r="M522" i="1"/>
  <c r="L523" i="1"/>
  <c r="L517" i="1"/>
  <c r="O520" i="1"/>
  <c r="L516" i="1"/>
  <c r="M520" i="1"/>
  <c r="O519" i="1"/>
  <c r="O522" i="1"/>
  <c r="L515" i="1"/>
  <c r="M515" i="1"/>
  <c r="L522" i="1"/>
  <c r="L521" i="1"/>
  <c r="L518" i="1"/>
  <c r="O523" i="1"/>
  <c r="L520" i="1"/>
  <c r="L519" i="1"/>
  <c r="M518" i="1"/>
  <c r="O517" i="1"/>
  <c r="M523" i="1"/>
  <c r="M519" i="1"/>
  <c r="M521" i="1"/>
  <c r="O518" i="1"/>
  <c r="M517" i="1"/>
  <c r="P516" i="1"/>
  <c r="P515" i="1"/>
  <c r="A3" i="1"/>
  <c r="A11" i="1"/>
  <c r="A19" i="1"/>
  <c r="A27" i="1"/>
  <c r="A35" i="1"/>
  <c r="A43" i="1"/>
  <c r="A51" i="1"/>
  <c r="A59" i="1"/>
  <c r="A67" i="1"/>
  <c r="A75" i="1"/>
  <c r="A83" i="1"/>
  <c r="A91" i="1"/>
  <c r="A99" i="1"/>
  <c r="A107" i="1"/>
  <c r="A115" i="1"/>
  <c r="A123" i="1"/>
  <c r="A131" i="1"/>
  <c r="A139" i="1"/>
  <c r="A147" i="1"/>
  <c r="A155" i="1"/>
  <c r="A163" i="1"/>
  <c r="A171" i="1"/>
  <c r="A179" i="1"/>
  <c r="A187" i="1"/>
  <c r="A195" i="1"/>
  <c r="A203" i="1"/>
  <c r="A211" i="1"/>
  <c r="A219" i="1"/>
  <c r="A227" i="1"/>
  <c r="A235" i="1"/>
  <c r="A243" i="1"/>
  <c r="A251" i="1"/>
  <c r="A259" i="1"/>
  <c r="A267" i="1"/>
  <c r="A275" i="1"/>
  <c r="A283" i="1"/>
  <c r="A291" i="1"/>
  <c r="A299" i="1"/>
  <c r="A307" i="1"/>
  <c r="A315" i="1"/>
  <c r="A323" i="1"/>
  <c r="A331" i="1"/>
  <c r="A339" i="1"/>
  <c r="A347" i="1"/>
  <c r="A355" i="1"/>
  <c r="A363" i="1"/>
  <c r="A371" i="1"/>
  <c r="A379" i="1"/>
  <c r="A387" i="1"/>
  <c r="A395" i="1"/>
  <c r="A403" i="1"/>
  <c r="A411" i="1"/>
  <c r="A419" i="1"/>
  <c r="A427" i="1"/>
  <c r="A435" i="1"/>
  <c r="A443" i="1"/>
  <c r="A451" i="1"/>
  <c r="A459" i="1"/>
  <c r="A467" i="1"/>
  <c r="A475" i="1"/>
  <c r="A483" i="1"/>
  <c r="A491" i="1"/>
  <c r="A499" i="1"/>
  <c r="A507" i="1"/>
  <c r="A515" i="1"/>
  <c r="A523" i="1"/>
  <c r="A396" i="1"/>
  <c r="A4" i="1"/>
  <c r="A12" i="1"/>
  <c r="A20" i="1"/>
  <c r="A28" i="1"/>
  <c r="A36" i="1"/>
  <c r="A44" i="1"/>
  <c r="A52" i="1"/>
  <c r="A60" i="1"/>
  <c r="A68" i="1"/>
  <c r="A76" i="1"/>
  <c r="A84" i="1"/>
  <c r="A92" i="1"/>
  <c r="A100" i="1"/>
  <c r="A108" i="1"/>
  <c r="A116" i="1"/>
  <c r="A124" i="1"/>
  <c r="A132" i="1"/>
  <c r="A140" i="1"/>
  <c r="A148" i="1"/>
  <c r="A156" i="1"/>
  <c r="A164" i="1"/>
  <c r="A172" i="1"/>
  <c r="A180" i="1"/>
  <c r="A188" i="1"/>
  <c r="A196" i="1"/>
  <c r="A204" i="1"/>
  <c r="A212" i="1"/>
  <c r="A220" i="1"/>
  <c r="A228" i="1"/>
  <c r="A236" i="1"/>
  <c r="A244" i="1"/>
  <c r="A252" i="1"/>
  <c r="A260" i="1"/>
  <c r="A268" i="1"/>
  <c r="A276" i="1"/>
  <c r="A284" i="1"/>
  <c r="A292" i="1"/>
  <c r="A300" i="1"/>
  <c r="A308" i="1"/>
  <c r="A316" i="1"/>
  <c r="A324" i="1"/>
  <c r="A332" i="1"/>
  <c r="A340" i="1"/>
  <c r="A348" i="1"/>
  <c r="A356" i="1"/>
  <c r="A364" i="1"/>
  <c r="A372" i="1"/>
  <c r="A380" i="1"/>
  <c r="A388" i="1"/>
  <c r="A404" i="1"/>
  <c r="A412" i="1"/>
  <c r="A420" i="1"/>
  <c r="A428" i="1"/>
  <c r="A436" i="1"/>
  <c r="A444" i="1"/>
  <c r="A452" i="1"/>
  <c r="A460" i="1"/>
  <c r="A468" i="1"/>
  <c r="A476" i="1"/>
  <c r="A484" i="1"/>
  <c r="A492" i="1"/>
  <c r="A500" i="1"/>
  <c r="A508" i="1"/>
  <c r="A516" i="1"/>
  <c r="A5" i="1"/>
  <c r="A13" i="1"/>
  <c r="A21" i="1"/>
  <c r="A29" i="1"/>
  <c r="A37" i="1"/>
  <c r="A45" i="1"/>
  <c r="A53" i="1"/>
  <c r="A61" i="1"/>
  <c r="A69" i="1"/>
  <c r="A77" i="1"/>
  <c r="A85" i="1"/>
  <c r="A93" i="1"/>
  <c r="A101" i="1"/>
  <c r="A109" i="1"/>
  <c r="A117" i="1"/>
  <c r="A125" i="1"/>
  <c r="A133" i="1"/>
  <c r="A141" i="1"/>
  <c r="A149" i="1"/>
  <c r="A157" i="1"/>
  <c r="A165" i="1"/>
  <c r="A173" i="1"/>
  <c r="A181" i="1"/>
  <c r="A189" i="1"/>
  <c r="A197" i="1"/>
  <c r="A205" i="1"/>
  <c r="A213" i="1"/>
  <c r="A221" i="1"/>
  <c r="A229" i="1"/>
  <c r="A237" i="1"/>
  <c r="A245" i="1"/>
  <c r="A253" i="1"/>
  <c r="A261" i="1"/>
  <c r="A269" i="1"/>
  <c r="A277" i="1"/>
  <c r="A285" i="1"/>
  <c r="A293" i="1"/>
  <c r="A301" i="1"/>
  <c r="A309" i="1"/>
  <c r="A317" i="1"/>
  <c r="A325" i="1"/>
  <c r="A333" i="1"/>
  <c r="A341" i="1"/>
  <c r="A349" i="1"/>
  <c r="A357" i="1"/>
  <c r="A365" i="1"/>
  <c r="A373" i="1"/>
  <c r="A381" i="1"/>
  <c r="A389" i="1"/>
  <c r="A397" i="1"/>
  <c r="A405" i="1"/>
  <c r="A413" i="1"/>
  <c r="A421" i="1"/>
  <c r="A429" i="1"/>
  <c r="A437" i="1"/>
  <c r="A445" i="1"/>
  <c r="A453" i="1"/>
  <c r="A461" i="1"/>
  <c r="A469" i="1"/>
  <c r="A477" i="1"/>
  <c r="A485" i="1"/>
  <c r="A493" i="1"/>
  <c r="A501" i="1"/>
  <c r="A509" i="1"/>
  <c r="A517" i="1"/>
  <c r="A406" i="1"/>
  <c r="A518" i="1"/>
  <c r="A6" i="1"/>
  <c r="A14" i="1"/>
  <c r="A22" i="1"/>
  <c r="A30" i="1"/>
  <c r="A38" i="1"/>
  <c r="A46" i="1"/>
  <c r="A54" i="1"/>
  <c r="A62" i="1"/>
  <c r="A70" i="1"/>
  <c r="A78" i="1"/>
  <c r="A86" i="1"/>
  <c r="A94" i="1"/>
  <c r="A102" i="1"/>
  <c r="A110" i="1"/>
  <c r="A118" i="1"/>
  <c r="A126" i="1"/>
  <c r="A134" i="1"/>
  <c r="A142" i="1"/>
  <c r="A150" i="1"/>
  <c r="A158" i="1"/>
  <c r="A166" i="1"/>
  <c r="A174" i="1"/>
  <c r="A182" i="1"/>
  <c r="A190" i="1"/>
  <c r="A198" i="1"/>
  <c r="A206" i="1"/>
  <c r="A214" i="1"/>
  <c r="A222" i="1"/>
  <c r="A230" i="1"/>
  <c r="A238" i="1"/>
  <c r="A246" i="1"/>
  <c r="A254" i="1"/>
  <c r="A262" i="1"/>
  <c r="A270" i="1"/>
  <c r="A278" i="1"/>
  <c r="A286" i="1"/>
  <c r="A294" i="1"/>
  <c r="A302" i="1"/>
  <c r="A310" i="1"/>
  <c r="A318" i="1"/>
  <c r="A326" i="1"/>
  <c r="A334" i="1"/>
  <c r="A342" i="1"/>
  <c r="A350" i="1"/>
  <c r="A358" i="1"/>
  <c r="A366" i="1"/>
  <c r="A374" i="1"/>
  <c r="A382" i="1"/>
  <c r="A390" i="1"/>
  <c r="A398" i="1"/>
  <c r="A414" i="1"/>
  <c r="A422" i="1"/>
  <c r="A430" i="1"/>
  <c r="A438" i="1"/>
  <c r="A446" i="1"/>
  <c r="A454" i="1"/>
  <c r="A462" i="1"/>
  <c r="A470" i="1"/>
  <c r="A478" i="1"/>
  <c r="A486" i="1"/>
  <c r="A494" i="1"/>
  <c r="A502" i="1"/>
  <c r="A510" i="1"/>
  <c r="A7" i="1"/>
  <c r="A15" i="1"/>
  <c r="A23" i="1"/>
  <c r="A31" i="1"/>
  <c r="A39" i="1"/>
  <c r="A47" i="1"/>
  <c r="A55" i="1"/>
  <c r="A63" i="1"/>
  <c r="A71" i="1"/>
  <c r="A79" i="1"/>
  <c r="A87" i="1"/>
  <c r="A95" i="1"/>
  <c r="A103" i="1"/>
  <c r="A111" i="1"/>
  <c r="A119" i="1"/>
  <c r="A127" i="1"/>
  <c r="A135" i="1"/>
  <c r="A143" i="1"/>
  <c r="A151" i="1"/>
  <c r="A159" i="1"/>
  <c r="A167" i="1"/>
  <c r="A175" i="1"/>
  <c r="A183" i="1"/>
  <c r="A191" i="1"/>
  <c r="A199" i="1"/>
  <c r="A207" i="1"/>
  <c r="A215" i="1"/>
  <c r="A223" i="1"/>
  <c r="A231" i="1"/>
  <c r="A239" i="1"/>
  <c r="A247" i="1"/>
  <c r="A255" i="1"/>
  <c r="A263" i="1"/>
  <c r="A271" i="1"/>
  <c r="A279" i="1"/>
  <c r="A287" i="1"/>
  <c r="A295" i="1"/>
  <c r="A303" i="1"/>
  <c r="A311" i="1"/>
  <c r="A319" i="1"/>
  <c r="A327" i="1"/>
  <c r="A335" i="1"/>
  <c r="A343" i="1"/>
  <c r="A351" i="1"/>
  <c r="A359" i="1"/>
  <c r="A367" i="1"/>
  <c r="A375" i="1"/>
  <c r="A383" i="1"/>
  <c r="A391" i="1"/>
  <c r="A399" i="1"/>
  <c r="A407" i="1"/>
  <c r="A415" i="1"/>
  <c r="A423" i="1"/>
  <c r="A431" i="1"/>
  <c r="A439" i="1"/>
  <c r="A447" i="1"/>
  <c r="A455" i="1"/>
  <c r="A463" i="1"/>
  <c r="A471" i="1"/>
  <c r="A479" i="1"/>
  <c r="A487" i="1"/>
  <c r="A495" i="1"/>
  <c r="A503" i="1"/>
  <c r="A511" i="1"/>
  <c r="A519" i="1"/>
  <c r="A26" i="1"/>
  <c r="A82" i="1"/>
  <c r="A114" i="1"/>
  <c r="A138" i="1"/>
  <c r="A162" i="1"/>
  <c r="A186" i="1"/>
  <c r="A218" i="1"/>
  <c r="A250" i="1"/>
  <c r="A274" i="1"/>
  <c r="A298" i="1"/>
  <c r="A322" i="1"/>
  <c r="A346" i="1"/>
  <c r="A370" i="1"/>
  <c r="A394" i="1"/>
  <c r="A418" i="1"/>
  <c r="A442" i="1"/>
  <c r="A466" i="1"/>
  <c r="A8" i="1"/>
  <c r="A16" i="1"/>
  <c r="A24" i="1"/>
  <c r="A32" i="1"/>
  <c r="A40" i="1"/>
  <c r="A48" i="1"/>
  <c r="A56" i="1"/>
  <c r="A64" i="1"/>
  <c r="A72" i="1"/>
  <c r="A80" i="1"/>
  <c r="A88" i="1"/>
  <c r="A96" i="1"/>
  <c r="A104" i="1"/>
  <c r="A112" i="1"/>
  <c r="A120" i="1"/>
  <c r="A128" i="1"/>
  <c r="A136" i="1"/>
  <c r="A144" i="1"/>
  <c r="A152" i="1"/>
  <c r="A160" i="1"/>
  <c r="A168" i="1"/>
  <c r="A176" i="1"/>
  <c r="A184" i="1"/>
  <c r="A192" i="1"/>
  <c r="A200" i="1"/>
  <c r="A208" i="1"/>
  <c r="A216" i="1"/>
  <c r="A224" i="1"/>
  <c r="A232" i="1"/>
  <c r="A240" i="1"/>
  <c r="A248" i="1"/>
  <c r="A256" i="1"/>
  <c r="A264" i="1"/>
  <c r="A272" i="1"/>
  <c r="A280" i="1"/>
  <c r="A288" i="1"/>
  <c r="A296" i="1"/>
  <c r="A304" i="1"/>
  <c r="A312" i="1"/>
  <c r="A320" i="1"/>
  <c r="A328" i="1"/>
  <c r="A336" i="1"/>
  <c r="A344" i="1"/>
  <c r="A352" i="1"/>
  <c r="A360" i="1"/>
  <c r="A368" i="1"/>
  <c r="A376" i="1"/>
  <c r="A384" i="1"/>
  <c r="A392" i="1"/>
  <c r="A400" i="1"/>
  <c r="A408" i="1"/>
  <c r="A416" i="1"/>
  <c r="A424" i="1"/>
  <c r="A432" i="1"/>
  <c r="A440" i="1"/>
  <c r="A448" i="1"/>
  <c r="A456" i="1"/>
  <c r="A464" i="1"/>
  <c r="A472" i="1"/>
  <c r="A480" i="1"/>
  <c r="A488" i="1"/>
  <c r="A496" i="1"/>
  <c r="A504" i="1"/>
  <c r="A512" i="1"/>
  <c r="A520" i="1"/>
  <c r="A18" i="1"/>
  <c r="A34" i="1"/>
  <c r="A50" i="1"/>
  <c r="A66" i="1"/>
  <c r="A90" i="1"/>
  <c r="A106" i="1"/>
  <c r="A130" i="1"/>
  <c r="A154" i="1"/>
  <c r="A178" i="1"/>
  <c r="A202" i="1"/>
  <c r="A242" i="1"/>
  <c r="A266" i="1"/>
  <c r="A290" i="1"/>
  <c r="A314" i="1"/>
  <c r="A338" i="1"/>
  <c r="A378" i="1"/>
  <c r="A402" i="1"/>
  <c r="A434" i="1"/>
  <c r="A458" i="1"/>
  <c r="A474" i="1"/>
  <c r="A9" i="1"/>
  <c r="A17" i="1"/>
  <c r="A25" i="1"/>
  <c r="A33" i="1"/>
  <c r="A41" i="1"/>
  <c r="A49" i="1"/>
  <c r="A57" i="1"/>
  <c r="A65" i="1"/>
  <c r="A73" i="1"/>
  <c r="A81" i="1"/>
  <c r="A89" i="1"/>
  <c r="A97" i="1"/>
  <c r="A105" i="1"/>
  <c r="A113" i="1"/>
  <c r="A121" i="1"/>
  <c r="A129" i="1"/>
  <c r="A137" i="1"/>
  <c r="A145" i="1"/>
  <c r="A153" i="1"/>
  <c r="A161" i="1"/>
  <c r="A169" i="1"/>
  <c r="A177" i="1"/>
  <c r="A185" i="1"/>
  <c r="A193" i="1"/>
  <c r="A201" i="1"/>
  <c r="A209" i="1"/>
  <c r="A217" i="1"/>
  <c r="A225" i="1"/>
  <c r="A233" i="1"/>
  <c r="A241" i="1"/>
  <c r="A249" i="1"/>
  <c r="A257" i="1"/>
  <c r="A265" i="1"/>
  <c r="A273" i="1"/>
  <c r="A281" i="1"/>
  <c r="A289" i="1"/>
  <c r="A297" i="1"/>
  <c r="A305" i="1"/>
  <c r="A313" i="1"/>
  <c r="A321" i="1"/>
  <c r="A329" i="1"/>
  <c r="A337" i="1"/>
  <c r="A345" i="1"/>
  <c r="A353" i="1"/>
  <c r="A361" i="1"/>
  <c r="A369" i="1"/>
  <c r="A377" i="1"/>
  <c r="A385" i="1"/>
  <c r="A393" i="1"/>
  <c r="A401" i="1"/>
  <c r="A409" i="1"/>
  <c r="A417" i="1"/>
  <c r="A425" i="1"/>
  <c r="A433" i="1"/>
  <c r="A441" i="1"/>
  <c r="A449" i="1"/>
  <c r="A457" i="1"/>
  <c r="A465" i="1"/>
  <c r="A473" i="1"/>
  <c r="A481" i="1"/>
  <c r="A489" i="1"/>
  <c r="A497" i="1"/>
  <c r="A505" i="1"/>
  <c r="A513" i="1"/>
  <c r="A521" i="1"/>
  <c r="A10" i="1"/>
  <c r="A42" i="1"/>
  <c r="A58" i="1"/>
  <c r="A74" i="1"/>
  <c r="A98" i="1"/>
  <c r="A122" i="1"/>
  <c r="A146" i="1"/>
  <c r="A170" i="1"/>
  <c r="A194" i="1"/>
  <c r="A226" i="1"/>
  <c r="A258" i="1"/>
  <c r="A282" i="1"/>
  <c r="A306" i="1"/>
  <c r="A330" i="1"/>
  <c r="A354" i="1"/>
  <c r="A362" i="1"/>
  <c r="A386" i="1"/>
  <c r="A410" i="1"/>
  <c r="A426" i="1"/>
  <c r="A450" i="1"/>
  <c r="A210" i="1"/>
  <c r="A234" i="1"/>
  <c r="A482" i="1"/>
  <c r="A490" i="1"/>
  <c r="A498" i="1"/>
  <c r="A506" i="1"/>
  <c r="A514" i="1"/>
  <c r="A522" i="1"/>
  <c r="A2" i="1"/>
  <c r="AE5" i="1"/>
  <c r="AE4" i="1"/>
  <c r="AE3" i="1"/>
  <c r="AE2" i="1"/>
  <c r="AD5" i="1"/>
  <c r="AD4" i="1"/>
  <c r="AD3" i="1"/>
  <c r="AD2" i="1"/>
  <c r="AB102" i="1"/>
  <c r="N96" i="1"/>
  <c r="AB172" i="1"/>
  <c r="AB198" i="1"/>
  <c r="N192" i="1"/>
  <c r="AB278" i="1"/>
  <c r="N272" i="1"/>
  <c r="N427" i="1"/>
  <c r="N114" i="1"/>
  <c r="AB105" i="1"/>
  <c r="K294" i="1"/>
  <c r="AB241" i="1"/>
  <c r="AB366" i="1"/>
  <c r="N34" i="1"/>
  <c r="AB361" i="1"/>
  <c r="AB495" i="1"/>
  <c r="AB268" i="1"/>
  <c r="AB489" i="1"/>
  <c r="N108" i="1"/>
  <c r="N315" i="1"/>
  <c r="N329" i="1"/>
  <c r="AB482" i="1"/>
  <c r="AB413" i="1"/>
  <c r="AB178" i="1"/>
  <c r="AB476" i="1"/>
  <c r="AB509" i="1"/>
  <c r="AB283" i="1"/>
  <c r="N54" i="1"/>
  <c r="N342" i="1"/>
  <c r="AB267" i="1"/>
  <c r="K372" i="1"/>
  <c r="N324" i="1"/>
  <c r="AB327" i="1"/>
  <c r="N474" i="1"/>
  <c r="N142" i="1"/>
  <c r="AB423" i="1"/>
  <c r="N59" i="1"/>
  <c r="AB503" i="1"/>
  <c r="N139" i="1"/>
  <c r="N145" i="1"/>
  <c r="N332" i="1"/>
  <c r="AB101" i="1"/>
  <c r="K327" i="1"/>
  <c r="AB115" i="1"/>
  <c r="AB104" i="1"/>
  <c r="N291" i="1"/>
  <c r="AB211" i="1"/>
  <c r="AB217" i="1"/>
  <c r="AB291" i="1"/>
  <c r="AB220" i="1"/>
  <c r="K278" i="1"/>
  <c r="N132" i="1"/>
  <c r="N121" i="1"/>
  <c r="N510" i="1"/>
  <c r="N71" i="1"/>
  <c r="AB379" i="1"/>
  <c r="AB312" i="1"/>
  <c r="N167" i="1"/>
  <c r="AB389" i="1"/>
  <c r="N80" i="1"/>
  <c r="N456" i="1"/>
  <c r="N56" i="1"/>
  <c r="AB343" i="1"/>
  <c r="K102" i="1"/>
  <c r="AB505" i="1"/>
  <c r="AB174" i="1"/>
  <c r="N168" i="1"/>
  <c r="AB145" i="1"/>
  <c r="AB303" i="1"/>
  <c r="AB225" i="1"/>
  <c r="AB350" i="1"/>
  <c r="N299" i="1"/>
  <c r="N452" i="1"/>
  <c r="N386" i="1"/>
  <c r="AB297" i="1"/>
  <c r="AB334" i="1"/>
  <c r="N353" i="1"/>
  <c r="N51" i="1"/>
  <c r="N150" i="1"/>
  <c r="K205" i="1"/>
  <c r="N53" i="1"/>
  <c r="K411" i="1"/>
  <c r="N125" i="1"/>
  <c r="AB235" i="1"/>
  <c r="K53" i="1"/>
  <c r="AB135" i="1"/>
  <c r="N282" i="1"/>
  <c r="AB485" i="1"/>
  <c r="AB231" i="1"/>
  <c r="N378" i="1"/>
  <c r="AB311" i="1"/>
  <c r="N458" i="1"/>
  <c r="N77" i="1"/>
  <c r="N437" i="1"/>
  <c r="AB300" i="1"/>
  <c r="K135" i="1"/>
  <c r="AB426" i="1"/>
  <c r="AB399" i="1"/>
  <c r="N35" i="1"/>
  <c r="AB116" i="1"/>
  <c r="AB345" i="1"/>
  <c r="AB484" i="1"/>
  <c r="AB215" i="1"/>
  <c r="K86" i="1"/>
  <c r="N129" i="1"/>
  <c r="N513" i="1"/>
  <c r="N126" i="1"/>
  <c r="N390" i="1"/>
  <c r="AB187" i="1"/>
  <c r="AB120" i="1"/>
  <c r="N486" i="1"/>
  <c r="AB197" i="1"/>
  <c r="N55" i="1"/>
  <c r="N362" i="1"/>
  <c r="N350" i="1"/>
  <c r="K511" i="1"/>
  <c r="N5" i="1"/>
  <c r="AB352" i="1"/>
  <c r="N384" i="1"/>
  <c r="N143" i="1"/>
  <c r="AB448" i="1"/>
  <c r="AB111" i="1"/>
  <c r="AB441" i="1"/>
  <c r="AB158" i="1"/>
  <c r="N303" i="1"/>
  <c r="N165" i="1"/>
  <c r="N328" i="1"/>
  <c r="AB216" i="1"/>
  <c r="AB260" i="1"/>
  <c r="AB121" i="1"/>
  <c r="AB190" i="1"/>
  <c r="AB125" i="1"/>
  <c r="AB402" i="1"/>
  <c r="AB205" i="1"/>
  <c r="AB188" i="1"/>
  <c r="AB364" i="1"/>
  <c r="K286" i="1"/>
  <c r="N68" i="1"/>
  <c r="AB422" i="1"/>
  <c r="N90" i="1"/>
  <c r="AB293" i="1"/>
  <c r="AB353" i="1"/>
  <c r="N186" i="1"/>
  <c r="AB119" i="1"/>
  <c r="N266" i="1"/>
  <c r="N492" i="1"/>
  <c r="N175" i="1"/>
  <c r="AB131" i="1"/>
  <c r="K451" i="1"/>
  <c r="AB234" i="1"/>
  <c r="AB207" i="1"/>
  <c r="N354" i="1"/>
  <c r="AB330" i="1"/>
  <c r="AB328" i="1"/>
  <c r="AB410" i="1"/>
  <c r="AB383" i="1"/>
  <c r="N488" i="1"/>
  <c r="N311" i="1"/>
  <c r="N243" i="1"/>
  <c r="AB237" i="1"/>
  <c r="AB272" i="1"/>
  <c r="N195" i="1"/>
  <c r="N375" i="1"/>
  <c r="N219" i="1"/>
  <c r="J150" i="1"/>
  <c r="N347" i="1"/>
  <c r="K441" i="1"/>
  <c r="K480" i="1"/>
  <c r="N352" i="1"/>
  <c r="K436" i="1"/>
  <c r="AB160" i="1"/>
  <c r="N29" i="1"/>
  <c r="N462" i="1"/>
  <c r="AB256" i="1"/>
  <c r="AB398" i="1"/>
  <c r="AB336" i="1"/>
  <c r="N363" i="1"/>
  <c r="N508" i="1"/>
  <c r="N100" i="1"/>
  <c r="N111" i="1"/>
  <c r="K164" i="1"/>
  <c r="AB435" i="1"/>
  <c r="AB424" i="1"/>
  <c r="N480" i="1"/>
  <c r="AB132" i="1"/>
  <c r="AB210" i="1"/>
  <c r="AB236" i="1"/>
  <c r="AB356" i="1"/>
  <c r="AB279" i="1"/>
  <c r="K94" i="1"/>
  <c r="N377" i="1"/>
  <c r="AB230" i="1"/>
  <c r="N224" i="1"/>
  <c r="AB492" i="1"/>
  <c r="AB326" i="1"/>
  <c r="N320" i="1"/>
  <c r="AB406" i="1"/>
  <c r="N74" i="1"/>
  <c r="N217" i="1"/>
  <c r="N370" i="1"/>
  <c r="AB122" i="1"/>
  <c r="K422" i="1"/>
  <c r="AB393" i="1"/>
  <c r="AB494" i="1"/>
  <c r="N162" i="1"/>
  <c r="AB138" i="1"/>
  <c r="AB136" i="1"/>
  <c r="AB218" i="1"/>
  <c r="AB191" i="1"/>
  <c r="N380" i="1"/>
  <c r="N340" i="1"/>
  <c r="N331" i="1"/>
  <c r="AB323" i="1"/>
  <c r="N6" i="1"/>
  <c r="AB306" i="1"/>
  <c r="AB223" i="1"/>
  <c r="N102" i="1"/>
  <c r="AB411" i="1"/>
  <c r="N182" i="1"/>
  <c r="N87" i="1"/>
  <c r="AB252" i="1"/>
  <c r="K127" i="1"/>
  <c r="N496" i="1"/>
  <c r="AB455" i="1"/>
  <c r="N91" i="1"/>
  <c r="N270" i="1"/>
  <c r="AB228" i="1"/>
  <c r="AB206" i="1"/>
  <c r="AB144" i="1"/>
  <c r="N489" i="1"/>
  <c r="N356" i="1"/>
  <c r="N503" i="1"/>
  <c r="N238" i="1"/>
  <c r="K455" i="1"/>
  <c r="AB243" i="1"/>
  <c r="AB232" i="1"/>
  <c r="N203" i="1"/>
  <c r="AB339" i="1"/>
  <c r="AB369" i="1"/>
  <c r="AB419" i="1"/>
  <c r="AB417" i="1"/>
  <c r="K406" i="1"/>
  <c r="N509" i="1"/>
  <c r="N17" i="1"/>
  <c r="N88" i="1"/>
  <c r="N267" i="1"/>
  <c r="N415" i="1"/>
  <c r="N220" i="1"/>
  <c r="N359" i="1"/>
  <c r="AB420" i="1"/>
  <c r="K316" i="1"/>
  <c r="K370" i="1"/>
  <c r="K32" i="1"/>
  <c r="N169" i="1"/>
  <c r="N268" i="1"/>
  <c r="AB177" i="1"/>
  <c r="AB302" i="1"/>
  <c r="N296" i="1"/>
  <c r="AB273" i="1"/>
  <c r="AB431" i="1"/>
  <c r="AB377" i="1"/>
  <c r="AB478" i="1"/>
  <c r="N475" i="1"/>
  <c r="N45" i="1"/>
  <c r="N123" i="1"/>
  <c r="AB314" i="1"/>
  <c r="AB349" i="1"/>
  <c r="AB114" i="1"/>
  <c r="AB510" i="1"/>
  <c r="AB445" i="1"/>
  <c r="AB219" i="1"/>
  <c r="X27" i="1"/>
  <c r="X28" i="1" s="1"/>
  <c r="X29" i="1" s="1"/>
  <c r="X30" i="1" s="1"/>
  <c r="X31" i="1" s="1"/>
  <c r="X32" i="1" s="1"/>
  <c r="X33" i="1" s="1"/>
  <c r="X34" i="1" s="1"/>
  <c r="X35" i="1" s="1"/>
  <c r="X36" i="1" s="1"/>
  <c r="X37" i="1" s="1"/>
  <c r="X38" i="1" s="1"/>
  <c r="X39" i="1" s="1"/>
  <c r="X40" i="1" s="1"/>
  <c r="X41" i="1" s="1"/>
  <c r="X42" i="1" s="1"/>
  <c r="X43" i="1" s="1"/>
  <c r="X44" i="1" s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5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X368" i="1" s="1"/>
  <c r="X369" i="1" s="1"/>
  <c r="X370" i="1" s="1"/>
  <c r="X371" i="1" s="1"/>
  <c r="X372" i="1" s="1"/>
  <c r="X373" i="1" s="1"/>
  <c r="X374" i="1" s="1"/>
  <c r="X375" i="1" s="1"/>
  <c r="X376" i="1" s="1"/>
  <c r="X377" i="1" s="1"/>
  <c r="X378" i="1" s="1"/>
  <c r="X379" i="1" s="1"/>
  <c r="X380" i="1" s="1"/>
  <c r="X381" i="1" s="1"/>
  <c r="X382" i="1" s="1"/>
  <c r="X383" i="1" s="1"/>
  <c r="X384" i="1" s="1"/>
  <c r="X385" i="1" s="1"/>
  <c r="X386" i="1" s="1"/>
  <c r="X387" i="1" s="1"/>
  <c r="X388" i="1" s="1"/>
  <c r="X389" i="1" s="1"/>
  <c r="X390" i="1" s="1"/>
  <c r="X391" i="1" s="1"/>
  <c r="X392" i="1" s="1"/>
  <c r="X393" i="1" s="1"/>
  <c r="X394" i="1" s="1"/>
  <c r="X395" i="1" s="1"/>
  <c r="X396" i="1" s="1"/>
  <c r="X397" i="1" s="1"/>
  <c r="X398" i="1" s="1"/>
  <c r="X399" i="1" s="1"/>
  <c r="X400" i="1" s="1"/>
  <c r="X401" i="1" s="1"/>
  <c r="X402" i="1" s="1"/>
  <c r="X403" i="1" s="1"/>
  <c r="X404" i="1" s="1"/>
  <c r="X405" i="1" s="1"/>
  <c r="X406" i="1" s="1"/>
  <c r="X407" i="1" s="1"/>
  <c r="X408" i="1" s="1"/>
  <c r="X409" i="1" s="1"/>
  <c r="X410" i="1" s="1"/>
  <c r="X411" i="1" s="1"/>
  <c r="X412" i="1" s="1"/>
  <c r="X413" i="1" s="1"/>
  <c r="X414" i="1" s="1"/>
  <c r="X415" i="1" s="1"/>
  <c r="X416" i="1" s="1"/>
  <c r="X417" i="1" s="1"/>
  <c r="X418" i="1" s="1"/>
  <c r="X419" i="1" s="1"/>
  <c r="X420" i="1" s="1"/>
  <c r="X421" i="1" s="1"/>
  <c r="X422" i="1" s="1"/>
  <c r="X423" i="1" s="1"/>
  <c r="X424" i="1" s="1"/>
  <c r="X425" i="1" s="1"/>
  <c r="X426" i="1" s="1"/>
  <c r="X427" i="1" s="1"/>
  <c r="X428" i="1" s="1"/>
  <c r="X429" i="1" s="1"/>
  <c r="X430" i="1" s="1"/>
  <c r="X431" i="1" s="1"/>
  <c r="X432" i="1" s="1"/>
  <c r="X433" i="1" s="1"/>
  <c r="X434" i="1" s="1"/>
  <c r="X435" i="1" s="1"/>
  <c r="X436" i="1" s="1"/>
  <c r="X437" i="1" s="1"/>
  <c r="X438" i="1" s="1"/>
  <c r="X439" i="1" s="1"/>
  <c r="X440" i="1" s="1"/>
  <c r="X441" i="1" s="1"/>
  <c r="X442" i="1" s="1"/>
  <c r="X443" i="1" s="1"/>
  <c r="X444" i="1" s="1"/>
  <c r="X445" i="1" s="1"/>
  <c r="X446" i="1" s="1"/>
  <c r="X447" i="1" s="1"/>
  <c r="X448" i="1" s="1"/>
  <c r="X449" i="1" s="1"/>
  <c r="X450" i="1" s="1"/>
  <c r="X451" i="1" s="1"/>
  <c r="X452" i="1" s="1"/>
  <c r="X453" i="1" s="1"/>
  <c r="X454" i="1" s="1"/>
  <c r="X455" i="1" s="1"/>
  <c r="X456" i="1" s="1"/>
  <c r="X457" i="1" s="1"/>
  <c r="X458" i="1" s="1"/>
  <c r="X459" i="1" s="1"/>
  <c r="X460" i="1" s="1"/>
  <c r="X461" i="1" s="1"/>
  <c r="X462" i="1" s="1"/>
  <c r="X463" i="1" s="1"/>
  <c r="X464" i="1" s="1"/>
  <c r="X465" i="1" s="1"/>
  <c r="X466" i="1" s="1"/>
  <c r="X467" i="1" s="1"/>
  <c r="X468" i="1" s="1"/>
  <c r="X469" i="1" s="1"/>
  <c r="X470" i="1" s="1"/>
  <c r="X471" i="1" s="1"/>
  <c r="X472" i="1" s="1"/>
  <c r="X473" i="1" s="1"/>
  <c r="X474" i="1" s="1"/>
  <c r="X475" i="1" s="1"/>
  <c r="X476" i="1" s="1"/>
  <c r="X477" i="1" s="1"/>
  <c r="X478" i="1" s="1"/>
  <c r="X479" i="1" s="1"/>
  <c r="X480" i="1" s="1"/>
  <c r="X481" i="1" s="1"/>
  <c r="X482" i="1" s="1"/>
  <c r="X483" i="1" s="1"/>
  <c r="X484" i="1" s="1"/>
  <c r="X485" i="1" s="1"/>
  <c r="X486" i="1" s="1"/>
  <c r="X487" i="1" s="1"/>
  <c r="X488" i="1" s="1"/>
  <c r="X489" i="1" s="1"/>
  <c r="X490" i="1" s="1"/>
  <c r="X491" i="1" s="1"/>
  <c r="X492" i="1" s="1"/>
  <c r="X493" i="1" s="1"/>
  <c r="X494" i="1" s="1"/>
  <c r="X495" i="1" s="1"/>
  <c r="X496" i="1" s="1"/>
  <c r="X497" i="1" s="1"/>
  <c r="X498" i="1" s="1"/>
  <c r="X499" i="1" s="1"/>
  <c r="X500" i="1" s="1"/>
  <c r="X501" i="1" s="1"/>
  <c r="X502" i="1" s="1"/>
  <c r="X503" i="1" s="1"/>
  <c r="X504" i="1" s="1"/>
  <c r="X505" i="1" s="1"/>
  <c r="X506" i="1" s="1"/>
  <c r="X507" i="1" s="1"/>
  <c r="X508" i="1" s="1"/>
  <c r="X509" i="1" s="1"/>
  <c r="X510" i="1" s="1"/>
  <c r="X511" i="1" s="1"/>
  <c r="X512" i="1" s="1"/>
  <c r="X513" i="1" s="1"/>
  <c r="X514" i="1" s="1"/>
  <c r="X515" i="1" s="1"/>
  <c r="X516" i="1" s="1"/>
  <c r="X517" i="1" s="1"/>
  <c r="X518" i="1" s="1"/>
  <c r="X519" i="1" s="1"/>
  <c r="X520" i="1" s="1"/>
  <c r="X521" i="1" s="1"/>
  <c r="X522" i="1" s="1"/>
  <c r="X523" i="1" s="1"/>
  <c r="X524" i="1" s="1"/>
  <c r="X525" i="1" s="1"/>
  <c r="N214" i="1"/>
  <c r="AB107" i="1"/>
  <c r="K355" i="1"/>
  <c r="N221" i="1"/>
  <c r="AB263" i="1"/>
  <c r="N410" i="1"/>
  <c r="N78" i="1"/>
  <c r="AB359" i="1"/>
  <c r="N506" i="1"/>
  <c r="AB439" i="1"/>
  <c r="N75" i="1"/>
  <c r="N493" i="1"/>
  <c r="N229" i="1"/>
  <c r="AB373" i="1"/>
  <c r="K263" i="1"/>
  <c r="AB308" i="1"/>
  <c r="AB433" i="1"/>
  <c r="N163" i="1"/>
  <c r="AB147" i="1"/>
  <c r="AB153" i="1"/>
  <c r="AB227" i="1"/>
  <c r="AB368" i="1"/>
  <c r="K214" i="1"/>
  <c r="N401" i="1"/>
  <c r="N461" i="1"/>
  <c r="N382" i="1"/>
  <c r="N7" i="1"/>
  <c r="AB315" i="1"/>
  <c r="AB248" i="1"/>
  <c r="N103" i="1"/>
  <c r="AB325" i="1"/>
  <c r="N16" i="1"/>
  <c r="N107" i="1"/>
  <c r="N95" i="1"/>
  <c r="AB310" i="1"/>
  <c r="K38" i="1"/>
  <c r="AB480" i="1"/>
  <c r="AB110" i="1"/>
  <c r="N104" i="1"/>
  <c r="AB412" i="1"/>
  <c r="AB239" i="1"/>
  <c r="AB161" i="1"/>
  <c r="AB286" i="1"/>
  <c r="N196" i="1"/>
  <c r="N367" i="1"/>
  <c r="N258" i="1"/>
  <c r="AB129" i="1"/>
  <c r="AB157" i="1"/>
  <c r="AB249" i="1"/>
  <c r="AB318" i="1"/>
  <c r="AB253" i="1"/>
  <c r="AB244" i="1"/>
  <c r="AB333" i="1"/>
  <c r="AB341" i="1"/>
  <c r="AB452" i="1"/>
  <c r="K414" i="1"/>
  <c r="N69" i="1"/>
  <c r="AB212" i="1"/>
  <c r="N325" i="1"/>
  <c r="N444" i="1"/>
  <c r="N468" i="1"/>
  <c r="K175" i="1"/>
  <c r="N152" i="1"/>
  <c r="AB471" i="1"/>
  <c r="K291" i="1"/>
  <c r="K129" i="1"/>
  <c r="K504" i="1"/>
  <c r="K488" i="1"/>
  <c r="AB362" i="1"/>
  <c r="AB335" i="1"/>
  <c r="N482" i="1"/>
  <c r="AB458" i="1"/>
  <c r="AB456" i="1"/>
  <c r="AB276" i="1"/>
  <c r="AB182" i="1"/>
  <c r="K22" i="1"/>
  <c r="N485" i="1"/>
  <c r="N428" i="1"/>
  <c r="W13" i="1"/>
  <c r="W14" i="1" s="1"/>
  <c r="W15" i="1" s="1"/>
  <c r="W16" i="1" s="1"/>
  <c r="W17" i="1" s="1"/>
  <c r="W18" i="1" s="1"/>
  <c r="W19" i="1" s="1"/>
  <c r="W20" i="1" s="1"/>
  <c r="W21" i="1" s="1"/>
  <c r="W22" i="1" s="1"/>
  <c r="W23" i="1" s="1"/>
  <c r="W24" i="1" s="1"/>
  <c r="W25" i="1" s="1"/>
  <c r="W26" i="1" s="1"/>
  <c r="W27" i="1" s="1"/>
  <c r="W28" i="1" s="1"/>
  <c r="W29" i="1" s="1"/>
  <c r="N326" i="1"/>
  <c r="AB123" i="1"/>
  <c r="AB497" i="1"/>
  <c r="N422" i="1"/>
  <c r="AB133" i="1"/>
  <c r="N502" i="1"/>
  <c r="N234" i="1"/>
  <c r="N222" i="1"/>
  <c r="K447" i="1"/>
  <c r="N360" i="1"/>
  <c r="AB288" i="1"/>
  <c r="N292" i="1"/>
  <c r="N79" i="1"/>
  <c r="AB384" i="1"/>
  <c r="AB425" i="1"/>
  <c r="AB464" i="1"/>
  <c r="N33" i="1"/>
  <c r="N499" i="1"/>
  <c r="N457" i="1"/>
  <c r="N200" i="1"/>
  <c r="AB407" i="1"/>
  <c r="AB164" i="1"/>
  <c r="AB513" i="1"/>
  <c r="AB126" i="1"/>
  <c r="AB332" i="1"/>
  <c r="AB338" i="1"/>
  <c r="AB141" i="1"/>
  <c r="AB427" i="1"/>
  <c r="AB408" i="1"/>
  <c r="K222" i="1"/>
  <c r="N369" i="1"/>
  <c r="AB358" i="1"/>
  <c r="N26" i="1"/>
  <c r="AB229" i="1"/>
  <c r="AB454" i="1"/>
  <c r="N122" i="1"/>
  <c r="AB457" i="1"/>
  <c r="N202" i="1"/>
  <c r="N407" i="1"/>
  <c r="N115" i="1"/>
  <c r="AB450" i="1"/>
  <c r="K368" i="1"/>
  <c r="AB170" i="1"/>
  <c r="AB143" i="1"/>
  <c r="N290" i="1"/>
  <c r="AB266" i="1"/>
  <c r="AB264" i="1"/>
  <c r="AB346" i="1"/>
  <c r="AB319" i="1"/>
  <c r="N327" i="1"/>
  <c r="N209" i="1"/>
  <c r="N117" i="1"/>
  <c r="AB316" i="1"/>
  <c r="N134" i="1"/>
  <c r="AB434" i="1"/>
  <c r="AB351" i="1"/>
  <c r="N230" i="1"/>
  <c r="AB140" i="1"/>
  <c r="N310" i="1"/>
  <c r="N176" i="1"/>
  <c r="AB365" i="1"/>
  <c r="K255" i="1"/>
  <c r="N275" i="1"/>
  <c r="AB500" i="1"/>
  <c r="N440" i="1"/>
  <c r="K238" i="1"/>
  <c r="N476" i="1"/>
  <c r="K192" i="1"/>
  <c r="N207" i="1"/>
  <c r="N264" i="1"/>
  <c r="K357" i="1"/>
  <c r="K58" i="1"/>
  <c r="K40" i="1"/>
  <c r="K354" i="1"/>
  <c r="AB371" i="1"/>
  <c r="AB360" i="1"/>
  <c r="N395" i="1"/>
  <c r="AB467" i="1"/>
  <c r="AB146" i="1"/>
  <c r="AB148" i="1"/>
  <c r="AB418" i="1"/>
  <c r="AB246" i="1"/>
  <c r="K30" i="1"/>
  <c r="N284" i="1"/>
  <c r="AB166" i="1"/>
  <c r="N160" i="1"/>
  <c r="AB284" i="1"/>
  <c r="AB262" i="1"/>
  <c r="N256" i="1"/>
  <c r="AB342" i="1"/>
  <c r="N10" i="1"/>
  <c r="N76" i="1"/>
  <c r="N242" i="1"/>
  <c r="AB265" i="1"/>
  <c r="K358" i="1"/>
  <c r="AB305" i="1"/>
  <c r="AB430" i="1"/>
  <c r="N98" i="1"/>
  <c r="AB449" i="1"/>
  <c r="AB388" i="1"/>
  <c r="AB154" i="1"/>
  <c r="AB127" i="1"/>
  <c r="N236" i="1"/>
  <c r="N28" i="1"/>
  <c r="N137" i="1"/>
  <c r="AB139" i="1"/>
  <c r="AB477" i="1"/>
  <c r="AB242" i="1"/>
  <c r="AB159" i="1"/>
  <c r="N38" i="1"/>
  <c r="AB347" i="1"/>
  <c r="N118" i="1"/>
  <c r="N470" i="1"/>
  <c r="AB451" i="1"/>
  <c r="K63" i="1"/>
  <c r="N411" i="1"/>
  <c r="AB391" i="1"/>
  <c r="N27" i="1"/>
  <c r="N206" i="1"/>
  <c r="AB487" i="1"/>
  <c r="AB142" i="1"/>
  <c r="AB428" i="1"/>
  <c r="N49" i="1"/>
  <c r="N259" i="1"/>
  <c r="N417" i="1"/>
  <c r="N110" i="1"/>
  <c r="K391" i="1"/>
  <c r="AB179" i="1"/>
  <c r="AB168" i="1"/>
  <c r="N52" i="1"/>
  <c r="AB275" i="1"/>
  <c r="AB281" i="1"/>
  <c r="AB355" i="1"/>
  <c r="AB233" i="1"/>
  <c r="K342" i="1"/>
  <c r="N349" i="1"/>
  <c r="N365" i="1"/>
  <c r="N127" i="1"/>
  <c r="N135" i="1"/>
  <c r="AB443" i="1"/>
  <c r="AB376" i="1"/>
  <c r="N64" i="1"/>
  <c r="AB150" i="1"/>
  <c r="N144" i="1"/>
  <c r="N93" i="1"/>
  <c r="N184" i="1"/>
  <c r="AB176" i="1"/>
  <c r="K166" i="1"/>
  <c r="N227" i="1"/>
  <c r="N494" i="1"/>
  <c r="AB496" i="1"/>
  <c r="K254" i="1"/>
  <c r="K289" i="1"/>
  <c r="K70" i="1"/>
  <c r="N245" i="1"/>
  <c r="J302" i="1"/>
  <c r="K244" i="1"/>
  <c r="K137" i="1"/>
  <c r="K341" i="1"/>
  <c r="AB285" i="1"/>
  <c r="N262" i="1"/>
  <c r="AB401" i="1"/>
  <c r="AB461" i="1"/>
  <c r="N84" i="1"/>
  <c r="AB295" i="1"/>
  <c r="N295" i="1"/>
  <c r="AB490" i="1"/>
  <c r="AB468" i="1"/>
  <c r="N261" i="1"/>
  <c r="AB251" i="1"/>
  <c r="N119" i="1"/>
  <c r="N351" i="1"/>
  <c r="AB512" i="1"/>
  <c r="N41" i="1"/>
  <c r="AB444" i="1"/>
  <c r="AB466" i="1"/>
  <c r="K350" i="1"/>
  <c r="AB357" i="1"/>
  <c r="N330" i="1"/>
  <c r="K444" i="1"/>
  <c r="K95" i="1"/>
  <c r="AB203" i="1"/>
  <c r="J408" i="1"/>
  <c r="K221" i="1"/>
  <c r="AB289" i="1"/>
  <c r="N297" i="1"/>
  <c r="N460" i="1"/>
  <c r="N180" i="1"/>
  <c r="J214" i="1"/>
  <c r="N85" i="1"/>
  <c r="K505" i="1"/>
  <c r="N418" i="1"/>
  <c r="AB405" i="1"/>
  <c r="AB277" i="1"/>
  <c r="K223" i="1"/>
  <c r="K346" i="1"/>
  <c r="K496" i="1"/>
  <c r="K454" i="1"/>
  <c r="AB469" i="1"/>
  <c r="K470" i="1"/>
  <c r="N92" i="1"/>
  <c r="N357" i="1"/>
  <c r="K487" i="1"/>
  <c r="N73" i="1"/>
  <c r="AB171" i="1"/>
  <c r="K37" i="1"/>
  <c r="K321" i="1"/>
  <c r="K239" i="1"/>
  <c r="K297" i="1"/>
  <c r="J156" i="1"/>
  <c r="AB313" i="1"/>
  <c r="N372" i="1"/>
  <c r="AB354" i="1"/>
  <c r="K510" i="1"/>
  <c r="K491" i="1"/>
  <c r="K260" i="1"/>
  <c r="N368" i="1"/>
  <c r="J82" i="1"/>
  <c r="K235" i="1"/>
  <c r="N198" i="1"/>
  <c r="K319" i="1"/>
  <c r="AB502" i="1"/>
  <c r="K62" i="1"/>
  <c r="K97" i="1"/>
  <c r="N65" i="1"/>
  <c r="N396" i="1"/>
  <c r="J110" i="1"/>
  <c r="K378" i="1"/>
  <c r="K28" i="1"/>
  <c r="K100" i="1"/>
  <c r="N128" i="1"/>
  <c r="N140" i="1"/>
  <c r="N306" i="1"/>
  <c r="AB395" i="1"/>
  <c r="K77" i="1"/>
  <c r="N67" i="1"/>
  <c r="K216" i="1"/>
  <c r="N249" i="1"/>
  <c r="AB193" i="1"/>
  <c r="K427" i="1"/>
  <c r="J280" i="1"/>
  <c r="N408" i="1"/>
  <c r="K252" i="1"/>
  <c r="K55" i="1"/>
  <c r="J458" i="1"/>
  <c r="K248" i="1"/>
  <c r="J94" i="1"/>
  <c r="K268" i="1"/>
  <c r="J355" i="1"/>
  <c r="G506" i="1"/>
  <c r="J356" i="1"/>
  <c r="J127" i="1"/>
  <c r="G221" i="1"/>
  <c r="E213" i="1"/>
  <c r="G309" i="1"/>
  <c r="G297" i="1"/>
  <c r="G435" i="1"/>
  <c r="J323" i="1"/>
  <c r="E474" i="1"/>
  <c r="E475" i="1"/>
  <c r="G252" i="1"/>
  <c r="E106" i="1"/>
  <c r="K154" i="1"/>
  <c r="K36" i="1"/>
  <c r="J28" i="1"/>
  <c r="K371" i="1"/>
  <c r="J69" i="1"/>
  <c r="K361" i="1"/>
  <c r="J188" i="1"/>
  <c r="J177" i="1"/>
  <c r="G134" i="1"/>
  <c r="J416" i="1"/>
  <c r="G289" i="1"/>
  <c r="G472" i="1"/>
  <c r="G193" i="1"/>
  <c r="J197" i="1"/>
  <c r="K311" i="1"/>
  <c r="K181" i="1"/>
  <c r="K80" i="1"/>
  <c r="J87" i="1"/>
  <c r="K89" i="1"/>
  <c r="J326" i="1"/>
  <c r="K288" i="1"/>
  <c r="J483" i="1"/>
  <c r="E21" i="1"/>
  <c r="J125" i="1"/>
  <c r="J48" i="1"/>
  <c r="G113" i="1"/>
  <c r="G212" i="1"/>
  <c r="N314" i="1"/>
  <c r="K483" i="1"/>
  <c r="K275" i="1"/>
  <c r="J382" i="1"/>
  <c r="J402" i="1"/>
  <c r="J78" i="1"/>
  <c r="J248" i="1"/>
  <c r="K413" i="1"/>
  <c r="K69" i="1"/>
  <c r="G361" i="1"/>
  <c r="G135" i="1"/>
  <c r="J244" i="1"/>
  <c r="J306" i="1"/>
  <c r="G364" i="1"/>
  <c r="G403" i="1"/>
  <c r="G384" i="1"/>
  <c r="E144" i="1"/>
  <c r="G432" i="1"/>
  <c r="E158" i="1"/>
  <c r="E381" i="1"/>
  <c r="G482" i="1"/>
  <c r="J180" i="1"/>
  <c r="K377" i="1"/>
  <c r="K501" i="1"/>
  <c r="K49" i="1"/>
  <c r="J215" i="1"/>
  <c r="K345" i="1"/>
  <c r="J502" i="1"/>
  <c r="K113" i="1"/>
  <c r="J68" i="1"/>
  <c r="G20" i="1"/>
  <c r="G195" i="1"/>
  <c r="J304" i="1"/>
  <c r="G217" i="1"/>
  <c r="G24" i="1"/>
  <c r="G418" i="1"/>
  <c r="G81" i="1"/>
  <c r="E39" i="1"/>
  <c r="G286" i="1"/>
  <c r="E191" i="1"/>
  <c r="N21" i="1"/>
  <c r="AB324" i="1"/>
  <c r="N438" i="1"/>
  <c r="N173" i="1"/>
  <c r="AB320" i="1"/>
  <c r="N276" i="1"/>
  <c r="AB499" i="1"/>
  <c r="AB274" i="1"/>
  <c r="K158" i="1"/>
  <c r="AB165" i="1"/>
  <c r="N138" i="1"/>
  <c r="K486" i="1"/>
  <c r="AB202" i="1"/>
  <c r="N89" i="1"/>
  <c r="N70" i="1"/>
  <c r="AB475" i="1"/>
  <c r="K191" i="1"/>
  <c r="N334" i="1"/>
  <c r="N157" i="1"/>
  <c r="K272" i="1"/>
  <c r="K512" i="1"/>
  <c r="N253" i="1"/>
  <c r="J265" i="1"/>
  <c r="J503" i="1"/>
  <c r="AB414" i="1"/>
  <c r="N105" i="1"/>
  <c r="N323" i="1"/>
  <c r="N445" i="1"/>
  <c r="AB472" i="1"/>
  <c r="K103" i="1"/>
  <c r="K434" i="1"/>
  <c r="AB394" i="1"/>
  <c r="N361" i="1"/>
  <c r="N120" i="1"/>
  <c r="AB438" i="1"/>
  <c r="K267" i="1"/>
  <c r="N190" i="1"/>
  <c r="K435" i="1"/>
  <c r="AB307" i="1"/>
  <c r="N316" i="1"/>
  <c r="K430" i="1"/>
  <c r="N188" i="1"/>
  <c r="K132" i="1"/>
  <c r="N425" i="1"/>
  <c r="N241" i="1"/>
  <c r="K340" i="1"/>
  <c r="K250" i="1"/>
  <c r="K232" i="1"/>
  <c r="K147" i="1"/>
  <c r="J245" i="1"/>
  <c r="AB382" i="1"/>
  <c r="N18" i="1"/>
  <c r="N30" i="1"/>
  <c r="K351" i="1"/>
  <c r="K474" i="1"/>
  <c r="AB151" i="1"/>
  <c r="K500" i="1"/>
  <c r="N151" i="1"/>
  <c r="K301" i="1"/>
  <c r="AB498" i="1"/>
  <c r="N423" i="1"/>
  <c r="AB514" i="1"/>
  <c r="K424" i="1"/>
  <c r="K26" i="1"/>
  <c r="K87" i="1"/>
  <c r="N185" i="1"/>
  <c r="AB465" i="1"/>
  <c r="K299" i="1"/>
  <c r="K457" i="1"/>
  <c r="J374" i="1"/>
  <c r="AB214" i="1"/>
  <c r="N387" i="1"/>
  <c r="N179" i="1"/>
  <c r="N501" i="1"/>
  <c r="J22" i="1"/>
  <c r="N251" i="1"/>
  <c r="K313" i="1"/>
  <c r="K310" i="1"/>
  <c r="N338" i="1"/>
  <c r="K437" i="1"/>
  <c r="J137" i="1"/>
  <c r="J238" i="1"/>
  <c r="N66" i="1"/>
  <c r="K106" i="1"/>
  <c r="J511" i="1"/>
  <c r="K274" i="1"/>
  <c r="J103" i="1"/>
  <c r="K42" i="1"/>
  <c r="J324" i="1"/>
  <c r="G463" i="1"/>
  <c r="G9" i="1"/>
  <c r="J161" i="1"/>
  <c r="G59" i="1"/>
  <c r="G225" i="1"/>
  <c r="G203" i="1"/>
  <c r="G167" i="1"/>
  <c r="E16" i="1"/>
  <c r="G125" i="1"/>
  <c r="E445" i="1"/>
  <c r="G414" i="1"/>
  <c r="E389" i="1"/>
  <c r="G513" i="1"/>
  <c r="K295" i="1"/>
  <c r="K130" i="1"/>
  <c r="J501" i="1"/>
  <c r="K509" i="1"/>
  <c r="N164" i="1"/>
  <c r="K211" i="1"/>
  <c r="N430" i="1"/>
  <c r="J122" i="1"/>
  <c r="G459" i="1"/>
  <c r="J349" i="1"/>
  <c r="K184" i="1"/>
  <c r="G292" i="1"/>
  <c r="G445" i="1"/>
  <c r="J276" i="1"/>
  <c r="N147" i="1"/>
  <c r="N453" i="1"/>
  <c r="K490" i="1"/>
  <c r="J40" i="1"/>
  <c r="K443" i="1"/>
  <c r="J231" i="1"/>
  <c r="K298" i="1"/>
  <c r="J452" i="1"/>
  <c r="G359" i="1"/>
  <c r="G162" i="1"/>
  <c r="J417" i="1"/>
  <c r="G444" i="1"/>
  <c r="E182" i="1"/>
  <c r="N255" i="1"/>
  <c r="K186" i="1"/>
  <c r="J199" i="1"/>
  <c r="J495" i="1"/>
  <c r="J481" i="1"/>
  <c r="J95" i="1"/>
  <c r="J105" i="1"/>
  <c r="J221" i="1"/>
  <c r="J400" i="1"/>
  <c r="G90" i="1"/>
  <c r="G5" i="1"/>
  <c r="G72" i="1"/>
  <c r="J57" i="1"/>
  <c r="E53" i="1"/>
  <c r="E84" i="1"/>
  <c r="G423" i="1"/>
  <c r="E315" i="1"/>
  <c r="G273" i="1"/>
  <c r="G126" i="1"/>
  <c r="J146" i="1"/>
  <c r="E201" i="1"/>
  <c r="G462" i="1"/>
  <c r="N449" i="1"/>
  <c r="K200" i="1"/>
  <c r="K283" i="1"/>
  <c r="J168" i="1"/>
  <c r="K195" i="1"/>
  <c r="J359" i="1"/>
  <c r="K116" i="1"/>
  <c r="J93" i="1"/>
  <c r="E340" i="1"/>
  <c r="E4" i="1"/>
  <c r="J106" i="1"/>
  <c r="K507" i="1"/>
  <c r="G483" i="1"/>
  <c r="G400" i="1"/>
  <c r="G367" i="1"/>
  <c r="G354" i="1"/>
  <c r="G261" i="1"/>
  <c r="G321" i="1"/>
  <c r="J274" i="1"/>
  <c r="K201" i="1"/>
  <c r="AB446" i="1"/>
  <c r="N86" i="1"/>
  <c r="AB199" i="1"/>
  <c r="N442" i="1"/>
  <c r="N97" i="1"/>
  <c r="AB463" i="1"/>
  <c r="AB163" i="1"/>
  <c r="N308" i="1"/>
  <c r="AB184" i="1"/>
  <c r="N490" i="1"/>
  <c r="AB416" i="1"/>
  <c r="AB175" i="1"/>
  <c r="N271" i="1"/>
  <c r="AB185" i="1"/>
  <c r="AB269" i="1"/>
  <c r="N339" i="1"/>
  <c r="AB103" i="1"/>
  <c r="N257" i="1"/>
  <c r="N398" i="1"/>
  <c r="K218" i="1"/>
  <c r="K45" i="1"/>
  <c r="J285" i="1"/>
  <c r="J399" i="1"/>
  <c r="N389" i="1"/>
  <c r="N187" i="1"/>
  <c r="N148" i="1"/>
  <c r="K279" i="1"/>
  <c r="N194" i="1"/>
  <c r="AB473" i="1"/>
  <c r="K395" i="1"/>
  <c r="AB392" i="1"/>
  <c r="N36" i="1"/>
  <c r="N436" i="1"/>
  <c r="N136" i="1"/>
  <c r="K333" i="1"/>
  <c r="N344" i="1"/>
  <c r="K57" i="1"/>
  <c r="AB296" i="1"/>
  <c r="N181" i="1"/>
  <c r="AB186" i="1"/>
  <c r="K446" i="1"/>
  <c r="K481" i="1"/>
  <c r="K384" i="1"/>
  <c r="N20" i="1"/>
  <c r="J494" i="1"/>
  <c r="K171" i="1"/>
  <c r="K329" i="1"/>
  <c r="J158" i="1"/>
  <c r="N464" i="1"/>
  <c r="AB317" i="1"/>
  <c r="N341" i="1"/>
  <c r="N50" i="1"/>
  <c r="AB385" i="1"/>
  <c r="K84" i="1"/>
  <c r="N240" i="1"/>
  <c r="K88" i="1"/>
  <c r="N451" i="1"/>
  <c r="J246" i="1"/>
  <c r="AB415" i="1"/>
  <c r="N146" i="1"/>
  <c r="N158" i="1"/>
  <c r="K415" i="1"/>
  <c r="K499" i="1"/>
  <c r="AB504" i="1"/>
  <c r="K111" i="1"/>
  <c r="N280" i="1"/>
  <c r="K365" i="1"/>
  <c r="K386" i="1"/>
  <c r="J263" i="1"/>
  <c r="N208" i="1"/>
  <c r="N371" i="1"/>
  <c r="N429" i="1"/>
  <c r="N273" i="1"/>
  <c r="J479" i="1"/>
  <c r="K438" i="1"/>
  <c r="K242" i="1"/>
  <c r="K336" i="1"/>
  <c r="N412" i="1"/>
  <c r="AB149" i="1"/>
  <c r="N218" i="1"/>
  <c r="K462" i="1"/>
  <c r="K226" i="1"/>
  <c r="K477" i="1"/>
  <c r="J424" i="1"/>
  <c r="K261" i="1"/>
  <c r="J56" i="1"/>
  <c r="K29" i="1"/>
  <c r="K153" i="1"/>
  <c r="G85" i="1"/>
  <c r="G396" i="1"/>
  <c r="J403" i="1"/>
  <c r="K251" i="1"/>
  <c r="G169" i="1"/>
  <c r="E195" i="1"/>
  <c r="E428" i="1"/>
  <c r="E328" i="1"/>
  <c r="G21" i="1"/>
  <c r="G160" i="1"/>
  <c r="E231" i="1"/>
  <c r="E419" i="1"/>
  <c r="J497" i="1"/>
  <c r="N213" i="1"/>
  <c r="K117" i="1"/>
  <c r="K471" i="1"/>
  <c r="J23" i="1"/>
  <c r="K108" i="1"/>
  <c r="J222" i="1"/>
  <c r="K144" i="1"/>
  <c r="J419" i="1"/>
  <c r="E140" i="1"/>
  <c r="J484" i="1"/>
  <c r="J383" i="1"/>
  <c r="G112" i="1"/>
  <c r="G339" i="1"/>
  <c r="AB167" i="1"/>
  <c r="K119" i="1"/>
  <c r="K484" i="1"/>
  <c r="J294" i="1"/>
  <c r="J138" i="1"/>
  <c r="K68" i="1"/>
  <c r="J184" i="1"/>
  <c r="K285" i="1"/>
  <c r="K380" i="1"/>
  <c r="G488" i="1"/>
  <c r="G208" i="1"/>
  <c r="J116" i="1"/>
  <c r="J262" i="1"/>
  <c r="G491" i="1"/>
  <c r="N434" i="1"/>
  <c r="J54" i="1"/>
  <c r="J397" i="1"/>
  <c r="K334" i="1"/>
  <c r="J203" i="1"/>
  <c r="AB378" i="1"/>
  <c r="J477" i="1"/>
  <c r="J234" i="1"/>
  <c r="J205" i="1"/>
  <c r="N24" i="1"/>
  <c r="E285" i="1"/>
  <c r="G182" i="1"/>
  <c r="J299" i="1"/>
  <c r="K325" i="1"/>
  <c r="G43" i="1"/>
  <c r="E61" i="1"/>
  <c r="E156" i="1"/>
  <c r="E335" i="1"/>
  <c r="E249" i="1"/>
  <c r="K61" i="1"/>
  <c r="E116" i="1"/>
  <c r="AB247" i="1"/>
  <c r="K96" i="1"/>
  <c r="K213" i="1"/>
  <c r="J462" i="1"/>
  <c r="J25" i="1"/>
  <c r="J206" i="1"/>
  <c r="J312" i="1"/>
  <c r="K284" i="1"/>
  <c r="K21" i="1"/>
  <c r="G299" i="1"/>
  <c r="G369" i="1"/>
  <c r="J372" i="1"/>
  <c r="J183" i="1"/>
  <c r="G285" i="1"/>
  <c r="G276" i="1"/>
  <c r="G241" i="1"/>
  <c r="E171" i="1"/>
  <c r="G471" i="1"/>
  <c r="E431" i="1"/>
  <c r="K408" i="1"/>
  <c r="AB479" i="1"/>
  <c r="N106" i="1"/>
  <c r="AB224" i="1"/>
  <c r="AB462" i="1"/>
  <c r="N333" i="1"/>
  <c r="AB488" i="1"/>
  <c r="AB372" i="1"/>
  <c r="N463" i="1"/>
  <c r="AB390" i="1"/>
  <c r="N319" i="1"/>
  <c r="AB106" i="1"/>
  <c r="AB200" i="1"/>
  <c r="N61" i="1"/>
  <c r="AB370" i="1"/>
  <c r="N246" i="1"/>
  <c r="N149" i="1"/>
  <c r="AB128" i="1"/>
  <c r="N441" i="1"/>
  <c r="AB192" i="1"/>
  <c r="K139" i="1"/>
  <c r="K396" i="1"/>
  <c r="J507" i="1"/>
  <c r="AB113" i="1"/>
  <c r="N348" i="1"/>
  <c r="K302" i="1"/>
  <c r="N237" i="1"/>
  <c r="K256" i="1"/>
  <c r="N431" i="1"/>
  <c r="N298" i="1"/>
  <c r="K421" i="1"/>
  <c r="AB474" i="1"/>
  <c r="N388" i="1"/>
  <c r="N193" i="1"/>
  <c r="N124" i="1"/>
  <c r="J278" i="1"/>
  <c r="N497" i="1"/>
  <c r="K228" i="1"/>
  <c r="N305" i="1"/>
  <c r="N216" i="1"/>
  <c r="AB437" i="1"/>
  <c r="K287" i="1"/>
  <c r="K410" i="1"/>
  <c r="K452" i="1"/>
  <c r="K456" i="1"/>
  <c r="N302" i="1"/>
  <c r="K237" i="1"/>
  <c r="K258" i="1"/>
  <c r="J135" i="1"/>
  <c r="K177" i="1"/>
  <c r="AB436" i="1"/>
  <c r="N483" i="1"/>
  <c r="N373" i="1"/>
  <c r="N466" i="1"/>
  <c r="K461" i="1"/>
  <c r="N233" i="1"/>
  <c r="K185" i="1"/>
  <c r="N252" i="1"/>
  <c r="N8" i="1"/>
  <c r="N294" i="1"/>
  <c r="N491" i="1"/>
  <c r="N178" i="1"/>
  <c r="AB506" i="1"/>
  <c r="K404" i="1"/>
  <c r="N210" i="1"/>
  <c r="K152" i="1"/>
  <c r="N309" i="1"/>
  <c r="AB460" i="1"/>
  <c r="K307" i="1"/>
  <c r="J216" i="1"/>
  <c r="N279" i="1"/>
  <c r="N172" i="1"/>
  <c r="N413" i="1"/>
  <c r="K196" i="1"/>
  <c r="N174" i="1"/>
  <c r="K379" i="1"/>
  <c r="K163" i="1"/>
  <c r="K356" i="1"/>
  <c r="K326" i="1"/>
  <c r="K72" i="1"/>
  <c r="AB459" i="1"/>
  <c r="K257" i="1"/>
  <c r="J487" i="1"/>
  <c r="J207" i="1"/>
  <c r="J281" i="1"/>
  <c r="J162" i="1"/>
  <c r="J210" i="1"/>
  <c r="J422" i="1"/>
  <c r="J437" i="1"/>
  <c r="G496" i="1"/>
  <c r="E85" i="1"/>
  <c r="G259" i="1"/>
  <c r="J328" i="1"/>
  <c r="G370" i="1"/>
  <c r="G10" i="1"/>
  <c r="E380" i="1"/>
  <c r="E96" i="1"/>
  <c r="G448" i="1"/>
  <c r="E146" i="1"/>
  <c r="E387" i="1"/>
  <c r="E118" i="1"/>
  <c r="E187" i="1"/>
  <c r="AB226" i="1"/>
  <c r="N345" i="1"/>
  <c r="K362" i="1"/>
  <c r="J466" i="1"/>
  <c r="K402" i="1"/>
  <c r="J167" i="1"/>
  <c r="K170" i="1"/>
  <c r="J388" i="1"/>
  <c r="G358" i="1"/>
  <c r="G249" i="1"/>
  <c r="J289" i="1"/>
  <c r="G142" i="1"/>
  <c r="E20" i="1"/>
  <c r="N402" i="1"/>
  <c r="K122" i="1"/>
  <c r="J71" i="1"/>
  <c r="J335" i="1"/>
  <c r="J409" i="1"/>
  <c r="J31" i="1"/>
  <c r="J41" i="1"/>
  <c r="J242" i="1"/>
  <c r="J272" i="1"/>
  <c r="G378" i="1"/>
  <c r="G84" i="1"/>
  <c r="G181" i="1"/>
  <c r="J258" i="1"/>
  <c r="E172" i="1"/>
  <c r="AB301" i="1"/>
  <c r="N467" i="1"/>
  <c r="J59" i="1"/>
  <c r="K337" i="1"/>
  <c r="J172" i="1"/>
  <c r="K212" i="1"/>
  <c r="J347" i="1"/>
  <c r="J448" i="1"/>
  <c r="J468" i="1"/>
  <c r="J447" i="1"/>
  <c r="G236" i="1"/>
  <c r="E268" i="1"/>
  <c r="J485" i="1"/>
  <c r="J464" i="1"/>
  <c r="E35" i="1"/>
  <c r="E240" i="1"/>
  <c r="E346" i="1"/>
  <c r="G421" i="1"/>
  <c r="E281" i="1"/>
  <c r="J164" i="1"/>
  <c r="E283" i="1"/>
  <c r="N37" i="1"/>
  <c r="K506" i="1"/>
  <c r="J391" i="1"/>
  <c r="J426" i="1"/>
  <c r="J314" i="1"/>
  <c r="J159" i="1"/>
  <c r="J169" i="1"/>
  <c r="J47" i="1"/>
  <c r="J489" i="1"/>
  <c r="E291" i="1"/>
  <c r="G22" i="1"/>
  <c r="G73" i="1"/>
  <c r="J185" i="1"/>
  <c r="G123" i="1"/>
  <c r="E366" i="1"/>
  <c r="E244" i="1"/>
  <c r="G248" i="1"/>
  <c r="E243" i="1"/>
  <c r="E395" i="1"/>
  <c r="K306" i="1"/>
  <c r="AB381" i="1"/>
  <c r="AB442" i="1"/>
  <c r="N346" i="1"/>
  <c r="AB375" i="1"/>
  <c r="AB213" i="1"/>
  <c r="N99" i="1"/>
  <c r="AB112" i="1"/>
  <c r="N254" i="1"/>
  <c r="N39" i="1"/>
  <c r="N478" i="1"/>
  <c r="N469" i="1"/>
  <c r="AB508" i="1"/>
  <c r="N130" i="1"/>
  <c r="AB254" i="1"/>
  <c r="AB173" i="1"/>
  <c r="AB486" i="1"/>
  <c r="N250" i="1"/>
  <c r="N116" i="1"/>
  <c r="K448" i="1"/>
  <c r="K399" i="1"/>
  <c r="K66" i="1"/>
  <c r="J476" i="1"/>
  <c r="AB238" i="1"/>
  <c r="N514" i="1"/>
  <c r="AB169" i="1"/>
  <c r="K318" i="1"/>
  <c r="K353" i="1"/>
  <c r="K246" i="1"/>
  <c r="N505" i="1"/>
  <c r="J366" i="1"/>
  <c r="AB447" i="1"/>
  <c r="N235" i="1"/>
  <c r="N409" i="1"/>
  <c r="K54" i="1"/>
  <c r="AB409" i="1"/>
  <c r="K207" i="1"/>
  <c r="K498" i="1"/>
  <c r="AB403" i="1"/>
  <c r="N177" i="1"/>
  <c r="N248" i="1"/>
  <c r="AB344" i="1"/>
  <c r="K331" i="1"/>
  <c r="N47" i="1"/>
  <c r="K24" i="1"/>
  <c r="N397" i="1"/>
  <c r="J182" i="1"/>
  <c r="K179" i="1"/>
  <c r="J88" i="1"/>
  <c r="K27" i="1"/>
  <c r="AB397" i="1"/>
  <c r="N391" i="1"/>
  <c r="N500" i="1"/>
  <c r="N153" i="1"/>
  <c r="J406" i="1"/>
  <c r="K78" i="1"/>
  <c r="K114" i="1"/>
  <c r="K335" i="1"/>
  <c r="N472" i="1"/>
  <c r="AB204" i="1"/>
  <c r="N141" i="1"/>
  <c r="N512" i="1"/>
  <c r="N9" i="1"/>
  <c r="K156" i="1"/>
  <c r="N484" i="1"/>
  <c r="K249" i="1"/>
  <c r="K134" i="1"/>
  <c r="N42" i="1"/>
  <c r="K373" i="1"/>
  <c r="J73" i="1"/>
  <c r="N312" i="1"/>
  <c r="K110" i="1"/>
  <c r="N197" i="1"/>
  <c r="K64" i="1"/>
  <c r="N244" i="1"/>
  <c r="N278" i="1"/>
  <c r="K229" i="1"/>
  <c r="K513" i="1"/>
  <c r="K376" i="1"/>
  <c r="K98" i="1"/>
  <c r="AB280" i="1"/>
  <c r="K109" i="1"/>
  <c r="J344" i="1"/>
  <c r="N481" i="1"/>
  <c r="J413" i="1"/>
  <c r="J415" i="1"/>
  <c r="J425" i="1"/>
  <c r="J303" i="1"/>
  <c r="J385" i="1"/>
  <c r="G316" i="1"/>
  <c r="G271" i="1"/>
  <c r="E68" i="1"/>
  <c r="J154" i="1"/>
  <c r="K409" i="1"/>
  <c r="G341" i="1"/>
  <c r="E65" i="1"/>
  <c r="E398" i="1"/>
  <c r="G175" i="1"/>
  <c r="G362" i="1"/>
  <c r="G152" i="1"/>
  <c r="E154" i="1"/>
  <c r="AB421" i="1"/>
  <c r="K23" i="1"/>
  <c r="K482" i="1"/>
  <c r="J166" i="1"/>
  <c r="J488" i="1"/>
  <c r="K389" i="1"/>
  <c r="J120" i="1"/>
  <c r="K157" i="1"/>
  <c r="K82" i="1"/>
  <c r="G238" i="1"/>
  <c r="G317" i="1"/>
  <c r="J229" i="1"/>
  <c r="K317" i="1"/>
  <c r="G279" i="1"/>
  <c r="N414" i="1"/>
  <c r="K493" i="1"/>
  <c r="J505" i="1"/>
  <c r="N300" i="1"/>
  <c r="J139" i="1"/>
  <c r="J506" i="1"/>
  <c r="J394" i="1"/>
  <c r="J431" i="1"/>
  <c r="J50" i="1"/>
  <c r="G128" i="1"/>
  <c r="E404" i="1"/>
  <c r="G75" i="1"/>
  <c r="J171" i="1"/>
  <c r="K259" i="1"/>
  <c r="K141" i="1"/>
  <c r="K168" i="1"/>
  <c r="J220" i="1"/>
  <c r="K187" i="1"/>
  <c r="J309" i="1"/>
  <c r="K34" i="1"/>
  <c r="J316" i="1"/>
  <c r="J305" i="1"/>
  <c r="G327" i="1"/>
  <c r="J461" i="1"/>
  <c r="E246" i="1"/>
  <c r="G185" i="1"/>
  <c r="G458" i="1"/>
  <c r="J51" i="1"/>
  <c r="K25" i="1"/>
  <c r="G28" i="1"/>
  <c r="G218" i="1"/>
  <c r="E217" i="1"/>
  <c r="E289" i="1"/>
  <c r="G346" i="1"/>
  <c r="G15" i="1"/>
  <c r="N281" i="1"/>
  <c r="J118" i="1"/>
  <c r="J201" i="1"/>
  <c r="K151" i="1"/>
  <c r="J267" i="1"/>
  <c r="N406" i="1"/>
  <c r="J114" i="1"/>
  <c r="J301" i="1"/>
  <c r="J115" i="1"/>
  <c r="N479" i="1"/>
  <c r="G355" i="1"/>
  <c r="G460" i="1"/>
  <c r="J427" i="1"/>
  <c r="J270" i="1"/>
  <c r="G102" i="1"/>
  <c r="G156" i="1"/>
  <c r="E192" i="1"/>
  <c r="E296" i="1"/>
  <c r="E409" i="1"/>
  <c r="N358" i="1"/>
  <c r="N94" i="1"/>
  <c r="N189" i="1"/>
  <c r="AB400" i="1"/>
  <c r="N72" i="1"/>
  <c r="AB118" i="1"/>
  <c r="AB259" i="1"/>
  <c r="AB294" i="1"/>
  <c r="N58" i="1"/>
  <c r="N498" i="1"/>
  <c r="AB380" i="1"/>
  <c r="AB282" i="1"/>
  <c r="N459" i="1"/>
  <c r="AB287" i="1"/>
  <c r="N48" i="1"/>
  <c r="AB337" i="1"/>
  <c r="AB270" i="1"/>
  <c r="N283" i="1"/>
  <c r="N19" i="1"/>
  <c r="AB156" i="1"/>
  <c r="K276" i="1"/>
  <c r="N82" i="1"/>
  <c r="N232" i="1"/>
  <c r="AB130" i="1"/>
  <c r="AB109" i="1"/>
  <c r="K159" i="1"/>
  <c r="K282" i="1"/>
  <c r="K495" i="1"/>
  <c r="K270" i="1"/>
  <c r="AB404" i="1"/>
  <c r="N277" i="1"/>
  <c r="N381" i="1"/>
  <c r="N260" i="1"/>
  <c r="K375" i="1"/>
  <c r="N43" i="1"/>
  <c r="AB194" i="1"/>
  <c r="K180" i="1"/>
  <c r="AB481" i="1"/>
  <c r="N321" i="1"/>
  <c r="N228" i="1"/>
  <c r="N170" i="1"/>
  <c r="K397" i="1"/>
  <c r="N269" i="1"/>
  <c r="K121" i="1"/>
  <c r="N212" i="1"/>
  <c r="N318" i="1"/>
  <c r="K245" i="1"/>
  <c r="J330" i="1"/>
  <c r="J38" i="1"/>
  <c r="AB493" i="1"/>
  <c r="N421" i="1"/>
  <c r="N433" i="1"/>
  <c r="K390" i="1"/>
  <c r="AB108" i="1"/>
  <c r="K407" i="1"/>
  <c r="K35" i="1"/>
  <c r="K312" i="1"/>
  <c r="N404" i="1"/>
  <c r="N374" i="1"/>
  <c r="N109" i="1"/>
  <c r="N205" i="1"/>
  <c r="N265" i="1"/>
  <c r="J470" i="1"/>
  <c r="K262" i="1"/>
  <c r="K178" i="1"/>
  <c r="K431" i="1"/>
  <c r="N335" i="1"/>
  <c r="AB240" i="1"/>
  <c r="N32" i="1"/>
  <c r="AB432" i="1"/>
  <c r="AB511" i="1"/>
  <c r="K126" i="1"/>
  <c r="K161" i="1"/>
  <c r="N455" i="1"/>
  <c r="N376" i="1"/>
  <c r="J174" i="1"/>
  <c r="K442" i="1"/>
  <c r="K420" i="1"/>
  <c r="K85" i="1"/>
  <c r="K190" i="1"/>
  <c r="N4" i="1"/>
  <c r="J253" i="1"/>
  <c r="K92" i="1"/>
  <c r="J181" i="1"/>
  <c r="N289" i="1"/>
  <c r="J155" i="1"/>
  <c r="J256" i="1"/>
  <c r="J84" i="1"/>
  <c r="K123" i="1"/>
  <c r="G41" i="1"/>
  <c r="G497" i="1"/>
  <c r="J396" i="1"/>
  <c r="J80" i="1"/>
  <c r="G233" i="1"/>
  <c r="E284" i="1"/>
  <c r="E353" i="1"/>
  <c r="E174" i="1"/>
  <c r="G308" i="1"/>
  <c r="J473" i="1"/>
  <c r="E491" i="1"/>
  <c r="K71" i="1"/>
  <c r="K308" i="1"/>
  <c r="J389" i="1"/>
  <c r="J271" i="1"/>
  <c r="J345" i="1"/>
  <c r="J490" i="1"/>
  <c r="J482" i="1"/>
  <c r="J510" i="1"/>
  <c r="J144" i="1"/>
  <c r="G409" i="1"/>
  <c r="G211" i="1"/>
  <c r="G260" i="1"/>
  <c r="J456" i="1"/>
  <c r="G350" i="1"/>
  <c r="K360" i="1"/>
  <c r="N471" i="1"/>
  <c r="J250" i="1"/>
  <c r="K209" i="1"/>
  <c r="J108" i="1"/>
  <c r="K247" i="1"/>
  <c r="J283" i="1"/>
  <c r="J384" i="1"/>
  <c r="J340" i="1"/>
  <c r="J134" i="1"/>
  <c r="G363" i="1"/>
  <c r="E67" i="1"/>
  <c r="J157" i="1"/>
  <c r="J336" i="1"/>
  <c r="N215" i="1"/>
  <c r="K322" i="1"/>
  <c r="AB304" i="1"/>
  <c r="J198" i="1"/>
  <c r="N337" i="1"/>
  <c r="K460" i="1"/>
  <c r="N57" i="1"/>
  <c r="J35" i="1"/>
  <c r="G253" i="1"/>
  <c r="J259" i="1"/>
  <c r="K210" i="1"/>
  <c r="G104" i="1"/>
  <c r="G447" i="1"/>
  <c r="J45" i="1"/>
  <c r="J235" i="1"/>
  <c r="E506" i="1"/>
  <c r="J373" i="1"/>
  <c r="E501" i="1"/>
  <c r="E228" i="1"/>
  <c r="G23" i="1"/>
  <c r="G230" i="1"/>
  <c r="N307" i="1"/>
  <c r="N432" i="1"/>
  <c r="J123" i="1"/>
  <c r="K465" i="1"/>
  <c r="J236" i="1"/>
  <c r="K136" i="1"/>
  <c r="J411" i="1"/>
  <c r="J512" i="1"/>
  <c r="J109" i="1"/>
  <c r="J119" i="1"/>
  <c r="G157" i="1"/>
  <c r="E149" i="1"/>
  <c r="G387" i="1"/>
  <c r="J290" i="1"/>
  <c r="E236" i="1"/>
  <c r="E73" i="1"/>
  <c r="E22" i="1"/>
  <c r="G194" i="1"/>
  <c r="N394" i="1"/>
  <c r="K160" i="1"/>
  <c r="K469" i="1"/>
  <c r="AB155" i="1"/>
  <c r="K199" i="1"/>
  <c r="AB261" i="1"/>
  <c r="AB440" i="1"/>
  <c r="AB183" i="1"/>
  <c r="J386" i="1"/>
  <c r="N159" i="1"/>
  <c r="K320" i="1"/>
  <c r="N424" i="1"/>
  <c r="K485" i="1"/>
  <c r="N420" i="1"/>
  <c r="K231" i="1"/>
  <c r="J79" i="1"/>
  <c r="K472" i="1"/>
  <c r="K385" i="1"/>
  <c r="N199" i="1"/>
  <c r="K99" i="1"/>
  <c r="AB507" i="1"/>
  <c r="K90" i="1"/>
  <c r="K403" i="1"/>
  <c r="K143" i="1"/>
  <c r="K233" i="1"/>
  <c r="J288" i="1"/>
  <c r="J449" i="1"/>
  <c r="E304" i="1"/>
  <c r="AB363" i="1"/>
  <c r="J75" i="1"/>
  <c r="J186" i="1"/>
  <c r="J43" i="1"/>
  <c r="J92" i="1"/>
  <c r="J252" i="1"/>
  <c r="E44" i="1"/>
  <c r="K296" i="1"/>
  <c r="K217" i="1"/>
  <c r="G147" i="1"/>
  <c r="G133" i="1"/>
  <c r="J509" i="1"/>
  <c r="K453" i="1"/>
  <c r="K315" i="1"/>
  <c r="J369" i="1"/>
  <c r="G478" i="1"/>
  <c r="G479" i="1"/>
  <c r="N435" i="1"/>
  <c r="J329" i="1"/>
  <c r="K400" i="1"/>
  <c r="J331" i="1"/>
  <c r="N301" i="1"/>
  <c r="J410" i="1"/>
  <c r="J64" i="1"/>
  <c r="J243" i="1"/>
  <c r="K176" i="1"/>
  <c r="G228" i="1"/>
  <c r="G381" i="1"/>
  <c r="J381" i="1"/>
  <c r="J346" i="1"/>
  <c r="G428" i="1"/>
  <c r="E280" i="1"/>
  <c r="E361" i="1"/>
  <c r="E129" i="1"/>
  <c r="E58" i="1"/>
  <c r="J96" i="1"/>
  <c r="K227" i="1"/>
  <c r="J126" i="1"/>
  <c r="K433" i="1"/>
  <c r="J343" i="1"/>
  <c r="K476" i="1"/>
  <c r="J514" i="1"/>
  <c r="K369" i="1"/>
  <c r="J196" i="1"/>
  <c r="G453" i="1"/>
  <c r="G117" i="1"/>
  <c r="J170" i="1"/>
  <c r="E108" i="1"/>
  <c r="G410" i="1"/>
  <c r="E196" i="1"/>
  <c r="E341" i="1"/>
  <c r="E226" i="1"/>
  <c r="E59" i="1"/>
  <c r="G82" i="1"/>
  <c r="E265" i="1"/>
  <c r="J286" i="1"/>
  <c r="E204" i="1"/>
  <c r="G141" i="1"/>
  <c r="E107" i="1"/>
  <c r="G154" i="1"/>
  <c r="G166" i="1"/>
  <c r="G315" i="1"/>
  <c r="E242" i="1"/>
  <c r="E210" i="1"/>
  <c r="E10" i="1"/>
  <c r="E454" i="1"/>
  <c r="J351" i="1"/>
  <c r="K432" i="1"/>
  <c r="E302" i="1"/>
  <c r="E36" i="1"/>
  <c r="E184" i="1"/>
  <c r="E257" i="1"/>
  <c r="E87" i="1"/>
  <c r="G111" i="1"/>
  <c r="E423" i="1"/>
  <c r="AB348" i="1"/>
  <c r="AB374" i="1"/>
  <c r="AB470" i="1"/>
  <c r="AB491" i="1"/>
  <c r="AB208" i="1"/>
  <c r="J471" i="1"/>
  <c r="N171" i="1"/>
  <c r="K292" i="1"/>
  <c r="K382" i="1"/>
  <c r="J430" i="1"/>
  <c r="K206" i="1"/>
  <c r="K224" i="1"/>
  <c r="AB221" i="1"/>
  <c r="K33" i="1"/>
  <c r="K314" i="1"/>
  <c r="N44" i="1"/>
  <c r="K165" i="1"/>
  <c r="AB134" i="1"/>
  <c r="K428" i="1"/>
  <c r="K429" i="1"/>
  <c r="K348" i="1"/>
  <c r="K83" i="1"/>
  <c r="J74" i="1"/>
  <c r="J148" i="1"/>
  <c r="G284" i="1"/>
  <c r="K31" i="1"/>
  <c r="J44" i="1"/>
  <c r="J212" i="1"/>
  <c r="J37" i="1"/>
  <c r="G323" i="1"/>
  <c r="N393" i="1"/>
  <c r="K281" i="1"/>
  <c r="N191" i="1"/>
  <c r="K67" i="1"/>
  <c r="E139" i="1"/>
  <c r="G27" i="1"/>
  <c r="G19" i="1"/>
  <c r="K445" i="1"/>
  <c r="J310" i="1"/>
  <c r="J99" i="1"/>
  <c r="G105" i="1"/>
  <c r="E459" i="1"/>
  <c r="K43" i="1"/>
  <c r="J251" i="1"/>
  <c r="K412" i="1"/>
  <c r="J300" i="1"/>
  <c r="K264" i="1"/>
  <c r="J475" i="1"/>
  <c r="J226" i="1"/>
  <c r="J357" i="1"/>
  <c r="J375" i="1"/>
  <c r="G48" i="1"/>
  <c r="G275" i="1"/>
  <c r="G324" i="1"/>
  <c r="J65" i="1"/>
  <c r="E117" i="1"/>
  <c r="E178" i="1"/>
  <c r="E102" i="1"/>
  <c r="E436" i="1"/>
  <c r="E372" i="1"/>
  <c r="G3" i="1"/>
  <c r="N379" i="1"/>
  <c r="K169" i="1"/>
  <c r="K344" i="1"/>
  <c r="AB396" i="1"/>
  <c r="K440" i="1"/>
  <c r="AB189" i="1"/>
  <c r="AB299" i="1"/>
  <c r="K208" i="1"/>
  <c r="K324" i="1"/>
  <c r="AB298" i="1"/>
  <c r="K464" i="1"/>
  <c r="AB483" i="1"/>
  <c r="J342" i="1"/>
  <c r="N504" i="1"/>
  <c r="AB258" i="1"/>
  <c r="N12" i="1"/>
  <c r="K343" i="1"/>
  <c r="K328" i="1"/>
  <c r="K467" i="1"/>
  <c r="K230" i="1"/>
  <c r="K183" i="1"/>
  <c r="K387" i="1"/>
  <c r="J443" i="1"/>
  <c r="J124" i="1"/>
  <c r="G510" i="1"/>
  <c r="G254" i="1"/>
  <c r="E229" i="1"/>
  <c r="K173" i="1"/>
  <c r="J98" i="1"/>
  <c r="G237" i="1"/>
  <c r="K338" i="1"/>
  <c r="K59" i="1"/>
  <c r="J241" i="1"/>
  <c r="G439" i="1"/>
  <c r="K309" i="1"/>
  <c r="J414" i="1"/>
  <c r="J405" i="1"/>
  <c r="G353" i="1"/>
  <c r="E494" i="1"/>
  <c r="J86" i="1"/>
  <c r="J21" i="1"/>
  <c r="G489" i="1"/>
  <c r="E132" i="1"/>
  <c r="G16" i="1"/>
  <c r="AB322" i="1"/>
  <c r="J348" i="1"/>
  <c r="K300" i="1"/>
  <c r="G451" i="1"/>
  <c r="K290" i="1"/>
  <c r="J444" i="1"/>
  <c r="J433" i="1"/>
  <c r="G366" i="1"/>
  <c r="J273" i="1"/>
  <c r="G507" i="1"/>
  <c r="E267" i="1"/>
  <c r="E13" i="1"/>
  <c r="J307" i="1"/>
  <c r="J438" i="1"/>
  <c r="E91" i="1"/>
  <c r="G14" i="1"/>
  <c r="E464" i="1"/>
  <c r="E14" i="1"/>
  <c r="N419" i="1"/>
  <c r="K65" i="1"/>
  <c r="J30" i="1"/>
  <c r="J453" i="1"/>
  <c r="J153" i="1"/>
  <c r="J398" i="1"/>
  <c r="J440" i="1"/>
  <c r="J230" i="1"/>
  <c r="J63" i="1"/>
  <c r="G93" i="1"/>
  <c r="E3" i="1"/>
  <c r="J149" i="1"/>
  <c r="J72" i="1"/>
  <c r="G7" i="1"/>
  <c r="G88" i="1"/>
  <c r="G393" i="1"/>
  <c r="E371" i="1"/>
  <c r="G188" i="1"/>
  <c r="E225" i="1"/>
  <c r="E27" i="1"/>
  <c r="J217" i="1"/>
  <c r="J200" i="1"/>
  <c r="G440" i="1"/>
  <c r="G122" i="1"/>
  <c r="E368" i="1"/>
  <c r="G334" i="1"/>
  <c r="E385" i="1"/>
  <c r="J491" i="1"/>
  <c r="E234" i="1"/>
  <c r="E467" i="1"/>
  <c r="E433" i="1"/>
  <c r="J239" i="1"/>
  <c r="G420" i="1"/>
  <c r="G375" i="1"/>
  <c r="N101" i="1"/>
  <c r="E262" i="1"/>
  <c r="J317" i="1"/>
  <c r="E209" i="1"/>
  <c r="G465" i="1"/>
  <c r="E241" i="1"/>
  <c r="E317" i="1"/>
  <c r="J218" i="1"/>
  <c r="G40" i="1"/>
  <c r="E162" i="1"/>
  <c r="E64" i="1"/>
  <c r="E508" i="1"/>
  <c r="G467" i="1"/>
  <c r="G192" i="1"/>
  <c r="E142" i="1"/>
  <c r="E379" i="1"/>
  <c r="E230" i="1"/>
  <c r="E417" i="1"/>
  <c r="K105" i="1"/>
  <c r="J321" i="1"/>
  <c r="E408" i="1"/>
  <c r="E165" i="1"/>
  <c r="K383" i="1"/>
  <c r="AB196" i="1"/>
  <c r="AB290" i="1"/>
  <c r="N166" i="1"/>
  <c r="N366" i="1"/>
  <c r="K234" i="1"/>
  <c r="N446" i="1"/>
  <c r="AB271" i="1"/>
  <c r="K417" i="1"/>
  <c r="AB250" i="1"/>
  <c r="AB292" i="1"/>
  <c r="N263" i="1"/>
  <c r="K478" i="1"/>
  <c r="N285" i="1"/>
  <c r="K352" i="1"/>
  <c r="K388" i="1"/>
  <c r="K449" i="1"/>
  <c r="N274" i="1"/>
  <c r="AB162" i="1"/>
  <c r="K450" i="1"/>
  <c r="J117" i="1"/>
  <c r="AB386" i="1"/>
  <c r="N3" i="1"/>
  <c r="J293" i="1"/>
  <c r="E441" i="1"/>
  <c r="N204" i="1"/>
  <c r="K280" i="1"/>
  <c r="K189" i="1"/>
  <c r="J208" i="1"/>
  <c r="J70" i="1"/>
  <c r="J450" i="1"/>
  <c r="G213" i="1"/>
  <c r="K47" i="1"/>
  <c r="J295" i="1"/>
  <c r="G183" i="1"/>
  <c r="G509" i="1"/>
  <c r="E89" i="1"/>
  <c r="N511" i="1"/>
  <c r="K374" i="1"/>
  <c r="G144" i="1"/>
  <c r="G282" i="1"/>
  <c r="J368" i="1"/>
  <c r="N223" i="1"/>
  <c r="N293" i="1"/>
  <c r="J390" i="1"/>
  <c r="K167" i="1"/>
  <c r="K277" i="1"/>
  <c r="N403" i="1"/>
  <c r="J163" i="1"/>
  <c r="G145" i="1"/>
  <c r="J133" i="1"/>
  <c r="K197" i="1"/>
  <c r="G74" i="1"/>
  <c r="G306" i="1"/>
  <c r="J493" i="1"/>
  <c r="J420" i="1"/>
  <c r="E397" i="1"/>
  <c r="J81" i="1"/>
  <c r="E120" i="1"/>
  <c r="E310" i="1"/>
  <c r="N287" i="1"/>
  <c r="K107" i="1"/>
  <c r="J24" i="1"/>
  <c r="N46" i="1"/>
  <c r="J90" i="1"/>
  <c r="J287" i="1"/>
  <c r="N15" i="1"/>
  <c r="AB152" i="1"/>
  <c r="N226" i="1"/>
  <c r="AB181" i="1"/>
  <c r="N31" i="1"/>
  <c r="AB367" i="1"/>
  <c r="K269" i="1"/>
  <c r="N343" i="1"/>
  <c r="K398" i="1"/>
  <c r="N336" i="1"/>
  <c r="K303" i="1"/>
  <c r="K182" i="1"/>
  <c r="K494" i="1"/>
  <c r="N161" i="1"/>
  <c r="AB501" i="1"/>
  <c r="N364" i="1"/>
  <c r="K439" i="1"/>
  <c r="N286" i="1"/>
  <c r="K215" i="1"/>
  <c r="J327" i="1"/>
  <c r="K381" i="1"/>
  <c r="J26" i="1"/>
  <c r="G419" i="1"/>
  <c r="E56" i="1"/>
  <c r="E75" i="1"/>
  <c r="J58" i="1"/>
  <c r="J219" i="1"/>
  <c r="G130" i="1"/>
  <c r="AB340" i="1"/>
  <c r="N487" i="1"/>
  <c r="G332" i="1"/>
  <c r="G336" i="1"/>
  <c r="K155" i="1"/>
  <c r="K426" i="1"/>
  <c r="J354" i="1"/>
  <c r="G174" i="1"/>
  <c r="G226" i="1"/>
  <c r="K514" i="1"/>
  <c r="K149" i="1"/>
  <c r="J387" i="1"/>
  <c r="J165" i="1"/>
  <c r="E159" i="1"/>
  <c r="J62" i="1"/>
  <c r="K124" i="1"/>
  <c r="J232" i="1"/>
  <c r="K323" i="1"/>
  <c r="J423" i="1"/>
  <c r="K91" i="1"/>
  <c r="AB387" i="1"/>
  <c r="E221" i="1"/>
  <c r="E62" i="1"/>
  <c r="J469" i="1"/>
  <c r="K392" i="1"/>
  <c r="G356" i="1"/>
  <c r="G374" i="1"/>
  <c r="G108" i="1"/>
  <c r="E500" i="1"/>
  <c r="G335" i="1"/>
  <c r="E336" i="1"/>
  <c r="E202" i="1"/>
  <c r="K79" i="1"/>
  <c r="K502" i="1"/>
  <c r="J315" i="1"/>
  <c r="K138" i="1"/>
  <c r="J364" i="1"/>
  <c r="K188" i="1"/>
  <c r="J261" i="1"/>
  <c r="J189" i="1"/>
  <c r="G131" i="1"/>
  <c r="J32" i="1"/>
  <c r="G49" i="1"/>
  <c r="G148" i="1"/>
  <c r="G245" i="1"/>
  <c r="J193" i="1"/>
  <c r="G187" i="1"/>
  <c r="E384" i="1"/>
  <c r="K74" i="1"/>
  <c r="E38" i="1"/>
  <c r="G219" i="1"/>
  <c r="G373" i="1"/>
  <c r="J334" i="1"/>
  <c r="G127" i="1"/>
  <c r="E269" i="1"/>
  <c r="G95" i="1"/>
  <c r="E443" i="1"/>
  <c r="J225" i="1"/>
  <c r="E376" i="1"/>
  <c r="G274" i="1"/>
  <c r="G480" i="1"/>
  <c r="E405" i="1"/>
  <c r="J152" i="1"/>
  <c r="G343" i="1"/>
  <c r="E232" i="1"/>
  <c r="E103" i="1"/>
  <c r="E307" i="1"/>
  <c r="E12" i="1"/>
  <c r="G109" i="1"/>
  <c r="E481" i="1"/>
  <c r="E457" i="1"/>
  <c r="E511" i="1"/>
  <c r="E453" i="1"/>
  <c r="N156" i="1"/>
  <c r="J455" i="1"/>
  <c r="E512" i="1"/>
  <c r="G115" i="1"/>
  <c r="E17" i="1"/>
  <c r="E80" i="1"/>
  <c r="E48" i="1"/>
  <c r="E150" i="1"/>
  <c r="E448" i="1"/>
  <c r="E253" i="1"/>
  <c r="K128" i="1"/>
  <c r="G132" i="1"/>
  <c r="J353" i="1"/>
  <c r="E30" i="1"/>
  <c r="N11" i="1"/>
  <c r="N454" i="1"/>
  <c r="AB222" i="1"/>
  <c r="N154" i="1"/>
  <c r="K118" i="1"/>
  <c r="N131" i="1"/>
  <c r="AB429" i="1"/>
  <c r="K366" i="1"/>
  <c r="N83" i="1"/>
  <c r="N355" i="1"/>
  <c r="K50" i="1"/>
  <c r="J457" i="1"/>
  <c r="N443" i="1"/>
  <c r="K101" i="1"/>
  <c r="N507" i="1"/>
  <c r="K503" i="1"/>
  <c r="K463" i="1"/>
  <c r="K140" i="1"/>
  <c r="AB137" i="1"/>
  <c r="K225" i="1"/>
  <c r="J492" i="1"/>
  <c r="G53" i="1"/>
  <c r="G137" i="1"/>
  <c r="J209" i="1"/>
  <c r="E495" i="1"/>
  <c r="N465" i="1"/>
  <c r="J367" i="1"/>
  <c r="E326" i="1"/>
  <c r="K104" i="1"/>
  <c r="K489" i="1"/>
  <c r="J42" i="1"/>
  <c r="J194" i="1"/>
  <c r="J151" i="1"/>
  <c r="J325" i="1"/>
  <c r="G106" i="1"/>
  <c r="E365" i="1"/>
  <c r="G63" i="1"/>
  <c r="J284" i="1"/>
  <c r="J380" i="1"/>
  <c r="G51" i="1"/>
  <c r="K475" i="1"/>
  <c r="N113" i="1"/>
  <c r="K41" i="1"/>
  <c r="J418" i="1"/>
  <c r="J89" i="1"/>
  <c r="J318" i="1"/>
  <c r="J376" i="1"/>
  <c r="J102" i="1"/>
  <c r="J446" i="1"/>
  <c r="G172" i="1"/>
  <c r="G434" i="1"/>
  <c r="J500" i="1"/>
  <c r="J439" i="1"/>
  <c r="G176" i="1"/>
  <c r="G197" i="1"/>
  <c r="G178" i="1"/>
  <c r="G504" i="1"/>
  <c r="E181" i="1"/>
  <c r="E392" i="1"/>
  <c r="E127" i="1"/>
  <c r="N23" i="1"/>
  <c r="K265" i="1"/>
  <c r="J412" i="1"/>
  <c r="K125" i="1"/>
  <c r="AB321" i="1"/>
  <c r="K418" i="1"/>
  <c r="J508" i="1"/>
  <c r="J66" i="1"/>
  <c r="E251" i="1"/>
  <c r="J401" i="1"/>
  <c r="G380" i="1"/>
  <c r="E468" i="1"/>
  <c r="G139" i="1"/>
  <c r="J435" i="1"/>
  <c r="J322" i="1"/>
  <c r="E437" i="1"/>
  <c r="E212" i="1"/>
  <c r="E19" i="1"/>
  <c r="E293" i="1"/>
  <c r="N317" i="1"/>
  <c r="J319" i="1"/>
  <c r="G493" i="1"/>
  <c r="G425" i="1"/>
  <c r="G326" i="1"/>
  <c r="G501" i="1"/>
  <c r="N14" i="1"/>
  <c r="AB124" i="1"/>
  <c r="N225" i="1"/>
  <c r="N383" i="1"/>
  <c r="K142" i="1"/>
  <c r="K394" i="1"/>
  <c r="E123" i="1"/>
  <c r="K75" i="1"/>
  <c r="K363" i="1"/>
  <c r="G66" i="1"/>
  <c r="J179" i="1"/>
  <c r="J279" i="1"/>
  <c r="J132" i="1"/>
  <c r="G290" i="1"/>
  <c r="E330" i="1"/>
  <c r="N201" i="1"/>
  <c r="J478" i="1"/>
  <c r="J297" i="1"/>
  <c r="J129" i="1"/>
  <c r="G422" i="1"/>
  <c r="J441" i="1"/>
  <c r="G78" i="1"/>
  <c r="E416" i="1"/>
  <c r="E199" i="1"/>
  <c r="J486" i="1"/>
  <c r="E263" i="1"/>
  <c r="E223" i="1"/>
  <c r="E69" i="1"/>
  <c r="E219" i="1"/>
  <c r="G92" i="1"/>
  <c r="J338" i="1"/>
  <c r="G98" i="1"/>
  <c r="E74" i="1"/>
  <c r="G29" i="1"/>
  <c r="G338" i="1"/>
  <c r="G382" i="1"/>
  <c r="G413" i="1"/>
  <c r="J91" i="1"/>
  <c r="J352" i="1"/>
  <c r="G101" i="1"/>
  <c r="E435" i="1"/>
  <c r="G140" i="1"/>
  <c r="J311" i="1"/>
  <c r="E286" i="1"/>
  <c r="G45" i="1"/>
  <c r="J60" i="1"/>
  <c r="G502" i="1"/>
  <c r="E121" i="1"/>
  <c r="E41" i="1"/>
  <c r="E60" i="1"/>
  <c r="E105" i="1"/>
  <c r="G68" i="1"/>
  <c r="E220" i="1"/>
  <c r="G37" i="1"/>
  <c r="E505" i="1"/>
  <c r="J85" i="1"/>
  <c r="E396" i="1"/>
  <c r="J277" i="1"/>
  <c r="E282" i="1"/>
  <c r="G288" i="1"/>
  <c r="K492" i="1"/>
  <c r="G454" i="1"/>
  <c r="E300" i="1"/>
  <c r="E200" i="1"/>
  <c r="G171" i="1"/>
  <c r="K198" i="1"/>
  <c r="J463" i="1"/>
  <c r="E382" i="1"/>
  <c r="E45" i="1"/>
  <c r="E110" i="1"/>
  <c r="E148" i="1"/>
  <c r="G402" i="1"/>
  <c r="K133" i="1"/>
  <c r="G168" i="1"/>
  <c r="E190" i="1"/>
  <c r="G278" i="1"/>
  <c r="E254" i="1"/>
  <c r="E270" i="1"/>
  <c r="E83" i="1"/>
  <c r="G204" i="1"/>
  <c r="E37" i="1"/>
  <c r="E46" i="1"/>
  <c r="E316" i="1"/>
  <c r="E18" i="1"/>
  <c r="E141" i="1"/>
  <c r="E124" i="1"/>
  <c r="G512" i="1"/>
  <c r="E2" i="1"/>
  <c r="G17" i="1"/>
  <c r="G430" i="1"/>
  <c r="E498" i="1"/>
  <c r="K148" i="1"/>
  <c r="G263" i="1"/>
  <c r="E472" i="1"/>
  <c r="E49" i="1"/>
  <c r="G302" i="1"/>
  <c r="E514" i="1"/>
  <c r="E362" i="1"/>
  <c r="G177" i="1"/>
  <c r="E350" i="1"/>
  <c r="G379" i="1"/>
  <c r="G498" i="1"/>
  <c r="E507" i="1"/>
  <c r="J39" i="1"/>
  <c r="E197" i="1"/>
  <c r="G429" i="1"/>
  <c r="E394" i="1"/>
  <c r="E451" i="1"/>
  <c r="E418" i="1"/>
  <c r="J33" i="1"/>
  <c r="G293" i="1"/>
  <c r="E138" i="1"/>
  <c r="G269" i="1"/>
  <c r="J332" i="1"/>
  <c r="E347" i="1"/>
  <c r="G170" i="1"/>
  <c r="E125" i="1"/>
  <c r="G200" i="1"/>
  <c r="E9" i="1"/>
  <c r="J339" i="1"/>
  <c r="E24" i="1"/>
  <c r="E115" i="1"/>
  <c r="G424" i="1"/>
  <c r="G205" i="1"/>
  <c r="E168" i="1"/>
  <c r="E299" i="1"/>
  <c r="E180" i="1"/>
  <c r="E167" i="1"/>
  <c r="E297" i="1"/>
  <c r="K56" i="1"/>
  <c r="J460" i="1"/>
  <c r="G264" i="1"/>
  <c r="G514" i="1"/>
  <c r="E290" i="1"/>
  <c r="E93" i="1"/>
  <c r="E29" i="1"/>
  <c r="J358" i="1"/>
  <c r="J407" i="1"/>
  <c r="G476" i="1"/>
  <c r="E482" i="1"/>
  <c r="E306" i="1"/>
  <c r="K497" i="1"/>
  <c r="E203" i="1"/>
  <c r="G468" i="1"/>
  <c r="K204" i="1"/>
  <c r="E185" i="1"/>
  <c r="E311" i="1"/>
  <c r="E412" i="1"/>
  <c r="G389" i="1"/>
  <c r="E42" i="1"/>
  <c r="N62" i="1"/>
  <c r="G255" i="1"/>
  <c r="G328" i="1"/>
  <c r="G62" i="1"/>
  <c r="K349" i="1"/>
  <c r="G469" i="1"/>
  <c r="G6" i="1"/>
  <c r="E179" i="1"/>
  <c r="G394" i="1"/>
  <c r="E352" i="1"/>
  <c r="E70" i="1"/>
  <c r="E370" i="1"/>
  <c r="J260" i="1"/>
  <c r="E375" i="1"/>
  <c r="AB453" i="1"/>
  <c r="G30" i="1"/>
  <c r="G398" i="1"/>
  <c r="N247" i="1"/>
  <c r="K401" i="1"/>
  <c r="G55" i="1"/>
  <c r="N448" i="1"/>
  <c r="K423" i="1"/>
  <c r="N392" i="1"/>
  <c r="N447" i="1"/>
  <c r="K44" i="1"/>
  <c r="N450" i="1"/>
  <c r="E287" i="1"/>
  <c r="K194" i="1"/>
  <c r="J104" i="1"/>
  <c r="E390" i="1"/>
  <c r="J52" i="1"/>
  <c r="J365" i="1"/>
  <c r="J341" i="1"/>
  <c r="J313" i="1"/>
  <c r="E327" i="1"/>
  <c r="K508" i="1"/>
  <c r="J296" i="1"/>
  <c r="J27" i="1"/>
  <c r="J371" i="1"/>
  <c r="G149" i="1"/>
  <c r="J140" i="1"/>
  <c r="G349" i="1"/>
  <c r="G475" i="1"/>
  <c r="E403" i="1"/>
  <c r="J504" i="1"/>
  <c r="J83" i="1"/>
  <c r="G416" i="1"/>
  <c r="E429" i="1"/>
  <c r="E489" i="1"/>
  <c r="E264" i="1"/>
  <c r="J361" i="1"/>
  <c r="E216" i="1"/>
  <c r="G267" i="1"/>
  <c r="G47" i="1"/>
  <c r="E383" i="1"/>
  <c r="E164" i="1"/>
  <c r="E411" i="1"/>
  <c r="J192" i="1"/>
  <c r="E157" i="1"/>
  <c r="E456" i="1"/>
  <c r="E356" i="1"/>
  <c r="G36" i="1"/>
  <c r="J173" i="1"/>
  <c r="E313" i="1"/>
  <c r="E206" i="1"/>
  <c r="J49" i="1"/>
  <c r="E25" i="1"/>
  <c r="G455" i="1"/>
  <c r="E183" i="1"/>
  <c r="G312" i="1"/>
  <c r="E82" i="1"/>
  <c r="G340" i="1"/>
  <c r="G499" i="1"/>
  <c r="E303" i="1"/>
  <c r="J34" i="1"/>
  <c r="J434" i="1"/>
  <c r="G240" i="1"/>
  <c r="G495" i="1"/>
  <c r="J97" i="1"/>
  <c r="E8" i="1"/>
  <c r="J292" i="1"/>
  <c r="G184" i="1"/>
  <c r="E252" i="1"/>
  <c r="E477" i="1"/>
  <c r="G372" i="1"/>
  <c r="J130" i="1"/>
  <c r="G300" i="1"/>
  <c r="E318" i="1"/>
  <c r="G138" i="1"/>
  <c r="G390" i="1"/>
  <c r="G38" i="1"/>
  <c r="E79" i="1"/>
  <c r="J237" i="1"/>
  <c r="G103" i="1"/>
  <c r="J136" i="1"/>
  <c r="E248" i="1"/>
  <c r="E250" i="1"/>
  <c r="G333" i="1"/>
  <c r="E6" i="1"/>
  <c r="G100" i="1"/>
  <c r="G13" i="1"/>
  <c r="E374" i="1"/>
  <c r="K293" i="1"/>
  <c r="J249" i="1"/>
  <c r="E410" i="1"/>
  <c r="E351" i="1"/>
  <c r="G481" i="1"/>
  <c r="J337" i="1"/>
  <c r="G466" i="1"/>
  <c r="E461" i="1"/>
  <c r="J496" i="1"/>
  <c r="E449" i="1"/>
  <c r="E40" i="1"/>
  <c r="E364" i="1"/>
  <c r="E189" i="1"/>
  <c r="E504" i="1"/>
  <c r="E301" i="1"/>
  <c r="G470" i="1"/>
  <c r="E235" i="1"/>
  <c r="G265" i="1"/>
  <c r="E305" i="1"/>
  <c r="G242" i="1"/>
  <c r="J211" i="1"/>
  <c r="G159" i="1"/>
  <c r="G446" i="1"/>
  <c r="E402" i="1"/>
  <c r="E422" i="1"/>
  <c r="G449" i="1"/>
  <c r="E113" i="1"/>
  <c r="G4" i="1"/>
  <c r="E272" i="1"/>
  <c r="E460" i="1"/>
  <c r="G404" i="1"/>
  <c r="N477" i="1"/>
  <c r="J143" i="1"/>
  <c r="K150" i="1"/>
  <c r="AB209" i="1"/>
  <c r="N473" i="1"/>
  <c r="AB180" i="1"/>
  <c r="AB195" i="1"/>
  <c r="J113" i="1"/>
  <c r="J472" i="1"/>
  <c r="J141" i="1"/>
  <c r="K236" i="1"/>
  <c r="K73" i="1"/>
  <c r="G39" i="1"/>
  <c r="K473" i="1"/>
  <c r="G110" i="1"/>
  <c r="G25" i="1"/>
  <c r="G431" i="1"/>
  <c r="AB117" i="1"/>
  <c r="J395" i="1"/>
  <c r="K304" i="1"/>
  <c r="G215" i="1"/>
  <c r="J142" i="1"/>
  <c r="E131" i="1"/>
  <c r="J269" i="1"/>
  <c r="J377" i="1"/>
  <c r="E424" i="1"/>
  <c r="G262" i="1"/>
  <c r="E137" i="1"/>
  <c r="J121" i="1"/>
  <c r="E426" i="1"/>
  <c r="G352" i="1"/>
  <c r="G342" i="1"/>
  <c r="J257" i="1"/>
  <c r="G401" i="1"/>
  <c r="G206" i="1"/>
  <c r="J247" i="1"/>
  <c r="J350" i="1"/>
  <c r="G357" i="1"/>
  <c r="E357" i="1"/>
  <c r="J499" i="1"/>
  <c r="E95" i="1"/>
  <c r="E166" i="1"/>
  <c r="E76" i="1"/>
  <c r="G351" i="1"/>
  <c r="G70" i="1"/>
  <c r="E109" i="1"/>
  <c r="E425" i="1"/>
  <c r="J160" i="1"/>
  <c r="E98" i="1"/>
  <c r="E513" i="1"/>
  <c r="E378" i="1"/>
  <c r="K458" i="1"/>
  <c r="G96" i="1"/>
  <c r="G486" i="1"/>
  <c r="E239" i="1"/>
  <c r="G452" i="1"/>
  <c r="N231" i="1"/>
  <c r="E452" i="1"/>
  <c r="J298" i="1"/>
  <c r="E473" i="1"/>
  <c r="G83" i="1"/>
  <c r="K459" i="1"/>
  <c r="G231" i="1"/>
  <c r="E359" i="1"/>
  <c r="E194" i="1"/>
  <c r="K332" i="1"/>
  <c r="G347" i="1"/>
  <c r="K120" i="1"/>
  <c r="E332" i="1"/>
  <c r="G94" i="1"/>
  <c r="E160" i="1"/>
  <c r="G150" i="1"/>
  <c r="G426" i="1"/>
  <c r="G294" i="1"/>
  <c r="K347" i="1"/>
  <c r="G143" i="1"/>
  <c r="J436" i="1"/>
  <c r="J204" i="1"/>
  <c r="E81" i="1"/>
  <c r="J465" i="1"/>
  <c r="E415" i="1"/>
  <c r="G256" i="1"/>
  <c r="E55" i="1"/>
  <c r="E321" i="1"/>
  <c r="G344" i="1"/>
  <c r="E133" i="1"/>
  <c r="E413" i="1"/>
  <c r="G473" i="1"/>
  <c r="G18" i="1"/>
  <c r="E502" i="1"/>
  <c r="E147" i="1"/>
  <c r="G239" i="1"/>
  <c r="J224" i="1"/>
  <c r="E279" i="1"/>
  <c r="G120" i="1"/>
  <c r="G246" i="1"/>
  <c r="G442" i="1"/>
  <c r="E466" i="1"/>
  <c r="G301" i="1"/>
  <c r="E400" i="1"/>
  <c r="E50" i="1"/>
  <c r="E439" i="1"/>
  <c r="E308" i="1"/>
  <c r="G399" i="1"/>
  <c r="E7" i="1"/>
  <c r="E334" i="1"/>
  <c r="G310" i="1"/>
  <c r="G60" i="1"/>
  <c r="G474" i="1"/>
  <c r="E440" i="1"/>
  <c r="G266" i="1"/>
  <c r="G283" i="1"/>
  <c r="E388" i="1"/>
  <c r="G151" i="1"/>
  <c r="G89" i="1"/>
  <c r="E238" i="1"/>
  <c r="J454" i="1"/>
  <c r="G223" i="1"/>
  <c r="E363" i="1"/>
  <c r="G318" i="1"/>
  <c r="E173" i="1"/>
  <c r="G32" i="1"/>
  <c r="E274" i="1"/>
  <c r="E26" i="1"/>
  <c r="E222" i="1"/>
  <c r="E122" i="1"/>
  <c r="G303" i="1"/>
  <c r="J55" i="1"/>
  <c r="E101" i="1"/>
  <c r="K48" i="1"/>
  <c r="J112" i="1"/>
  <c r="G179" i="1"/>
  <c r="E322" i="1"/>
  <c r="J76" i="1"/>
  <c r="G173" i="1"/>
  <c r="J187" i="1"/>
  <c r="J404" i="1"/>
  <c r="J111" i="1"/>
  <c r="J178" i="1"/>
  <c r="E78" i="1"/>
  <c r="E193" i="1"/>
  <c r="G376" i="1"/>
  <c r="N288" i="1"/>
  <c r="N439" i="1"/>
  <c r="N495" i="1"/>
  <c r="J46" i="1"/>
  <c r="K479" i="1"/>
  <c r="E333" i="1"/>
  <c r="K81" i="1"/>
  <c r="K339" i="1"/>
  <c r="J29" i="1"/>
  <c r="AB245" i="1"/>
  <c r="N81" i="1"/>
  <c r="J223" i="1"/>
  <c r="E492" i="1"/>
  <c r="N416" i="1"/>
  <c r="E444" i="1"/>
  <c r="K115" i="1"/>
  <c r="K416" i="1"/>
  <c r="K219" i="1"/>
  <c r="G291" i="1"/>
  <c r="J147" i="1"/>
  <c r="G277" i="1"/>
  <c r="G368" i="1"/>
  <c r="E11" i="1"/>
  <c r="E503" i="1"/>
  <c r="J445" i="1"/>
  <c r="G329" i="1"/>
  <c r="G107" i="1"/>
  <c r="G485" i="1"/>
  <c r="E134" i="1"/>
  <c r="E23" i="1"/>
  <c r="G443" i="1"/>
  <c r="J77" i="1"/>
  <c r="E323" i="1"/>
  <c r="E324" i="1"/>
  <c r="J308" i="1"/>
  <c r="G392" i="1"/>
  <c r="G503" i="1"/>
  <c r="K202" i="1"/>
  <c r="E177" i="1"/>
  <c r="K419" i="1"/>
  <c r="J363" i="1"/>
  <c r="G116" i="1"/>
  <c r="G199" i="1"/>
  <c r="G153" i="1"/>
  <c r="E237" i="1"/>
  <c r="G186" i="1"/>
  <c r="E367" i="1"/>
  <c r="J333" i="1"/>
  <c r="G161" i="1"/>
  <c r="J467" i="1"/>
  <c r="E345" i="1"/>
  <c r="E51" i="1"/>
  <c r="E32" i="1"/>
  <c r="E298" i="1"/>
  <c r="K393" i="1"/>
  <c r="J266" i="1"/>
  <c r="G124" i="1"/>
  <c r="E275" i="1"/>
  <c r="E245" i="1"/>
  <c r="G67" i="1"/>
  <c r="G235" i="1"/>
  <c r="E145" i="1"/>
  <c r="K220" i="1"/>
  <c r="G388" i="1"/>
  <c r="E469" i="1"/>
  <c r="E427" i="1"/>
  <c r="J451" i="1"/>
  <c r="G457" i="1"/>
  <c r="G201" i="1"/>
  <c r="G450" i="1"/>
  <c r="K266" i="1"/>
  <c r="J282" i="1"/>
  <c r="N40" i="1"/>
  <c r="K203" i="1"/>
  <c r="N133" i="1"/>
  <c r="N304" i="1"/>
  <c r="N25" i="1"/>
  <c r="G190" i="1"/>
  <c r="J513" i="1"/>
  <c r="G456" i="1"/>
  <c r="J176" i="1"/>
  <c r="K162" i="1"/>
  <c r="K51" i="1"/>
  <c r="J202" i="1"/>
  <c r="G196" i="1"/>
  <c r="G2" i="1"/>
  <c r="G52" i="1"/>
  <c r="J393" i="1"/>
  <c r="K364" i="1"/>
  <c r="J175" i="1"/>
  <c r="E373" i="1"/>
  <c r="G79" i="1"/>
  <c r="K60" i="1"/>
  <c r="E271" i="1"/>
  <c r="E325" i="1"/>
  <c r="E260" i="1"/>
  <c r="G298" i="1"/>
  <c r="E483" i="1"/>
  <c r="E463" i="1"/>
  <c r="E486" i="1"/>
  <c r="G406" i="1"/>
  <c r="E447" i="1"/>
  <c r="G441" i="1"/>
  <c r="G397" i="1"/>
  <c r="E478" i="1"/>
  <c r="E276" i="1"/>
  <c r="G270" i="1"/>
  <c r="E487" i="1"/>
  <c r="N313" i="1"/>
  <c r="G319" i="1"/>
  <c r="N60" i="1"/>
  <c r="G189" i="1"/>
  <c r="G511" i="1"/>
  <c r="E355" i="1"/>
  <c r="E143" i="1"/>
  <c r="G224" i="1"/>
  <c r="K39" i="1"/>
  <c r="G69" i="1"/>
  <c r="K52" i="1"/>
  <c r="E259" i="1"/>
  <c r="N183" i="1"/>
  <c r="G80" i="1"/>
  <c r="E54" i="1"/>
  <c r="E104" i="1"/>
  <c r="K468" i="1"/>
  <c r="G258" i="1"/>
  <c r="J53" i="1"/>
  <c r="N112" i="1"/>
  <c r="G345" i="1"/>
  <c r="G407" i="1"/>
  <c r="G114" i="1"/>
  <c r="G385" i="1"/>
  <c r="G337" i="1"/>
  <c r="E34" i="1"/>
  <c r="E119" i="1"/>
  <c r="G214" i="1"/>
  <c r="G436" i="1"/>
  <c r="K271" i="1"/>
  <c r="E277" i="1"/>
  <c r="J362" i="1"/>
  <c r="K359" i="1"/>
  <c r="E450" i="1"/>
  <c r="J255" i="1"/>
  <c r="N211" i="1"/>
  <c r="G164" i="1"/>
  <c r="E205" i="1"/>
  <c r="E343" i="1"/>
  <c r="G163" i="1"/>
  <c r="J480" i="1"/>
  <c r="G216" i="1"/>
  <c r="E294" i="1"/>
  <c r="G438" i="1"/>
  <c r="J264" i="1"/>
  <c r="G371" i="1"/>
  <c r="E266" i="1"/>
  <c r="G417" i="1"/>
  <c r="E100" i="1"/>
  <c r="J254" i="1"/>
  <c r="J421" i="1"/>
  <c r="E337" i="1"/>
  <c r="E153" i="1"/>
  <c r="E152" i="1"/>
  <c r="E295" i="1"/>
  <c r="E399" i="1"/>
  <c r="E186" i="1"/>
  <c r="G484" i="1"/>
  <c r="E438" i="1"/>
  <c r="E470" i="1"/>
  <c r="E442" i="1"/>
  <c r="J213" i="1"/>
  <c r="E92" i="1"/>
  <c r="E5" i="1"/>
  <c r="K146" i="1"/>
  <c r="G412" i="1"/>
  <c r="E480" i="1"/>
  <c r="E128" i="1"/>
  <c r="E312" i="1"/>
  <c r="E126" i="1"/>
  <c r="E314" i="1"/>
  <c r="G129" i="1"/>
  <c r="E33" i="1"/>
  <c r="N400" i="1"/>
  <c r="G281" i="1"/>
  <c r="J145" i="1"/>
  <c r="K241" i="1"/>
  <c r="G202" i="1"/>
  <c r="K405" i="1"/>
  <c r="J100" i="1"/>
  <c r="G492" i="1"/>
  <c r="E218" i="1"/>
  <c r="G405" i="1"/>
  <c r="J442" i="1"/>
  <c r="E57" i="1"/>
  <c r="G395" i="1"/>
  <c r="K240" i="1"/>
  <c r="E484" i="1"/>
  <c r="G42" i="1"/>
  <c r="G77" i="1"/>
  <c r="E161" i="1"/>
  <c r="G91" i="1"/>
  <c r="N63" i="1"/>
  <c r="G325" i="1"/>
  <c r="G243" i="1"/>
  <c r="E188" i="1"/>
  <c r="E28" i="1"/>
  <c r="E155" i="1"/>
  <c r="E273" i="1"/>
  <c r="E163" i="1"/>
  <c r="E509" i="1"/>
  <c r="G320" i="1"/>
  <c r="G57" i="1"/>
  <c r="E111" i="1"/>
  <c r="N155" i="1"/>
  <c r="G305" i="1"/>
  <c r="AB201" i="1"/>
  <c r="K112" i="1"/>
  <c r="G287" i="1"/>
  <c r="G322" i="1"/>
  <c r="AB255" i="1"/>
  <c r="N385" i="1"/>
  <c r="K172" i="1"/>
  <c r="K46" i="1"/>
  <c r="N322" i="1"/>
  <c r="G86" i="1"/>
  <c r="J320" i="1"/>
  <c r="J131" i="1"/>
  <c r="N405" i="1"/>
  <c r="N239" i="1"/>
  <c r="J370" i="1"/>
  <c r="J233" i="1"/>
  <c r="G408" i="1"/>
  <c r="G35" i="1"/>
  <c r="E170" i="1"/>
  <c r="N399" i="1"/>
  <c r="N13" i="1"/>
  <c r="J128" i="1"/>
  <c r="K273" i="1"/>
  <c r="G272" i="1"/>
  <c r="J191" i="1"/>
  <c r="G165" i="1"/>
  <c r="E354" i="1"/>
  <c r="J392" i="1"/>
  <c r="E77" i="1"/>
  <c r="G146" i="1"/>
  <c r="G295" i="1"/>
  <c r="K466" i="1"/>
  <c r="E278" i="1"/>
  <c r="K174" i="1"/>
  <c r="J474" i="1"/>
  <c r="E386" i="1"/>
  <c r="E233" i="1"/>
  <c r="G222" i="1"/>
  <c r="E485" i="1"/>
  <c r="E215" i="1"/>
  <c r="N22" i="1"/>
  <c r="J268" i="1"/>
  <c r="G505" i="1"/>
  <c r="G383" i="1"/>
  <c r="G377" i="1"/>
  <c r="E499" i="1"/>
  <c r="G244" i="1"/>
  <c r="G58" i="1"/>
  <c r="J379" i="1"/>
  <c r="G136" i="1"/>
  <c r="G99" i="1"/>
  <c r="G490" i="1"/>
  <c r="J61" i="1"/>
  <c r="G296" i="1"/>
  <c r="G257" i="1"/>
  <c r="G250" i="1"/>
  <c r="G44" i="1"/>
  <c r="E476" i="1"/>
  <c r="K253" i="1"/>
  <c r="E349" i="1"/>
  <c r="E401" i="1"/>
  <c r="G54" i="1"/>
  <c r="G56" i="1"/>
  <c r="E309" i="1"/>
  <c r="E421" i="1"/>
  <c r="J378" i="1"/>
  <c r="E479" i="1"/>
  <c r="E97" i="1"/>
  <c r="E446" i="1"/>
  <c r="J291" i="1"/>
  <c r="G433" i="1"/>
  <c r="G500" i="1"/>
  <c r="J498" i="1"/>
  <c r="G180" i="1"/>
  <c r="J101" i="1"/>
  <c r="K425" i="1"/>
  <c r="G508" i="1"/>
  <c r="E261" i="1"/>
  <c r="E86" i="1"/>
  <c r="G34" i="1"/>
  <c r="G331" i="1"/>
  <c r="E227" i="1"/>
  <c r="E136" i="1"/>
  <c r="E112" i="1"/>
  <c r="E214" i="1"/>
  <c r="E256" i="1"/>
  <c r="G234" i="1"/>
  <c r="G307" i="1"/>
  <c r="J36" i="1"/>
  <c r="G8" i="1"/>
  <c r="G220" i="1"/>
  <c r="E31" i="1"/>
  <c r="G391" i="1"/>
  <c r="G313" i="1"/>
  <c r="G229" i="1"/>
  <c r="G227" i="1"/>
  <c r="E15" i="1"/>
  <c r="E176" i="1"/>
  <c r="G121" i="1"/>
  <c r="G87" i="1"/>
  <c r="G119" i="1"/>
  <c r="E288" i="1"/>
  <c r="G64" i="1"/>
  <c r="E496" i="1"/>
  <c r="G314" i="1"/>
  <c r="E208" i="1"/>
  <c r="G330" i="1"/>
  <c r="E292" i="1"/>
  <c r="E72" i="1"/>
  <c r="E71" i="1"/>
  <c r="E510" i="1"/>
  <c r="G461" i="1"/>
  <c r="E207" i="1"/>
  <c r="AB257" i="1"/>
  <c r="J190" i="1"/>
  <c r="AB309" i="1"/>
  <c r="G61" i="1"/>
  <c r="K305" i="1"/>
  <c r="J432" i="1"/>
  <c r="E471" i="1"/>
  <c r="K93" i="1"/>
  <c r="J227" i="1"/>
  <c r="G427" i="1"/>
  <c r="E458" i="1"/>
  <c r="K193" i="1"/>
  <c r="G464" i="1"/>
  <c r="G76" i="1"/>
  <c r="E255" i="1"/>
  <c r="E420" i="1"/>
  <c r="K367" i="1"/>
  <c r="G31" i="1"/>
  <c r="G71" i="1"/>
  <c r="G12" i="1"/>
  <c r="E94" i="1"/>
  <c r="E52" i="1"/>
  <c r="G191" i="1"/>
  <c r="J275" i="1"/>
  <c r="E360" i="1"/>
  <c r="G155" i="1"/>
  <c r="E130" i="1"/>
  <c r="G268" i="1"/>
  <c r="G494" i="1"/>
  <c r="E377" i="1"/>
  <c r="E175" i="1"/>
  <c r="E339" i="1"/>
  <c r="AB329" i="1"/>
  <c r="K131" i="1"/>
  <c r="E358" i="1"/>
  <c r="G158" i="1"/>
  <c r="G11" i="1"/>
  <c r="G311" i="1"/>
  <c r="G360" i="1"/>
  <c r="K145" i="1"/>
  <c r="J459" i="1"/>
  <c r="J428" i="1"/>
  <c r="E348" i="1"/>
  <c r="E393" i="1"/>
  <c r="G118" i="1"/>
  <c r="G65" i="1"/>
  <c r="G97" i="1"/>
  <c r="G304" i="1"/>
  <c r="E455" i="1"/>
  <c r="G415" i="1"/>
  <c r="G232" i="1"/>
  <c r="G210" i="1"/>
  <c r="E114" i="1"/>
  <c r="G280" i="1"/>
  <c r="E66" i="1"/>
  <c r="E90" i="1"/>
  <c r="E488" i="1"/>
  <c r="G411" i="1"/>
  <c r="E430" i="1"/>
  <c r="J195" i="1"/>
  <c r="N426" i="1"/>
  <c r="G437" i="1"/>
  <c r="E224" i="1"/>
  <c r="E434" i="1"/>
  <c r="E258" i="1"/>
  <c r="J67" i="1"/>
  <c r="K330" i="1"/>
  <c r="E43" i="1"/>
  <c r="E338" i="1"/>
  <c r="G46" i="1"/>
  <c r="E169" i="1"/>
  <c r="G198" i="1"/>
  <c r="AB331" i="1"/>
  <c r="E344" i="1"/>
  <c r="E497" i="1"/>
  <c r="K76" i="1"/>
  <c r="G477" i="1"/>
  <c r="E414" i="1"/>
  <c r="E198" i="1"/>
  <c r="J360" i="1"/>
  <c r="E151" i="1"/>
  <c r="J107" i="1"/>
  <c r="E47" i="1"/>
  <c r="G251" i="1"/>
  <c r="E63" i="1"/>
  <c r="J228" i="1"/>
  <c r="E493" i="1"/>
  <c r="E88" i="1"/>
  <c r="G247" i="1"/>
  <c r="G207" i="1"/>
  <c r="E406" i="1"/>
  <c r="G386" i="1"/>
  <c r="E369" i="1"/>
  <c r="J429" i="1"/>
  <c r="E247" i="1"/>
  <c r="E99" i="1"/>
  <c r="G487" i="1"/>
  <c r="G348" i="1"/>
  <c r="G209" i="1"/>
  <c r="E319" i="1"/>
  <c r="J240" i="1"/>
  <c r="K243" i="1"/>
  <c r="E211" i="1"/>
  <c r="E329" i="1"/>
  <c r="E342" i="1"/>
  <c r="E432" i="1"/>
  <c r="E465" i="1"/>
  <c r="E407" i="1"/>
  <c r="E331" i="1"/>
  <c r="E320" i="1"/>
  <c r="E462" i="1"/>
  <c r="E490" i="1"/>
  <c r="E391" i="1"/>
  <c r="G50" i="1"/>
  <c r="G33" i="1"/>
  <c r="G26" i="1"/>
  <c r="G365" i="1"/>
  <c r="E135" i="1"/>
  <c r="F525" i="1" l="1"/>
  <c r="F524" i="1"/>
  <c r="F519" i="1"/>
  <c r="F523" i="1"/>
  <c r="F515" i="1"/>
  <c r="F518" i="1"/>
  <c r="F522" i="1"/>
  <c r="F517" i="1"/>
  <c r="F521" i="1"/>
  <c r="F520" i="1"/>
  <c r="F516" i="1"/>
  <c r="Y28" i="1"/>
  <c r="Y27" i="1"/>
  <c r="M36" i="1"/>
  <c r="L36" i="1"/>
  <c r="M498" i="1"/>
  <c r="L498" i="1"/>
  <c r="M379" i="1"/>
  <c r="L379" i="1"/>
  <c r="O22" i="1"/>
  <c r="P22" i="1"/>
  <c r="L191" i="1"/>
  <c r="M191" i="1"/>
  <c r="M421" i="1"/>
  <c r="L421" i="1"/>
  <c r="M255" i="1"/>
  <c r="L255" i="1"/>
  <c r="M53" i="1"/>
  <c r="L53" i="1"/>
  <c r="O60" i="1"/>
  <c r="P60" i="1"/>
  <c r="M513" i="1"/>
  <c r="L513" i="1"/>
  <c r="M454" i="1"/>
  <c r="L454" i="1"/>
  <c r="M224" i="1"/>
  <c r="L224" i="1"/>
  <c r="L436" i="1"/>
  <c r="M436" i="1"/>
  <c r="L350" i="1"/>
  <c r="M350" i="1"/>
  <c r="M121" i="1"/>
  <c r="L121" i="1"/>
  <c r="P473" i="1"/>
  <c r="O473" i="1"/>
  <c r="M49" i="1"/>
  <c r="L49" i="1"/>
  <c r="L192" i="1"/>
  <c r="M192" i="1"/>
  <c r="L313" i="1"/>
  <c r="M313" i="1"/>
  <c r="P450" i="1"/>
  <c r="O450" i="1"/>
  <c r="O247" i="1"/>
  <c r="P247" i="1"/>
  <c r="M339" i="1"/>
  <c r="L339" i="1"/>
  <c r="M39" i="1"/>
  <c r="L39" i="1"/>
  <c r="F75" i="1"/>
  <c r="F201" i="1"/>
  <c r="F29" i="1"/>
  <c r="F432" i="1"/>
  <c r="F436" i="1"/>
  <c r="F429" i="1"/>
  <c r="F375" i="1"/>
  <c r="F5" i="1"/>
  <c r="F339" i="1"/>
  <c r="F246" i="1"/>
  <c r="F92" i="1"/>
  <c r="F25" i="1"/>
  <c r="F67" i="1"/>
  <c r="F131" i="1"/>
  <c r="F422" i="1"/>
  <c r="F12" i="1"/>
  <c r="F118" i="1"/>
  <c r="F355" i="1"/>
  <c r="F480" i="1"/>
  <c r="F99" i="1"/>
  <c r="F257" i="1"/>
  <c r="F206" i="1"/>
  <c r="F266" i="1"/>
  <c r="F239" i="1"/>
  <c r="F79" i="1"/>
  <c r="F403" i="1"/>
  <c r="F177" i="1"/>
  <c r="F365" i="1"/>
  <c r="F451" i="1"/>
  <c r="F255" i="1"/>
  <c r="F254" i="1"/>
  <c r="F260" i="1"/>
  <c r="F334" i="1"/>
  <c r="F259" i="1"/>
  <c r="F330" i="1"/>
  <c r="F338" i="1"/>
  <c r="F72" i="1"/>
  <c r="F107" i="1"/>
  <c r="F175" i="1"/>
  <c r="F388" i="1"/>
  <c r="F36" i="1"/>
  <c r="F115" i="1"/>
  <c r="F105" i="1"/>
  <c r="F512" i="1"/>
  <c r="F145" i="1"/>
  <c r="F272" i="1"/>
  <c r="F449" i="1"/>
  <c r="F354" i="1"/>
  <c r="F164" i="1"/>
  <c r="F43" i="1"/>
  <c r="F402" i="1"/>
  <c r="F252" i="1"/>
  <c r="F398" i="1"/>
  <c r="F463" i="1"/>
  <c r="F28" i="1"/>
  <c r="F60" i="1"/>
  <c r="F33" i="1"/>
  <c r="F41" i="1"/>
  <c r="F236" i="1"/>
  <c r="F310" i="1"/>
  <c r="F458" i="1"/>
  <c r="F420" i="1"/>
  <c r="F158" i="1"/>
  <c r="F318" i="1"/>
  <c r="F104" i="1"/>
  <c r="F130" i="1"/>
  <c r="F191" i="1"/>
  <c r="F283" i="1"/>
  <c r="F331" i="1"/>
  <c r="F51" i="1"/>
  <c r="F174" i="1"/>
  <c r="F232" i="1"/>
  <c r="F337" i="1"/>
  <c r="F53" i="1"/>
  <c r="F324" i="1"/>
  <c r="F279" i="1"/>
  <c r="F348" i="1"/>
  <c r="F489" i="1"/>
  <c r="F456" i="1"/>
  <c r="F473" i="1"/>
  <c r="F502" i="1"/>
  <c r="F280" i="1"/>
  <c r="F278" i="1"/>
  <c r="F31" i="1"/>
  <c r="F134" i="1"/>
  <c r="F103" i="1"/>
  <c r="F139" i="1"/>
  <c r="F214" i="1"/>
  <c r="F421" i="1"/>
  <c r="F486" i="1"/>
  <c r="F341" i="1"/>
  <c r="F509" i="1"/>
  <c r="F126" i="1"/>
  <c r="F240" i="1"/>
  <c r="F80" i="1"/>
  <c r="F299" i="1"/>
  <c r="F462" i="1"/>
  <c r="F492" i="1"/>
  <c r="F269" i="1"/>
  <c r="F45" i="1"/>
  <c r="F294" i="1"/>
  <c r="F268" i="1"/>
  <c r="F113" i="1"/>
  <c r="F204" i="1"/>
  <c r="F9" i="1"/>
  <c r="F58" i="1"/>
  <c r="F317" i="1"/>
  <c r="F192" i="1"/>
  <c r="F76" i="1"/>
  <c r="F253" i="1"/>
  <c r="F380" i="1"/>
  <c r="F374" i="1"/>
  <c r="F187" i="1"/>
  <c r="F223" i="1"/>
  <c r="F16" i="1"/>
  <c r="F132" i="1"/>
  <c r="F362" i="1"/>
  <c r="F196" i="1"/>
  <c r="F225" i="1"/>
  <c r="F137" i="1"/>
  <c r="F250" i="1"/>
  <c r="F491" i="1"/>
  <c r="F481" i="1"/>
  <c r="F405" i="1"/>
  <c r="F98" i="1"/>
  <c r="F112" i="1"/>
  <c r="F353" i="1"/>
  <c r="F165" i="1"/>
  <c r="F63" i="1"/>
  <c r="F415" i="1"/>
  <c r="F323" i="1"/>
  <c r="F435" i="1"/>
  <c r="F194" i="1"/>
  <c r="F321" i="1"/>
  <c r="F377" i="1"/>
  <c r="F182" i="1"/>
  <c r="F142" i="1"/>
  <c r="F121" i="1"/>
  <c r="F54" i="1"/>
  <c r="F124" i="1"/>
  <c r="F368" i="1"/>
  <c r="F483" i="1"/>
  <c r="F369" i="1"/>
  <c r="F289" i="1"/>
  <c r="F303" i="1"/>
  <c r="F69" i="1"/>
  <c r="F514" i="1"/>
  <c r="F419" i="1"/>
  <c r="F219" i="1"/>
  <c r="F153" i="1"/>
  <c r="F21" i="1"/>
  <c r="F476" i="1"/>
  <c r="F111" i="1"/>
  <c r="F73" i="1"/>
  <c r="F503" i="1"/>
  <c r="F271" i="1"/>
  <c r="F499" i="1"/>
  <c r="F116" i="1"/>
  <c r="F320" i="1"/>
  <c r="F68" i="1"/>
  <c r="F457" i="1"/>
  <c r="F6" i="1"/>
  <c r="F35" i="1"/>
  <c r="F428" i="1"/>
  <c r="F426" i="1"/>
  <c r="F189" i="1"/>
  <c r="F179" i="1"/>
  <c r="F211" i="1"/>
  <c r="F493" i="1"/>
  <c r="F513" i="1"/>
  <c r="F215" i="1"/>
  <c r="F329" i="1"/>
  <c r="F231" i="1"/>
  <c r="F247" i="1"/>
  <c r="F325" i="1"/>
  <c r="F83" i="1"/>
  <c r="F416" i="1"/>
  <c r="F265" i="1"/>
  <c r="F245" i="1"/>
  <c r="F198" i="1"/>
  <c r="F285" i="1"/>
  <c r="F373" i="1"/>
  <c r="F208" i="1"/>
  <c r="F418" i="1"/>
  <c r="F96" i="1"/>
  <c r="F427" i="1"/>
  <c r="F30" i="1"/>
  <c r="F123" i="1"/>
  <c r="F409" i="1"/>
  <c r="F407" i="1"/>
  <c r="F178" i="1"/>
  <c r="F248" i="1"/>
  <c r="F37" i="1"/>
  <c r="F396" i="1"/>
  <c r="F218" i="1"/>
  <c r="F149" i="1"/>
  <c r="F475" i="1"/>
  <c r="F439" i="1"/>
  <c r="F490" i="1"/>
  <c r="F154" i="1"/>
  <c r="F148" i="1"/>
  <c r="F487" i="1"/>
  <c r="F386" i="1"/>
  <c r="F507" i="1"/>
  <c r="F109" i="1"/>
  <c r="F169" i="1"/>
  <c r="F437" i="1"/>
  <c r="F455" i="1"/>
  <c r="F203" i="1"/>
  <c r="F81" i="1"/>
  <c r="F184" i="1"/>
  <c r="F364" i="1"/>
  <c r="F504" i="1"/>
  <c r="F32" i="1"/>
  <c r="F197" i="1"/>
  <c r="F293" i="1"/>
  <c r="F263" i="1"/>
  <c r="F224" i="1"/>
  <c r="F453" i="1"/>
  <c r="F389" i="1"/>
  <c r="F185" i="1"/>
  <c r="F448" i="1"/>
  <c r="F508" i="1"/>
  <c r="F478" i="1"/>
  <c r="F106" i="1"/>
  <c r="F470" i="1"/>
  <c r="F438" i="1"/>
  <c r="F4" i="1"/>
  <c r="F167" i="1"/>
  <c r="F312" i="1"/>
  <c r="F424" i="1"/>
  <c r="F108" i="1"/>
  <c r="F333" i="1"/>
  <c r="F319" i="1"/>
  <c r="F383" i="1"/>
  <c r="F316" i="1"/>
  <c r="F371" i="1"/>
  <c r="F146" i="1"/>
  <c r="F332" i="1"/>
  <c r="F309" i="1"/>
  <c r="F2" i="1"/>
  <c r="F55" i="1"/>
  <c r="F410" i="1"/>
  <c r="F46" i="1"/>
  <c r="F89" i="1"/>
  <c r="F24" i="1"/>
  <c r="F267" i="1"/>
  <c r="F359" i="1"/>
  <c r="F302" i="1"/>
  <c r="F394" i="1"/>
  <c r="F249" i="1"/>
  <c r="F230" i="1"/>
  <c r="F413" i="1"/>
  <c r="F505" i="1"/>
  <c r="F242" i="1"/>
  <c r="F61" i="1"/>
  <c r="F155" i="1"/>
  <c r="F342" i="1"/>
  <c r="F56" i="1"/>
  <c r="F237" i="1"/>
  <c r="F474" i="1"/>
  <c r="F229" i="1"/>
  <c r="F382" i="1"/>
  <c r="F94" i="1"/>
  <c r="F372" i="1"/>
  <c r="F3" i="1"/>
  <c r="F274" i="1"/>
  <c r="F417" i="1"/>
  <c r="F497" i="1"/>
  <c r="F400" i="1"/>
  <c r="F445" i="1"/>
  <c r="F308" i="1"/>
  <c r="F347" i="1"/>
  <c r="F434" i="1"/>
  <c r="F256" i="1"/>
  <c r="F406" i="1"/>
  <c r="F222" i="1"/>
  <c r="F34" i="1"/>
  <c r="F315" i="1"/>
  <c r="F304" i="1"/>
  <c r="F166" i="1"/>
  <c r="F488" i="1"/>
  <c r="F151" i="1"/>
  <c r="F397" i="1"/>
  <c r="F399" i="1"/>
  <c r="F23" i="1"/>
  <c r="F86" i="1"/>
  <c r="F352" i="1"/>
  <c r="F38" i="1"/>
  <c r="F135" i="1"/>
  <c r="F311" i="1"/>
  <c r="F277" i="1"/>
  <c r="F27" i="1"/>
  <c r="F363" i="1"/>
  <c r="F220" i="1"/>
  <c r="F471" i="1"/>
  <c r="F270" i="1"/>
  <c r="F8" i="1"/>
  <c r="F95" i="1"/>
  <c r="F90" i="1"/>
  <c r="F387" i="1"/>
  <c r="F244" i="1"/>
  <c r="F181" i="1"/>
  <c r="F344" i="1"/>
  <c r="F183" i="1"/>
  <c r="F286" i="1"/>
  <c r="F501" i="1"/>
  <c r="F42" i="1"/>
  <c r="F441" i="1"/>
  <c r="F101" i="1"/>
  <c r="F173" i="1"/>
  <c r="F454" i="1"/>
  <c r="F494" i="1"/>
  <c r="F446" i="1"/>
  <c r="F469" i="1"/>
  <c r="F384" i="1"/>
  <c r="F241" i="1"/>
  <c r="F442" i="1"/>
  <c r="F430" i="1"/>
  <c r="F162" i="1"/>
  <c r="F18" i="1"/>
  <c r="F205" i="1"/>
  <c r="F77" i="1"/>
  <c r="F262" i="1"/>
  <c r="F120" i="1"/>
  <c r="F163" i="1"/>
  <c r="F235" i="1"/>
  <c r="F114" i="1"/>
  <c r="F443" i="1"/>
  <c r="F313" i="1"/>
  <c r="F301" i="1"/>
  <c r="F40" i="1"/>
  <c r="F335" i="1"/>
  <c r="F408" i="1"/>
  <c r="F305" i="1"/>
  <c r="F295" i="1"/>
  <c r="F468" i="1"/>
  <c r="F367" i="1"/>
  <c r="F207" i="1"/>
  <c r="F156" i="1"/>
  <c r="F44" i="1"/>
  <c r="F298" i="1"/>
  <c r="F345" i="1"/>
  <c r="F93" i="1"/>
  <c r="F349" i="1"/>
  <c r="F510" i="1"/>
  <c r="F228" i="1"/>
  <c r="F440" i="1"/>
  <c r="F284" i="1"/>
  <c r="F401" i="1"/>
  <c r="F322" i="1"/>
  <c r="F152" i="1"/>
  <c r="F168" i="1"/>
  <c r="F234" i="1"/>
  <c r="F370" i="1"/>
  <c r="F119" i="1"/>
  <c r="F117" i="1"/>
  <c r="F287" i="1"/>
  <c r="F498" i="1"/>
  <c r="F102" i="1"/>
  <c r="F466" i="1"/>
  <c r="F110" i="1"/>
  <c r="F199" i="1"/>
  <c r="F392" i="1"/>
  <c r="F22" i="1"/>
  <c r="F87" i="1"/>
  <c r="F273" i="1"/>
  <c r="F200" i="1"/>
  <c r="F391" i="1"/>
  <c r="F39" i="1"/>
  <c r="F261" i="1"/>
  <c r="F157" i="1"/>
  <c r="F328" i="1"/>
  <c r="F472" i="1"/>
  <c r="F447" i="1"/>
  <c r="F414" i="1"/>
  <c r="F366" i="1"/>
  <c r="F292" i="1"/>
  <c r="F336" i="1"/>
  <c r="F147" i="1"/>
  <c r="F291" i="1"/>
  <c r="F195" i="1"/>
  <c r="F511" i="1"/>
  <c r="F495" i="1"/>
  <c r="F297" i="1"/>
  <c r="F346" i="1"/>
  <c r="F129" i="1"/>
  <c r="F264" i="1"/>
  <c r="F461" i="1"/>
  <c r="F171" i="1"/>
  <c r="F85" i="1"/>
  <c r="F404" i="1"/>
  <c r="F57" i="1"/>
  <c r="F251" i="1"/>
  <c r="F144" i="1"/>
  <c r="F19" i="1"/>
  <c r="F343" i="1"/>
  <c r="F467" i="1"/>
  <c r="F243" i="1"/>
  <c r="F213" i="1"/>
  <c r="F431" i="1"/>
  <c r="F506" i="1"/>
  <c r="F216" i="1"/>
  <c r="F340" i="1"/>
  <c r="F52" i="1"/>
  <c r="F306" i="1"/>
  <c r="F26" i="1"/>
  <c r="F59" i="1"/>
  <c r="F217" i="1"/>
  <c r="F258" i="1"/>
  <c r="F188" i="1"/>
  <c r="F358" i="1"/>
  <c r="F15" i="1"/>
  <c r="F376" i="1"/>
  <c r="F357" i="1"/>
  <c r="F385" i="1"/>
  <c r="F459" i="1"/>
  <c r="F186" i="1"/>
  <c r="F14" i="1"/>
  <c r="F393" i="1"/>
  <c r="F161" i="1"/>
  <c r="F460" i="1"/>
  <c r="F452" i="1"/>
  <c r="F47" i="1"/>
  <c r="F395" i="1"/>
  <c r="F238" i="1"/>
  <c r="F288" i="1"/>
  <c r="F233" i="1"/>
  <c r="F360" i="1"/>
  <c r="F140" i="1"/>
  <c r="F65" i="1"/>
  <c r="F78" i="1"/>
  <c r="F464" i="1"/>
  <c r="F88" i="1"/>
  <c r="F361" i="1"/>
  <c r="F450" i="1"/>
  <c r="F425" i="1"/>
  <c r="F20" i="1"/>
  <c r="F275" i="1"/>
  <c r="F411" i="1"/>
  <c r="F133" i="1"/>
  <c r="F190" i="1"/>
  <c r="F496" i="1"/>
  <c r="F91" i="1"/>
  <c r="F300" i="1"/>
  <c r="F138" i="1"/>
  <c r="F84" i="1"/>
  <c r="F50" i="1"/>
  <c r="F172" i="1"/>
  <c r="F176" i="1"/>
  <c r="F48" i="1"/>
  <c r="F74" i="1"/>
  <c r="F412" i="1"/>
  <c r="F281" i="1"/>
  <c r="F127" i="1"/>
  <c r="F49" i="1"/>
  <c r="F326" i="1"/>
  <c r="F62" i="1"/>
  <c r="F484" i="1"/>
  <c r="F141" i="1"/>
  <c r="F82" i="1"/>
  <c r="F180" i="1"/>
  <c r="F70" i="1"/>
  <c r="F351" i="1"/>
  <c r="F221" i="1"/>
  <c r="F227" i="1"/>
  <c r="F11" i="1"/>
  <c r="F276" i="1"/>
  <c r="F390" i="1"/>
  <c r="F444" i="1"/>
  <c r="F296" i="1"/>
  <c r="F128" i="1"/>
  <c r="F477" i="1"/>
  <c r="F122" i="1"/>
  <c r="F482" i="1"/>
  <c r="F170" i="1"/>
  <c r="F71" i="1"/>
  <c r="F97" i="1"/>
  <c r="F193" i="1"/>
  <c r="F150" i="1"/>
  <c r="F160" i="1"/>
  <c r="F17" i="1"/>
  <c r="F210" i="1"/>
  <c r="F327" i="1"/>
  <c r="F13" i="1"/>
  <c r="F64" i="1"/>
  <c r="F226" i="1"/>
  <c r="F356" i="1"/>
  <c r="F500" i="1"/>
  <c r="F423" i="1"/>
  <c r="F290" i="1"/>
  <c r="F202" i="1"/>
  <c r="F212" i="1"/>
  <c r="F485" i="1"/>
  <c r="F7" i="1"/>
  <c r="F159" i="1"/>
  <c r="F378" i="1"/>
  <c r="F143" i="1"/>
  <c r="F282" i="1"/>
  <c r="F10" i="1"/>
  <c r="F433" i="1"/>
  <c r="F307" i="1"/>
  <c r="F379" i="1"/>
  <c r="F125" i="1"/>
  <c r="F350" i="1"/>
  <c r="F465" i="1"/>
  <c r="F381" i="1"/>
  <c r="F209" i="1"/>
  <c r="F136" i="1"/>
  <c r="F479" i="1"/>
  <c r="F66" i="1"/>
  <c r="F100" i="1"/>
  <c r="F314" i="1"/>
  <c r="L85" i="1"/>
  <c r="M85" i="1"/>
  <c r="O201" i="1"/>
  <c r="P201" i="1"/>
  <c r="P23" i="1"/>
  <c r="O23" i="1"/>
  <c r="M439" i="1"/>
  <c r="L439" i="1"/>
  <c r="L89" i="1"/>
  <c r="M89" i="1"/>
  <c r="M492" i="1"/>
  <c r="L492" i="1"/>
  <c r="O443" i="1"/>
  <c r="P443" i="1"/>
  <c r="L387" i="1"/>
  <c r="M387" i="1"/>
  <c r="P364" i="1"/>
  <c r="O364" i="1"/>
  <c r="P343" i="1"/>
  <c r="O343" i="1"/>
  <c r="L287" i="1"/>
  <c r="M287" i="1"/>
  <c r="M81" i="1"/>
  <c r="L81" i="1"/>
  <c r="M368" i="1"/>
  <c r="L368" i="1"/>
  <c r="L295" i="1"/>
  <c r="M295" i="1"/>
  <c r="P204" i="1"/>
  <c r="O204" i="1"/>
  <c r="P274" i="1"/>
  <c r="O274" i="1"/>
  <c r="M218" i="1"/>
  <c r="L218" i="1"/>
  <c r="L86" i="1"/>
  <c r="M86" i="1"/>
  <c r="M124" i="1"/>
  <c r="L124" i="1"/>
  <c r="P12" i="1"/>
  <c r="O12" i="1"/>
  <c r="L37" i="1"/>
  <c r="M37" i="1"/>
  <c r="L286" i="1"/>
  <c r="M286" i="1"/>
  <c r="L343" i="1"/>
  <c r="M343" i="1"/>
  <c r="M64" i="1"/>
  <c r="L64" i="1"/>
  <c r="O424" i="1"/>
  <c r="P424" i="1"/>
  <c r="M290" i="1"/>
  <c r="L290" i="1"/>
  <c r="M340" i="1"/>
  <c r="L340" i="1"/>
  <c r="M482" i="1"/>
  <c r="L482" i="1"/>
  <c r="L473" i="1"/>
  <c r="M473" i="1"/>
  <c r="P376" i="1"/>
  <c r="O376" i="1"/>
  <c r="O335" i="1"/>
  <c r="P335" i="1"/>
  <c r="P374" i="1"/>
  <c r="O374" i="1"/>
  <c r="O421" i="1"/>
  <c r="P421" i="1"/>
  <c r="O269" i="1"/>
  <c r="P269" i="1"/>
  <c r="P43" i="1"/>
  <c r="O43" i="1"/>
  <c r="O19" i="1"/>
  <c r="P19" i="1"/>
  <c r="P189" i="1"/>
  <c r="O189" i="1"/>
  <c r="L270" i="1"/>
  <c r="M270" i="1"/>
  <c r="P406" i="1"/>
  <c r="O406" i="1"/>
  <c r="M220" i="1"/>
  <c r="L220" i="1"/>
  <c r="L50" i="1"/>
  <c r="M50" i="1"/>
  <c r="O414" i="1"/>
  <c r="P414" i="1"/>
  <c r="L120" i="1"/>
  <c r="M120" i="1"/>
  <c r="P481" i="1"/>
  <c r="O481" i="1"/>
  <c r="P278" i="1"/>
  <c r="O278" i="1"/>
  <c r="O42" i="1"/>
  <c r="P42" i="1"/>
  <c r="O391" i="1"/>
  <c r="P391" i="1"/>
  <c r="P47" i="1"/>
  <c r="O47" i="1"/>
  <c r="O469" i="1"/>
  <c r="P469" i="1"/>
  <c r="P346" i="1"/>
  <c r="O346" i="1"/>
  <c r="L169" i="1"/>
  <c r="M169" i="1"/>
  <c r="L164" i="1"/>
  <c r="M164" i="1"/>
  <c r="L328" i="1"/>
  <c r="M328" i="1"/>
  <c r="M281" i="1"/>
  <c r="L281" i="1"/>
  <c r="P491" i="1"/>
  <c r="O491" i="1"/>
  <c r="P373" i="1"/>
  <c r="O373" i="1"/>
  <c r="O497" i="1"/>
  <c r="P497" i="1"/>
  <c r="O431" i="1"/>
  <c r="P431" i="1"/>
  <c r="M299" i="1"/>
  <c r="L299" i="1"/>
  <c r="L203" i="1"/>
  <c r="M203" i="1"/>
  <c r="L419" i="1"/>
  <c r="M419" i="1"/>
  <c r="M497" i="1"/>
  <c r="L497" i="1"/>
  <c r="L263" i="1"/>
  <c r="M263" i="1"/>
  <c r="O158" i="1"/>
  <c r="P158" i="1"/>
  <c r="L494" i="1"/>
  <c r="M494" i="1"/>
  <c r="O271" i="1"/>
  <c r="P271" i="1"/>
  <c r="O97" i="1"/>
  <c r="P97" i="1"/>
  <c r="P449" i="1"/>
  <c r="O449" i="1"/>
  <c r="L105" i="1"/>
  <c r="M105" i="1"/>
  <c r="L40" i="1"/>
  <c r="M40" i="1"/>
  <c r="M349" i="1"/>
  <c r="L349" i="1"/>
  <c r="O387" i="1"/>
  <c r="P387" i="1"/>
  <c r="P316" i="1"/>
  <c r="O316" i="1"/>
  <c r="M503" i="1"/>
  <c r="L503" i="1"/>
  <c r="L28" i="1"/>
  <c r="M28" i="1"/>
  <c r="L355" i="1"/>
  <c r="M355" i="1"/>
  <c r="M280" i="1"/>
  <c r="L280" i="1"/>
  <c r="P306" i="1"/>
  <c r="O306" i="1"/>
  <c r="O65" i="1"/>
  <c r="P65" i="1"/>
  <c r="P368" i="1"/>
  <c r="O368" i="1"/>
  <c r="O92" i="1"/>
  <c r="P92" i="1"/>
  <c r="O261" i="1"/>
  <c r="P261" i="1"/>
  <c r="P262" i="1"/>
  <c r="O262" i="1"/>
  <c r="P93" i="1"/>
  <c r="O93" i="1"/>
  <c r="P365" i="1"/>
  <c r="O365" i="1"/>
  <c r="P470" i="1"/>
  <c r="O470" i="1"/>
  <c r="O137" i="1"/>
  <c r="P137" i="1"/>
  <c r="O256" i="1"/>
  <c r="P256" i="1"/>
  <c r="P440" i="1"/>
  <c r="O440" i="1"/>
  <c r="P230" i="1"/>
  <c r="O230" i="1"/>
  <c r="P26" i="1"/>
  <c r="O26" i="1"/>
  <c r="O33" i="1"/>
  <c r="P33" i="1"/>
  <c r="O326" i="1"/>
  <c r="P326" i="1"/>
  <c r="O16" i="1"/>
  <c r="P16" i="1"/>
  <c r="O401" i="1"/>
  <c r="P401" i="1"/>
  <c r="O45" i="1"/>
  <c r="P45" i="1"/>
  <c r="P220" i="1"/>
  <c r="O220" i="1"/>
  <c r="O503" i="1"/>
  <c r="P503" i="1"/>
  <c r="P370" i="1"/>
  <c r="O370" i="1"/>
  <c r="P480" i="1"/>
  <c r="O480" i="1"/>
  <c r="O354" i="1"/>
  <c r="P354" i="1"/>
  <c r="O143" i="1"/>
  <c r="P143" i="1"/>
  <c r="O299" i="1"/>
  <c r="P299" i="1"/>
  <c r="P145" i="1"/>
  <c r="O145" i="1"/>
  <c r="P324" i="1"/>
  <c r="O324" i="1"/>
  <c r="P427" i="1"/>
  <c r="O427" i="1"/>
  <c r="M228" i="1"/>
  <c r="L228" i="1"/>
  <c r="L292" i="1"/>
  <c r="M292" i="1"/>
  <c r="L338" i="1"/>
  <c r="M338" i="1"/>
  <c r="M500" i="1"/>
  <c r="L500" i="1"/>
  <c r="L457" i="1"/>
  <c r="M457" i="1"/>
  <c r="L90" i="1"/>
  <c r="M90" i="1"/>
  <c r="M163" i="1"/>
  <c r="L163" i="1"/>
  <c r="O419" i="1"/>
  <c r="P419" i="1"/>
  <c r="M369" i="1"/>
  <c r="L369" i="1"/>
  <c r="P199" i="1"/>
  <c r="O199" i="1"/>
  <c r="L236" i="1"/>
  <c r="M236" i="1"/>
  <c r="L490" i="1"/>
  <c r="M490" i="1"/>
  <c r="L253" i="1"/>
  <c r="M253" i="1"/>
  <c r="P283" i="1"/>
  <c r="O283" i="1"/>
  <c r="M427" i="1"/>
  <c r="L427" i="1"/>
  <c r="M461" i="1"/>
  <c r="L461" i="1"/>
  <c r="M431" i="1"/>
  <c r="L431" i="1"/>
  <c r="M344" i="1"/>
  <c r="L344" i="1"/>
  <c r="P116" i="1"/>
  <c r="O116" i="1"/>
  <c r="L159" i="1"/>
  <c r="M159" i="1"/>
  <c r="P483" i="1"/>
  <c r="O483" i="1"/>
  <c r="M278" i="1"/>
  <c r="L278" i="1"/>
  <c r="O146" i="1"/>
  <c r="P146" i="1"/>
  <c r="O50" i="1"/>
  <c r="P50" i="1"/>
  <c r="P20" i="1"/>
  <c r="O20" i="1"/>
  <c r="P344" i="1"/>
  <c r="O344" i="1"/>
  <c r="O194" i="1"/>
  <c r="P194" i="1"/>
  <c r="O442" i="1"/>
  <c r="P442" i="1"/>
  <c r="M93" i="1"/>
  <c r="L93" i="1"/>
  <c r="M95" i="1"/>
  <c r="L95" i="1"/>
  <c r="M417" i="1"/>
  <c r="L417" i="1"/>
  <c r="L103" i="1"/>
  <c r="M103" i="1"/>
  <c r="P338" i="1"/>
  <c r="O338" i="1"/>
  <c r="L265" i="1"/>
  <c r="M265" i="1"/>
  <c r="L87" i="1"/>
  <c r="M87" i="1"/>
  <c r="L416" i="1"/>
  <c r="M416" i="1"/>
  <c r="O140" i="1"/>
  <c r="P140" i="1"/>
  <c r="P144" i="1"/>
  <c r="O144" i="1"/>
  <c r="P349" i="1"/>
  <c r="O349" i="1"/>
  <c r="O118" i="1"/>
  <c r="P118" i="1"/>
  <c r="P28" i="1"/>
  <c r="O28" i="1"/>
  <c r="O115" i="1"/>
  <c r="P115" i="1"/>
  <c r="O222" i="1"/>
  <c r="P222" i="1"/>
  <c r="O482" i="1"/>
  <c r="P482" i="1"/>
  <c r="P152" i="1"/>
  <c r="O152" i="1"/>
  <c r="P104" i="1"/>
  <c r="O104" i="1"/>
  <c r="O78" i="1"/>
  <c r="P78" i="1"/>
  <c r="O475" i="1"/>
  <c r="P475" i="1"/>
  <c r="O268" i="1"/>
  <c r="P268" i="1"/>
  <c r="P415" i="1"/>
  <c r="O415" i="1"/>
  <c r="P356" i="1"/>
  <c r="O356" i="1"/>
  <c r="O217" i="1"/>
  <c r="P217" i="1"/>
  <c r="O186" i="1"/>
  <c r="P186" i="1"/>
  <c r="P328" i="1"/>
  <c r="O328" i="1"/>
  <c r="O384" i="1"/>
  <c r="P384" i="1"/>
  <c r="P486" i="1"/>
  <c r="O486" i="1"/>
  <c r="P282" i="1"/>
  <c r="O282" i="1"/>
  <c r="P150" i="1"/>
  <c r="O150" i="1"/>
  <c r="O71" i="1"/>
  <c r="P71" i="1"/>
  <c r="P139" i="1"/>
  <c r="O139" i="1"/>
  <c r="O272" i="1"/>
  <c r="P272" i="1"/>
  <c r="L240" i="1"/>
  <c r="M240" i="1"/>
  <c r="O426" i="1"/>
  <c r="P426" i="1"/>
  <c r="L432" i="1"/>
  <c r="M432" i="1"/>
  <c r="M370" i="1"/>
  <c r="L370" i="1"/>
  <c r="O155" i="1"/>
  <c r="P155" i="1"/>
  <c r="M480" i="1"/>
  <c r="L480" i="1"/>
  <c r="P313" i="1"/>
  <c r="O313" i="1"/>
  <c r="O25" i="1"/>
  <c r="P25" i="1"/>
  <c r="M178" i="1"/>
  <c r="L178" i="1"/>
  <c r="M112" i="1"/>
  <c r="L112" i="1"/>
  <c r="M298" i="1"/>
  <c r="L298" i="1"/>
  <c r="L395" i="1"/>
  <c r="M395" i="1"/>
  <c r="L249" i="1"/>
  <c r="M249" i="1"/>
  <c r="L365" i="1"/>
  <c r="M365" i="1"/>
  <c r="O447" i="1"/>
  <c r="P447" i="1"/>
  <c r="M33" i="1"/>
  <c r="L33" i="1"/>
  <c r="L60" i="1"/>
  <c r="M60" i="1"/>
  <c r="M91" i="1"/>
  <c r="L91" i="1"/>
  <c r="M322" i="1"/>
  <c r="L322" i="1"/>
  <c r="L508" i="1"/>
  <c r="M508" i="1"/>
  <c r="M367" i="1"/>
  <c r="L367" i="1"/>
  <c r="P156" i="1"/>
  <c r="O156" i="1"/>
  <c r="M225" i="1"/>
  <c r="L225" i="1"/>
  <c r="M32" i="1"/>
  <c r="L32" i="1"/>
  <c r="O487" i="1"/>
  <c r="P487" i="1"/>
  <c r="L26" i="1"/>
  <c r="M26" i="1"/>
  <c r="O161" i="1"/>
  <c r="P161" i="1"/>
  <c r="O46" i="1"/>
  <c r="P46" i="1"/>
  <c r="L420" i="1"/>
  <c r="M420" i="1"/>
  <c r="P403" i="1"/>
  <c r="O403" i="1"/>
  <c r="M293" i="1"/>
  <c r="L293" i="1"/>
  <c r="M239" i="1"/>
  <c r="L239" i="1"/>
  <c r="M230" i="1"/>
  <c r="L230" i="1"/>
  <c r="M348" i="1"/>
  <c r="L348" i="1"/>
  <c r="O504" i="1"/>
  <c r="P504" i="1"/>
  <c r="M375" i="1"/>
  <c r="L375" i="1"/>
  <c r="L44" i="1"/>
  <c r="M44" i="1"/>
  <c r="M126" i="1"/>
  <c r="L126" i="1"/>
  <c r="L346" i="1"/>
  <c r="M346" i="1"/>
  <c r="O301" i="1"/>
  <c r="P301" i="1"/>
  <c r="L252" i="1"/>
  <c r="M252" i="1"/>
  <c r="M288" i="1"/>
  <c r="L288" i="1"/>
  <c r="P159" i="1"/>
  <c r="O159" i="1"/>
  <c r="M373" i="1"/>
  <c r="L373" i="1"/>
  <c r="O215" i="1"/>
  <c r="P215" i="1"/>
  <c r="M283" i="1"/>
  <c r="L283" i="1"/>
  <c r="L456" i="1"/>
  <c r="M456" i="1"/>
  <c r="L345" i="1"/>
  <c r="M345" i="1"/>
  <c r="O4" i="1"/>
  <c r="P4" i="1"/>
  <c r="L38" i="1"/>
  <c r="M38" i="1"/>
  <c r="O170" i="1"/>
  <c r="P170" i="1"/>
  <c r="P260" i="1"/>
  <c r="O260" i="1"/>
  <c r="P58" i="1"/>
  <c r="O58" i="1"/>
  <c r="O358" i="1"/>
  <c r="P358" i="1"/>
  <c r="M394" i="1"/>
  <c r="L394" i="1"/>
  <c r="L488" i="1"/>
  <c r="M488" i="1"/>
  <c r="O409" i="1"/>
  <c r="P409" i="1"/>
  <c r="O250" i="1"/>
  <c r="P250" i="1"/>
  <c r="O39" i="1"/>
  <c r="P39" i="1"/>
  <c r="M185" i="1"/>
  <c r="L185" i="1"/>
  <c r="L314" i="1"/>
  <c r="M314" i="1"/>
  <c r="M447" i="1"/>
  <c r="L447" i="1"/>
  <c r="O467" i="1"/>
  <c r="P467" i="1"/>
  <c r="L242" i="1"/>
  <c r="M242" i="1"/>
  <c r="L487" i="1"/>
  <c r="M487" i="1"/>
  <c r="O174" i="1"/>
  <c r="P174" i="1"/>
  <c r="O309" i="1"/>
  <c r="P309" i="1"/>
  <c r="P8" i="1"/>
  <c r="O8" i="1"/>
  <c r="O124" i="1"/>
  <c r="P124" i="1"/>
  <c r="O237" i="1"/>
  <c r="P237" i="1"/>
  <c r="O441" i="1"/>
  <c r="P441" i="1"/>
  <c r="O319" i="1"/>
  <c r="P319" i="1"/>
  <c r="P106" i="1"/>
  <c r="O106" i="1"/>
  <c r="L206" i="1"/>
  <c r="M206" i="1"/>
  <c r="M397" i="1"/>
  <c r="L397" i="1"/>
  <c r="M222" i="1"/>
  <c r="L222" i="1"/>
  <c r="L403" i="1"/>
  <c r="M403" i="1"/>
  <c r="P341" i="1"/>
  <c r="O341" i="1"/>
  <c r="P398" i="1"/>
  <c r="O398" i="1"/>
  <c r="M57" i="1"/>
  <c r="L57" i="1"/>
  <c r="M481" i="1"/>
  <c r="L481" i="1"/>
  <c r="O453" i="1"/>
  <c r="P453" i="1"/>
  <c r="L122" i="1"/>
  <c r="M122" i="1"/>
  <c r="L374" i="1"/>
  <c r="M374" i="1"/>
  <c r="O253" i="1"/>
  <c r="P253" i="1"/>
  <c r="P89" i="1"/>
  <c r="O89" i="1"/>
  <c r="P276" i="1"/>
  <c r="O276" i="1"/>
  <c r="L68" i="1"/>
  <c r="M68" i="1"/>
  <c r="L180" i="1"/>
  <c r="M180" i="1"/>
  <c r="M78" i="1"/>
  <c r="L78" i="1"/>
  <c r="M48" i="1"/>
  <c r="L48" i="1"/>
  <c r="M94" i="1"/>
  <c r="L94" i="1"/>
  <c r="O128" i="1"/>
  <c r="P128" i="1"/>
  <c r="M408" i="1"/>
  <c r="L408" i="1"/>
  <c r="O206" i="1"/>
  <c r="P206" i="1"/>
  <c r="P236" i="1"/>
  <c r="O236" i="1"/>
  <c r="O275" i="1"/>
  <c r="P275" i="1"/>
  <c r="P407" i="1"/>
  <c r="O407" i="1"/>
  <c r="P369" i="1"/>
  <c r="O369" i="1"/>
  <c r="P234" i="1"/>
  <c r="O234" i="1"/>
  <c r="P428" i="1"/>
  <c r="O428" i="1"/>
  <c r="O258" i="1"/>
  <c r="P258" i="1"/>
  <c r="O103" i="1"/>
  <c r="P103" i="1"/>
  <c r="P410" i="1"/>
  <c r="O410" i="1"/>
  <c r="P169" i="1"/>
  <c r="O169" i="1"/>
  <c r="P267" i="1"/>
  <c r="O267" i="1"/>
  <c r="O489" i="1"/>
  <c r="P489" i="1"/>
  <c r="O6" i="1"/>
  <c r="P6" i="1"/>
  <c r="P74" i="1"/>
  <c r="O74" i="1"/>
  <c r="P347" i="1"/>
  <c r="O347" i="1"/>
  <c r="O311" i="1"/>
  <c r="P311" i="1"/>
  <c r="P165" i="1"/>
  <c r="O165" i="1"/>
  <c r="O437" i="1"/>
  <c r="P437" i="1"/>
  <c r="P51" i="1"/>
  <c r="O51" i="1"/>
  <c r="P56" i="1"/>
  <c r="O56" i="1"/>
  <c r="P510" i="1"/>
  <c r="O510" i="1"/>
  <c r="O291" i="1"/>
  <c r="P291" i="1"/>
  <c r="O34" i="1"/>
  <c r="P34" i="1"/>
  <c r="M429" i="1"/>
  <c r="L429" i="1"/>
  <c r="P400" i="1"/>
  <c r="O400" i="1"/>
  <c r="L254" i="1"/>
  <c r="M254" i="1"/>
  <c r="M247" i="1"/>
  <c r="L247" i="1"/>
  <c r="L140" i="1"/>
  <c r="M140" i="1"/>
  <c r="L341" i="1"/>
  <c r="M341" i="1"/>
  <c r="P62" i="1"/>
  <c r="O62" i="1"/>
  <c r="M352" i="1"/>
  <c r="L352" i="1"/>
  <c r="M66" i="1"/>
  <c r="L66" i="1"/>
  <c r="L418" i="1"/>
  <c r="M418" i="1"/>
  <c r="O154" i="1"/>
  <c r="P154" i="1"/>
  <c r="M455" i="1"/>
  <c r="L455" i="1"/>
  <c r="M315" i="1"/>
  <c r="L315" i="1"/>
  <c r="L423" i="1"/>
  <c r="M423" i="1"/>
  <c r="L63" i="1"/>
  <c r="M63" i="1"/>
  <c r="L443" i="1"/>
  <c r="M443" i="1"/>
  <c r="M251" i="1"/>
  <c r="L251" i="1"/>
  <c r="M212" i="1"/>
  <c r="L212" i="1"/>
  <c r="M170" i="1"/>
  <c r="L170" i="1"/>
  <c r="L410" i="1"/>
  <c r="M410" i="1"/>
  <c r="M449" i="1"/>
  <c r="L449" i="1"/>
  <c r="L259" i="1"/>
  <c r="M259" i="1"/>
  <c r="M384" i="1"/>
  <c r="L384" i="1"/>
  <c r="P455" i="1"/>
  <c r="O455" i="1"/>
  <c r="O404" i="1"/>
  <c r="P404" i="1"/>
  <c r="P498" i="1"/>
  <c r="O498" i="1"/>
  <c r="O94" i="1"/>
  <c r="P94" i="1"/>
  <c r="M267" i="1"/>
  <c r="L267" i="1"/>
  <c r="O244" i="1"/>
  <c r="P244" i="1"/>
  <c r="O472" i="1"/>
  <c r="P472" i="1"/>
  <c r="P478" i="1"/>
  <c r="O478" i="1"/>
  <c r="M59" i="1"/>
  <c r="L59" i="1"/>
  <c r="L272" i="1"/>
  <c r="M272" i="1"/>
  <c r="O402" i="1"/>
  <c r="P402" i="1"/>
  <c r="L167" i="1"/>
  <c r="M167" i="1"/>
  <c r="M207" i="1"/>
  <c r="L207" i="1"/>
  <c r="P294" i="1"/>
  <c r="O294" i="1"/>
  <c r="L312" i="1"/>
  <c r="M312" i="1"/>
  <c r="L424" i="1"/>
  <c r="M424" i="1"/>
  <c r="O70" i="1"/>
  <c r="P70" i="1"/>
  <c r="L248" i="1"/>
  <c r="M248" i="1"/>
  <c r="P418" i="1"/>
  <c r="O418" i="1"/>
  <c r="O496" i="1"/>
  <c r="P496" i="1"/>
  <c r="P377" i="1"/>
  <c r="O377" i="1"/>
  <c r="O243" i="1"/>
  <c r="P243" i="1"/>
  <c r="M291" i="1"/>
  <c r="L291" i="1"/>
  <c r="L128" i="1"/>
  <c r="M128" i="1"/>
  <c r="P239" i="1"/>
  <c r="O239" i="1"/>
  <c r="P385" i="1"/>
  <c r="O385" i="1"/>
  <c r="M100" i="1"/>
  <c r="L100" i="1"/>
  <c r="M362" i="1"/>
  <c r="L362" i="1"/>
  <c r="M202" i="1"/>
  <c r="L202" i="1"/>
  <c r="O304" i="1"/>
  <c r="P304" i="1"/>
  <c r="M147" i="1"/>
  <c r="L147" i="1"/>
  <c r="M223" i="1"/>
  <c r="L223" i="1"/>
  <c r="L46" i="1"/>
  <c r="M46" i="1"/>
  <c r="M111" i="1"/>
  <c r="L111" i="1"/>
  <c r="L141" i="1"/>
  <c r="M141" i="1"/>
  <c r="L143" i="1"/>
  <c r="M143" i="1"/>
  <c r="L496" i="1"/>
  <c r="M496" i="1"/>
  <c r="L136" i="1"/>
  <c r="M136" i="1"/>
  <c r="L97" i="1"/>
  <c r="M97" i="1"/>
  <c r="M173" i="1"/>
  <c r="L173" i="1"/>
  <c r="L371" i="1"/>
  <c r="M371" i="1"/>
  <c r="M52" i="1"/>
  <c r="L52" i="1"/>
  <c r="O392" i="1"/>
  <c r="P392" i="1"/>
  <c r="L441" i="1"/>
  <c r="M441" i="1"/>
  <c r="M132" i="1"/>
  <c r="L132" i="1"/>
  <c r="L435" i="1"/>
  <c r="M435" i="1"/>
  <c r="P113" i="1"/>
  <c r="O113" i="1"/>
  <c r="L325" i="1"/>
  <c r="M325" i="1"/>
  <c r="P465" i="1"/>
  <c r="O465" i="1"/>
  <c r="O355" i="1"/>
  <c r="P355" i="1"/>
  <c r="O454" i="1"/>
  <c r="P454" i="1"/>
  <c r="L232" i="1"/>
  <c r="M232" i="1"/>
  <c r="O31" i="1"/>
  <c r="P31" i="1"/>
  <c r="M24" i="1"/>
  <c r="L24" i="1"/>
  <c r="L493" i="1"/>
  <c r="M493" i="1"/>
  <c r="L450" i="1"/>
  <c r="M450" i="1"/>
  <c r="P3" i="1"/>
  <c r="O3" i="1"/>
  <c r="O446" i="1"/>
  <c r="P446" i="1"/>
  <c r="M440" i="1"/>
  <c r="L440" i="1"/>
  <c r="M273" i="1"/>
  <c r="L273" i="1"/>
  <c r="M405" i="1"/>
  <c r="L405" i="1"/>
  <c r="L98" i="1"/>
  <c r="M98" i="1"/>
  <c r="M342" i="1"/>
  <c r="L342" i="1"/>
  <c r="L357" i="1"/>
  <c r="M357" i="1"/>
  <c r="L430" i="1"/>
  <c r="M430" i="1"/>
  <c r="L381" i="1"/>
  <c r="M381" i="1"/>
  <c r="M331" i="1"/>
  <c r="L331" i="1"/>
  <c r="L92" i="1"/>
  <c r="M92" i="1"/>
  <c r="M386" i="1"/>
  <c r="L386" i="1"/>
  <c r="O394" i="1"/>
  <c r="P394" i="1"/>
  <c r="L123" i="1"/>
  <c r="M123" i="1"/>
  <c r="L35" i="1"/>
  <c r="M35" i="1"/>
  <c r="M336" i="1"/>
  <c r="L336" i="1"/>
  <c r="L271" i="1"/>
  <c r="M271" i="1"/>
  <c r="M84" i="1"/>
  <c r="L84" i="1"/>
  <c r="M330" i="1"/>
  <c r="L330" i="1"/>
  <c r="O228" i="1"/>
  <c r="P228" i="1"/>
  <c r="P381" i="1"/>
  <c r="O381" i="1"/>
  <c r="L201" i="1"/>
  <c r="M201" i="1"/>
  <c r="L305" i="1"/>
  <c r="M305" i="1"/>
  <c r="L506" i="1"/>
  <c r="M506" i="1"/>
  <c r="M229" i="1"/>
  <c r="L229" i="1"/>
  <c r="L166" i="1"/>
  <c r="M166" i="1"/>
  <c r="M385" i="1"/>
  <c r="L385" i="1"/>
  <c r="O197" i="1"/>
  <c r="P197" i="1"/>
  <c r="P484" i="1"/>
  <c r="O484" i="1"/>
  <c r="M88" i="1"/>
  <c r="L88" i="1"/>
  <c r="O248" i="1"/>
  <c r="P248" i="1"/>
  <c r="P235" i="1"/>
  <c r="O235" i="1"/>
  <c r="O514" i="1"/>
  <c r="P514" i="1"/>
  <c r="O254" i="1"/>
  <c r="P254" i="1"/>
  <c r="M426" i="1"/>
  <c r="L426" i="1"/>
  <c r="L468" i="1"/>
  <c r="M468" i="1"/>
  <c r="L41" i="1"/>
  <c r="M41" i="1"/>
  <c r="L466" i="1"/>
  <c r="M466" i="1"/>
  <c r="P252" i="1"/>
  <c r="O252" i="1"/>
  <c r="P193" i="1"/>
  <c r="O193" i="1"/>
  <c r="L183" i="1"/>
  <c r="M183" i="1"/>
  <c r="M25" i="1"/>
  <c r="L25" i="1"/>
  <c r="O24" i="1"/>
  <c r="P24" i="1"/>
  <c r="M54" i="1"/>
  <c r="L54" i="1"/>
  <c r="M479" i="1"/>
  <c r="L479" i="1"/>
  <c r="O280" i="1"/>
  <c r="P280" i="1"/>
  <c r="L246" i="1"/>
  <c r="M246" i="1"/>
  <c r="P136" i="1"/>
  <c r="O136" i="1"/>
  <c r="P148" i="1"/>
  <c r="O148" i="1"/>
  <c r="O257" i="1"/>
  <c r="P257" i="1"/>
  <c r="P490" i="1"/>
  <c r="O490" i="1"/>
  <c r="P86" i="1"/>
  <c r="O86" i="1"/>
  <c r="M359" i="1"/>
  <c r="L359" i="1"/>
  <c r="L146" i="1"/>
  <c r="M146" i="1"/>
  <c r="M495" i="1"/>
  <c r="L495" i="1"/>
  <c r="P147" i="1"/>
  <c r="O147" i="1"/>
  <c r="O430" i="1"/>
  <c r="P430" i="1"/>
  <c r="M511" i="1"/>
  <c r="L511" i="1"/>
  <c r="O423" i="1"/>
  <c r="P423" i="1"/>
  <c r="P30" i="1"/>
  <c r="O30" i="1"/>
  <c r="P241" i="1"/>
  <c r="O241" i="1"/>
  <c r="O190" i="1"/>
  <c r="P190" i="1"/>
  <c r="M306" i="1"/>
  <c r="L306" i="1"/>
  <c r="L402" i="1"/>
  <c r="M402" i="1"/>
  <c r="M125" i="1"/>
  <c r="L125" i="1"/>
  <c r="M177" i="1"/>
  <c r="L177" i="1"/>
  <c r="P249" i="1"/>
  <c r="O249" i="1"/>
  <c r="P85" i="1"/>
  <c r="O85" i="1"/>
  <c r="O41" i="1"/>
  <c r="P41" i="1"/>
  <c r="P295" i="1"/>
  <c r="O295" i="1"/>
  <c r="P494" i="1"/>
  <c r="O494" i="1"/>
  <c r="P64" i="1"/>
  <c r="O64" i="1"/>
  <c r="P110" i="1"/>
  <c r="O110" i="1"/>
  <c r="P27" i="1"/>
  <c r="O27" i="1"/>
  <c r="P38" i="1"/>
  <c r="O38" i="1"/>
  <c r="O160" i="1"/>
  <c r="P160" i="1"/>
  <c r="O264" i="1"/>
  <c r="P264" i="1"/>
  <c r="P134" i="1"/>
  <c r="O134" i="1"/>
  <c r="P202" i="1"/>
  <c r="O202" i="1"/>
  <c r="O502" i="1"/>
  <c r="P502" i="1"/>
  <c r="O485" i="1"/>
  <c r="P485" i="1"/>
  <c r="P468" i="1"/>
  <c r="O468" i="1"/>
  <c r="O367" i="1"/>
  <c r="P367" i="1"/>
  <c r="P229" i="1"/>
  <c r="O229" i="1"/>
  <c r="O88" i="1"/>
  <c r="P88" i="1"/>
  <c r="P203" i="1"/>
  <c r="O203" i="1"/>
  <c r="O162" i="1"/>
  <c r="P162" i="1"/>
  <c r="P462" i="1"/>
  <c r="O462" i="1"/>
  <c r="M150" i="1"/>
  <c r="L150" i="1"/>
  <c r="O488" i="1"/>
  <c r="P488" i="1"/>
  <c r="O303" i="1"/>
  <c r="P303" i="1"/>
  <c r="O5" i="1"/>
  <c r="P5" i="1"/>
  <c r="O77" i="1"/>
  <c r="P77" i="1"/>
  <c r="O353" i="1"/>
  <c r="P353" i="1"/>
  <c r="P456" i="1"/>
  <c r="O456" i="1"/>
  <c r="P121" i="1"/>
  <c r="O121" i="1"/>
  <c r="O59" i="1"/>
  <c r="P59" i="1"/>
  <c r="O342" i="1"/>
  <c r="P342" i="1"/>
  <c r="O329" i="1"/>
  <c r="P329" i="1"/>
  <c r="P192" i="1"/>
  <c r="O192" i="1"/>
  <c r="P231" i="1"/>
  <c r="O231" i="1"/>
  <c r="M257" i="1"/>
  <c r="L257" i="1"/>
  <c r="M377" i="1"/>
  <c r="L377" i="1"/>
  <c r="L472" i="1"/>
  <c r="M472" i="1"/>
  <c r="O477" i="1"/>
  <c r="P477" i="1"/>
  <c r="L130" i="1"/>
  <c r="M130" i="1"/>
  <c r="L83" i="1"/>
  <c r="M83" i="1"/>
  <c r="L27" i="1"/>
  <c r="M27" i="1"/>
  <c r="M279" i="1"/>
  <c r="L279" i="1"/>
  <c r="P383" i="1"/>
  <c r="O383" i="1"/>
  <c r="M319" i="1"/>
  <c r="L319" i="1"/>
  <c r="L446" i="1"/>
  <c r="M446" i="1"/>
  <c r="L151" i="1"/>
  <c r="M151" i="1"/>
  <c r="P83" i="1"/>
  <c r="O83" i="1"/>
  <c r="O11" i="1"/>
  <c r="P11" i="1"/>
  <c r="L189" i="1"/>
  <c r="M189" i="1"/>
  <c r="M469" i="1"/>
  <c r="L469" i="1"/>
  <c r="L327" i="1"/>
  <c r="M327" i="1"/>
  <c r="O511" i="1"/>
  <c r="P511" i="1"/>
  <c r="M70" i="1"/>
  <c r="L70" i="1"/>
  <c r="P285" i="1"/>
  <c r="O285" i="1"/>
  <c r="L321" i="1"/>
  <c r="M321" i="1"/>
  <c r="M200" i="1"/>
  <c r="L200" i="1"/>
  <c r="M398" i="1"/>
  <c r="L398" i="1"/>
  <c r="L414" i="1"/>
  <c r="M414" i="1"/>
  <c r="L226" i="1"/>
  <c r="M226" i="1"/>
  <c r="P191" i="1"/>
  <c r="O191" i="1"/>
  <c r="L196" i="1"/>
  <c r="M196" i="1"/>
  <c r="L96" i="1"/>
  <c r="M96" i="1"/>
  <c r="M509" i="1"/>
  <c r="L509" i="1"/>
  <c r="M43" i="1"/>
  <c r="L43" i="1"/>
  <c r="M79" i="1"/>
  <c r="L79" i="1"/>
  <c r="L119" i="1"/>
  <c r="M119" i="1"/>
  <c r="P432" i="1"/>
  <c r="O432" i="1"/>
  <c r="L235" i="1"/>
  <c r="M235" i="1"/>
  <c r="P57" i="1"/>
  <c r="O57" i="1"/>
  <c r="L157" i="1"/>
  <c r="M157" i="1"/>
  <c r="L108" i="1"/>
  <c r="M108" i="1"/>
  <c r="M389" i="1"/>
  <c r="L389" i="1"/>
  <c r="M256" i="1"/>
  <c r="L256" i="1"/>
  <c r="M470" i="1"/>
  <c r="L470" i="1"/>
  <c r="P321" i="1"/>
  <c r="O321" i="1"/>
  <c r="O277" i="1"/>
  <c r="P277" i="1"/>
  <c r="O232" i="1"/>
  <c r="P232" i="1"/>
  <c r="P48" i="1"/>
  <c r="O48" i="1"/>
  <c r="P479" i="1"/>
  <c r="O479" i="1"/>
  <c r="M118" i="1"/>
  <c r="L118" i="1"/>
  <c r="L316" i="1"/>
  <c r="M316" i="1"/>
  <c r="M171" i="1"/>
  <c r="L171" i="1"/>
  <c r="L139" i="1"/>
  <c r="M139" i="1"/>
  <c r="M303" i="1"/>
  <c r="L303" i="1"/>
  <c r="P177" i="1"/>
  <c r="O177" i="1"/>
  <c r="M391" i="1"/>
  <c r="L391" i="1"/>
  <c r="L448" i="1"/>
  <c r="M448" i="1"/>
  <c r="M31" i="1"/>
  <c r="L31" i="1"/>
  <c r="L289" i="1"/>
  <c r="M289" i="1"/>
  <c r="M437" i="1"/>
  <c r="L437" i="1"/>
  <c r="O413" i="1"/>
  <c r="P413" i="1"/>
  <c r="P210" i="1"/>
  <c r="O210" i="1"/>
  <c r="L135" i="1"/>
  <c r="M135" i="1"/>
  <c r="O388" i="1"/>
  <c r="P388" i="1"/>
  <c r="O348" i="1"/>
  <c r="P348" i="1"/>
  <c r="O149" i="1"/>
  <c r="P149" i="1"/>
  <c r="O463" i="1"/>
  <c r="P463" i="1"/>
  <c r="L372" i="1"/>
  <c r="M372" i="1"/>
  <c r="L462" i="1"/>
  <c r="M462" i="1"/>
  <c r="M205" i="1"/>
  <c r="L205" i="1"/>
  <c r="P434" i="1"/>
  <c r="O434" i="1"/>
  <c r="L184" i="1"/>
  <c r="M184" i="1"/>
  <c r="L23" i="1"/>
  <c r="M23" i="1"/>
  <c r="O273" i="1"/>
  <c r="P273" i="1"/>
  <c r="O451" i="1"/>
  <c r="P451" i="1"/>
  <c r="O464" i="1"/>
  <c r="P464" i="1"/>
  <c r="P436" i="1"/>
  <c r="O436" i="1"/>
  <c r="O187" i="1"/>
  <c r="P187" i="1"/>
  <c r="M199" i="1"/>
  <c r="L199" i="1"/>
  <c r="L452" i="1"/>
  <c r="M452" i="1"/>
  <c r="L276" i="1"/>
  <c r="M276" i="1"/>
  <c r="L161" i="1"/>
  <c r="M161" i="1"/>
  <c r="P251" i="1"/>
  <c r="O251" i="1"/>
  <c r="P18" i="1"/>
  <c r="O18" i="1"/>
  <c r="O425" i="1"/>
  <c r="P425" i="1"/>
  <c r="P445" i="1"/>
  <c r="O445" i="1"/>
  <c r="P173" i="1"/>
  <c r="O173" i="1"/>
  <c r="L502" i="1"/>
  <c r="M502" i="1"/>
  <c r="L244" i="1"/>
  <c r="M244" i="1"/>
  <c r="M382" i="1"/>
  <c r="L382" i="1"/>
  <c r="M188" i="1"/>
  <c r="L188" i="1"/>
  <c r="M458" i="1"/>
  <c r="L458" i="1"/>
  <c r="M214" i="1"/>
  <c r="L214" i="1"/>
  <c r="O227" i="1"/>
  <c r="P227" i="1"/>
  <c r="O417" i="1"/>
  <c r="P417" i="1"/>
  <c r="P242" i="1"/>
  <c r="O242" i="1"/>
  <c r="P395" i="1"/>
  <c r="O395" i="1"/>
  <c r="P207" i="1"/>
  <c r="O207" i="1"/>
  <c r="P290" i="1"/>
  <c r="O290" i="1"/>
  <c r="P79" i="1"/>
  <c r="O79" i="1"/>
  <c r="P444" i="1"/>
  <c r="O444" i="1"/>
  <c r="O196" i="1"/>
  <c r="P196" i="1"/>
  <c r="O493" i="1"/>
  <c r="P493" i="1"/>
  <c r="O221" i="1"/>
  <c r="P221" i="1"/>
  <c r="P17" i="1"/>
  <c r="O17" i="1"/>
  <c r="P87" i="1"/>
  <c r="O87" i="1"/>
  <c r="P331" i="1"/>
  <c r="O331" i="1"/>
  <c r="O320" i="1"/>
  <c r="P320" i="1"/>
  <c r="P111" i="1"/>
  <c r="O111" i="1"/>
  <c r="O29" i="1"/>
  <c r="P29" i="1"/>
  <c r="O219" i="1"/>
  <c r="P219" i="1"/>
  <c r="P90" i="1"/>
  <c r="O90" i="1"/>
  <c r="P390" i="1"/>
  <c r="O390" i="1"/>
  <c r="O458" i="1"/>
  <c r="P458" i="1"/>
  <c r="O80" i="1"/>
  <c r="P80" i="1"/>
  <c r="P132" i="1"/>
  <c r="O132" i="1"/>
  <c r="P54" i="1"/>
  <c r="O54" i="1"/>
  <c r="P315" i="1"/>
  <c r="O315" i="1"/>
  <c r="M233" i="1"/>
  <c r="L233" i="1"/>
  <c r="L195" i="1"/>
  <c r="M195" i="1"/>
  <c r="M61" i="1"/>
  <c r="L61" i="1"/>
  <c r="O81" i="1"/>
  <c r="P81" i="1"/>
  <c r="O495" i="1"/>
  <c r="P495" i="1"/>
  <c r="L107" i="1"/>
  <c r="M107" i="1"/>
  <c r="L213" i="1"/>
  <c r="M213" i="1"/>
  <c r="M175" i="1"/>
  <c r="L175" i="1"/>
  <c r="L467" i="1"/>
  <c r="M467" i="1"/>
  <c r="O439" i="1"/>
  <c r="P439" i="1"/>
  <c r="M187" i="1"/>
  <c r="L187" i="1"/>
  <c r="M55" i="1"/>
  <c r="L55" i="1"/>
  <c r="M465" i="1"/>
  <c r="L465" i="1"/>
  <c r="L160" i="1"/>
  <c r="M160" i="1"/>
  <c r="L499" i="1"/>
  <c r="M499" i="1"/>
  <c r="M269" i="1"/>
  <c r="L269" i="1"/>
  <c r="L113" i="1"/>
  <c r="M113" i="1"/>
  <c r="M237" i="1"/>
  <c r="L237" i="1"/>
  <c r="M504" i="1"/>
  <c r="L504" i="1"/>
  <c r="L296" i="1"/>
  <c r="M296" i="1"/>
  <c r="L104" i="1"/>
  <c r="M104" i="1"/>
  <c r="P448" i="1"/>
  <c r="O448" i="1"/>
  <c r="M260" i="1"/>
  <c r="L260" i="1"/>
  <c r="M460" i="1"/>
  <c r="L460" i="1"/>
  <c r="L463" i="1"/>
  <c r="M463" i="1"/>
  <c r="L311" i="1"/>
  <c r="M311" i="1"/>
  <c r="L129" i="1"/>
  <c r="M129" i="1"/>
  <c r="M179" i="1"/>
  <c r="L179" i="1"/>
  <c r="P225" i="1"/>
  <c r="O225" i="1"/>
  <c r="P317" i="1"/>
  <c r="O317" i="1"/>
  <c r="L102" i="1"/>
  <c r="M102" i="1"/>
  <c r="M194" i="1"/>
  <c r="L194" i="1"/>
  <c r="M209" i="1"/>
  <c r="L209" i="1"/>
  <c r="L152" i="1"/>
  <c r="M152" i="1"/>
  <c r="M261" i="1"/>
  <c r="L261" i="1"/>
  <c r="M62" i="1"/>
  <c r="L62" i="1"/>
  <c r="L354" i="1"/>
  <c r="M354" i="1"/>
  <c r="L219" i="1"/>
  <c r="M219" i="1"/>
  <c r="O226" i="1"/>
  <c r="P226" i="1"/>
  <c r="P287" i="1"/>
  <c r="O287" i="1"/>
  <c r="L390" i="1"/>
  <c r="M390" i="1"/>
  <c r="L208" i="1"/>
  <c r="M208" i="1"/>
  <c r="L117" i="1"/>
  <c r="M117" i="1"/>
  <c r="P366" i="1"/>
  <c r="O366" i="1"/>
  <c r="M317" i="1"/>
  <c r="L317" i="1"/>
  <c r="L217" i="1"/>
  <c r="M217" i="1"/>
  <c r="M72" i="1"/>
  <c r="L72" i="1"/>
  <c r="L153" i="1"/>
  <c r="M153" i="1"/>
  <c r="L433" i="1"/>
  <c r="M433" i="1"/>
  <c r="M475" i="1"/>
  <c r="L475" i="1"/>
  <c r="M99" i="1"/>
  <c r="L99" i="1"/>
  <c r="M148" i="1"/>
  <c r="L148" i="1"/>
  <c r="P44" i="1"/>
  <c r="O44" i="1"/>
  <c r="M351" i="1"/>
  <c r="L351" i="1"/>
  <c r="L329" i="1"/>
  <c r="M329" i="1"/>
  <c r="L186" i="1"/>
  <c r="M186" i="1"/>
  <c r="L109" i="1"/>
  <c r="M109" i="1"/>
  <c r="O307" i="1"/>
  <c r="P307" i="1"/>
  <c r="M45" i="1"/>
  <c r="L45" i="1"/>
  <c r="M155" i="1"/>
  <c r="L155" i="1"/>
  <c r="P265" i="1"/>
  <c r="O265" i="1"/>
  <c r="P318" i="1"/>
  <c r="O318" i="1"/>
  <c r="P82" i="1"/>
  <c r="O82" i="1"/>
  <c r="M115" i="1"/>
  <c r="L115" i="1"/>
  <c r="P281" i="1"/>
  <c r="O281" i="1"/>
  <c r="L51" i="1"/>
  <c r="M51" i="1"/>
  <c r="O300" i="1"/>
  <c r="P300" i="1"/>
  <c r="M425" i="1"/>
  <c r="L425" i="1"/>
  <c r="P312" i="1"/>
  <c r="O312" i="1"/>
  <c r="P9" i="1"/>
  <c r="O9" i="1"/>
  <c r="M406" i="1"/>
  <c r="L406" i="1"/>
  <c r="M182" i="1"/>
  <c r="L182" i="1"/>
  <c r="L366" i="1"/>
  <c r="M366" i="1"/>
  <c r="L476" i="1"/>
  <c r="M476" i="1"/>
  <c r="P99" i="1"/>
  <c r="O99" i="1"/>
  <c r="M347" i="1"/>
  <c r="L347" i="1"/>
  <c r="L258" i="1"/>
  <c r="M258" i="1"/>
  <c r="M409" i="1"/>
  <c r="L409" i="1"/>
  <c r="P345" i="1"/>
  <c r="O345" i="1"/>
  <c r="L422" i="1"/>
  <c r="M422" i="1"/>
  <c r="P172" i="1"/>
  <c r="O172" i="1"/>
  <c r="P233" i="1"/>
  <c r="O233" i="1"/>
  <c r="O216" i="1"/>
  <c r="P216" i="1"/>
  <c r="P246" i="1"/>
  <c r="O246" i="1"/>
  <c r="L234" i="1"/>
  <c r="M234" i="1"/>
  <c r="M383" i="1"/>
  <c r="L383" i="1"/>
  <c r="P218" i="1"/>
  <c r="O218" i="1"/>
  <c r="P429" i="1"/>
  <c r="O429" i="1"/>
  <c r="M158" i="1"/>
  <c r="L158" i="1"/>
  <c r="P36" i="1"/>
  <c r="O36" i="1"/>
  <c r="P389" i="1"/>
  <c r="O389" i="1"/>
  <c r="O339" i="1"/>
  <c r="P339" i="1"/>
  <c r="O308" i="1"/>
  <c r="P308" i="1"/>
  <c r="M168" i="1"/>
  <c r="L168" i="1"/>
  <c r="O164" i="1"/>
  <c r="P164" i="1"/>
  <c r="P66" i="1"/>
  <c r="O66" i="1"/>
  <c r="M22" i="1"/>
  <c r="L22" i="1"/>
  <c r="O323" i="1"/>
  <c r="P323" i="1"/>
  <c r="O157" i="1"/>
  <c r="P157" i="1"/>
  <c r="P138" i="1"/>
  <c r="O138" i="1"/>
  <c r="P438" i="1"/>
  <c r="O438" i="1"/>
  <c r="L483" i="1"/>
  <c r="M483" i="1"/>
  <c r="L197" i="1"/>
  <c r="M197" i="1"/>
  <c r="L127" i="1"/>
  <c r="M127" i="1"/>
  <c r="O67" i="1"/>
  <c r="P67" i="1"/>
  <c r="P198" i="1"/>
  <c r="O198" i="1"/>
  <c r="P372" i="1"/>
  <c r="O372" i="1"/>
  <c r="O73" i="1"/>
  <c r="P73" i="1"/>
  <c r="O180" i="1"/>
  <c r="P180" i="1"/>
  <c r="O351" i="1"/>
  <c r="P351" i="1"/>
  <c r="O84" i="1"/>
  <c r="P84" i="1"/>
  <c r="M302" i="1"/>
  <c r="L302" i="1"/>
  <c r="O259" i="1"/>
  <c r="P259" i="1"/>
  <c r="O411" i="1"/>
  <c r="P411" i="1"/>
  <c r="O76" i="1"/>
  <c r="P76" i="1"/>
  <c r="P284" i="1"/>
  <c r="O284" i="1"/>
  <c r="P176" i="1"/>
  <c r="O176" i="1"/>
  <c r="O117" i="1"/>
  <c r="P117" i="1"/>
  <c r="P122" i="1"/>
  <c r="O122" i="1"/>
  <c r="O200" i="1"/>
  <c r="P200" i="1"/>
  <c r="P292" i="1"/>
  <c r="O292" i="1"/>
  <c r="O422" i="1"/>
  <c r="P422" i="1"/>
  <c r="P325" i="1"/>
  <c r="O325" i="1"/>
  <c r="O7" i="1"/>
  <c r="P7" i="1"/>
  <c r="P75" i="1"/>
  <c r="O75" i="1"/>
  <c r="P509" i="1"/>
  <c r="O509" i="1"/>
  <c r="P182" i="1"/>
  <c r="O182" i="1"/>
  <c r="P340" i="1"/>
  <c r="O340" i="1"/>
  <c r="O100" i="1"/>
  <c r="P100" i="1"/>
  <c r="P375" i="1"/>
  <c r="O375" i="1"/>
  <c r="O175" i="1"/>
  <c r="P175" i="1"/>
  <c r="O350" i="1"/>
  <c r="P350" i="1"/>
  <c r="P126" i="1"/>
  <c r="O126" i="1"/>
  <c r="O35" i="1"/>
  <c r="P35" i="1"/>
  <c r="P125" i="1"/>
  <c r="O125" i="1"/>
  <c r="P168" i="1"/>
  <c r="O168" i="1"/>
  <c r="O142" i="1"/>
  <c r="P142" i="1"/>
  <c r="P108" i="1"/>
  <c r="O108" i="1"/>
  <c r="L275" i="1"/>
  <c r="M275" i="1"/>
  <c r="O322" i="1"/>
  <c r="P322" i="1"/>
  <c r="P416" i="1"/>
  <c r="O416" i="1"/>
  <c r="P13" i="1"/>
  <c r="O13" i="1"/>
  <c r="P405" i="1"/>
  <c r="O405" i="1"/>
  <c r="P133" i="1"/>
  <c r="O133" i="1"/>
  <c r="M404" i="1"/>
  <c r="L404" i="1"/>
  <c r="L67" i="1"/>
  <c r="M67" i="1"/>
  <c r="L392" i="1"/>
  <c r="M392" i="1"/>
  <c r="O399" i="1"/>
  <c r="P399" i="1"/>
  <c r="L131" i="1"/>
  <c r="M131" i="1"/>
  <c r="M474" i="1"/>
  <c r="L474" i="1"/>
  <c r="L320" i="1"/>
  <c r="M320" i="1"/>
  <c r="O63" i="1"/>
  <c r="P63" i="1"/>
  <c r="L264" i="1"/>
  <c r="M264" i="1"/>
  <c r="P40" i="1"/>
  <c r="O40" i="1"/>
  <c r="L407" i="1"/>
  <c r="M407" i="1"/>
  <c r="M380" i="1"/>
  <c r="L380" i="1"/>
  <c r="P507" i="1"/>
  <c r="O507" i="1"/>
  <c r="M353" i="1"/>
  <c r="L353" i="1"/>
  <c r="L193" i="1"/>
  <c r="M193" i="1"/>
  <c r="P286" i="1"/>
  <c r="O286" i="1"/>
  <c r="P263" i="1"/>
  <c r="O263" i="1"/>
  <c r="M491" i="1"/>
  <c r="L491" i="1"/>
  <c r="M149" i="1"/>
  <c r="L149" i="1"/>
  <c r="L438" i="1"/>
  <c r="M438" i="1"/>
  <c r="L65" i="1"/>
  <c r="M65" i="1"/>
  <c r="M310" i="1"/>
  <c r="L310" i="1"/>
  <c r="P393" i="1"/>
  <c r="O393" i="1"/>
  <c r="M74" i="1"/>
  <c r="L74" i="1"/>
  <c r="M514" i="1"/>
  <c r="L514" i="1"/>
  <c r="P435" i="1"/>
  <c r="O435" i="1"/>
  <c r="M75" i="1"/>
  <c r="L75" i="1"/>
  <c r="O420" i="1"/>
  <c r="P420" i="1"/>
  <c r="L512" i="1"/>
  <c r="M512" i="1"/>
  <c r="P337" i="1"/>
  <c r="O337" i="1"/>
  <c r="M250" i="1"/>
  <c r="L250" i="1"/>
  <c r="M144" i="1"/>
  <c r="L144" i="1"/>
  <c r="M80" i="1"/>
  <c r="L80" i="1"/>
  <c r="O289" i="1"/>
  <c r="P289" i="1"/>
  <c r="P32" i="1"/>
  <c r="O32" i="1"/>
  <c r="P205" i="1"/>
  <c r="O205" i="1"/>
  <c r="O212" i="1"/>
  <c r="P212" i="1"/>
  <c r="O459" i="1"/>
  <c r="P459" i="1"/>
  <c r="P72" i="1"/>
  <c r="O72" i="1"/>
  <c r="L301" i="1"/>
  <c r="M301" i="1"/>
  <c r="L309" i="1"/>
  <c r="M309" i="1"/>
  <c r="L505" i="1"/>
  <c r="M505" i="1"/>
  <c r="L415" i="1"/>
  <c r="M415" i="1"/>
  <c r="M73" i="1"/>
  <c r="L73" i="1"/>
  <c r="O512" i="1"/>
  <c r="P512" i="1"/>
  <c r="P153" i="1"/>
  <c r="O153" i="1"/>
  <c r="P397" i="1"/>
  <c r="O397" i="1"/>
  <c r="O505" i="1"/>
  <c r="P505" i="1"/>
  <c r="P130" i="1"/>
  <c r="O130" i="1"/>
  <c r="L489" i="1"/>
  <c r="M489" i="1"/>
  <c r="O37" i="1"/>
  <c r="P37" i="1"/>
  <c r="M464" i="1"/>
  <c r="L464" i="1"/>
  <c r="M335" i="1"/>
  <c r="L335" i="1"/>
  <c r="L210" i="1"/>
  <c r="M210" i="1"/>
  <c r="O279" i="1"/>
  <c r="P279" i="1"/>
  <c r="O305" i="1"/>
  <c r="P305" i="1"/>
  <c r="L507" i="1"/>
  <c r="M507" i="1"/>
  <c r="L477" i="1"/>
  <c r="M477" i="1"/>
  <c r="L262" i="1"/>
  <c r="M262" i="1"/>
  <c r="M138" i="1"/>
  <c r="L138" i="1"/>
  <c r="L484" i="1"/>
  <c r="M484" i="1"/>
  <c r="O371" i="1"/>
  <c r="P371" i="1"/>
  <c r="P240" i="1"/>
  <c r="O240" i="1"/>
  <c r="P181" i="1"/>
  <c r="O181" i="1"/>
  <c r="L399" i="1"/>
  <c r="M399" i="1"/>
  <c r="L274" i="1"/>
  <c r="M274" i="1"/>
  <c r="M106" i="1"/>
  <c r="L106" i="1"/>
  <c r="L400" i="1"/>
  <c r="M400" i="1"/>
  <c r="O255" i="1"/>
  <c r="P255" i="1"/>
  <c r="L231" i="1"/>
  <c r="M231" i="1"/>
  <c r="L238" i="1"/>
  <c r="M238" i="1"/>
  <c r="O501" i="1"/>
  <c r="P501" i="1"/>
  <c r="O185" i="1"/>
  <c r="P185" i="1"/>
  <c r="P151" i="1"/>
  <c r="O151" i="1"/>
  <c r="L245" i="1"/>
  <c r="M245" i="1"/>
  <c r="P188" i="1"/>
  <c r="O188" i="1"/>
  <c r="O120" i="1"/>
  <c r="P120" i="1"/>
  <c r="P105" i="1"/>
  <c r="O105" i="1"/>
  <c r="O334" i="1"/>
  <c r="P334" i="1"/>
  <c r="L215" i="1"/>
  <c r="M215" i="1"/>
  <c r="M69" i="1"/>
  <c r="L69" i="1"/>
  <c r="L356" i="1"/>
  <c r="M356" i="1"/>
  <c r="M110" i="1"/>
  <c r="L110" i="1"/>
  <c r="P460" i="1"/>
  <c r="O460" i="1"/>
  <c r="P330" i="1"/>
  <c r="O330" i="1"/>
  <c r="P119" i="1"/>
  <c r="O119" i="1"/>
  <c r="P245" i="1"/>
  <c r="O245" i="1"/>
  <c r="P135" i="1"/>
  <c r="O135" i="1"/>
  <c r="O49" i="1"/>
  <c r="P49" i="1"/>
  <c r="P10" i="1"/>
  <c r="O10" i="1"/>
  <c r="O476" i="1"/>
  <c r="P476" i="1"/>
  <c r="P310" i="1"/>
  <c r="O310" i="1"/>
  <c r="O209" i="1"/>
  <c r="P209" i="1"/>
  <c r="P457" i="1"/>
  <c r="O457" i="1"/>
  <c r="P95" i="1"/>
  <c r="O95" i="1"/>
  <c r="O382" i="1"/>
  <c r="P382" i="1"/>
  <c r="P163" i="1"/>
  <c r="O163" i="1"/>
  <c r="P296" i="1"/>
  <c r="O296" i="1"/>
  <c r="O270" i="1"/>
  <c r="P270" i="1"/>
  <c r="P380" i="1"/>
  <c r="O380" i="1"/>
  <c r="O508" i="1"/>
  <c r="P508" i="1"/>
  <c r="O195" i="1"/>
  <c r="P195" i="1"/>
  <c r="O492" i="1"/>
  <c r="P492" i="1"/>
  <c r="O68" i="1"/>
  <c r="P68" i="1"/>
  <c r="P362" i="1"/>
  <c r="O362" i="1"/>
  <c r="P513" i="1"/>
  <c r="O513" i="1"/>
  <c r="O378" i="1"/>
  <c r="P378" i="1"/>
  <c r="O386" i="1"/>
  <c r="P386" i="1"/>
  <c r="P167" i="1"/>
  <c r="O167" i="1"/>
  <c r="O474" i="1"/>
  <c r="P474" i="1"/>
  <c r="O96" i="1"/>
  <c r="P96" i="1"/>
  <c r="L451" i="1"/>
  <c r="M451" i="1"/>
  <c r="M308" i="1"/>
  <c r="L308" i="1"/>
  <c r="M428" i="1"/>
  <c r="L428" i="1"/>
  <c r="L190" i="1"/>
  <c r="M190" i="1"/>
  <c r="M101" i="1"/>
  <c r="L101" i="1"/>
  <c r="P183" i="1"/>
  <c r="O183" i="1"/>
  <c r="M176" i="1"/>
  <c r="L176" i="1"/>
  <c r="M363" i="1"/>
  <c r="L363" i="1"/>
  <c r="M445" i="1"/>
  <c r="L445" i="1"/>
  <c r="L29" i="1"/>
  <c r="M29" i="1"/>
  <c r="O288" i="1"/>
  <c r="P288" i="1"/>
  <c r="M337" i="1"/>
  <c r="L337" i="1"/>
  <c r="M434" i="1"/>
  <c r="L434" i="1"/>
  <c r="L332" i="1"/>
  <c r="M332" i="1"/>
  <c r="M277" i="1"/>
  <c r="L277" i="1"/>
  <c r="M297" i="1"/>
  <c r="L297" i="1"/>
  <c r="L412" i="1"/>
  <c r="M412" i="1"/>
  <c r="L376" i="1"/>
  <c r="M376" i="1"/>
  <c r="M42" i="1"/>
  <c r="L42" i="1"/>
  <c r="M58" i="1"/>
  <c r="L58" i="1"/>
  <c r="P336" i="1"/>
  <c r="O336" i="1"/>
  <c r="O293" i="1"/>
  <c r="P293" i="1"/>
  <c r="P166" i="1"/>
  <c r="O166" i="1"/>
  <c r="L453" i="1"/>
  <c r="M453" i="1"/>
  <c r="M444" i="1"/>
  <c r="L444" i="1"/>
  <c r="P171" i="1"/>
  <c r="O171" i="1"/>
  <c r="W30" i="1"/>
  <c r="M360" i="1"/>
  <c r="L360" i="1"/>
  <c r="M459" i="1"/>
  <c r="L459" i="1"/>
  <c r="M227" i="1"/>
  <c r="L227" i="1"/>
  <c r="L378" i="1"/>
  <c r="M378" i="1"/>
  <c r="L268" i="1"/>
  <c r="M268" i="1"/>
  <c r="L442" i="1"/>
  <c r="M442" i="1"/>
  <c r="M145" i="1"/>
  <c r="L145" i="1"/>
  <c r="P211" i="1"/>
  <c r="O211" i="1"/>
  <c r="P112" i="1"/>
  <c r="O112" i="1"/>
  <c r="M393" i="1"/>
  <c r="L393" i="1"/>
  <c r="M282" i="1"/>
  <c r="L282" i="1"/>
  <c r="L266" i="1"/>
  <c r="M266" i="1"/>
  <c r="M333" i="1"/>
  <c r="L333" i="1"/>
  <c r="L77" i="1"/>
  <c r="M77" i="1"/>
  <c r="M76" i="1"/>
  <c r="L76" i="1"/>
  <c r="L204" i="1"/>
  <c r="M204" i="1"/>
  <c r="M142" i="1"/>
  <c r="L142" i="1"/>
  <c r="M211" i="1"/>
  <c r="L211" i="1"/>
  <c r="L34" i="1"/>
  <c r="M34" i="1"/>
  <c r="M361" i="1"/>
  <c r="L361" i="1"/>
  <c r="M358" i="1"/>
  <c r="L358" i="1"/>
  <c r="L486" i="1"/>
  <c r="M486" i="1"/>
  <c r="M478" i="1"/>
  <c r="L478" i="1"/>
  <c r="P14" i="1"/>
  <c r="O14" i="1"/>
  <c r="L401" i="1"/>
  <c r="M401" i="1"/>
  <c r="M318" i="1"/>
  <c r="L318" i="1"/>
  <c r="L284" i="1"/>
  <c r="M284" i="1"/>
  <c r="P131" i="1"/>
  <c r="O131" i="1"/>
  <c r="L334" i="1"/>
  <c r="M334" i="1"/>
  <c r="M364" i="1"/>
  <c r="L364" i="1"/>
  <c r="L165" i="1"/>
  <c r="M165" i="1"/>
  <c r="O15" i="1"/>
  <c r="P15" i="1"/>
  <c r="M133" i="1"/>
  <c r="L133" i="1"/>
  <c r="P223" i="1"/>
  <c r="O223" i="1"/>
  <c r="O101" i="1"/>
  <c r="P101" i="1"/>
  <c r="L30" i="1"/>
  <c r="M30" i="1"/>
  <c r="L307" i="1"/>
  <c r="M307" i="1"/>
  <c r="L21" i="1"/>
  <c r="M21" i="1"/>
  <c r="L241" i="1"/>
  <c r="M241" i="1"/>
  <c r="P379" i="1"/>
  <c r="O379" i="1"/>
  <c r="M300" i="1"/>
  <c r="L300" i="1"/>
  <c r="M471" i="1"/>
  <c r="L471" i="1"/>
  <c r="L243" i="1"/>
  <c r="M243" i="1"/>
  <c r="M411" i="1"/>
  <c r="L411" i="1"/>
  <c r="M198" i="1"/>
  <c r="L198" i="1"/>
  <c r="L134" i="1"/>
  <c r="M134" i="1"/>
  <c r="P471" i="1"/>
  <c r="O471" i="1"/>
  <c r="M510" i="1"/>
  <c r="L510" i="1"/>
  <c r="L396" i="1"/>
  <c r="M396" i="1"/>
  <c r="L181" i="1"/>
  <c r="M181" i="1"/>
  <c r="M174" i="1"/>
  <c r="L174" i="1"/>
  <c r="O109" i="1"/>
  <c r="P109" i="1"/>
  <c r="P433" i="1"/>
  <c r="O433" i="1"/>
  <c r="L114" i="1"/>
  <c r="M114" i="1"/>
  <c r="L154" i="1"/>
  <c r="M154" i="1"/>
  <c r="M413" i="1"/>
  <c r="L413" i="1"/>
  <c r="O141" i="1"/>
  <c r="P141" i="1"/>
  <c r="O500" i="1"/>
  <c r="P500" i="1"/>
  <c r="L47" i="1"/>
  <c r="M47" i="1"/>
  <c r="L485" i="1"/>
  <c r="M485" i="1"/>
  <c r="M172" i="1"/>
  <c r="L172" i="1"/>
  <c r="M71" i="1"/>
  <c r="L71" i="1"/>
  <c r="L388" i="1"/>
  <c r="M388" i="1"/>
  <c r="L162" i="1"/>
  <c r="M162" i="1"/>
  <c r="L216" i="1"/>
  <c r="M216" i="1"/>
  <c r="P178" i="1"/>
  <c r="O178" i="1"/>
  <c r="P466" i="1"/>
  <c r="O466" i="1"/>
  <c r="O302" i="1"/>
  <c r="P302" i="1"/>
  <c r="P298" i="1"/>
  <c r="O298" i="1"/>
  <c r="O61" i="1"/>
  <c r="P61" i="1"/>
  <c r="P333" i="1"/>
  <c r="O333" i="1"/>
  <c r="M116" i="1"/>
  <c r="L116" i="1"/>
  <c r="M294" i="1"/>
  <c r="L294" i="1"/>
  <c r="P213" i="1"/>
  <c r="O213" i="1"/>
  <c r="M56" i="1"/>
  <c r="L56" i="1"/>
  <c r="P412" i="1"/>
  <c r="O412" i="1"/>
  <c r="P208" i="1"/>
  <c r="O208" i="1"/>
  <c r="M285" i="1"/>
  <c r="L285" i="1"/>
  <c r="M221" i="1"/>
  <c r="L221" i="1"/>
  <c r="M501" i="1"/>
  <c r="L501" i="1"/>
  <c r="L324" i="1"/>
  <c r="M324" i="1"/>
  <c r="L137" i="1"/>
  <c r="M137" i="1"/>
  <c r="P179" i="1"/>
  <c r="O179" i="1"/>
  <c r="P361" i="1"/>
  <c r="O361" i="1"/>
  <c r="O21" i="1"/>
  <c r="P21" i="1"/>
  <c r="M304" i="1"/>
  <c r="L304" i="1"/>
  <c r="P314" i="1"/>
  <c r="O314" i="1"/>
  <c r="M326" i="1"/>
  <c r="L326" i="1"/>
  <c r="M323" i="1"/>
  <c r="L323" i="1"/>
  <c r="P408" i="1"/>
  <c r="O408" i="1"/>
  <c r="O396" i="1"/>
  <c r="P396" i="1"/>
  <c r="M82" i="1"/>
  <c r="L82" i="1"/>
  <c r="L156" i="1"/>
  <c r="M156" i="1"/>
  <c r="P357" i="1"/>
  <c r="O357" i="1"/>
  <c r="P297" i="1"/>
  <c r="O297" i="1"/>
  <c r="P184" i="1"/>
  <c r="O184" i="1"/>
  <c r="P127" i="1"/>
  <c r="O127" i="1"/>
  <c r="P52" i="1"/>
  <c r="O52" i="1"/>
  <c r="P98" i="1"/>
  <c r="O98" i="1"/>
  <c r="P327" i="1"/>
  <c r="O327" i="1"/>
  <c r="O499" i="1"/>
  <c r="P499" i="1"/>
  <c r="P360" i="1"/>
  <c r="O360" i="1"/>
  <c r="O69" i="1"/>
  <c r="P69" i="1"/>
  <c r="P107" i="1"/>
  <c r="O107" i="1"/>
  <c r="O461" i="1"/>
  <c r="P461" i="1"/>
  <c r="P506" i="1"/>
  <c r="O506" i="1"/>
  <c r="O214" i="1"/>
  <c r="P214" i="1"/>
  <c r="P123" i="1"/>
  <c r="O123" i="1"/>
  <c r="P359" i="1"/>
  <c r="O359" i="1"/>
  <c r="O238" i="1"/>
  <c r="P238" i="1"/>
  <c r="P91" i="1"/>
  <c r="O91" i="1"/>
  <c r="P102" i="1"/>
  <c r="O102" i="1"/>
  <c r="P224" i="1"/>
  <c r="O224" i="1"/>
  <c r="P363" i="1"/>
  <c r="O363" i="1"/>
  <c r="P352" i="1"/>
  <c r="O352" i="1"/>
  <c r="P266" i="1"/>
  <c r="O266" i="1"/>
  <c r="P55" i="1"/>
  <c r="O55" i="1"/>
  <c r="P129" i="1"/>
  <c r="O129" i="1"/>
  <c r="O53" i="1"/>
  <c r="P53" i="1"/>
  <c r="P452" i="1"/>
  <c r="O452" i="1"/>
  <c r="P332" i="1"/>
  <c r="O332" i="1"/>
  <c r="P114" i="1"/>
  <c r="O114" i="1"/>
  <c r="I524" i="1" l="1"/>
  <c r="H524" i="1"/>
  <c r="I525" i="1"/>
  <c r="H525" i="1"/>
  <c r="H520" i="1"/>
  <c r="I520" i="1"/>
  <c r="H521" i="1"/>
  <c r="I521" i="1"/>
  <c r="H517" i="1"/>
  <c r="I517" i="1"/>
  <c r="H522" i="1"/>
  <c r="I522" i="1"/>
  <c r="H518" i="1"/>
  <c r="I518" i="1"/>
  <c r="H515" i="1"/>
  <c r="I515" i="1"/>
  <c r="H523" i="1"/>
  <c r="I523" i="1"/>
  <c r="H516" i="1"/>
  <c r="I516" i="1"/>
  <c r="H519" i="1"/>
  <c r="I519" i="1"/>
  <c r="H171" i="1"/>
  <c r="I171" i="1"/>
  <c r="R15" i="1"/>
  <c r="I465" i="1"/>
  <c r="H465" i="1"/>
  <c r="H143" i="1"/>
  <c r="I143" i="1"/>
  <c r="H423" i="1"/>
  <c r="I423" i="1"/>
  <c r="I17" i="1"/>
  <c r="H17" i="1"/>
  <c r="I122" i="1"/>
  <c r="H122" i="1"/>
  <c r="H227" i="1"/>
  <c r="I227" i="1"/>
  <c r="H62" i="1"/>
  <c r="I62" i="1"/>
  <c r="I176" i="1"/>
  <c r="H176" i="1"/>
  <c r="H190" i="1"/>
  <c r="I190" i="1"/>
  <c r="H88" i="1"/>
  <c r="I88" i="1"/>
  <c r="I238" i="1"/>
  <c r="H238" i="1"/>
  <c r="H186" i="1"/>
  <c r="I186" i="1"/>
  <c r="I258" i="1"/>
  <c r="H258" i="1"/>
  <c r="H506" i="1"/>
  <c r="I506" i="1"/>
  <c r="I251" i="1"/>
  <c r="H251" i="1"/>
  <c r="H346" i="1"/>
  <c r="I346" i="1"/>
  <c r="H292" i="1"/>
  <c r="I292" i="1"/>
  <c r="H39" i="1"/>
  <c r="I39" i="1"/>
  <c r="H110" i="1"/>
  <c r="I110" i="1"/>
  <c r="H234" i="1"/>
  <c r="I234" i="1"/>
  <c r="H510" i="1"/>
  <c r="I510" i="1"/>
  <c r="H367" i="1"/>
  <c r="I367" i="1"/>
  <c r="I313" i="1"/>
  <c r="H313" i="1"/>
  <c r="H205" i="1"/>
  <c r="I205" i="1"/>
  <c r="I446" i="1"/>
  <c r="H446" i="1"/>
  <c r="H286" i="1"/>
  <c r="I286" i="1"/>
  <c r="H8" i="1"/>
  <c r="I8" i="1"/>
  <c r="H135" i="1"/>
  <c r="I135" i="1"/>
  <c r="H488" i="1"/>
  <c r="I488" i="1"/>
  <c r="H434" i="1"/>
  <c r="I434" i="1"/>
  <c r="I3" i="1"/>
  <c r="H3" i="1"/>
  <c r="I342" i="1"/>
  <c r="H342" i="1"/>
  <c r="H394" i="1"/>
  <c r="I394" i="1"/>
  <c r="H55" i="1"/>
  <c r="I55" i="1"/>
  <c r="H319" i="1"/>
  <c r="I319" i="1"/>
  <c r="I470" i="1"/>
  <c r="H470" i="1"/>
  <c r="I224" i="1"/>
  <c r="H224" i="1"/>
  <c r="H81" i="1"/>
  <c r="I81" i="1"/>
  <c r="H487" i="1"/>
  <c r="I487" i="1"/>
  <c r="H396" i="1"/>
  <c r="I396" i="1"/>
  <c r="I427" i="1"/>
  <c r="H427" i="1"/>
  <c r="I265" i="1"/>
  <c r="H265" i="1"/>
  <c r="H513" i="1"/>
  <c r="I513" i="1"/>
  <c r="I6" i="1"/>
  <c r="H6" i="1"/>
  <c r="H73" i="1"/>
  <c r="I73" i="1"/>
  <c r="H69" i="1"/>
  <c r="I69" i="1"/>
  <c r="H121" i="1"/>
  <c r="I121" i="1"/>
  <c r="H415" i="1"/>
  <c r="I415" i="1"/>
  <c r="H491" i="1"/>
  <c r="I491" i="1"/>
  <c r="I223" i="1"/>
  <c r="H223" i="1"/>
  <c r="H58" i="1"/>
  <c r="I58" i="1"/>
  <c r="H492" i="1"/>
  <c r="I492" i="1"/>
  <c r="H486" i="1"/>
  <c r="I486" i="1"/>
  <c r="I280" i="1"/>
  <c r="H280" i="1"/>
  <c r="H53" i="1"/>
  <c r="I53" i="1"/>
  <c r="I130" i="1"/>
  <c r="H130" i="1"/>
  <c r="H41" i="1"/>
  <c r="I41" i="1"/>
  <c r="I43" i="1"/>
  <c r="H43" i="1"/>
  <c r="I115" i="1"/>
  <c r="H115" i="1"/>
  <c r="I259" i="1"/>
  <c r="H259" i="1"/>
  <c r="I403" i="1"/>
  <c r="H403" i="1"/>
  <c r="H355" i="1"/>
  <c r="I355" i="1"/>
  <c r="H246" i="1"/>
  <c r="I246" i="1"/>
  <c r="H201" i="1"/>
  <c r="I201" i="1"/>
  <c r="I306" i="1"/>
  <c r="H306" i="1"/>
  <c r="H314" i="1"/>
  <c r="I314" i="1"/>
  <c r="H350" i="1"/>
  <c r="I350" i="1"/>
  <c r="I378" i="1"/>
  <c r="H378" i="1"/>
  <c r="I500" i="1"/>
  <c r="H500" i="1"/>
  <c r="H160" i="1"/>
  <c r="I160" i="1"/>
  <c r="H477" i="1"/>
  <c r="I477" i="1"/>
  <c r="I221" i="1"/>
  <c r="H221" i="1"/>
  <c r="I326" i="1"/>
  <c r="H326" i="1"/>
  <c r="H172" i="1"/>
  <c r="I172" i="1"/>
  <c r="H133" i="1"/>
  <c r="I133" i="1"/>
  <c r="I464" i="1"/>
  <c r="H464" i="1"/>
  <c r="I395" i="1"/>
  <c r="H395" i="1"/>
  <c r="H459" i="1"/>
  <c r="I459" i="1"/>
  <c r="H217" i="1"/>
  <c r="I217" i="1"/>
  <c r="H431" i="1"/>
  <c r="I431" i="1"/>
  <c r="I57" i="1"/>
  <c r="H57" i="1"/>
  <c r="H297" i="1"/>
  <c r="I297" i="1"/>
  <c r="H366" i="1"/>
  <c r="I366" i="1"/>
  <c r="I391" i="1"/>
  <c r="H391" i="1"/>
  <c r="H466" i="1"/>
  <c r="I466" i="1"/>
  <c r="I168" i="1"/>
  <c r="H168" i="1"/>
  <c r="H349" i="1"/>
  <c r="I349" i="1"/>
  <c r="I468" i="1"/>
  <c r="H468" i="1"/>
  <c r="H443" i="1"/>
  <c r="I443" i="1"/>
  <c r="H18" i="1"/>
  <c r="I18" i="1"/>
  <c r="H494" i="1"/>
  <c r="I494" i="1"/>
  <c r="I183" i="1"/>
  <c r="H183" i="1"/>
  <c r="I270" i="1"/>
  <c r="H270" i="1"/>
  <c r="H38" i="1"/>
  <c r="I38" i="1"/>
  <c r="I166" i="1"/>
  <c r="H166" i="1"/>
  <c r="H347" i="1"/>
  <c r="I347" i="1"/>
  <c r="H372" i="1"/>
  <c r="I372" i="1"/>
  <c r="H155" i="1"/>
  <c r="I155" i="1"/>
  <c r="H302" i="1"/>
  <c r="I302" i="1"/>
  <c r="H2" i="1"/>
  <c r="I2" i="1"/>
  <c r="I333" i="1"/>
  <c r="H333" i="1"/>
  <c r="I106" i="1"/>
  <c r="H106" i="1"/>
  <c r="I263" i="1"/>
  <c r="H263" i="1"/>
  <c r="I203" i="1"/>
  <c r="H203" i="1"/>
  <c r="H148" i="1"/>
  <c r="I148" i="1"/>
  <c r="I37" i="1"/>
  <c r="H37" i="1"/>
  <c r="H96" i="1"/>
  <c r="I96" i="1"/>
  <c r="I416" i="1"/>
  <c r="H416" i="1"/>
  <c r="H493" i="1"/>
  <c r="I493" i="1"/>
  <c r="H457" i="1"/>
  <c r="I457" i="1"/>
  <c r="I111" i="1"/>
  <c r="H111" i="1"/>
  <c r="H303" i="1"/>
  <c r="I303" i="1"/>
  <c r="H142" i="1"/>
  <c r="I142" i="1"/>
  <c r="H63" i="1"/>
  <c r="I63" i="1"/>
  <c r="H250" i="1"/>
  <c r="I250" i="1"/>
  <c r="I187" i="1"/>
  <c r="H187" i="1"/>
  <c r="I9" i="1"/>
  <c r="H9" i="1"/>
  <c r="H462" i="1"/>
  <c r="I462" i="1"/>
  <c r="H421" i="1"/>
  <c r="I421" i="1"/>
  <c r="H502" i="1"/>
  <c r="I502" i="1"/>
  <c r="H337" i="1"/>
  <c r="I337" i="1"/>
  <c r="I104" i="1"/>
  <c r="H104" i="1"/>
  <c r="H33" i="1"/>
  <c r="I33" i="1"/>
  <c r="H164" i="1"/>
  <c r="I164" i="1"/>
  <c r="H36" i="1"/>
  <c r="I36" i="1"/>
  <c r="H334" i="1"/>
  <c r="I334" i="1"/>
  <c r="H79" i="1"/>
  <c r="I79" i="1"/>
  <c r="H118" i="1"/>
  <c r="I118" i="1"/>
  <c r="I339" i="1"/>
  <c r="H339" i="1"/>
  <c r="I75" i="1"/>
  <c r="H75" i="1"/>
  <c r="H467" i="1"/>
  <c r="I467" i="1"/>
  <c r="H100" i="1"/>
  <c r="I100" i="1"/>
  <c r="H125" i="1"/>
  <c r="I125" i="1"/>
  <c r="H159" i="1"/>
  <c r="I159" i="1"/>
  <c r="H356" i="1"/>
  <c r="I356" i="1"/>
  <c r="I150" i="1"/>
  <c r="H150" i="1"/>
  <c r="I128" i="1"/>
  <c r="H128" i="1"/>
  <c r="I351" i="1"/>
  <c r="H351" i="1"/>
  <c r="I49" i="1"/>
  <c r="H49" i="1"/>
  <c r="I50" i="1"/>
  <c r="H50" i="1"/>
  <c r="I411" i="1"/>
  <c r="H411" i="1"/>
  <c r="H78" i="1"/>
  <c r="I78" i="1"/>
  <c r="I47" i="1"/>
  <c r="H47" i="1"/>
  <c r="H385" i="1"/>
  <c r="I385" i="1"/>
  <c r="H59" i="1"/>
  <c r="I59" i="1"/>
  <c r="H213" i="1"/>
  <c r="I213" i="1"/>
  <c r="I404" i="1"/>
  <c r="H404" i="1"/>
  <c r="I495" i="1"/>
  <c r="H495" i="1"/>
  <c r="I414" i="1"/>
  <c r="H414" i="1"/>
  <c r="H200" i="1"/>
  <c r="I200" i="1"/>
  <c r="H102" i="1"/>
  <c r="I102" i="1"/>
  <c r="I152" i="1"/>
  <c r="H152" i="1"/>
  <c r="I93" i="1"/>
  <c r="H93" i="1"/>
  <c r="H295" i="1"/>
  <c r="I295" i="1"/>
  <c r="H114" i="1"/>
  <c r="I114" i="1"/>
  <c r="H162" i="1"/>
  <c r="I162" i="1"/>
  <c r="I454" i="1"/>
  <c r="H454" i="1"/>
  <c r="I344" i="1"/>
  <c r="H344" i="1"/>
  <c r="I471" i="1"/>
  <c r="H471" i="1"/>
  <c r="H352" i="1"/>
  <c r="I352" i="1"/>
  <c r="H304" i="1"/>
  <c r="I304" i="1"/>
  <c r="I308" i="1"/>
  <c r="H308" i="1"/>
  <c r="H94" i="1"/>
  <c r="I94" i="1"/>
  <c r="I61" i="1"/>
  <c r="H61" i="1"/>
  <c r="I359" i="1"/>
  <c r="H359" i="1"/>
  <c r="I309" i="1"/>
  <c r="H309" i="1"/>
  <c r="H108" i="1"/>
  <c r="I108" i="1"/>
  <c r="H478" i="1"/>
  <c r="I478" i="1"/>
  <c r="H293" i="1"/>
  <c r="I293" i="1"/>
  <c r="H455" i="1"/>
  <c r="I455" i="1"/>
  <c r="H154" i="1"/>
  <c r="I154" i="1"/>
  <c r="H248" i="1"/>
  <c r="I248" i="1"/>
  <c r="I418" i="1"/>
  <c r="H418" i="1"/>
  <c r="H83" i="1"/>
  <c r="I83" i="1"/>
  <c r="I211" i="1"/>
  <c r="H211" i="1"/>
  <c r="H68" i="1"/>
  <c r="I68" i="1"/>
  <c r="H476" i="1"/>
  <c r="I476" i="1"/>
  <c r="H289" i="1"/>
  <c r="I289" i="1"/>
  <c r="H182" i="1"/>
  <c r="I182" i="1"/>
  <c r="H165" i="1"/>
  <c r="I165" i="1"/>
  <c r="I137" i="1"/>
  <c r="H137" i="1"/>
  <c r="H374" i="1"/>
  <c r="I374" i="1"/>
  <c r="H204" i="1"/>
  <c r="I204" i="1"/>
  <c r="I299" i="1"/>
  <c r="H299" i="1"/>
  <c r="I214" i="1"/>
  <c r="H214" i="1"/>
  <c r="H473" i="1"/>
  <c r="I473" i="1"/>
  <c r="H232" i="1"/>
  <c r="I232" i="1"/>
  <c r="H318" i="1"/>
  <c r="I318" i="1"/>
  <c r="H60" i="1"/>
  <c r="I60" i="1"/>
  <c r="I354" i="1"/>
  <c r="H354" i="1"/>
  <c r="H388" i="1"/>
  <c r="I388" i="1"/>
  <c r="H260" i="1"/>
  <c r="I260" i="1"/>
  <c r="H239" i="1"/>
  <c r="I239" i="1"/>
  <c r="H12" i="1"/>
  <c r="I12" i="1"/>
  <c r="H5" i="1"/>
  <c r="I5" i="1"/>
  <c r="H195" i="1"/>
  <c r="I195" i="1"/>
  <c r="I66" i="1"/>
  <c r="H66" i="1"/>
  <c r="H379" i="1"/>
  <c r="I379" i="1"/>
  <c r="I7" i="1"/>
  <c r="H7" i="1"/>
  <c r="H226" i="1"/>
  <c r="I226" i="1"/>
  <c r="H193" i="1"/>
  <c r="I193" i="1"/>
  <c r="H296" i="1"/>
  <c r="I296" i="1"/>
  <c r="H70" i="1"/>
  <c r="I70" i="1"/>
  <c r="H127" i="1"/>
  <c r="I127" i="1"/>
  <c r="H84" i="1"/>
  <c r="I84" i="1"/>
  <c r="H275" i="1"/>
  <c r="I275" i="1"/>
  <c r="H65" i="1"/>
  <c r="I65" i="1"/>
  <c r="H452" i="1"/>
  <c r="I452" i="1"/>
  <c r="I357" i="1"/>
  <c r="H357" i="1"/>
  <c r="H26" i="1"/>
  <c r="I26" i="1"/>
  <c r="H243" i="1"/>
  <c r="I243" i="1"/>
  <c r="I85" i="1"/>
  <c r="H85" i="1"/>
  <c r="H511" i="1"/>
  <c r="I511" i="1"/>
  <c r="H447" i="1"/>
  <c r="I447" i="1"/>
  <c r="H273" i="1"/>
  <c r="I273" i="1"/>
  <c r="H498" i="1"/>
  <c r="I498" i="1"/>
  <c r="H322" i="1"/>
  <c r="I322" i="1"/>
  <c r="H345" i="1"/>
  <c r="I345" i="1"/>
  <c r="H305" i="1"/>
  <c r="I305" i="1"/>
  <c r="H235" i="1"/>
  <c r="I235" i="1"/>
  <c r="H430" i="1"/>
  <c r="I430" i="1"/>
  <c r="I173" i="1"/>
  <c r="H173" i="1"/>
  <c r="H181" i="1"/>
  <c r="I181" i="1"/>
  <c r="I220" i="1"/>
  <c r="H220" i="1"/>
  <c r="H86" i="1"/>
  <c r="I86" i="1"/>
  <c r="I315" i="1"/>
  <c r="H315" i="1"/>
  <c r="H445" i="1"/>
  <c r="I445" i="1"/>
  <c r="H382" i="1"/>
  <c r="I382" i="1"/>
  <c r="H242" i="1"/>
  <c r="I242" i="1"/>
  <c r="H267" i="1"/>
  <c r="I267" i="1"/>
  <c r="H332" i="1"/>
  <c r="I332" i="1"/>
  <c r="I424" i="1"/>
  <c r="H424" i="1"/>
  <c r="H508" i="1"/>
  <c r="I508" i="1"/>
  <c r="H197" i="1"/>
  <c r="I197" i="1"/>
  <c r="H437" i="1"/>
  <c r="I437" i="1"/>
  <c r="H490" i="1"/>
  <c r="I490" i="1"/>
  <c r="I178" i="1"/>
  <c r="H178" i="1"/>
  <c r="H208" i="1"/>
  <c r="I208" i="1"/>
  <c r="I325" i="1"/>
  <c r="H325" i="1"/>
  <c r="H179" i="1"/>
  <c r="I179" i="1"/>
  <c r="H320" i="1"/>
  <c r="I320" i="1"/>
  <c r="I21" i="1"/>
  <c r="H21" i="1"/>
  <c r="H369" i="1"/>
  <c r="I369" i="1"/>
  <c r="I377" i="1"/>
  <c r="H377" i="1"/>
  <c r="H353" i="1"/>
  <c r="I353" i="1"/>
  <c r="H225" i="1"/>
  <c r="I225" i="1"/>
  <c r="H380" i="1"/>
  <c r="I380" i="1"/>
  <c r="H113" i="1"/>
  <c r="I113" i="1"/>
  <c r="I80" i="1"/>
  <c r="H80" i="1"/>
  <c r="H139" i="1"/>
  <c r="I139" i="1"/>
  <c r="H456" i="1"/>
  <c r="I456" i="1"/>
  <c r="H174" i="1"/>
  <c r="I174" i="1"/>
  <c r="H158" i="1"/>
  <c r="I158" i="1"/>
  <c r="I28" i="1"/>
  <c r="H28" i="1"/>
  <c r="H449" i="1"/>
  <c r="I449" i="1"/>
  <c r="H175" i="1"/>
  <c r="I175" i="1"/>
  <c r="H254" i="1"/>
  <c r="I254" i="1"/>
  <c r="H266" i="1"/>
  <c r="I266" i="1"/>
  <c r="I422" i="1"/>
  <c r="H422" i="1"/>
  <c r="I375" i="1"/>
  <c r="H375" i="1"/>
  <c r="H401" i="1"/>
  <c r="I401" i="1"/>
  <c r="H298" i="1"/>
  <c r="I298" i="1"/>
  <c r="H408" i="1"/>
  <c r="I408" i="1"/>
  <c r="H163" i="1"/>
  <c r="I163" i="1"/>
  <c r="I442" i="1"/>
  <c r="H442" i="1"/>
  <c r="H101" i="1"/>
  <c r="I101" i="1"/>
  <c r="H244" i="1"/>
  <c r="I244" i="1"/>
  <c r="H363" i="1"/>
  <c r="I363" i="1"/>
  <c r="H23" i="1"/>
  <c r="I23" i="1"/>
  <c r="H34" i="1"/>
  <c r="I34" i="1"/>
  <c r="I400" i="1"/>
  <c r="H400" i="1"/>
  <c r="I229" i="1"/>
  <c r="H229" i="1"/>
  <c r="H505" i="1"/>
  <c r="I505" i="1"/>
  <c r="H24" i="1"/>
  <c r="I24" i="1"/>
  <c r="H146" i="1"/>
  <c r="I146" i="1"/>
  <c r="H312" i="1"/>
  <c r="I312" i="1"/>
  <c r="H448" i="1"/>
  <c r="I448" i="1"/>
  <c r="I32" i="1"/>
  <c r="H32" i="1"/>
  <c r="H169" i="1"/>
  <c r="I169" i="1"/>
  <c r="H439" i="1"/>
  <c r="I439" i="1"/>
  <c r="H407" i="1"/>
  <c r="I407" i="1"/>
  <c r="H373" i="1"/>
  <c r="I373" i="1"/>
  <c r="H247" i="1"/>
  <c r="I247" i="1"/>
  <c r="I189" i="1"/>
  <c r="H189" i="1"/>
  <c r="H116" i="1"/>
  <c r="I116" i="1"/>
  <c r="I153" i="1"/>
  <c r="H153" i="1"/>
  <c r="H483" i="1"/>
  <c r="I483" i="1"/>
  <c r="I321" i="1"/>
  <c r="H321" i="1"/>
  <c r="H112" i="1"/>
  <c r="I112" i="1"/>
  <c r="I196" i="1"/>
  <c r="H196" i="1"/>
  <c r="I253" i="1"/>
  <c r="H253" i="1"/>
  <c r="I268" i="1"/>
  <c r="H268" i="1"/>
  <c r="I240" i="1"/>
  <c r="H240" i="1"/>
  <c r="I103" i="1"/>
  <c r="H103" i="1"/>
  <c r="H489" i="1"/>
  <c r="I489" i="1"/>
  <c r="I51" i="1"/>
  <c r="H51" i="1"/>
  <c r="I420" i="1"/>
  <c r="H420" i="1"/>
  <c r="H463" i="1"/>
  <c r="I463" i="1"/>
  <c r="H272" i="1"/>
  <c r="I272" i="1"/>
  <c r="H107" i="1"/>
  <c r="I107" i="1"/>
  <c r="H255" i="1"/>
  <c r="I255" i="1"/>
  <c r="H206" i="1"/>
  <c r="I206" i="1"/>
  <c r="H131" i="1"/>
  <c r="I131" i="1"/>
  <c r="H429" i="1"/>
  <c r="I429" i="1"/>
  <c r="H485" i="1"/>
  <c r="I485" i="1"/>
  <c r="H180" i="1"/>
  <c r="I180" i="1"/>
  <c r="I138" i="1"/>
  <c r="H138" i="1"/>
  <c r="H20" i="1"/>
  <c r="I20" i="1"/>
  <c r="I472" i="1"/>
  <c r="H472" i="1"/>
  <c r="I136" i="1"/>
  <c r="H136" i="1"/>
  <c r="I433" i="1"/>
  <c r="H433" i="1"/>
  <c r="I212" i="1"/>
  <c r="H212" i="1"/>
  <c r="H13" i="1"/>
  <c r="I13" i="1"/>
  <c r="I71" i="1"/>
  <c r="H71" i="1"/>
  <c r="H390" i="1"/>
  <c r="I390" i="1"/>
  <c r="I82" i="1"/>
  <c r="H82" i="1"/>
  <c r="H412" i="1"/>
  <c r="I412" i="1"/>
  <c r="I300" i="1"/>
  <c r="H300" i="1"/>
  <c r="H425" i="1"/>
  <c r="I425" i="1"/>
  <c r="H360" i="1"/>
  <c r="I360" i="1"/>
  <c r="H161" i="1"/>
  <c r="I161" i="1"/>
  <c r="H15" i="1"/>
  <c r="I15" i="1"/>
  <c r="H52" i="1"/>
  <c r="I52" i="1"/>
  <c r="I343" i="1"/>
  <c r="H343" i="1"/>
  <c r="I461" i="1"/>
  <c r="H461" i="1"/>
  <c r="H291" i="1"/>
  <c r="I291" i="1"/>
  <c r="H328" i="1"/>
  <c r="I328" i="1"/>
  <c r="H22" i="1"/>
  <c r="I22" i="1"/>
  <c r="I117" i="1"/>
  <c r="H117" i="1"/>
  <c r="I284" i="1"/>
  <c r="H284" i="1"/>
  <c r="H44" i="1"/>
  <c r="I44" i="1"/>
  <c r="H335" i="1"/>
  <c r="I335" i="1"/>
  <c r="H120" i="1"/>
  <c r="I120" i="1"/>
  <c r="H241" i="1"/>
  <c r="I241" i="1"/>
  <c r="H441" i="1"/>
  <c r="I441" i="1"/>
  <c r="H387" i="1"/>
  <c r="I387" i="1"/>
  <c r="H27" i="1"/>
  <c r="I27" i="1"/>
  <c r="I399" i="1"/>
  <c r="H399" i="1"/>
  <c r="H222" i="1"/>
  <c r="I222" i="1"/>
  <c r="I497" i="1"/>
  <c r="H497" i="1"/>
  <c r="H474" i="1"/>
  <c r="I474" i="1"/>
  <c r="H413" i="1"/>
  <c r="I413" i="1"/>
  <c r="H89" i="1"/>
  <c r="I89" i="1"/>
  <c r="I371" i="1"/>
  <c r="H371" i="1"/>
  <c r="I167" i="1"/>
  <c r="H167" i="1"/>
  <c r="I185" i="1"/>
  <c r="H185" i="1"/>
  <c r="I504" i="1"/>
  <c r="H504" i="1"/>
  <c r="H109" i="1"/>
  <c r="I109" i="1"/>
  <c r="H475" i="1"/>
  <c r="I475" i="1"/>
  <c r="I409" i="1"/>
  <c r="H409" i="1"/>
  <c r="H285" i="1"/>
  <c r="I285" i="1"/>
  <c r="H231" i="1"/>
  <c r="I231" i="1"/>
  <c r="H426" i="1"/>
  <c r="I426" i="1"/>
  <c r="H499" i="1"/>
  <c r="I499" i="1"/>
  <c r="H219" i="1"/>
  <c r="I219" i="1"/>
  <c r="H368" i="1"/>
  <c r="I368" i="1"/>
  <c r="H194" i="1"/>
  <c r="I194" i="1"/>
  <c r="H98" i="1"/>
  <c r="I98" i="1"/>
  <c r="I362" i="1"/>
  <c r="H362" i="1"/>
  <c r="H76" i="1"/>
  <c r="I76" i="1"/>
  <c r="I294" i="1"/>
  <c r="H294" i="1"/>
  <c r="I126" i="1"/>
  <c r="H126" i="1"/>
  <c r="I134" i="1"/>
  <c r="H134" i="1"/>
  <c r="H348" i="1"/>
  <c r="I348" i="1"/>
  <c r="H331" i="1"/>
  <c r="I331" i="1"/>
  <c r="I458" i="1"/>
  <c r="H458" i="1"/>
  <c r="I398" i="1"/>
  <c r="H398" i="1"/>
  <c r="I145" i="1"/>
  <c r="H145" i="1"/>
  <c r="I72" i="1"/>
  <c r="H72" i="1"/>
  <c r="H451" i="1"/>
  <c r="I451" i="1"/>
  <c r="I257" i="1"/>
  <c r="H257" i="1"/>
  <c r="H67" i="1"/>
  <c r="I67" i="1"/>
  <c r="H436" i="1"/>
  <c r="I436" i="1"/>
  <c r="I307" i="1"/>
  <c r="H307" i="1"/>
  <c r="H64" i="1"/>
  <c r="I64" i="1"/>
  <c r="I97" i="1"/>
  <c r="H97" i="1"/>
  <c r="I281" i="1"/>
  <c r="H281" i="1"/>
  <c r="H140" i="1"/>
  <c r="I140" i="1"/>
  <c r="H376" i="1"/>
  <c r="I376" i="1"/>
  <c r="H87" i="1"/>
  <c r="I87" i="1"/>
  <c r="Y29" i="1"/>
  <c r="W31" i="1"/>
  <c r="H209" i="1"/>
  <c r="I209" i="1"/>
  <c r="H10" i="1"/>
  <c r="I10" i="1"/>
  <c r="I202" i="1"/>
  <c r="H202" i="1"/>
  <c r="H327" i="1"/>
  <c r="I327" i="1"/>
  <c r="I170" i="1"/>
  <c r="H170" i="1"/>
  <c r="H276" i="1"/>
  <c r="I276" i="1"/>
  <c r="H141" i="1"/>
  <c r="I141" i="1"/>
  <c r="I74" i="1"/>
  <c r="H74" i="1"/>
  <c r="I91" i="1"/>
  <c r="H91" i="1"/>
  <c r="I450" i="1"/>
  <c r="H450" i="1"/>
  <c r="H233" i="1"/>
  <c r="I233" i="1"/>
  <c r="H393" i="1"/>
  <c r="I393" i="1"/>
  <c r="I358" i="1"/>
  <c r="H358" i="1"/>
  <c r="H340" i="1"/>
  <c r="I340" i="1"/>
  <c r="H19" i="1"/>
  <c r="I19" i="1"/>
  <c r="I264" i="1"/>
  <c r="H264" i="1"/>
  <c r="I147" i="1"/>
  <c r="H147" i="1"/>
  <c r="H157" i="1"/>
  <c r="I157" i="1"/>
  <c r="H392" i="1"/>
  <c r="I392" i="1"/>
  <c r="H119" i="1"/>
  <c r="I119" i="1"/>
  <c r="H440" i="1"/>
  <c r="I440" i="1"/>
  <c r="H156" i="1"/>
  <c r="I156" i="1"/>
  <c r="I40" i="1"/>
  <c r="H40" i="1"/>
  <c r="H262" i="1"/>
  <c r="I262" i="1"/>
  <c r="H384" i="1"/>
  <c r="I384" i="1"/>
  <c r="H42" i="1"/>
  <c r="I42" i="1"/>
  <c r="H90" i="1"/>
  <c r="I90" i="1"/>
  <c r="H277" i="1"/>
  <c r="I277" i="1"/>
  <c r="I397" i="1"/>
  <c r="H397" i="1"/>
  <c r="H406" i="1"/>
  <c r="I406" i="1"/>
  <c r="H417" i="1"/>
  <c r="I417" i="1"/>
  <c r="H237" i="1"/>
  <c r="I237" i="1"/>
  <c r="I230" i="1"/>
  <c r="H230" i="1"/>
  <c r="H46" i="1"/>
  <c r="I46" i="1"/>
  <c r="I316" i="1"/>
  <c r="H316" i="1"/>
  <c r="I4" i="1"/>
  <c r="H4" i="1"/>
  <c r="H389" i="1"/>
  <c r="I389" i="1"/>
  <c r="H364" i="1"/>
  <c r="I364" i="1"/>
  <c r="H507" i="1"/>
  <c r="I507" i="1"/>
  <c r="H149" i="1"/>
  <c r="I149" i="1"/>
  <c r="H123" i="1"/>
  <c r="I123" i="1"/>
  <c r="H198" i="1"/>
  <c r="I198" i="1"/>
  <c r="I329" i="1"/>
  <c r="H329" i="1"/>
  <c r="H428" i="1"/>
  <c r="I428" i="1"/>
  <c r="H271" i="1"/>
  <c r="I271" i="1"/>
  <c r="I419" i="1"/>
  <c r="H419" i="1"/>
  <c r="I124" i="1"/>
  <c r="H124" i="1"/>
  <c r="I435" i="1"/>
  <c r="H435" i="1"/>
  <c r="H405" i="1"/>
  <c r="I405" i="1"/>
  <c r="I132" i="1"/>
  <c r="H132" i="1"/>
  <c r="H192" i="1"/>
  <c r="I192" i="1"/>
  <c r="H45" i="1"/>
  <c r="I45" i="1"/>
  <c r="H509" i="1"/>
  <c r="I509" i="1"/>
  <c r="H31" i="1"/>
  <c r="I31" i="1"/>
  <c r="I279" i="1"/>
  <c r="H279" i="1"/>
  <c r="I283" i="1"/>
  <c r="H283" i="1"/>
  <c r="H310" i="1"/>
  <c r="I310" i="1"/>
  <c r="H252" i="1"/>
  <c r="I252" i="1"/>
  <c r="H512" i="1"/>
  <c r="I512" i="1"/>
  <c r="H338" i="1"/>
  <c r="I338" i="1"/>
  <c r="I365" i="1"/>
  <c r="H365" i="1"/>
  <c r="I99" i="1"/>
  <c r="H99" i="1"/>
  <c r="H25" i="1"/>
  <c r="I25" i="1"/>
  <c r="H432" i="1"/>
  <c r="I432" i="1"/>
  <c r="H479" i="1"/>
  <c r="I479" i="1"/>
  <c r="I444" i="1"/>
  <c r="H444" i="1"/>
  <c r="I460" i="1"/>
  <c r="H460" i="1"/>
  <c r="H287" i="1"/>
  <c r="I287" i="1"/>
  <c r="Q15" i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Q33" i="1" s="1"/>
  <c r="Q34" i="1" s="1"/>
  <c r="Q35" i="1" s="1"/>
  <c r="Q36" i="1" s="1"/>
  <c r="Q37" i="1" s="1"/>
  <c r="Q38" i="1" s="1"/>
  <c r="Q39" i="1" s="1"/>
  <c r="Q40" i="1" s="1"/>
  <c r="Q41" i="1" s="1"/>
  <c r="Q42" i="1" s="1"/>
  <c r="Q43" i="1" s="1"/>
  <c r="Q44" i="1" s="1"/>
  <c r="Q45" i="1" s="1"/>
  <c r="Q46" i="1" s="1"/>
  <c r="Q47" i="1" s="1"/>
  <c r="Q48" i="1" s="1"/>
  <c r="Q49" i="1" s="1"/>
  <c r="Q50" i="1" s="1"/>
  <c r="Q51" i="1" s="1"/>
  <c r="Q52" i="1" s="1"/>
  <c r="Q53" i="1" s="1"/>
  <c r="Q54" i="1" s="1"/>
  <c r="Q55" i="1" s="1"/>
  <c r="Q56" i="1" s="1"/>
  <c r="Q57" i="1" s="1"/>
  <c r="Q58" i="1" s="1"/>
  <c r="Q59" i="1" s="1"/>
  <c r="Q60" i="1" s="1"/>
  <c r="Q61" i="1" s="1"/>
  <c r="Q62" i="1" s="1"/>
  <c r="Q63" i="1" s="1"/>
  <c r="Q64" i="1" s="1"/>
  <c r="Q65" i="1" s="1"/>
  <c r="Q66" i="1" s="1"/>
  <c r="Q67" i="1" s="1"/>
  <c r="Q68" i="1" s="1"/>
  <c r="Q69" i="1" s="1"/>
  <c r="Q70" i="1" s="1"/>
  <c r="Q71" i="1" s="1"/>
  <c r="Q72" i="1" s="1"/>
  <c r="Q73" i="1" s="1"/>
  <c r="Q74" i="1" s="1"/>
  <c r="Q75" i="1" s="1"/>
  <c r="Q76" i="1" s="1"/>
  <c r="Q77" i="1" s="1"/>
  <c r="Q78" i="1" s="1"/>
  <c r="Q79" i="1" s="1"/>
  <c r="Q80" i="1" s="1"/>
  <c r="Q81" i="1" s="1"/>
  <c r="Q82" i="1" s="1"/>
  <c r="Q83" i="1" s="1"/>
  <c r="Q84" i="1" s="1"/>
  <c r="Q85" i="1" s="1"/>
  <c r="Q86" i="1" s="1"/>
  <c r="Q87" i="1" s="1"/>
  <c r="Q88" i="1" s="1"/>
  <c r="Q89" i="1" s="1"/>
  <c r="Q90" i="1" s="1"/>
  <c r="Q91" i="1" s="1"/>
  <c r="Q92" i="1" s="1"/>
  <c r="Q93" i="1" s="1"/>
  <c r="Q94" i="1" s="1"/>
  <c r="Q95" i="1" s="1"/>
  <c r="Q96" i="1" s="1"/>
  <c r="Q97" i="1" s="1"/>
  <c r="Q98" i="1" s="1"/>
  <c r="Q99" i="1" s="1"/>
  <c r="Q100" i="1" s="1"/>
  <c r="Q101" i="1" s="1"/>
  <c r="Q102" i="1" s="1"/>
  <c r="Q103" i="1" s="1"/>
  <c r="Q104" i="1" s="1"/>
  <c r="Q105" i="1" s="1"/>
  <c r="Q106" i="1" s="1"/>
  <c r="Q107" i="1" s="1"/>
  <c r="Q108" i="1" s="1"/>
  <c r="Q109" i="1" s="1"/>
  <c r="Q110" i="1" s="1"/>
  <c r="Q111" i="1" s="1"/>
  <c r="Q112" i="1" s="1"/>
  <c r="Q113" i="1" s="1"/>
  <c r="Q114" i="1" s="1"/>
  <c r="Q115" i="1" s="1"/>
  <c r="Q116" i="1" s="1"/>
  <c r="Q117" i="1" s="1"/>
  <c r="Q118" i="1" s="1"/>
  <c r="Q119" i="1" s="1"/>
  <c r="Q120" i="1" s="1"/>
  <c r="Q121" i="1" s="1"/>
  <c r="Q122" i="1" s="1"/>
  <c r="Q123" i="1" s="1"/>
  <c r="Q124" i="1" s="1"/>
  <c r="Q125" i="1" s="1"/>
  <c r="Q126" i="1" s="1"/>
  <c r="Q127" i="1" s="1"/>
  <c r="Q128" i="1" s="1"/>
  <c r="Q129" i="1" s="1"/>
  <c r="Q130" i="1" s="1"/>
  <c r="Q131" i="1" s="1"/>
  <c r="Q132" i="1" s="1"/>
  <c r="Q133" i="1" s="1"/>
  <c r="Q134" i="1" s="1"/>
  <c r="Q135" i="1" s="1"/>
  <c r="Q136" i="1" s="1"/>
  <c r="Q137" i="1" s="1"/>
  <c r="Q138" i="1" s="1"/>
  <c r="Q139" i="1" s="1"/>
  <c r="Q140" i="1" s="1"/>
  <c r="Q141" i="1" s="1"/>
  <c r="Q142" i="1" s="1"/>
  <c r="Q143" i="1" s="1"/>
  <c r="Q144" i="1" s="1"/>
  <c r="Q145" i="1" s="1"/>
  <c r="Q146" i="1" s="1"/>
  <c r="Q147" i="1" s="1"/>
  <c r="Q148" i="1" s="1"/>
  <c r="Q149" i="1" s="1"/>
  <c r="Q150" i="1" s="1"/>
  <c r="Q151" i="1" s="1"/>
  <c r="Q152" i="1" s="1"/>
  <c r="Q153" i="1" s="1"/>
  <c r="Q154" i="1" s="1"/>
  <c r="Q155" i="1" s="1"/>
  <c r="Q156" i="1" s="1"/>
  <c r="Q157" i="1" s="1"/>
  <c r="Q158" i="1" s="1"/>
  <c r="Q159" i="1" s="1"/>
  <c r="Q160" i="1" s="1"/>
  <c r="Q161" i="1" s="1"/>
  <c r="Q162" i="1" s="1"/>
  <c r="Q163" i="1" s="1"/>
  <c r="Q164" i="1" s="1"/>
  <c r="Q165" i="1" s="1"/>
  <c r="Q166" i="1" s="1"/>
  <c r="Q167" i="1" s="1"/>
  <c r="Q168" i="1" s="1"/>
  <c r="Q169" i="1" s="1"/>
  <c r="Q170" i="1" s="1"/>
  <c r="Q171" i="1" s="1"/>
  <c r="Q172" i="1" s="1"/>
  <c r="Q173" i="1" s="1"/>
  <c r="Q174" i="1" s="1"/>
  <c r="Q175" i="1" s="1"/>
  <c r="Q176" i="1" s="1"/>
  <c r="Q177" i="1" s="1"/>
  <c r="Q178" i="1" s="1"/>
  <c r="Q179" i="1" s="1"/>
  <c r="Q180" i="1" s="1"/>
  <c r="Q181" i="1" s="1"/>
  <c r="Q182" i="1" s="1"/>
  <c r="Q183" i="1" s="1"/>
  <c r="Q184" i="1" s="1"/>
  <c r="Q185" i="1" s="1"/>
  <c r="Q186" i="1" s="1"/>
  <c r="Q187" i="1" s="1"/>
  <c r="Q188" i="1" s="1"/>
  <c r="Q189" i="1" s="1"/>
  <c r="Q190" i="1" s="1"/>
  <c r="Q191" i="1" s="1"/>
  <c r="Q192" i="1" s="1"/>
  <c r="Q193" i="1" s="1"/>
  <c r="Q194" i="1" s="1"/>
  <c r="Q195" i="1" s="1"/>
  <c r="Q196" i="1" s="1"/>
  <c r="Q197" i="1" s="1"/>
  <c r="Q198" i="1" s="1"/>
  <c r="Q199" i="1" s="1"/>
  <c r="Q200" i="1" s="1"/>
  <c r="Q201" i="1" s="1"/>
  <c r="Q202" i="1" s="1"/>
  <c r="Q203" i="1" s="1"/>
  <c r="Q204" i="1" s="1"/>
  <c r="Q205" i="1" s="1"/>
  <c r="Q206" i="1" s="1"/>
  <c r="Q207" i="1" s="1"/>
  <c r="Q208" i="1" s="1"/>
  <c r="Q209" i="1" s="1"/>
  <c r="Q210" i="1" s="1"/>
  <c r="Q211" i="1" s="1"/>
  <c r="Q212" i="1" s="1"/>
  <c r="Q213" i="1" s="1"/>
  <c r="Q214" i="1" s="1"/>
  <c r="Q215" i="1" s="1"/>
  <c r="Q216" i="1" s="1"/>
  <c r="Q217" i="1" s="1"/>
  <c r="Q218" i="1" s="1"/>
  <c r="Q219" i="1" s="1"/>
  <c r="Q220" i="1" s="1"/>
  <c r="Q221" i="1" s="1"/>
  <c r="Q222" i="1" s="1"/>
  <c r="Q223" i="1" s="1"/>
  <c r="Q224" i="1" s="1"/>
  <c r="Q225" i="1" s="1"/>
  <c r="Q226" i="1" s="1"/>
  <c r="Q227" i="1" s="1"/>
  <c r="Q228" i="1" s="1"/>
  <c r="Q229" i="1" s="1"/>
  <c r="Q230" i="1" s="1"/>
  <c r="Q231" i="1" s="1"/>
  <c r="Q232" i="1" s="1"/>
  <c r="Q233" i="1" s="1"/>
  <c r="Q234" i="1" s="1"/>
  <c r="Q235" i="1" s="1"/>
  <c r="Q236" i="1" s="1"/>
  <c r="Q237" i="1" s="1"/>
  <c r="Q238" i="1" s="1"/>
  <c r="Q239" i="1" s="1"/>
  <c r="Q240" i="1" s="1"/>
  <c r="Q241" i="1" s="1"/>
  <c r="Q242" i="1" s="1"/>
  <c r="Q243" i="1" s="1"/>
  <c r="Q244" i="1" s="1"/>
  <c r="Q245" i="1" s="1"/>
  <c r="Q246" i="1" s="1"/>
  <c r="Q247" i="1" s="1"/>
  <c r="Q248" i="1" s="1"/>
  <c r="Q249" i="1" s="1"/>
  <c r="Q250" i="1" s="1"/>
  <c r="Q251" i="1" s="1"/>
  <c r="Q252" i="1" s="1"/>
  <c r="Q253" i="1" s="1"/>
  <c r="Q254" i="1" s="1"/>
  <c r="Q255" i="1" s="1"/>
  <c r="Q256" i="1" s="1"/>
  <c r="Q257" i="1" s="1"/>
  <c r="Q258" i="1" s="1"/>
  <c r="Q259" i="1" s="1"/>
  <c r="Q260" i="1" s="1"/>
  <c r="Q261" i="1" s="1"/>
  <c r="Q262" i="1" s="1"/>
  <c r="Q263" i="1" s="1"/>
  <c r="Q264" i="1" s="1"/>
  <c r="Q265" i="1" s="1"/>
  <c r="Q266" i="1" s="1"/>
  <c r="Q267" i="1" s="1"/>
  <c r="Q268" i="1" s="1"/>
  <c r="Q269" i="1" s="1"/>
  <c r="Q270" i="1" s="1"/>
  <c r="Q271" i="1" s="1"/>
  <c r="Q272" i="1" s="1"/>
  <c r="Q273" i="1" s="1"/>
  <c r="Q274" i="1" s="1"/>
  <c r="Q275" i="1" s="1"/>
  <c r="Q276" i="1" s="1"/>
  <c r="Q277" i="1" s="1"/>
  <c r="Q278" i="1" s="1"/>
  <c r="Q279" i="1" s="1"/>
  <c r="Q280" i="1" s="1"/>
  <c r="Q281" i="1" s="1"/>
  <c r="Q282" i="1" s="1"/>
  <c r="Q283" i="1" s="1"/>
  <c r="Q284" i="1" s="1"/>
  <c r="Q285" i="1" s="1"/>
  <c r="Q286" i="1" s="1"/>
  <c r="Q287" i="1" s="1"/>
  <c r="Q288" i="1" s="1"/>
  <c r="Q289" i="1" s="1"/>
  <c r="Q290" i="1" s="1"/>
  <c r="Q291" i="1" s="1"/>
  <c r="Q292" i="1" s="1"/>
  <c r="Q293" i="1" s="1"/>
  <c r="Q294" i="1" s="1"/>
  <c r="Q295" i="1" s="1"/>
  <c r="Q296" i="1" s="1"/>
  <c r="Q297" i="1" s="1"/>
  <c r="Q298" i="1" s="1"/>
  <c r="Q299" i="1" s="1"/>
  <c r="Q300" i="1" s="1"/>
  <c r="Q301" i="1" s="1"/>
  <c r="Q302" i="1" s="1"/>
  <c r="Q303" i="1" s="1"/>
  <c r="Q304" i="1" s="1"/>
  <c r="Q305" i="1" s="1"/>
  <c r="Q306" i="1" s="1"/>
  <c r="Q307" i="1" s="1"/>
  <c r="Q308" i="1" s="1"/>
  <c r="Q309" i="1" s="1"/>
  <c r="Q310" i="1" s="1"/>
  <c r="Q311" i="1" s="1"/>
  <c r="Q312" i="1" s="1"/>
  <c r="Q313" i="1" s="1"/>
  <c r="Q314" i="1" s="1"/>
  <c r="Q315" i="1" s="1"/>
  <c r="Q316" i="1" s="1"/>
  <c r="Q317" i="1" s="1"/>
  <c r="Q318" i="1" s="1"/>
  <c r="Q319" i="1" s="1"/>
  <c r="Q320" i="1" s="1"/>
  <c r="Q321" i="1" s="1"/>
  <c r="Q322" i="1" s="1"/>
  <c r="Q323" i="1" s="1"/>
  <c r="Q324" i="1" s="1"/>
  <c r="Q325" i="1" s="1"/>
  <c r="Q326" i="1" s="1"/>
  <c r="Q327" i="1" s="1"/>
  <c r="Q328" i="1" s="1"/>
  <c r="Q329" i="1" s="1"/>
  <c r="Q330" i="1" s="1"/>
  <c r="Q331" i="1" s="1"/>
  <c r="Q332" i="1" s="1"/>
  <c r="Q333" i="1" s="1"/>
  <c r="Q334" i="1" s="1"/>
  <c r="Q335" i="1" s="1"/>
  <c r="Q336" i="1" s="1"/>
  <c r="Q337" i="1" s="1"/>
  <c r="Q338" i="1" s="1"/>
  <c r="Q339" i="1" s="1"/>
  <c r="Q340" i="1" s="1"/>
  <c r="Q341" i="1" s="1"/>
  <c r="Q342" i="1" s="1"/>
  <c r="Q343" i="1" s="1"/>
  <c r="Q344" i="1" s="1"/>
  <c r="Q345" i="1" s="1"/>
  <c r="Q346" i="1" s="1"/>
  <c r="Q347" i="1" s="1"/>
  <c r="Q348" i="1" s="1"/>
  <c r="Q349" i="1" s="1"/>
  <c r="Q350" i="1" s="1"/>
  <c r="Q351" i="1" s="1"/>
  <c r="Q352" i="1" s="1"/>
  <c r="Q353" i="1" s="1"/>
  <c r="Q354" i="1" s="1"/>
  <c r="Q355" i="1" s="1"/>
  <c r="Q356" i="1" s="1"/>
  <c r="Q357" i="1" s="1"/>
  <c r="Q358" i="1" s="1"/>
  <c r="Q359" i="1" s="1"/>
  <c r="Q360" i="1" s="1"/>
  <c r="Q361" i="1" s="1"/>
  <c r="Q362" i="1" s="1"/>
  <c r="Q363" i="1" s="1"/>
  <c r="Q364" i="1" s="1"/>
  <c r="Q365" i="1" s="1"/>
  <c r="Q366" i="1" s="1"/>
  <c r="Q367" i="1" s="1"/>
  <c r="Q368" i="1" s="1"/>
  <c r="Q369" i="1" s="1"/>
  <c r="Q370" i="1" s="1"/>
  <c r="Q371" i="1" s="1"/>
  <c r="Q372" i="1" s="1"/>
  <c r="Q373" i="1" s="1"/>
  <c r="Q374" i="1" s="1"/>
  <c r="Q375" i="1" s="1"/>
  <c r="Q376" i="1" s="1"/>
  <c r="Q377" i="1" s="1"/>
  <c r="Q378" i="1" s="1"/>
  <c r="Q379" i="1" s="1"/>
  <c r="Q380" i="1" s="1"/>
  <c r="Q381" i="1" s="1"/>
  <c r="Q382" i="1" s="1"/>
  <c r="Q383" i="1" s="1"/>
  <c r="Q384" i="1" s="1"/>
  <c r="Q385" i="1" s="1"/>
  <c r="Q386" i="1" s="1"/>
  <c r="Q387" i="1" s="1"/>
  <c r="Q388" i="1" s="1"/>
  <c r="Q389" i="1" s="1"/>
  <c r="Q390" i="1" s="1"/>
  <c r="Q391" i="1" s="1"/>
  <c r="Q392" i="1" s="1"/>
  <c r="Q393" i="1" s="1"/>
  <c r="Q394" i="1" s="1"/>
  <c r="Q395" i="1" s="1"/>
  <c r="Q396" i="1" s="1"/>
  <c r="Q397" i="1" s="1"/>
  <c r="Q398" i="1" s="1"/>
  <c r="Q399" i="1" s="1"/>
  <c r="Q400" i="1" s="1"/>
  <c r="Q401" i="1" s="1"/>
  <c r="Q402" i="1" s="1"/>
  <c r="Q403" i="1" s="1"/>
  <c r="Q404" i="1" s="1"/>
  <c r="Q405" i="1" s="1"/>
  <c r="Q406" i="1" s="1"/>
  <c r="Q407" i="1" s="1"/>
  <c r="Q408" i="1" s="1"/>
  <c r="Q409" i="1" s="1"/>
  <c r="Q410" i="1" s="1"/>
  <c r="Q411" i="1" s="1"/>
  <c r="Q412" i="1" s="1"/>
  <c r="Q413" i="1" s="1"/>
  <c r="Q414" i="1" s="1"/>
  <c r="Q415" i="1" s="1"/>
  <c r="Q416" i="1" s="1"/>
  <c r="Q417" i="1" s="1"/>
  <c r="Q418" i="1" s="1"/>
  <c r="Q419" i="1" s="1"/>
  <c r="Q420" i="1" s="1"/>
  <c r="Q421" i="1" s="1"/>
  <c r="Q422" i="1" s="1"/>
  <c r="Q423" i="1" s="1"/>
  <c r="Q424" i="1" s="1"/>
  <c r="Q425" i="1" s="1"/>
  <c r="Q426" i="1" s="1"/>
  <c r="Q427" i="1" s="1"/>
  <c r="Q428" i="1" s="1"/>
  <c r="Q429" i="1" s="1"/>
  <c r="Q430" i="1" s="1"/>
  <c r="Q431" i="1" s="1"/>
  <c r="Q432" i="1" s="1"/>
  <c r="Q433" i="1" s="1"/>
  <c r="Q434" i="1" s="1"/>
  <c r="Q435" i="1" s="1"/>
  <c r="Q436" i="1" s="1"/>
  <c r="Q437" i="1" s="1"/>
  <c r="Q438" i="1" s="1"/>
  <c r="Q439" i="1" s="1"/>
  <c r="Q440" i="1" s="1"/>
  <c r="Q441" i="1" s="1"/>
  <c r="Q442" i="1" s="1"/>
  <c r="Q443" i="1" s="1"/>
  <c r="Q444" i="1" s="1"/>
  <c r="Q445" i="1" s="1"/>
  <c r="Q446" i="1" s="1"/>
  <c r="Q447" i="1" s="1"/>
  <c r="Q448" i="1" s="1"/>
  <c r="Q449" i="1" s="1"/>
  <c r="Q450" i="1" s="1"/>
  <c r="Q451" i="1" s="1"/>
  <c r="Q452" i="1" s="1"/>
  <c r="Q453" i="1" s="1"/>
  <c r="Q454" i="1" s="1"/>
  <c r="Q455" i="1" s="1"/>
  <c r="Q456" i="1" s="1"/>
  <c r="Q457" i="1" s="1"/>
  <c r="Q458" i="1" s="1"/>
  <c r="Q459" i="1" s="1"/>
  <c r="Q460" i="1" s="1"/>
  <c r="Q461" i="1" s="1"/>
  <c r="Q462" i="1" s="1"/>
  <c r="Q463" i="1" s="1"/>
  <c r="Q464" i="1" s="1"/>
  <c r="Q465" i="1" s="1"/>
  <c r="Q466" i="1" s="1"/>
  <c r="Q467" i="1" s="1"/>
  <c r="Q468" i="1" s="1"/>
  <c r="Q469" i="1" s="1"/>
  <c r="Q470" i="1" s="1"/>
  <c r="Q471" i="1" s="1"/>
  <c r="Q472" i="1" s="1"/>
  <c r="Q473" i="1" s="1"/>
  <c r="Q474" i="1" s="1"/>
  <c r="Q475" i="1" s="1"/>
  <c r="Q476" i="1" s="1"/>
  <c r="Q477" i="1" s="1"/>
  <c r="Q478" i="1" s="1"/>
  <c r="Q479" i="1" s="1"/>
  <c r="Q480" i="1" s="1"/>
  <c r="Q481" i="1" s="1"/>
  <c r="Q482" i="1" s="1"/>
  <c r="Q483" i="1" s="1"/>
  <c r="Q484" i="1" s="1"/>
  <c r="Q485" i="1" s="1"/>
  <c r="Q486" i="1" s="1"/>
  <c r="Q487" i="1" s="1"/>
  <c r="Q488" i="1" s="1"/>
  <c r="Q489" i="1" s="1"/>
  <c r="Q490" i="1" s="1"/>
  <c r="Q491" i="1" s="1"/>
  <c r="Q492" i="1" s="1"/>
  <c r="Q493" i="1" s="1"/>
  <c r="Q494" i="1" s="1"/>
  <c r="Q495" i="1" s="1"/>
  <c r="Q496" i="1" s="1"/>
  <c r="Q497" i="1" s="1"/>
  <c r="Q498" i="1" s="1"/>
  <c r="Q499" i="1" s="1"/>
  <c r="Q500" i="1" s="1"/>
  <c r="Q501" i="1" s="1"/>
  <c r="Q502" i="1" s="1"/>
  <c r="Q503" i="1" s="1"/>
  <c r="Q504" i="1" s="1"/>
  <c r="Q505" i="1" s="1"/>
  <c r="Q506" i="1" s="1"/>
  <c r="Q507" i="1" s="1"/>
  <c r="Q508" i="1" s="1"/>
  <c r="Q509" i="1" s="1"/>
  <c r="Q510" i="1" s="1"/>
  <c r="Q511" i="1" s="1"/>
  <c r="Q512" i="1" s="1"/>
  <c r="Q513" i="1" s="1"/>
  <c r="Q514" i="1" s="1"/>
  <c r="Q515" i="1" s="1"/>
  <c r="Q516" i="1" s="1"/>
  <c r="Q517" i="1" s="1"/>
  <c r="Q518" i="1" s="1"/>
  <c r="Q519" i="1" s="1"/>
  <c r="Q520" i="1" s="1"/>
  <c r="Q521" i="1" s="1"/>
  <c r="Q522" i="1" s="1"/>
  <c r="Q523" i="1" s="1"/>
  <c r="Q524" i="1" s="1"/>
  <c r="Q525" i="1" s="1"/>
  <c r="I381" i="1"/>
  <c r="H381" i="1"/>
  <c r="H282" i="1"/>
  <c r="I282" i="1"/>
  <c r="H290" i="1"/>
  <c r="I290" i="1"/>
  <c r="H210" i="1"/>
  <c r="I210" i="1"/>
  <c r="I482" i="1"/>
  <c r="H482" i="1"/>
  <c r="H11" i="1"/>
  <c r="I11" i="1"/>
  <c r="I484" i="1"/>
  <c r="H484" i="1"/>
  <c r="I48" i="1"/>
  <c r="H48" i="1"/>
  <c r="H496" i="1"/>
  <c r="I496" i="1"/>
  <c r="I361" i="1"/>
  <c r="H361" i="1"/>
  <c r="I288" i="1"/>
  <c r="H288" i="1"/>
  <c r="I14" i="1"/>
  <c r="H14" i="1"/>
  <c r="H188" i="1"/>
  <c r="I188" i="1"/>
  <c r="I216" i="1"/>
  <c r="H216" i="1"/>
  <c r="I144" i="1"/>
  <c r="H144" i="1"/>
  <c r="I129" i="1"/>
  <c r="H129" i="1"/>
  <c r="H336" i="1"/>
  <c r="I336" i="1"/>
  <c r="H261" i="1"/>
  <c r="I261" i="1"/>
  <c r="H199" i="1"/>
  <c r="I199" i="1"/>
  <c r="I370" i="1"/>
  <c r="H370" i="1"/>
  <c r="H228" i="1"/>
  <c r="I228" i="1"/>
  <c r="H207" i="1"/>
  <c r="I207" i="1"/>
  <c r="H301" i="1"/>
  <c r="I301" i="1"/>
  <c r="I77" i="1"/>
  <c r="H77" i="1"/>
  <c r="H469" i="1"/>
  <c r="I469" i="1"/>
  <c r="I501" i="1"/>
  <c r="H501" i="1"/>
  <c r="I95" i="1"/>
  <c r="H95" i="1"/>
  <c r="H311" i="1"/>
  <c r="I311" i="1"/>
  <c r="H151" i="1"/>
  <c r="I151" i="1"/>
  <c r="H256" i="1"/>
  <c r="I256" i="1"/>
  <c r="H274" i="1"/>
  <c r="I274" i="1"/>
  <c r="I56" i="1"/>
  <c r="H56" i="1"/>
  <c r="I249" i="1"/>
  <c r="H249" i="1"/>
  <c r="H410" i="1"/>
  <c r="I410" i="1"/>
  <c r="I383" i="1"/>
  <c r="H383" i="1"/>
  <c r="I438" i="1"/>
  <c r="H438" i="1"/>
  <c r="H453" i="1"/>
  <c r="I453" i="1"/>
  <c r="H184" i="1"/>
  <c r="I184" i="1"/>
  <c r="H386" i="1"/>
  <c r="I386" i="1"/>
  <c r="H218" i="1"/>
  <c r="I218" i="1"/>
  <c r="I30" i="1"/>
  <c r="H30" i="1"/>
  <c r="I245" i="1"/>
  <c r="H245" i="1"/>
  <c r="I215" i="1"/>
  <c r="H215" i="1"/>
  <c r="H35" i="1"/>
  <c r="I35" i="1"/>
  <c r="H503" i="1"/>
  <c r="I503" i="1"/>
  <c r="H514" i="1"/>
  <c r="I514" i="1"/>
  <c r="H54" i="1"/>
  <c r="I54" i="1"/>
  <c r="H323" i="1"/>
  <c r="I323" i="1"/>
  <c r="I481" i="1"/>
  <c r="H481" i="1"/>
  <c r="H16" i="1"/>
  <c r="I16" i="1"/>
  <c r="H317" i="1"/>
  <c r="I317" i="1"/>
  <c r="H269" i="1"/>
  <c r="I269" i="1"/>
  <c r="H341" i="1"/>
  <c r="I341" i="1"/>
  <c r="H278" i="1"/>
  <c r="I278" i="1"/>
  <c r="H324" i="1"/>
  <c r="I324" i="1"/>
  <c r="H191" i="1"/>
  <c r="I191" i="1"/>
  <c r="H236" i="1"/>
  <c r="I236" i="1"/>
  <c r="H402" i="1"/>
  <c r="I402" i="1"/>
  <c r="I105" i="1"/>
  <c r="H105" i="1"/>
  <c r="H330" i="1"/>
  <c r="I330" i="1"/>
  <c r="I177" i="1"/>
  <c r="H177" i="1"/>
  <c r="I480" i="1"/>
  <c r="H480" i="1"/>
  <c r="H92" i="1"/>
  <c r="I92" i="1"/>
  <c r="I29" i="1"/>
  <c r="H29" i="1"/>
  <c r="Y30" i="1" l="1"/>
  <c r="W32" i="1"/>
  <c r="R16" i="1"/>
  <c r="S15" i="1"/>
  <c r="T15" i="1" s="1"/>
  <c r="R17" i="1" l="1"/>
  <c r="S16" i="1"/>
  <c r="T16" i="1" s="1"/>
  <c r="Y31" i="1"/>
  <c r="W33" i="1"/>
  <c r="Y32" i="1" l="1"/>
  <c r="W34" i="1"/>
  <c r="R18" i="1"/>
  <c r="S17" i="1"/>
  <c r="T17" i="1" s="1"/>
  <c r="Y33" i="1" l="1"/>
  <c r="W35" i="1"/>
  <c r="R19" i="1"/>
  <c r="S18" i="1"/>
  <c r="T18" i="1" s="1"/>
  <c r="R20" i="1" l="1"/>
  <c r="S19" i="1"/>
  <c r="T19" i="1" s="1"/>
  <c r="Y34" i="1"/>
  <c r="W36" i="1"/>
  <c r="Y35" i="1" l="1"/>
  <c r="W37" i="1"/>
  <c r="R21" i="1"/>
  <c r="S20" i="1"/>
  <c r="T20" i="1" s="1"/>
  <c r="R22" i="1" l="1"/>
  <c r="S21" i="1"/>
  <c r="T21" i="1" s="1"/>
  <c r="Y36" i="1"/>
  <c r="Z36" i="1" s="1"/>
  <c r="W38" i="1"/>
  <c r="Y37" i="1" l="1"/>
  <c r="Z37" i="1" s="1"/>
  <c r="AA37" i="1" s="1"/>
  <c r="W39" i="1"/>
  <c r="R23" i="1"/>
  <c r="S22" i="1"/>
  <c r="T22" i="1" s="1"/>
  <c r="R24" i="1" l="1"/>
  <c r="S23" i="1"/>
  <c r="T23" i="1" s="1"/>
  <c r="Y38" i="1"/>
  <c r="Z38" i="1" s="1"/>
  <c r="AA38" i="1" s="1"/>
  <c r="W40" i="1"/>
  <c r="Y39" i="1" l="1"/>
  <c r="Z39" i="1" s="1"/>
  <c r="AA39" i="1" s="1"/>
  <c r="W41" i="1"/>
  <c r="R25" i="1"/>
  <c r="S24" i="1"/>
  <c r="T24" i="1" s="1"/>
  <c r="Y40" i="1" l="1"/>
  <c r="Z40" i="1" s="1"/>
  <c r="AA40" i="1" s="1"/>
  <c r="W42" i="1"/>
  <c r="R26" i="1"/>
  <c r="S25" i="1"/>
  <c r="T25" i="1" s="1"/>
  <c r="R27" i="1" l="1"/>
  <c r="S26" i="1"/>
  <c r="T26" i="1" s="1"/>
  <c r="Y41" i="1"/>
  <c r="Z41" i="1" s="1"/>
  <c r="AA41" i="1" s="1"/>
  <c r="W43" i="1"/>
  <c r="Y42" i="1" l="1"/>
  <c r="Z42" i="1" s="1"/>
  <c r="AA42" i="1" s="1"/>
  <c r="W44" i="1"/>
  <c r="R28" i="1"/>
  <c r="S27" i="1"/>
  <c r="T27" i="1" s="1"/>
  <c r="Y43" i="1" l="1"/>
  <c r="Z43" i="1" s="1"/>
  <c r="AA43" i="1" s="1"/>
  <c r="W45" i="1"/>
  <c r="R29" i="1"/>
  <c r="S28" i="1"/>
  <c r="T28" i="1" s="1"/>
  <c r="R30" i="1" l="1"/>
  <c r="S29" i="1"/>
  <c r="T29" i="1" s="1"/>
  <c r="Y44" i="1"/>
  <c r="Z44" i="1" s="1"/>
  <c r="AA44" i="1" s="1"/>
  <c r="W46" i="1"/>
  <c r="Y45" i="1" l="1"/>
  <c r="Z45" i="1" s="1"/>
  <c r="AA45" i="1" s="1"/>
  <c r="W47" i="1"/>
  <c r="R31" i="1"/>
  <c r="S30" i="1"/>
  <c r="T30" i="1" s="1"/>
  <c r="R32" i="1" l="1"/>
  <c r="S31" i="1"/>
  <c r="T31" i="1" s="1"/>
  <c r="Y46" i="1"/>
  <c r="Z46" i="1" s="1"/>
  <c r="AA46" i="1" s="1"/>
  <c r="W48" i="1"/>
  <c r="Y47" i="1" l="1"/>
  <c r="Z47" i="1" s="1"/>
  <c r="AA47" i="1" s="1"/>
  <c r="W49" i="1"/>
  <c r="S32" i="1"/>
  <c r="T32" i="1" s="1"/>
  <c r="R33" i="1"/>
  <c r="R34" i="1" l="1"/>
  <c r="S33" i="1"/>
  <c r="T33" i="1" s="1"/>
  <c r="Y48" i="1"/>
  <c r="Z48" i="1" s="1"/>
  <c r="AA48" i="1" s="1"/>
  <c r="W50" i="1"/>
  <c r="Y49" i="1" l="1"/>
  <c r="Z49" i="1" s="1"/>
  <c r="AA49" i="1" s="1"/>
  <c r="W51" i="1"/>
  <c r="R35" i="1"/>
  <c r="S34" i="1"/>
  <c r="T34" i="1" s="1"/>
  <c r="R36" i="1" l="1"/>
  <c r="S35" i="1"/>
  <c r="T35" i="1" s="1"/>
  <c r="Y50" i="1"/>
  <c r="Z50" i="1" s="1"/>
  <c r="AA50" i="1" s="1"/>
  <c r="W52" i="1"/>
  <c r="Y51" i="1" l="1"/>
  <c r="Z51" i="1" s="1"/>
  <c r="AA51" i="1" s="1"/>
  <c r="W53" i="1"/>
  <c r="R37" i="1"/>
  <c r="S36" i="1"/>
  <c r="T36" i="1" s="1"/>
  <c r="Y52" i="1" l="1"/>
  <c r="Z52" i="1" s="1"/>
  <c r="AA52" i="1" s="1"/>
  <c r="W54" i="1"/>
  <c r="R38" i="1"/>
  <c r="S37" i="1"/>
  <c r="T37" i="1" s="1"/>
  <c r="Y53" i="1" l="1"/>
  <c r="Z53" i="1" s="1"/>
  <c r="AA53" i="1" s="1"/>
  <c r="W55" i="1"/>
  <c r="R39" i="1"/>
  <c r="S38" i="1"/>
  <c r="T38" i="1" s="1"/>
  <c r="Y54" i="1" l="1"/>
  <c r="Z54" i="1" s="1"/>
  <c r="AA54" i="1" s="1"/>
  <c r="W56" i="1"/>
  <c r="R40" i="1"/>
  <c r="S39" i="1"/>
  <c r="T39" i="1" s="1"/>
  <c r="R41" i="1" l="1"/>
  <c r="S40" i="1"/>
  <c r="T40" i="1" s="1"/>
  <c r="Y55" i="1"/>
  <c r="Z55" i="1" s="1"/>
  <c r="AA55" i="1" s="1"/>
  <c r="W57" i="1"/>
  <c r="Y56" i="1" l="1"/>
  <c r="Z56" i="1" s="1"/>
  <c r="AA56" i="1" s="1"/>
  <c r="W58" i="1"/>
  <c r="R42" i="1"/>
  <c r="S41" i="1"/>
  <c r="T41" i="1" s="1"/>
  <c r="R43" i="1" l="1"/>
  <c r="S42" i="1"/>
  <c r="T42" i="1" s="1"/>
  <c r="Y57" i="1"/>
  <c r="Z57" i="1" s="1"/>
  <c r="AA57" i="1" s="1"/>
  <c r="W59" i="1"/>
  <c r="Y58" i="1" l="1"/>
  <c r="Z58" i="1" s="1"/>
  <c r="AA58" i="1" s="1"/>
  <c r="W60" i="1"/>
  <c r="R44" i="1"/>
  <c r="S43" i="1"/>
  <c r="T43" i="1" s="1"/>
  <c r="R45" i="1" l="1"/>
  <c r="S44" i="1"/>
  <c r="T44" i="1" s="1"/>
  <c r="Y59" i="1"/>
  <c r="Z59" i="1" s="1"/>
  <c r="AA59" i="1" s="1"/>
  <c r="W61" i="1"/>
  <c r="Y60" i="1" l="1"/>
  <c r="Z60" i="1" s="1"/>
  <c r="AA60" i="1" s="1"/>
  <c r="W62" i="1"/>
  <c r="R46" i="1"/>
  <c r="S45" i="1"/>
  <c r="T45" i="1" s="1"/>
  <c r="R47" i="1" l="1"/>
  <c r="S46" i="1"/>
  <c r="T46" i="1" s="1"/>
  <c r="Y61" i="1"/>
  <c r="Z61" i="1" s="1"/>
  <c r="AA61" i="1" s="1"/>
  <c r="W63" i="1"/>
  <c r="Y62" i="1" l="1"/>
  <c r="Z62" i="1" s="1"/>
  <c r="AA62" i="1" s="1"/>
  <c r="W64" i="1"/>
  <c r="R48" i="1"/>
  <c r="S47" i="1"/>
  <c r="T47" i="1" s="1"/>
  <c r="R49" i="1" l="1"/>
  <c r="S48" i="1"/>
  <c r="T48" i="1" s="1"/>
  <c r="Y63" i="1"/>
  <c r="Z63" i="1" s="1"/>
  <c r="AA63" i="1" s="1"/>
  <c r="W65" i="1"/>
  <c r="Y64" i="1" l="1"/>
  <c r="Z64" i="1" s="1"/>
  <c r="AA64" i="1" s="1"/>
  <c r="W66" i="1"/>
  <c r="R50" i="1"/>
  <c r="S49" i="1"/>
  <c r="T49" i="1" s="1"/>
  <c r="R51" i="1" l="1"/>
  <c r="S50" i="1"/>
  <c r="T50" i="1" s="1"/>
  <c r="Y65" i="1"/>
  <c r="Z65" i="1" s="1"/>
  <c r="AA65" i="1" s="1"/>
  <c r="W67" i="1"/>
  <c r="Y66" i="1" l="1"/>
  <c r="Z66" i="1" s="1"/>
  <c r="AA66" i="1" s="1"/>
  <c r="W68" i="1"/>
  <c r="R52" i="1"/>
  <c r="S51" i="1"/>
  <c r="T51" i="1" s="1"/>
  <c r="R53" i="1" l="1"/>
  <c r="S52" i="1"/>
  <c r="T52" i="1" s="1"/>
  <c r="Y67" i="1"/>
  <c r="Z67" i="1" s="1"/>
  <c r="AA67" i="1" s="1"/>
  <c r="W69" i="1"/>
  <c r="Y68" i="1" l="1"/>
  <c r="Z68" i="1" s="1"/>
  <c r="AA68" i="1" s="1"/>
  <c r="W70" i="1"/>
  <c r="R54" i="1"/>
  <c r="S53" i="1"/>
  <c r="T53" i="1" s="1"/>
  <c r="S54" i="1" l="1"/>
  <c r="T54" i="1" s="1"/>
  <c r="R55" i="1"/>
  <c r="Y69" i="1"/>
  <c r="Z69" i="1" s="1"/>
  <c r="AA69" i="1" s="1"/>
  <c r="W71" i="1"/>
  <c r="Y70" i="1" l="1"/>
  <c r="Z70" i="1" s="1"/>
  <c r="AA70" i="1" s="1"/>
  <c r="W72" i="1"/>
  <c r="S55" i="1"/>
  <c r="T55" i="1" s="1"/>
  <c r="R56" i="1"/>
  <c r="S56" i="1" l="1"/>
  <c r="T56" i="1" s="1"/>
  <c r="R57" i="1"/>
  <c r="Y71" i="1"/>
  <c r="Z71" i="1" s="1"/>
  <c r="AA71" i="1" s="1"/>
  <c r="W73" i="1"/>
  <c r="Y72" i="1" l="1"/>
  <c r="Z72" i="1" s="1"/>
  <c r="AA72" i="1" s="1"/>
  <c r="W74" i="1"/>
  <c r="R58" i="1"/>
  <c r="S57" i="1"/>
  <c r="T57" i="1" s="1"/>
  <c r="R59" i="1" l="1"/>
  <c r="S58" i="1"/>
  <c r="T58" i="1" s="1"/>
  <c r="Y73" i="1"/>
  <c r="Z73" i="1" s="1"/>
  <c r="AA73" i="1" s="1"/>
  <c r="W75" i="1"/>
  <c r="Y74" i="1" l="1"/>
  <c r="Z74" i="1" s="1"/>
  <c r="AA74" i="1" s="1"/>
  <c r="W76" i="1"/>
  <c r="R60" i="1"/>
  <c r="S59" i="1"/>
  <c r="T59" i="1" s="1"/>
  <c r="R61" i="1" l="1"/>
  <c r="S60" i="1"/>
  <c r="T60" i="1" s="1"/>
  <c r="Y75" i="1"/>
  <c r="Z75" i="1" s="1"/>
  <c r="AA75" i="1" s="1"/>
  <c r="W77" i="1"/>
  <c r="Y76" i="1" l="1"/>
  <c r="Z76" i="1" s="1"/>
  <c r="AA76" i="1" s="1"/>
  <c r="W78" i="1"/>
  <c r="R62" i="1"/>
  <c r="S61" i="1"/>
  <c r="T61" i="1" s="1"/>
  <c r="R63" i="1" l="1"/>
  <c r="S62" i="1"/>
  <c r="T62" i="1" s="1"/>
  <c r="Y77" i="1"/>
  <c r="Z77" i="1" s="1"/>
  <c r="AA77" i="1" s="1"/>
  <c r="W79" i="1"/>
  <c r="Y78" i="1" l="1"/>
  <c r="Z78" i="1" s="1"/>
  <c r="AA78" i="1" s="1"/>
  <c r="W80" i="1"/>
  <c r="R64" i="1"/>
  <c r="S63" i="1"/>
  <c r="T63" i="1" s="1"/>
  <c r="R65" i="1" l="1"/>
  <c r="S64" i="1"/>
  <c r="T64" i="1" s="1"/>
  <c r="Y79" i="1"/>
  <c r="Z79" i="1" s="1"/>
  <c r="AA79" i="1" s="1"/>
  <c r="W81" i="1"/>
  <c r="Y80" i="1" l="1"/>
  <c r="Z80" i="1" s="1"/>
  <c r="AA80" i="1" s="1"/>
  <c r="W82" i="1"/>
  <c r="R66" i="1"/>
  <c r="S65" i="1"/>
  <c r="T65" i="1" s="1"/>
  <c r="R67" i="1" l="1"/>
  <c r="S66" i="1"/>
  <c r="T66" i="1" s="1"/>
  <c r="Y81" i="1"/>
  <c r="Z81" i="1" s="1"/>
  <c r="AA81" i="1" s="1"/>
  <c r="W83" i="1"/>
  <c r="Y82" i="1" l="1"/>
  <c r="Z82" i="1" s="1"/>
  <c r="AA82" i="1" s="1"/>
  <c r="W84" i="1"/>
  <c r="R68" i="1"/>
  <c r="S67" i="1"/>
  <c r="T67" i="1" s="1"/>
  <c r="S68" i="1" l="1"/>
  <c r="T68" i="1" s="1"/>
  <c r="R69" i="1"/>
  <c r="Y83" i="1"/>
  <c r="Z83" i="1" s="1"/>
  <c r="AA83" i="1" s="1"/>
  <c r="W85" i="1"/>
  <c r="Y84" i="1" l="1"/>
  <c r="Z84" i="1" s="1"/>
  <c r="AA84" i="1" s="1"/>
  <c r="W86" i="1"/>
  <c r="R70" i="1"/>
  <c r="S69" i="1"/>
  <c r="T69" i="1" s="1"/>
  <c r="R71" i="1" l="1"/>
  <c r="S70" i="1"/>
  <c r="T70" i="1" s="1"/>
  <c r="Y85" i="1"/>
  <c r="Z85" i="1" s="1"/>
  <c r="AA85" i="1" s="1"/>
  <c r="W87" i="1"/>
  <c r="Y86" i="1" l="1"/>
  <c r="Z86" i="1" s="1"/>
  <c r="AA86" i="1" s="1"/>
  <c r="W88" i="1"/>
  <c r="R72" i="1"/>
  <c r="S71" i="1"/>
  <c r="T71" i="1" s="1"/>
  <c r="R73" i="1" l="1"/>
  <c r="S72" i="1"/>
  <c r="T72" i="1" s="1"/>
  <c r="Y87" i="1"/>
  <c r="Z87" i="1" s="1"/>
  <c r="AA87" i="1" s="1"/>
  <c r="W89" i="1"/>
  <c r="Y88" i="1" l="1"/>
  <c r="W90" i="1"/>
  <c r="R74" i="1"/>
  <c r="S73" i="1"/>
  <c r="T73" i="1" s="1"/>
  <c r="R75" i="1" l="1"/>
  <c r="S74" i="1"/>
  <c r="T74" i="1" s="1"/>
  <c r="Y89" i="1"/>
  <c r="W91" i="1"/>
  <c r="Z88" i="1"/>
  <c r="AA88" i="1" s="1"/>
  <c r="Y90" i="1" l="1"/>
  <c r="W92" i="1"/>
  <c r="Z89" i="1"/>
  <c r="AA89" i="1" s="1"/>
  <c r="R76" i="1"/>
  <c r="S75" i="1"/>
  <c r="T75" i="1" s="1"/>
  <c r="R77" i="1" l="1"/>
  <c r="S76" i="1"/>
  <c r="T76" i="1" s="1"/>
  <c r="Y91" i="1"/>
  <c r="W93" i="1"/>
  <c r="Z90" i="1"/>
  <c r="AA90" i="1" s="1"/>
  <c r="Y92" i="1" l="1"/>
  <c r="W94" i="1"/>
  <c r="Z91" i="1"/>
  <c r="AA91" i="1" s="1"/>
  <c r="R78" i="1"/>
  <c r="S77" i="1"/>
  <c r="T77" i="1" s="1"/>
  <c r="S78" i="1" l="1"/>
  <c r="T78" i="1" s="1"/>
  <c r="R79" i="1"/>
  <c r="Y93" i="1"/>
  <c r="W95" i="1"/>
  <c r="Z92" i="1"/>
  <c r="AA92" i="1" s="1"/>
  <c r="Y94" i="1" l="1"/>
  <c r="W96" i="1"/>
  <c r="Z93" i="1"/>
  <c r="AA93" i="1" s="1"/>
  <c r="R80" i="1"/>
  <c r="S79" i="1"/>
  <c r="T79" i="1" s="1"/>
  <c r="R81" i="1" l="1"/>
  <c r="S80" i="1"/>
  <c r="T80" i="1" s="1"/>
  <c r="Y95" i="1"/>
  <c r="W97" i="1"/>
  <c r="Z94" i="1"/>
  <c r="AA94" i="1" s="1"/>
  <c r="Y96" i="1" l="1"/>
  <c r="W98" i="1"/>
  <c r="Z95" i="1"/>
  <c r="AA95" i="1" s="1"/>
  <c r="R82" i="1"/>
  <c r="S81" i="1"/>
  <c r="T81" i="1" s="1"/>
  <c r="R83" i="1" l="1"/>
  <c r="S82" i="1"/>
  <c r="T82" i="1" s="1"/>
  <c r="Y97" i="1"/>
  <c r="W99" i="1"/>
  <c r="Z96" i="1"/>
  <c r="AA96" i="1" s="1"/>
  <c r="Y98" i="1" l="1"/>
  <c r="W100" i="1"/>
  <c r="Z97" i="1"/>
  <c r="AA97" i="1" s="1"/>
  <c r="R84" i="1"/>
  <c r="S83" i="1"/>
  <c r="T83" i="1" s="1"/>
  <c r="R85" i="1" l="1"/>
  <c r="S84" i="1"/>
  <c r="T84" i="1" s="1"/>
  <c r="Y99" i="1"/>
  <c r="W101" i="1"/>
  <c r="Z98" i="1"/>
  <c r="AA98" i="1" s="1"/>
  <c r="Y100" i="1" l="1"/>
  <c r="W102" i="1"/>
  <c r="Z99" i="1"/>
  <c r="AA99" i="1" s="1"/>
  <c r="R86" i="1"/>
  <c r="S85" i="1"/>
  <c r="T85" i="1" s="1"/>
  <c r="R87" i="1" l="1"/>
  <c r="S86" i="1"/>
  <c r="T86" i="1" s="1"/>
  <c r="Y101" i="1"/>
  <c r="W103" i="1"/>
  <c r="Z100" i="1"/>
  <c r="AA100" i="1" s="1"/>
  <c r="Y102" i="1" l="1"/>
  <c r="W104" i="1"/>
  <c r="Z101" i="1"/>
  <c r="AA101" i="1" s="1"/>
  <c r="R88" i="1"/>
  <c r="S87" i="1"/>
  <c r="T87" i="1" s="1"/>
  <c r="R89" i="1" l="1"/>
  <c r="S88" i="1"/>
  <c r="T88" i="1" s="1"/>
  <c r="Y103" i="1"/>
  <c r="W105" i="1"/>
  <c r="Z102" i="1"/>
  <c r="AA102" i="1" s="1"/>
  <c r="Y104" i="1" l="1"/>
  <c r="W106" i="1"/>
  <c r="Z103" i="1"/>
  <c r="AA103" i="1" s="1"/>
  <c r="R90" i="1"/>
  <c r="S89" i="1"/>
  <c r="T89" i="1" s="1"/>
  <c r="R91" i="1" l="1"/>
  <c r="S90" i="1"/>
  <c r="T90" i="1" s="1"/>
  <c r="Y105" i="1"/>
  <c r="W107" i="1"/>
  <c r="Z104" i="1"/>
  <c r="AA104" i="1" s="1"/>
  <c r="Y106" i="1" l="1"/>
  <c r="W108" i="1"/>
  <c r="Z105" i="1"/>
  <c r="AA105" i="1" s="1"/>
  <c r="R92" i="1"/>
  <c r="S91" i="1"/>
  <c r="T91" i="1" s="1"/>
  <c r="R93" i="1" l="1"/>
  <c r="S92" i="1"/>
  <c r="T92" i="1" s="1"/>
  <c r="Y107" i="1"/>
  <c r="W109" i="1"/>
  <c r="Z106" i="1"/>
  <c r="AA106" i="1" s="1"/>
  <c r="Z107" i="1" l="1"/>
  <c r="AA107" i="1" s="1"/>
  <c r="Y108" i="1"/>
  <c r="W110" i="1"/>
  <c r="R94" i="1"/>
  <c r="S93" i="1"/>
  <c r="T93" i="1" s="1"/>
  <c r="Z108" i="1" l="1"/>
  <c r="AA108" i="1" s="1"/>
  <c r="S94" i="1"/>
  <c r="T94" i="1" s="1"/>
  <c r="R95" i="1"/>
  <c r="Y109" i="1"/>
  <c r="W111" i="1"/>
  <c r="Z109" i="1" l="1"/>
  <c r="AA109" i="1" s="1"/>
  <c r="Y110" i="1"/>
  <c r="W112" i="1"/>
  <c r="R96" i="1"/>
  <c r="S95" i="1"/>
  <c r="T95" i="1" s="1"/>
  <c r="Z110" i="1" l="1"/>
  <c r="AA110" i="1" s="1"/>
  <c r="R97" i="1"/>
  <c r="S96" i="1"/>
  <c r="T96" i="1" s="1"/>
  <c r="Y111" i="1"/>
  <c r="W113" i="1"/>
  <c r="Z111" i="1" l="1"/>
  <c r="AA111" i="1" s="1"/>
  <c r="Y112" i="1"/>
  <c r="W114" i="1"/>
  <c r="S97" i="1"/>
  <c r="T97" i="1" s="1"/>
  <c r="R98" i="1"/>
  <c r="Z112" i="1" l="1"/>
  <c r="AA112" i="1" s="1"/>
  <c r="R99" i="1"/>
  <c r="S98" i="1"/>
  <c r="T98" i="1" s="1"/>
  <c r="Y113" i="1"/>
  <c r="W115" i="1"/>
  <c r="Z113" i="1" l="1"/>
  <c r="AA113" i="1" s="1"/>
  <c r="Y114" i="1"/>
  <c r="W116" i="1"/>
  <c r="R100" i="1"/>
  <c r="S99" i="1"/>
  <c r="T99" i="1" s="1"/>
  <c r="Z114" i="1" l="1"/>
  <c r="AA114" i="1" s="1"/>
  <c r="Y115" i="1"/>
  <c r="W117" i="1"/>
  <c r="R101" i="1"/>
  <c r="S100" i="1"/>
  <c r="T100" i="1" s="1"/>
  <c r="Z115" i="1" l="1"/>
  <c r="AA115" i="1" s="1"/>
  <c r="Y116" i="1"/>
  <c r="W118" i="1"/>
  <c r="R102" i="1"/>
  <c r="S101" i="1"/>
  <c r="T101" i="1" s="1"/>
  <c r="Z116" i="1" l="1"/>
  <c r="AA116" i="1" s="1"/>
  <c r="R103" i="1"/>
  <c r="S102" i="1"/>
  <c r="T102" i="1" s="1"/>
  <c r="Y117" i="1"/>
  <c r="W119" i="1"/>
  <c r="Z117" i="1" l="1"/>
  <c r="AA117" i="1" s="1"/>
  <c r="Y118" i="1"/>
  <c r="W120" i="1"/>
  <c r="R104" i="1"/>
  <c r="S103" i="1"/>
  <c r="T103" i="1" s="1"/>
  <c r="Z118" i="1" l="1"/>
  <c r="AA118" i="1" s="1"/>
  <c r="R105" i="1"/>
  <c r="S104" i="1"/>
  <c r="T104" i="1" s="1"/>
  <c r="Y119" i="1"/>
  <c r="W121" i="1"/>
  <c r="Z119" i="1" l="1"/>
  <c r="AA119" i="1" s="1"/>
  <c r="Y120" i="1"/>
  <c r="W122" i="1"/>
  <c r="R106" i="1"/>
  <c r="S105" i="1"/>
  <c r="T105" i="1" s="1"/>
  <c r="Z120" i="1" l="1"/>
  <c r="AA120" i="1" s="1"/>
  <c r="R107" i="1"/>
  <c r="S106" i="1"/>
  <c r="T106" i="1" s="1"/>
  <c r="Y121" i="1"/>
  <c r="W123" i="1"/>
  <c r="Z121" i="1" l="1"/>
  <c r="AA121" i="1" s="1"/>
  <c r="Y122" i="1"/>
  <c r="W124" i="1"/>
  <c r="S107" i="1"/>
  <c r="T107" i="1" s="1"/>
  <c r="R108" i="1"/>
  <c r="R109" i="1" l="1"/>
  <c r="S108" i="1"/>
  <c r="T108" i="1" s="1"/>
  <c r="Y123" i="1"/>
  <c r="W125" i="1"/>
  <c r="Z122" i="1"/>
  <c r="AA122" i="1" s="1"/>
  <c r="Y124" i="1" l="1"/>
  <c r="W126" i="1"/>
  <c r="Z123" i="1"/>
  <c r="AA123" i="1" s="1"/>
  <c r="R110" i="1"/>
  <c r="S109" i="1"/>
  <c r="T109" i="1" s="1"/>
  <c r="R111" i="1" l="1"/>
  <c r="S110" i="1"/>
  <c r="T110" i="1" s="1"/>
  <c r="Y125" i="1"/>
  <c r="W127" i="1"/>
  <c r="Z124" i="1"/>
  <c r="AA124" i="1" s="1"/>
  <c r="Y126" i="1" l="1"/>
  <c r="W128" i="1"/>
  <c r="Z125" i="1"/>
  <c r="AA125" i="1" s="1"/>
  <c r="R112" i="1"/>
  <c r="S111" i="1"/>
  <c r="T111" i="1" s="1"/>
  <c r="R113" i="1" l="1"/>
  <c r="S112" i="1"/>
  <c r="T112" i="1" s="1"/>
  <c r="Y127" i="1"/>
  <c r="W129" i="1"/>
  <c r="Z126" i="1"/>
  <c r="AA126" i="1" s="1"/>
  <c r="Y128" i="1" l="1"/>
  <c r="W130" i="1"/>
  <c r="Z127" i="1"/>
  <c r="AA127" i="1" s="1"/>
  <c r="R114" i="1"/>
  <c r="S113" i="1"/>
  <c r="T113" i="1" s="1"/>
  <c r="R115" i="1" l="1"/>
  <c r="S114" i="1"/>
  <c r="T114" i="1" s="1"/>
  <c r="Y129" i="1"/>
  <c r="W131" i="1"/>
  <c r="Z128" i="1"/>
  <c r="AA128" i="1" s="1"/>
  <c r="Y130" i="1" l="1"/>
  <c r="W132" i="1"/>
  <c r="Z129" i="1"/>
  <c r="AA129" i="1" s="1"/>
  <c r="R116" i="1"/>
  <c r="S115" i="1"/>
  <c r="T115" i="1" s="1"/>
  <c r="R117" i="1" l="1"/>
  <c r="S116" i="1"/>
  <c r="T116" i="1" s="1"/>
  <c r="Y131" i="1"/>
  <c r="W133" i="1"/>
  <c r="Z130" i="1"/>
  <c r="AA130" i="1" s="1"/>
  <c r="Y132" i="1" l="1"/>
  <c r="W134" i="1"/>
  <c r="Z131" i="1"/>
  <c r="AA131" i="1" s="1"/>
  <c r="R118" i="1"/>
  <c r="S117" i="1"/>
  <c r="T117" i="1" s="1"/>
  <c r="R119" i="1" l="1"/>
  <c r="S118" i="1"/>
  <c r="T118" i="1" s="1"/>
  <c r="Y133" i="1"/>
  <c r="W135" i="1"/>
  <c r="Z132" i="1"/>
  <c r="AA132" i="1" s="1"/>
  <c r="Y134" i="1" l="1"/>
  <c r="W136" i="1"/>
  <c r="Z133" i="1"/>
  <c r="AA133" i="1" s="1"/>
  <c r="R120" i="1"/>
  <c r="S119" i="1"/>
  <c r="T119" i="1" s="1"/>
  <c r="S120" i="1" l="1"/>
  <c r="T120" i="1" s="1"/>
  <c r="R121" i="1"/>
  <c r="Y135" i="1"/>
  <c r="W137" i="1"/>
  <c r="Z134" i="1"/>
  <c r="AA134" i="1" s="1"/>
  <c r="Y136" i="1" l="1"/>
  <c r="W138" i="1"/>
  <c r="Z135" i="1"/>
  <c r="AA135" i="1" s="1"/>
  <c r="R122" i="1"/>
  <c r="S121" i="1"/>
  <c r="T121" i="1" s="1"/>
  <c r="R123" i="1" l="1"/>
  <c r="S122" i="1"/>
  <c r="T122" i="1" s="1"/>
  <c r="Y137" i="1"/>
  <c r="W139" i="1"/>
  <c r="Z136" i="1"/>
  <c r="AA136" i="1" s="1"/>
  <c r="Y138" i="1" l="1"/>
  <c r="W140" i="1"/>
  <c r="Z137" i="1"/>
  <c r="AA137" i="1" s="1"/>
  <c r="R124" i="1"/>
  <c r="S123" i="1"/>
  <c r="T123" i="1" s="1"/>
  <c r="R125" i="1" l="1"/>
  <c r="S124" i="1"/>
  <c r="T124" i="1" s="1"/>
  <c r="Y139" i="1"/>
  <c r="W141" i="1"/>
  <c r="Z138" i="1"/>
  <c r="AA138" i="1" s="1"/>
  <c r="Y140" i="1" l="1"/>
  <c r="W142" i="1"/>
  <c r="Z139" i="1"/>
  <c r="AA139" i="1" s="1"/>
  <c r="R126" i="1"/>
  <c r="S125" i="1"/>
  <c r="T125" i="1" s="1"/>
  <c r="S126" i="1" l="1"/>
  <c r="T126" i="1" s="1"/>
  <c r="R127" i="1"/>
  <c r="Y141" i="1"/>
  <c r="W143" i="1"/>
  <c r="Z140" i="1"/>
  <c r="AA140" i="1" s="1"/>
  <c r="Y142" i="1" l="1"/>
  <c r="W144" i="1"/>
  <c r="Z141" i="1"/>
  <c r="AA141" i="1" s="1"/>
  <c r="R128" i="1"/>
  <c r="S127" i="1"/>
  <c r="T127" i="1" s="1"/>
  <c r="R129" i="1" l="1"/>
  <c r="S128" i="1"/>
  <c r="T128" i="1" s="1"/>
  <c r="Y143" i="1"/>
  <c r="W145" i="1"/>
  <c r="Z142" i="1"/>
  <c r="AA142" i="1" s="1"/>
  <c r="Y144" i="1" l="1"/>
  <c r="W146" i="1"/>
  <c r="Z143" i="1"/>
  <c r="AA143" i="1" s="1"/>
  <c r="R130" i="1"/>
  <c r="S129" i="1"/>
  <c r="T129" i="1" s="1"/>
  <c r="R131" i="1" l="1"/>
  <c r="S130" i="1"/>
  <c r="T130" i="1" s="1"/>
  <c r="Y145" i="1"/>
  <c r="W147" i="1"/>
  <c r="Z144" i="1"/>
  <c r="AA144" i="1" s="1"/>
  <c r="Y146" i="1" l="1"/>
  <c r="W148" i="1"/>
  <c r="Z145" i="1"/>
  <c r="AA145" i="1" s="1"/>
  <c r="R132" i="1"/>
  <c r="S131" i="1"/>
  <c r="T131" i="1" s="1"/>
  <c r="R133" i="1" l="1"/>
  <c r="S132" i="1"/>
  <c r="T132" i="1" s="1"/>
  <c r="Y147" i="1"/>
  <c r="W149" i="1"/>
  <c r="Z146" i="1"/>
  <c r="AA146" i="1" s="1"/>
  <c r="Z147" i="1" l="1"/>
  <c r="AA147" i="1" s="1"/>
  <c r="Y148" i="1"/>
  <c r="W150" i="1"/>
  <c r="R134" i="1"/>
  <c r="S133" i="1"/>
  <c r="T133" i="1" s="1"/>
  <c r="Z148" i="1" l="1"/>
  <c r="AA148" i="1" s="1"/>
  <c r="R135" i="1"/>
  <c r="S134" i="1"/>
  <c r="T134" i="1" s="1"/>
  <c r="Y149" i="1"/>
  <c r="W151" i="1"/>
  <c r="Z149" i="1" l="1"/>
  <c r="AA149" i="1" s="1"/>
  <c r="Y150" i="1"/>
  <c r="W152" i="1"/>
  <c r="R136" i="1"/>
  <c r="S135" i="1"/>
  <c r="T135" i="1" s="1"/>
  <c r="Z150" i="1" l="1"/>
  <c r="AA150" i="1" s="1"/>
  <c r="Y151" i="1"/>
  <c r="W153" i="1"/>
  <c r="R137" i="1"/>
  <c r="S136" i="1"/>
  <c r="T136" i="1" s="1"/>
  <c r="Z151" i="1" l="1"/>
  <c r="AA151" i="1" s="1"/>
  <c r="R138" i="1"/>
  <c r="S137" i="1"/>
  <c r="T137" i="1" s="1"/>
  <c r="Y152" i="1"/>
  <c r="W154" i="1"/>
  <c r="Z152" i="1" l="1"/>
  <c r="AA152" i="1" s="1"/>
  <c r="Y153" i="1"/>
  <c r="W155" i="1"/>
  <c r="R139" i="1"/>
  <c r="S138" i="1"/>
  <c r="T138" i="1" s="1"/>
  <c r="Z153" i="1" l="1"/>
  <c r="AA153" i="1" s="1"/>
  <c r="R140" i="1"/>
  <c r="S139" i="1"/>
  <c r="T139" i="1" s="1"/>
  <c r="Y154" i="1"/>
  <c r="W156" i="1"/>
  <c r="Z154" i="1" l="1"/>
  <c r="AA154" i="1" s="1"/>
  <c r="Y155" i="1"/>
  <c r="W157" i="1"/>
  <c r="R141" i="1"/>
  <c r="S140" i="1"/>
  <c r="T140" i="1" s="1"/>
  <c r="Z155" i="1" l="1"/>
  <c r="AA155" i="1" s="1"/>
  <c r="S141" i="1"/>
  <c r="T141" i="1" s="1"/>
  <c r="R142" i="1"/>
  <c r="Y156" i="1"/>
  <c r="W158" i="1"/>
  <c r="Y157" i="1" l="1"/>
  <c r="W159" i="1"/>
  <c r="Z156" i="1"/>
  <c r="AA156" i="1" s="1"/>
  <c r="R143" i="1"/>
  <c r="S142" i="1"/>
  <c r="T142" i="1" s="1"/>
  <c r="R144" i="1" l="1"/>
  <c r="S143" i="1"/>
  <c r="T143" i="1" s="1"/>
  <c r="Y158" i="1"/>
  <c r="W160" i="1"/>
  <c r="Z157" i="1"/>
  <c r="AA157" i="1" s="1"/>
  <c r="Y159" i="1" l="1"/>
  <c r="W161" i="1"/>
  <c r="Z158" i="1"/>
  <c r="AA158" i="1" s="1"/>
  <c r="R145" i="1"/>
  <c r="S144" i="1"/>
  <c r="T144" i="1" s="1"/>
  <c r="R146" i="1" l="1"/>
  <c r="S145" i="1"/>
  <c r="T145" i="1" s="1"/>
  <c r="Y160" i="1"/>
  <c r="W162" i="1"/>
  <c r="Z159" i="1"/>
  <c r="AA159" i="1" s="1"/>
  <c r="Y161" i="1" l="1"/>
  <c r="W163" i="1"/>
  <c r="Z160" i="1"/>
  <c r="AA160" i="1" s="1"/>
  <c r="R147" i="1"/>
  <c r="S146" i="1"/>
  <c r="T146" i="1" s="1"/>
  <c r="R148" i="1" l="1"/>
  <c r="S147" i="1"/>
  <c r="T147" i="1" s="1"/>
  <c r="Y162" i="1"/>
  <c r="W164" i="1"/>
  <c r="Z161" i="1"/>
  <c r="AA161" i="1" s="1"/>
  <c r="Y163" i="1" l="1"/>
  <c r="W165" i="1"/>
  <c r="Z162" i="1"/>
  <c r="AA162" i="1" s="1"/>
  <c r="R149" i="1"/>
  <c r="S148" i="1"/>
  <c r="T148" i="1" s="1"/>
  <c r="S149" i="1" l="1"/>
  <c r="T149" i="1" s="1"/>
  <c r="R150" i="1"/>
  <c r="Y164" i="1"/>
  <c r="W166" i="1"/>
  <c r="Z163" i="1"/>
  <c r="AA163" i="1" s="1"/>
  <c r="Y165" i="1" l="1"/>
  <c r="W167" i="1"/>
  <c r="Z164" i="1"/>
  <c r="AA164" i="1" s="1"/>
  <c r="R151" i="1"/>
  <c r="S150" i="1"/>
  <c r="T150" i="1" s="1"/>
  <c r="R152" i="1" l="1"/>
  <c r="S151" i="1"/>
  <c r="T151" i="1" s="1"/>
  <c r="Y166" i="1"/>
  <c r="W168" i="1"/>
  <c r="Z165" i="1"/>
  <c r="AA165" i="1" s="1"/>
  <c r="Y167" i="1" l="1"/>
  <c r="W169" i="1"/>
  <c r="Z166" i="1"/>
  <c r="AA166" i="1" s="1"/>
  <c r="S152" i="1"/>
  <c r="T152" i="1" s="1"/>
  <c r="R153" i="1"/>
  <c r="R154" i="1" l="1"/>
  <c r="S153" i="1"/>
  <c r="T153" i="1" s="1"/>
  <c r="Y168" i="1"/>
  <c r="W170" i="1"/>
  <c r="Z167" i="1"/>
  <c r="AA167" i="1" s="1"/>
  <c r="Y169" i="1" l="1"/>
  <c r="W171" i="1"/>
  <c r="Z168" i="1"/>
  <c r="AA168" i="1" s="1"/>
  <c r="R155" i="1"/>
  <c r="S154" i="1"/>
  <c r="T154" i="1" s="1"/>
  <c r="R156" i="1" l="1"/>
  <c r="S155" i="1"/>
  <c r="T155" i="1" s="1"/>
  <c r="Y170" i="1"/>
  <c r="W172" i="1"/>
  <c r="Z169" i="1"/>
  <c r="AA169" i="1" s="1"/>
  <c r="Y171" i="1" l="1"/>
  <c r="W173" i="1"/>
  <c r="Z170" i="1"/>
  <c r="AA170" i="1" s="1"/>
  <c r="R157" i="1"/>
  <c r="S156" i="1"/>
  <c r="T156" i="1" s="1"/>
  <c r="R158" i="1" l="1"/>
  <c r="S157" i="1"/>
  <c r="T157" i="1" s="1"/>
  <c r="Y172" i="1"/>
  <c r="W174" i="1"/>
  <c r="Z171" i="1"/>
  <c r="AA171" i="1" s="1"/>
  <c r="Y173" i="1" l="1"/>
  <c r="W175" i="1"/>
  <c r="Z172" i="1"/>
  <c r="AA172" i="1" s="1"/>
  <c r="R159" i="1"/>
  <c r="S158" i="1"/>
  <c r="T158" i="1" s="1"/>
  <c r="R160" i="1" l="1"/>
  <c r="S159" i="1"/>
  <c r="T159" i="1" s="1"/>
  <c r="Y174" i="1"/>
  <c r="W176" i="1"/>
  <c r="Z173" i="1"/>
  <c r="AA173" i="1" s="1"/>
  <c r="Y175" i="1" l="1"/>
  <c r="W177" i="1"/>
  <c r="Z174" i="1"/>
  <c r="AA174" i="1" s="1"/>
  <c r="R161" i="1"/>
  <c r="S160" i="1"/>
  <c r="T160" i="1" s="1"/>
  <c r="R162" i="1" l="1"/>
  <c r="S161" i="1"/>
  <c r="T161" i="1" s="1"/>
  <c r="Y176" i="1"/>
  <c r="W178" i="1"/>
  <c r="Z175" i="1"/>
  <c r="AA175" i="1" s="1"/>
  <c r="Y177" i="1" l="1"/>
  <c r="W179" i="1"/>
  <c r="Z176" i="1"/>
  <c r="AA176" i="1" s="1"/>
  <c r="R163" i="1"/>
  <c r="S162" i="1"/>
  <c r="T162" i="1" s="1"/>
  <c r="S163" i="1" l="1"/>
  <c r="T163" i="1" s="1"/>
  <c r="R164" i="1"/>
  <c r="Y178" i="1"/>
  <c r="W180" i="1"/>
  <c r="Z177" i="1"/>
  <c r="AA177" i="1" s="1"/>
  <c r="Y179" i="1" l="1"/>
  <c r="W181" i="1"/>
  <c r="Z178" i="1"/>
  <c r="AA178" i="1" s="1"/>
  <c r="R165" i="1"/>
  <c r="S164" i="1"/>
  <c r="T164" i="1" s="1"/>
  <c r="R166" i="1" l="1"/>
  <c r="S165" i="1"/>
  <c r="T165" i="1" s="1"/>
  <c r="Y180" i="1"/>
  <c r="W182" i="1"/>
  <c r="Z179" i="1"/>
  <c r="AA179" i="1" s="1"/>
  <c r="Y181" i="1" l="1"/>
  <c r="W183" i="1"/>
  <c r="Z180" i="1"/>
  <c r="AA180" i="1" s="1"/>
  <c r="R167" i="1"/>
  <c r="S166" i="1"/>
  <c r="T166" i="1" s="1"/>
  <c r="R168" i="1" l="1"/>
  <c r="S167" i="1"/>
  <c r="T167" i="1" s="1"/>
  <c r="Y182" i="1"/>
  <c r="W184" i="1"/>
  <c r="Z181" i="1"/>
  <c r="AA181" i="1" s="1"/>
  <c r="Y183" i="1" l="1"/>
  <c r="W185" i="1"/>
  <c r="Z182" i="1"/>
  <c r="AA182" i="1" s="1"/>
  <c r="R169" i="1"/>
  <c r="S168" i="1"/>
  <c r="T168" i="1" s="1"/>
  <c r="R170" i="1" l="1"/>
  <c r="S169" i="1"/>
  <c r="T169" i="1" s="1"/>
  <c r="Y184" i="1"/>
  <c r="W186" i="1"/>
  <c r="Z183" i="1"/>
  <c r="AA183" i="1" s="1"/>
  <c r="Y185" i="1" l="1"/>
  <c r="W187" i="1"/>
  <c r="Z184" i="1"/>
  <c r="AA184" i="1" s="1"/>
  <c r="R171" i="1"/>
  <c r="S170" i="1"/>
  <c r="T170" i="1" s="1"/>
  <c r="R172" i="1" l="1"/>
  <c r="S171" i="1"/>
  <c r="T171" i="1" s="1"/>
  <c r="Y186" i="1"/>
  <c r="W188" i="1"/>
  <c r="Z185" i="1"/>
  <c r="AA185" i="1" s="1"/>
  <c r="Y187" i="1" l="1"/>
  <c r="W189" i="1"/>
  <c r="Z186" i="1"/>
  <c r="AA186" i="1" s="1"/>
  <c r="R173" i="1"/>
  <c r="S172" i="1"/>
  <c r="T172" i="1" s="1"/>
  <c r="R174" i="1" l="1"/>
  <c r="S173" i="1"/>
  <c r="T173" i="1" s="1"/>
  <c r="Y188" i="1"/>
  <c r="W190" i="1"/>
  <c r="Z187" i="1"/>
  <c r="AA187" i="1" s="1"/>
  <c r="Y189" i="1" l="1"/>
  <c r="W191" i="1"/>
  <c r="Z188" i="1"/>
  <c r="AA188" i="1" s="1"/>
  <c r="R175" i="1"/>
  <c r="S174" i="1"/>
  <c r="T174" i="1" s="1"/>
  <c r="R176" i="1" l="1"/>
  <c r="S175" i="1"/>
  <c r="T175" i="1" s="1"/>
  <c r="Y190" i="1"/>
  <c r="W192" i="1"/>
  <c r="Z189" i="1"/>
  <c r="AA189" i="1" s="1"/>
  <c r="Y191" i="1" l="1"/>
  <c r="W193" i="1"/>
  <c r="Z190" i="1"/>
  <c r="AA190" i="1" s="1"/>
  <c r="R177" i="1"/>
  <c r="S176" i="1"/>
  <c r="T176" i="1" s="1"/>
  <c r="R178" i="1" l="1"/>
  <c r="S177" i="1"/>
  <c r="T177" i="1" s="1"/>
  <c r="Y192" i="1"/>
  <c r="W194" i="1"/>
  <c r="Z191" i="1"/>
  <c r="AA191" i="1" s="1"/>
  <c r="Y193" i="1" l="1"/>
  <c r="W195" i="1"/>
  <c r="Z192" i="1"/>
  <c r="AA192" i="1" s="1"/>
  <c r="R179" i="1"/>
  <c r="S178" i="1"/>
  <c r="T178" i="1" s="1"/>
  <c r="R180" i="1" l="1"/>
  <c r="S179" i="1"/>
  <c r="T179" i="1" s="1"/>
  <c r="Y194" i="1"/>
  <c r="W196" i="1"/>
  <c r="Z193" i="1"/>
  <c r="AA193" i="1" s="1"/>
  <c r="Y195" i="1" l="1"/>
  <c r="W197" i="1"/>
  <c r="Z194" i="1"/>
  <c r="AA194" i="1" s="1"/>
  <c r="R181" i="1"/>
  <c r="S180" i="1"/>
  <c r="T180" i="1" s="1"/>
  <c r="R182" i="1" l="1"/>
  <c r="S181" i="1"/>
  <c r="T181" i="1" s="1"/>
  <c r="Y196" i="1"/>
  <c r="W198" i="1"/>
  <c r="Z195" i="1"/>
  <c r="AA195" i="1" s="1"/>
  <c r="Y197" i="1" l="1"/>
  <c r="W199" i="1"/>
  <c r="Z196" i="1"/>
  <c r="AA196" i="1" s="1"/>
  <c r="R183" i="1"/>
  <c r="S182" i="1"/>
  <c r="T182" i="1" s="1"/>
  <c r="R184" i="1" l="1"/>
  <c r="S183" i="1"/>
  <c r="T183" i="1" s="1"/>
  <c r="Y198" i="1"/>
  <c r="W200" i="1"/>
  <c r="Z197" i="1"/>
  <c r="AA197" i="1" s="1"/>
  <c r="Y199" i="1" l="1"/>
  <c r="W201" i="1"/>
  <c r="Z198" i="1"/>
  <c r="AA198" i="1" s="1"/>
  <c r="R185" i="1"/>
  <c r="S184" i="1"/>
  <c r="T184" i="1" s="1"/>
  <c r="S185" i="1" l="1"/>
  <c r="T185" i="1" s="1"/>
  <c r="R186" i="1"/>
  <c r="Y200" i="1"/>
  <c r="W202" i="1"/>
  <c r="Z199" i="1"/>
  <c r="AA199" i="1" s="1"/>
  <c r="Y201" i="1" l="1"/>
  <c r="W203" i="1"/>
  <c r="Z200" i="1"/>
  <c r="AA200" i="1" s="1"/>
  <c r="R187" i="1"/>
  <c r="S186" i="1"/>
  <c r="T186" i="1" s="1"/>
  <c r="R188" i="1" l="1"/>
  <c r="S187" i="1"/>
  <c r="T187" i="1" s="1"/>
  <c r="Y202" i="1"/>
  <c r="W204" i="1"/>
  <c r="Z201" i="1"/>
  <c r="AA201" i="1" s="1"/>
  <c r="Y203" i="1" l="1"/>
  <c r="W205" i="1"/>
  <c r="Z202" i="1"/>
  <c r="AA202" i="1" s="1"/>
  <c r="R189" i="1"/>
  <c r="S188" i="1"/>
  <c r="T188" i="1" s="1"/>
  <c r="R190" i="1" l="1"/>
  <c r="S189" i="1"/>
  <c r="T189" i="1" s="1"/>
  <c r="Y204" i="1"/>
  <c r="W206" i="1"/>
  <c r="Z203" i="1"/>
  <c r="AA203" i="1" s="1"/>
  <c r="Y205" i="1" l="1"/>
  <c r="W207" i="1"/>
  <c r="Z204" i="1"/>
  <c r="AA204" i="1" s="1"/>
  <c r="R191" i="1"/>
  <c r="S190" i="1"/>
  <c r="T190" i="1" s="1"/>
  <c r="R192" i="1" l="1"/>
  <c r="S191" i="1"/>
  <c r="T191" i="1" s="1"/>
  <c r="Y206" i="1"/>
  <c r="W208" i="1"/>
  <c r="Z205" i="1"/>
  <c r="AA205" i="1" s="1"/>
  <c r="Y207" i="1" l="1"/>
  <c r="W209" i="1"/>
  <c r="Z206" i="1"/>
  <c r="AA206" i="1" s="1"/>
  <c r="R193" i="1"/>
  <c r="S192" i="1"/>
  <c r="T192" i="1" s="1"/>
  <c r="Z207" i="1" l="1"/>
  <c r="AA207" i="1" s="1"/>
  <c r="R194" i="1"/>
  <c r="S193" i="1"/>
  <c r="T193" i="1" s="1"/>
  <c r="Y208" i="1"/>
  <c r="W210" i="1"/>
  <c r="Z208" i="1" l="1"/>
  <c r="AA208" i="1" s="1"/>
  <c r="Y209" i="1"/>
  <c r="W211" i="1"/>
  <c r="R195" i="1"/>
  <c r="S194" i="1"/>
  <c r="T194" i="1" s="1"/>
  <c r="Z209" i="1" l="1"/>
  <c r="AA209" i="1" s="1"/>
  <c r="R196" i="1"/>
  <c r="S195" i="1"/>
  <c r="T195" i="1" s="1"/>
  <c r="Y210" i="1"/>
  <c r="W212" i="1"/>
  <c r="Z210" i="1" l="1"/>
  <c r="AA210" i="1" s="1"/>
  <c r="Y211" i="1"/>
  <c r="W213" i="1"/>
  <c r="R197" i="1"/>
  <c r="S196" i="1"/>
  <c r="T196" i="1" s="1"/>
  <c r="Z211" i="1" l="1"/>
  <c r="AA211" i="1" s="1"/>
  <c r="R198" i="1"/>
  <c r="S197" i="1"/>
  <c r="T197" i="1" s="1"/>
  <c r="Y212" i="1"/>
  <c r="W214" i="1"/>
  <c r="Z212" i="1" l="1"/>
  <c r="AA212" i="1" s="1"/>
  <c r="Y213" i="1"/>
  <c r="W215" i="1"/>
  <c r="R199" i="1"/>
  <c r="S198" i="1"/>
  <c r="T198" i="1" s="1"/>
  <c r="Z213" i="1" l="1"/>
  <c r="AA213" i="1" s="1"/>
  <c r="Y214" i="1"/>
  <c r="W216" i="1"/>
  <c r="R200" i="1"/>
  <c r="S199" i="1"/>
  <c r="T199" i="1" s="1"/>
  <c r="Z214" i="1" l="1"/>
  <c r="AA214" i="1" s="1"/>
  <c r="S200" i="1"/>
  <c r="T200" i="1" s="1"/>
  <c r="R201" i="1"/>
  <c r="Y215" i="1"/>
  <c r="W217" i="1"/>
  <c r="Z215" i="1" l="1"/>
  <c r="AA215" i="1" s="1"/>
  <c r="Y216" i="1"/>
  <c r="W218" i="1"/>
  <c r="R202" i="1"/>
  <c r="S201" i="1"/>
  <c r="T201" i="1" s="1"/>
  <c r="Z216" i="1" l="1"/>
  <c r="AA216" i="1" s="1"/>
  <c r="R203" i="1"/>
  <c r="S202" i="1"/>
  <c r="T202" i="1" s="1"/>
  <c r="Y217" i="1"/>
  <c r="W219" i="1"/>
  <c r="Z217" i="1" l="1"/>
  <c r="AA217" i="1" s="1"/>
  <c r="Y218" i="1"/>
  <c r="W220" i="1"/>
  <c r="R204" i="1"/>
  <c r="S203" i="1"/>
  <c r="T203" i="1" s="1"/>
  <c r="Z218" i="1" l="1"/>
  <c r="AA218" i="1" s="1"/>
  <c r="Y219" i="1"/>
  <c r="W221" i="1"/>
  <c r="R205" i="1"/>
  <c r="S204" i="1"/>
  <c r="T204" i="1" s="1"/>
  <c r="R206" i="1" l="1"/>
  <c r="S205" i="1"/>
  <c r="T205" i="1" s="1"/>
  <c r="Y220" i="1"/>
  <c r="W222" i="1"/>
  <c r="Z219" i="1"/>
  <c r="AA219" i="1" s="1"/>
  <c r="Z220" i="1" l="1"/>
  <c r="AA220" i="1" s="1"/>
  <c r="Y221" i="1"/>
  <c r="W223" i="1"/>
  <c r="R207" i="1"/>
  <c r="S206" i="1"/>
  <c r="T206" i="1" s="1"/>
  <c r="Z221" i="1" l="1"/>
  <c r="AA221" i="1" s="1"/>
  <c r="R208" i="1"/>
  <c r="S207" i="1"/>
  <c r="T207" i="1" s="1"/>
  <c r="Y222" i="1"/>
  <c r="W224" i="1"/>
  <c r="Z222" i="1" l="1"/>
  <c r="AA222" i="1" s="1"/>
  <c r="Y223" i="1"/>
  <c r="W225" i="1"/>
  <c r="R209" i="1"/>
  <c r="S208" i="1"/>
  <c r="T208" i="1" s="1"/>
  <c r="Z223" i="1" l="1"/>
  <c r="AA223" i="1" s="1"/>
  <c r="R210" i="1"/>
  <c r="S209" i="1"/>
  <c r="T209" i="1" s="1"/>
  <c r="Y224" i="1"/>
  <c r="W226" i="1"/>
  <c r="Z224" i="1" l="1"/>
  <c r="AA224" i="1" s="1"/>
  <c r="Y225" i="1"/>
  <c r="W227" i="1"/>
  <c r="R211" i="1"/>
  <c r="S210" i="1"/>
  <c r="T210" i="1" s="1"/>
  <c r="Z225" i="1" l="1"/>
  <c r="AA225" i="1" s="1"/>
  <c r="R212" i="1"/>
  <c r="S211" i="1"/>
  <c r="T211" i="1" s="1"/>
  <c r="Y226" i="1"/>
  <c r="W228" i="1"/>
  <c r="Z226" i="1" l="1"/>
  <c r="AA226" i="1" s="1"/>
  <c r="Y227" i="1"/>
  <c r="W229" i="1"/>
  <c r="R213" i="1"/>
  <c r="S212" i="1"/>
  <c r="T212" i="1" s="1"/>
  <c r="Z227" i="1" l="1"/>
  <c r="AA227" i="1" s="1"/>
  <c r="R214" i="1"/>
  <c r="S213" i="1"/>
  <c r="T213" i="1" s="1"/>
  <c r="Y228" i="1"/>
  <c r="W230" i="1"/>
  <c r="Z228" i="1" l="1"/>
  <c r="AA228" i="1" s="1"/>
  <c r="Y229" i="1"/>
  <c r="W231" i="1"/>
  <c r="R215" i="1"/>
  <c r="S214" i="1"/>
  <c r="T214" i="1" s="1"/>
  <c r="Z229" i="1" l="1"/>
  <c r="AA229" i="1" s="1"/>
  <c r="R216" i="1"/>
  <c r="S215" i="1"/>
  <c r="T215" i="1" s="1"/>
  <c r="Y230" i="1"/>
  <c r="W232" i="1"/>
  <c r="Z230" i="1" l="1"/>
  <c r="AA230" i="1" s="1"/>
  <c r="Y231" i="1"/>
  <c r="W233" i="1"/>
  <c r="R217" i="1"/>
  <c r="S216" i="1"/>
  <c r="T216" i="1" s="1"/>
  <c r="Z231" i="1" l="1"/>
  <c r="AA231" i="1" s="1"/>
  <c r="R218" i="1"/>
  <c r="S217" i="1"/>
  <c r="T217" i="1" s="1"/>
  <c r="Y232" i="1"/>
  <c r="W234" i="1"/>
  <c r="Z232" i="1" l="1"/>
  <c r="AA232" i="1" s="1"/>
  <c r="Y233" i="1"/>
  <c r="W235" i="1"/>
  <c r="R219" i="1"/>
  <c r="S218" i="1"/>
  <c r="T218" i="1" s="1"/>
  <c r="Z233" i="1" l="1"/>
  <c r="AA233" i="1" s="1"/>
  <c r="R220" i="1"/>
  <c r="S219" i="1"/>
  <c r="T219" i="1" s="1"/>
  <c r="Y234" i="1"/>
  <c r="W236" i="1"/>
  <c r="Z234" i="1" l="1"/>
  <c r="AA234" i="1" s="1"/>
  <c r="Y235" i="1"/>
  <c r="W237" i="1"/>
  <c r="R221" i="1"/>
  <c r="S220" i="1"/>
  <c r="T220" i="1" s="1"/>
  <c r="Z235" i="1" l="1"/>
  <c r="AA235" i="1" s="1"/>
  <c r="Y236" i="1"/>
  <c r="Z236" i="1" s="1"/>
  <c r="AA236" i="1" s="1"/>
  <c r="W238" i="1"/>
  <c r="R222" i="1"/>
  <c r="S221" i="1"/>
  <c r="T221" i="1" s="1"/>
  <c r="R223" i="1" l="1"/>
  <c r="S222" i="1"/>
  <c r="T222" i="1" s="1"/>
  <c r="Y237" i="1"/>
  <c r="Z237" i="1" s="1"/>
  <c r="AA237" i="1" s="1"/>
  <c r="W239" i="1"/>
  <c r="Y238" i="1" l="1"/>
  <c r="Z238" i="1" s="1"/>
  <c r="AA238" i="1" s="1"/>
  <c r="W240" i="1"/>
  <c r="R224" i="1"/>
  <c r="S223" i="1"/>
  <c r="T223" i="1" s="1"/>
  <c r="S224" i="1" l="1"/>
  <c r="T224" i="1" s="1"/>
  <c r="R225" i="1"/>
  <c r="Y239" i="1"/>
  <c r="Z239" i="1" s="1"/>
  <c r="AA239" i="1" s="1"/>
  <c r="W241" i="1"/>
  <c r="Y240" i="1" l="1"/>
  <c r="Z240" i="1" s="1"/>
  <c r="AA240" i="1" s="1"/>
  <c r="W242" i="1"/>
  <c r="R226" i="1"/>
  <c r="S225" i="1"/>
  <c r="T225" i="1" s="1"/>
  <c r="R227" i="1" l="1"/>
  <c r="S226" i="1"/>
  <c r="T226" i="1" s="1"/>
  <c r="Y241" i="1"/>
  <c r="Z241" i="1" s="1"/>
  <c r="AA241" i="1" s="1"/>
  <c r="W243" i="1"/>
  <c r="Y242" i="1" l="1"/>
  <c r="Z242" i="1" s="1"/>
  <c r="AA242" i="1" s="1"/>
  <c r="W244" i="1"/>
  <c r="R228" i="1"/>
  <c r="S227" i="1"/>
  <c r="T227" i="1" s="1"/>
  <c r="R229" i="1" l="1"/>
  <c r="S228" i="1"/>
  <c r="T228" i="1" s="1"/>
  <c r="Y243" i="1"/>
  <c r="Z243" i="1" s="1"/>
  <c r="AA243" i="1" s="1"/>
  <c r="W245" i="1"/>
  <c r="Y244" i="1" l="1"/>
  <c r="Z244" i="1" s="1"/>
  <c r="AA244" i="1" s="1"/>
  <c r="W246" i="1"/>
  <c r="R230" i="1"/>
  <c r="S229" i="1"/>
  <c r="T229" i="1" s="1"/>
  <c r="R231" i="1" l="1"/>
  <c r="S230" i="1"/>
  <c r="T230" i="1" s="1"/>
  <c r="Y245" i="1"/>
  <c r="Z245" i="1" s="1"/>
  <c r="AA245" i="1" s="1"/>
  <c r="W247" i="1"/>
  <c r="Y246" i="1" l="1"/>
  <c r="Z246" i="1" s="1"/>
  <c r="AA246" i="1" s="1"/>
  <c r="W248" i="1"/>
  <c r="R232" i="1"/>
  <c r="S231" i="1"/>
  <c r="T231" i="1" s="1"/>
  <c r="R233" i="1" l="1"/>
  <c r="S232" i="1"/>
  <c r="T232" i="1" s="1"/>
  <c r="Y247" i="1"/>
  <c r="Z247" i="1" s="1"/>
  <c r="AA247" i="1" s="1"/>
  <c r="W249" i="1"/>
  <c r="Y248" i="1" l="1"/>
  <c r="Z248" i="1" s="1"/>
  <c r="AA248" i="1" s="1"/>
  <c r="W250" i="1"/>
  <c r="R234" i="1"/>
  <c r="S233" i="1"/>
  <c r="T233" i="1" s="1"/>
  <c r="R235" i="1" l="1"/>
  <c r="S234" i="1"/>
  <c r="T234" i="1" s="1"/>
  <c r="Y249" i="1"/>
  <c r="Z249" i="1" s="1"/>
  <c r="AA249" i="1" s="1"/>
  <c r="W251" i="1"/>
  <c r="Y250" i="1" l="1"/>
  <c r="Z250" i="1" s="1"/>
  <c r="AA250" i="1" s="1"/>
  <c r="W252" i="1"/>
  <c r="R236" i="1"/>
  <c r="S235" i="1"/>
  <c r="T235" i="1" s="1"/>
  <c r="R237" i="1" l="1"/>
  <c r="S236" i="1"/>
  <c r="T236" i="1" s="1"/>
  <c r="Y251" i="1"/>
  <c r="Z251" i="1" s="1"/>
  <c r="AA251" i="1" s="1"/>
  <c r="W253" i="1"/>
  <c r="Y252" i="1" l="1"/>
  <c r="Z252" i="1" s="1"/>
  <c r="AA252" i="1" s="1"/>
  <c r="W254" i="1"/>
  <c r="R238" i="1"/>
  <c r="S237" i="1"/>
  <c r="T237" i="1" s="1"/>
  <c r="R239" i="1" l="1"/>
  <c r="S238" i="1"/>
  <c r="T238" i="1" s="1"/>
  <c r="Y253" i="1"/>
  <c r="Z253" i="1" s="1"/>
  <c r="AA253" i="1" s="1"/>
  <c r="W255" i="1"/>
  <c r="Y254" i="1" l="1"/>
  <c r="Z254" i="1" s="1"/>
  <c r="AA254" i="1" s="1"/>
  <c r="W256" i="1"/>
  <c r="R240" i="1"/>
  <c r="S239" i="1"/>
  <c r="T239" i="1" s="1"/>
  <c r="R241" i="1" l="1"/>
  <c r="S240" i="1"/>
  <c r="T240" i="1" s="1"/>
  <c r="Y255" i="1"/>
  <c r="Z255" i="1" s="1"/>
  <c r="AA255" i="1" s="1"/>
  <c r="W257" i="1"/>
  <c r="Y256" i="1" l="1"/>
  <c r="Z256" i="1" s="1"/>
  <c r="AA256" i="1" s="1"/>
  <c r="W258" i="1"/>
  <c r="R242" i="1"/>
  <c r="S241" i="1"/>
  <c r="T241" i="1" s="1"/>
  <c r="R243" i="1" l="1"/>
  <c r="S242" i="1"/>
  <c r="T242" i="1" s="1"/>
  <c r="Y257" i="1"/>
  <c r="Z257" i="1" s="1"/>
  <c r="AA257" i="1" s="1"/>
  <c r="W259" i="1"/>
  <c r="Y258" i="1" l="1"/>
  <c r="Z258" i="1" s="1"/>
  <c r="AA258" i="1" s="1"/>
  <c r="W260" i="1"/>
  <c r="R244" i="1"/>
  <c r="S243" i="1"/>
  <c r="T243" i="1" s="1"/>
  <c r="R245" i="1" l="1"/>
  <c r="S244" i="1"/>
  <c r="T244" i="1" s="1"/>
  <c r="Y259" i="1"/>
  <c r="Z259" i="1" s="1"/>
  <c r="AA259" i="1" s="1"/>
  <c r="W261" i="1"/>
  <c r="Y260" i="1" l="1"/>
  <c r="Z260" i="1" s="1"/>
  <c r="AA260" i="1" s="1"/>
  <c r="W262" i="1"/>
  <c r="R246" i="1"/>
  <c r="S245" i="1"/>
  <c r="T245" i="1" s="1"/>
  <c r="R247" i="1" l="1"/>
  <c r="S246" i="1"/>
  <c r="T246" i="1" s="1"/>
  <c r="Y261" i="1"/>
  <c r="Z261" i="1" s="1"/>
  <c r="AA261" i="1" s="1"/>
  <c r="W263" i="1"/>
  <c r="Y262" i="1" l="1"/>
  <c r="Z262" i="1" s="1"/>
  <c r="AA262" i="1" s="1"/>
  <c r="W264" i="1"/>
  <c r="R248" i="1"/>
  <c r="S247" i="1"/>
  <c r="T247" i="1" s="1"/>
  <c r="R249" i="1" l="1"/>
  <c r="S248" i="1"/>
  <c r="T248" i="1" s="1"/>
  <c r="Y263" i="1"/>
  <c r="Z263" i="1" s="1"/>
  <c r="AA263" i="1" s="1"/>
  <c r="W265" i="1"/>
  <c r="Y264" i="1" l="1"/>
  <c r="Z264" i="1" s="1"/>
  <c r="AA264" i="1" s="1"/>
  <c r="W266" i="1"/>
  <c r="R250" i="1"/>
  <c r="S249" i="1"/>
  <c r="T249" i="1" s="1"/>
  <c r="R251" i="1" l="1"/>
  <c r="S250" i="1"/>
  <c r="T250" i="1" s="1"/>
  <c r="Y265" i="1"/>
  <c r="Z265" i="1" s="1"/>
  <c r="AA265" i="1" s="1"/>
  <c r="W267" i="1"/>
  <c r="Y266" i="1" l="1"/>
  <c r="Z266" i="1" s="1"/>
  <c r="AA266" i="1" s="1"/>
  <c r="W268" i="1"/>
  <c r="R252" i="1"/>
  <c r="S251" i="1"/>
  <c r="T251" i="1" s="1"/>
  <c r="R253" i="1" l="1"/>
  <c r="S252" i="1"/>
  <c r="T252" i="1" s="1"/>
  <c r="Y267" i="1"/>
  <c r="Z267" i="1" s="1"/>
  <c r="AA267" i="1" s="1"/>
  <c r="W269" i="1"/>
  <c r="Y268" i="1" l="1"/>
  <c r="Z268" i="1" s="1"/>
  <c r="AA268" i="1" s="1"/>
  <c r="W270" i="1"/>
  <c r="R254" i="1"/>
  <c r="S253" i="1"/>
  <c r="T253" i="1" s="1"/>
  <c r="R255" i="1" l="1"/>
  <c r="S254" i="1"/>
  <c r="T254" i="1" s="1"/>
  <c r="Y269" i="1"/>
  <c r="Z269" i="1" s="1"/>
  <c r="AA269" i="1" s="1"/>
  <c r="W271" i="1"/>
  <c r="Y270" i="1" l="1"/>
  <c r="Z270" i="1" s="1"/>
  <c r="AA270" i="1" s="1"/>
  <c r="W272" i="1"/>
  <c r="R256" i="1"/>
  <c r="S255" i="1"/>
  <c r="T255" i="1" s="1"/>
  <c r="R257" i="1" l="1"/>
  <c r="S256" i="1"/>
  <c r="T256" i="1" s="1"/>
  <c r="Y271" i="1"/>
  <c r="Z271" i="1" s="1"/>
  <c r="AA271" i="1" s="1"/>
  <c r="W273" i="1"/>
  <c r="Y272" i="1" l="1"/>
  <c r="Z272" i="1" s="1"/>
  <c r="AA272" i="1" s="1"/>
  <c r="W274" i="1"/>
  <c r="R258" i="1"/>
  <c r="S257" i="1"/>
  <c r="T257" i="1" s="1"/>
  <c r="R259" i="1" l="1"/>
  <c r="S258" i="1"/>
  <c r="T258" i="1" s="1"/>
  <c r="Y273" i="1"/>
  <c r="Z273" i="1" s="1"/>
  <c r="AA273" i="1" s="1"/>
  <c r="W275" i="1"/>
  <c r="Y274" i="1" l="1"/>
  <c r="Z274" i="1" s="1"/>
  <c r="AA274" i="1" s="1"/>
  <c r="W276" i="1"/>
  <c r="R260" i="1"/>
  <c r="S259" i="1"/>
  <c r="T259" i="1" s="1"/>
  <c r="R261" i="1" l="1"/>
  <c r="S260" i="1"/>
  <c r="T260" i="1" s="1"/>
  <c r="Y275" i="1"/>
  <c r="Z275" i="1" s="1"/>
  <c r="AA275" i="1" s="1"/>
  <c r="W277" i="1"/>
  <c r="Y276" i="1" l="1"/>
  <c r="Z276" i="1" s="1"/>
  <c r="AA276" i="1" s="1"/>
  <c r="W278" i="1"/>
  <c r="R262" i="1"/>
  <c r="S261" i="1"/>
  <c r="T261" i="1" s="1"/>
  <c r="R263" i="1" l="1"/>
  <c r="S262" i="1"/>
  <c r="T262" i="1" s="1"/>
  <c r="Y277" i="1"/>
  <c r="Z277" i="1" s="1"/>
  <c r="AA277" i="1" s="1"/>
  <c r="W279" i="1"/>
  <c r="Y278" i="1" l="1"/>
  <c r="Z278" i="1" s="1"/>
  <c r="AA278" i="1" s="1"/>
  <c r="W280" i="1"/>
  <c r="R264" i="1"/>
  <c r="S263" i="1"/>
  <c r="T263" i="1" s="1"/>
  <c r="R265" i="1" l="1"/>
  <c r="S264" i="1"/>
  <c r="T264" i="1" s="1"/>
  <c r="Y279" i="1"/>
  <c r="Z279" i="1" s="1"/>
  <c r="AA279" i="1" s="1"/>
  <c r="W281" i="1"/>
  <c r="Y280" i="1" l="1"/>
  <c r="Z280" i="1" s="1"/>
  <c r="AA280" i="1" s="1"/>
  <c r="W282" i="1"/>
  <c r="R266" i="1"/>
  <c r="S265" i="1"/>
  <c r="T265" i="1" s="1"/>
  <c r="Y281" i="1" l="1"/>
  <c r="Z281" i="1" s="1"/>
  <c r="AA281" i="1" s="1"/>
  <c r="W283" i="1"/>
  <c r="R267" i="1"/>
  <c r="S266" i="1"/>
  <c r="T266" i="1" s="1"/>
  <c r="R268" i="1" l="1"/>
  <c r="S267" i="1"/>
  <c r="T267" i="1" s="1"/>
  <c r="Y282" i="1"/>
  <c r="Z282" i="1" s="1"/>
  <c r="AA282" i="1" s="1"/>
  <c r="W284" i="1"/>
  <c r="Y283" i="1" l="1"/>
  <c r="Z283" i="1" s="1"/>
  <c r="AA283" i="1" s="1"/>
  <c r="W285" i="1"/>
  <c r="R269" i="1"/>
  <c r="S268" i="1"/>
  <c r="T268" i="1" s="1"/>
  <c r="R270" i="1" l="1"/>
  <c r="S269" i="1"/>
  <c r="T269" i="1" s="1"/>
  <c r="Y284" i="1"/>
  <c r="Z284" i="1" s="1"/>
  <c r="AA284" i="1" s="1"/>
  <c r="W286" i="1"/>
  <c r="Y285" i="1" l="1"/>
  <c r="Z285" i="1" s="1"/>
  <c r="AA285" i="1" s="1"/>
  <c r="W287" i="1"/>
  <c r="R271" i="1"/>
  <c r="S270" i="1"/>
  <c r="T270" i="1" s="1"/>
  <c r="R272" i="1" l="1"/>
  <c r="S271" i="1"/>
  <c r="T271" i="1" s="1"/>
  <c r="Y286" i="1"/>
  <c r="Z286" i="1" s="1"/>
  <c r="AA286" i="1" s="1"/>
  <c r="W288" i="1"/>
  <c r="Y287" i="1" l="1"/>
  <c r="Z287" i="1" s="1"/>
  <c r="AA287" i="1" s="1"/>
  <c r="W289" i="1"/>
  <c r="R273" i="1"/>
  <c r="S272" i="1"/>
  <c r="T272" i="1" s="1"/>
  <c r="Y288" i="1" l="1"/>
  <c r="Z288" i="1" s="1"/>
  <c r="AA288" i="1" s="1"/>
  <c r="W290" i="1"/>
  <c r="R274" i="1"/>
  <c r="S273" i="1"/>
  <c r="T273" i="1" s="1"/>
  <c r="R275" i="1" l="1"/>
  <c r="S274" i="1"/>
  <c r="T274" i="1" s="1"/>
  <c r="Y289" i="1"/>
  <c r="Z289" i="1" s="1"/>
  <c r="AA289" i="1" s="1"/>
  <c r="W291" i="1"/>
  <c r="Y290" i="1" l="1"/>
  <c r="Z290" i="1" s="1"/>
  <c r="AA290" i="1" s="1"/>
  <c r="W292" i="1"/>
  <c r="R276" i="1"/>
  <c r="S275" i="1"/>
  <c r="T275" i="1" s="1"/>
  <c r="R277" i="1" l="1"/>
  <c r="S276" i="1"/>
  <c r="T276" i="1" s="1"/>
  <c r="Y291" i="1"/>
  <c r="Z291" i="1" s="1"/>
  <c r="AA291" i="1" s="1"/>
  <c r="W293" i="1"/>
  <c r="Y292" i="1" l="1"/>
  <c r="Z292" i="1" s="1"/>
  <c r="AA292" i="1" s="1"/>
  <c r="W294" i="1"/>
  <c r="S277" i="1"/>
  <c r="T277" i="1" s="1"/>
  <c r="R278" i="1"/>
  <c r="R279" i="1" l="1"/>
  <c r="S278" i="1"/>
  <c r="T278" i="1" s="1"/>
  <c r="Y293" i="1"/>
  <c r="Z293" i="1" s="1"/>
  <c r="AA293" i="1" s="1"/>
  <c r="W295" i="1"/>
  <c r="Y294" i="1" l="1"/>
  <c r="Z294" i="1" s="1"/>
  <c r="AA294" i="1" s="1"/>
  <c r="W296" i="1"/>
  <c r="R280" i="1"/>
  <c r="S279" i="1"/>
  <c r="T279" i="1" s="1"/>
  <c r="R281" i="1" l="1"/>
  <c r="S280" i="1"/>
  <c r="T280" i="1" s="1"/>
  <c r="Y295" i="1"/>
  <c r="Z295" i="1" s="1"/>
  <c r="AA295" i="1" s="1"/>
  <c r="W297" i="1"/>
  <c r="Y296" i="1" l="1"/>
  <c r="Z296" i="1" s="1"/>
  <c r="AA296" i="1" s="1"/>
  <c r="W298" i="1"/>
  <c r="R282" i="1"/>
  <c r="S281" i="1"/>
  <c r="T281" i="1" s="1"/>
  <c r="R283" i="1" l="1"/>
  <c r="S282" i="1"/>
  <c r="T282" i="1" s="1"/>
  <c r="Y297" i="1"/>
  <c r="Z297" i="1" s="1"/>
  <c r="AA297" i="1" s="1"/>
  <c r="W299" i="1"/>
  <c r="Y298" i="1" l="1"/>
  <c r="Z298" i="1" s="1"/>
  <c r="AA298" i="1" s="1"/>
  <c r="W300" i="1"/>
  <c r="S283" i="1"/>
  <c r="T283" i="1" s="1"/>
  <c r="R284" i="1"/>
  <c r="R285" i="1" l="1"/>
  <c r="S284" i="1"/>
  <c r="T284" i="1" s="1"/>
  <c r="Y299" i="1"/>
  <c r="Z299" i="1" s="1"/>
  <c r="AA299" i="1" s="1"/>
  <c r="W301" i="1"/>
  <c r="Y300" i="1" l="1"/>
  <c r="W302" i="1"/>
  <c r="R286" i="1"/>
  <c r="S285" i="1"/>
  <c r="T285" i="1" s="1"/>
  <c r="R287" i="1" l="1"/>
  <c r="S286" i="1"/>
  <c r="T286" i="1" s="1"/>
  <c r="Y301" i="1"/>
  <c r="W303" i="1"/>
  <c r="Z300" i="1"/>
  <c r="AA300" i="1" s="1"/>
  <c r="Y302" i="1" l="1"/>
  <c r="W304" i="1"/>
  <c r="Z301" i="1"/>
  <c r="AA301" i="1" s="1"/>
  <c r="R288" i="1"/>
  <c r="S287" i="1"/>
  <c r="T287" i="1" s="1"/>
  <c r="R289" i="1" l="1"/>
  <c r="S288" i="1"/>
  <c r="T288" i="1" s="1"/>
  <c r="Y303" i="1"/>
  <c r="W305" i="1"/>
  <c r="Z302" i="1"/>
  <c r="AA302" i="1" s="1"/>
  <c r="Z303" i="1" l="1"/>
  <c r="AA303" i="1" s="1"/>
  <c r="Y304" i="1"/>
  <c r="W306" i="1"/>
  <c r="R290" i="1"/>
  <c r="S289" i="1"/>
  <c r="T289" i="1" s="1"/>
  <c r="Z304" i="1" l="1"/>
  <c r="AA304" i="1" s="1"/>
  <c r="Y305" i="1"/>
  <c r="W307" i="1"/>
  <c r="R291" i="1"/>
  <c r="S290" i="1"/>
  <c r="T290" i="1" s="1"/>
  <c r="R292" i="1" l="1"/>
  <c r="S291" i="1"/>
  <c r="T291" i="1" s="1"/>
  <c r="Y306" i="1"/>
  <c r="W308" i="1"/>
  <c r="Z305" i="1"/>
  <c r="AA305" i="1" s="1"/>
  <c r="Y307" i="1" l="1"/>
  <c r="W309" i="1"/>
  <c r="Z306" i="1"/>
  <c r="AA306" i="1" s="1"/>
  <c r="R293" i="1"/>
  <c r="S292" i="1"/>
  <c r="T292" i="1" s="1"/>
  <c r="R294" i="1" l="1"/>
  <c r="S293" i="1"/>
  <c r="T293" i="1" s="1"/>
  <c r="Y308" i="1"/>
  <c r="W310" i="1"/>
  <c r="Z307" i="1"/>
  <c r="AA307" i="1" s="1"/>
  <c r="Y309" i="1" l="1"/>
  <c r="W311" i="1"/>
  <c r="Z308" i="1"/>
  <c r="AA308" i="1" s="1"/>
  <c r="R295" i="1"/>
  <c r="S294" i="1"/>
  <c r="T294" i="1" s="1"/>
  <c r="R296" i="1" l="1"/>
  <c r="S295" i="1"/>
  <c r="T295" i="1" s="1"/>
  <c r="Y310" i="1"/>
  <c r="W312" i="1"/>
  <c r="Z309" i="1"/>
  <c r="AA309" i="1" s="1"/>
  <c r="Y311" i="1" l="1"/>
  <c r="W313" i="1"/>
  <c r="Z310" i="1"/>
  <c r="AA310" i="1" s="1"/>
  <c r="R297" i="1"/>
  <c r="S296" i="1"/>
  <c r="T296" i="1" s="1"/>
  <c r="R298" i="1" l="1"/>
  <c r="S297" i="1"/>
  <c r="T297" i="1" s="1"/>
  <c r="Y312" i="1"/>
  <c r="W314" i="1"/>
  <c r="Z311" i="1"/>
  <c r="AA311" i="1" s="1"/>
  <c r="Y313" i="1" l="1"/>
  <c r="W315" i="1"/>
  <c r="Z312" i="1"/>
  <c r="AA312" i="1" s="1"/>
  <c r="R299" i="1"/>
  <c r="S298" i="1"/>
  <c r="T298" i="1" s="1"/>
  <c r="R300" i="1" l="1"/>
  <c r="S299" i="1"/>
  <c r="T299" i="1" s="1"/>
  <c r="Y314" i="1"/>
  <c r="W316" i="1"/>
  <c r="Z313" i="1"/>
  <c r="AA313" i="1" s="1"/>
  <c r="Y315" i="1" l="1"/>
  <c r="W317" i="1"/>
  <c r="Z314" i="1"/>
  <c r="AA314" i="1" s="1"/>
  <c r="R301" i="1"/>
  <c r="S300" i="1"/>
  <c r="T300" i="1" s="1"/>
  <c r="R302" i="1" l="1"/>
  <c r="S301" i="1"/>
  <c r="T301" i="1" s="1"/>
  <c r="Y316" i="1"/>
  <c r="W318" i="1"/>
  <c r="Z315" i="1"/>
  <c r="AA315" i="1" s="1"/>
  <c r="Y317" i="1" l="1"/>
  <c r="W319" i="1"/>
  <c r="Z316" i="1"/>
  <c r="AA316" i="1" s="1"/>
  <c r="R303" i="1"/>
  <c r="S302" i="1"/>
  <c r="T302" i="1" s="1"/>
  <c r="R304" i="1" l="1"/>
  <c r="S303" i="1"/>
  <c r="T303" i="1" s="1"/>
  <c r="Y318" i="1"/>
  <c r="W320" i="1"/>
  <c r="Z317" i="1"/>
  <c r="AA317" i="1" s="1"/>
  <c r="Y319" i="1" l="1"/>
  <c r="W321" i="1"/>
  <c r="Z318" i="1"/>
  <c r="AA318" i="1" s="1"/>
  <c r="R305" i="1"/>
  <c r="S304" i="1"/>
  <c r="T304" i="1" s="1"/>
  <c r="S305" i="1" l="1"/>
  <c r="T305" i="1" s="1"/>
  <c r="R306" i="1"/>
  <c r="Y320" i="1"/>
  <c r="W322" i="1"/>
  <c r="Z319" i="1"/>
  <c r="AA319" i="1" s="1"/>
  <c r="Y321" i="1" l="1"/>
  <c r="W323" i="1"/>
  <c r="Z320" i="1"/>
  <c r="AA320" i="1" s="1"/>
  <c r="R307" i="1"/>
  <c r="S306" i="1"/>
  <c r="T306" i="1" s="1"/>
  <c r="R308" i="1" l="1"/>
  <c r="S307" i="1"/>
  <c r="T307" i="1" s="1"/>
  <c r="Y322" i="1"/>
  <c r="W324" i="1"/>
  <c r="Z321" i="1"/>
  <c r="AA321" i="1" s="1"/>
  <c r="Y323" i="1" l="1"/>
  <c r="W325" i="1"/>
  <c r="Z322" i="1"/>
  <c r="AA322" i="1" s="1"/>
  <c r="R309" i="1"/>
  <c r="S308" i="1"/>
  <c r="T308" i="1" s="1"/>
  <c r="S309" i="1" l="1"/>
  <c r="T309" i="1" s="1"/>
  <c r="R310" i="1"/>
  <c r="Y324" i="1"/>
  <c r="W326" i="1"/>
  <c r="Z323" i="1"/>
  <c r="AA323" i="1" s="1"/>
  <c r="Y325" i="1" l="1"/>
  <c r="W327" i="1"/>
  <c r="Z324" i="1"/>
  <c r="AA324" i="1" s="1"/>
  <c r="R311" i="1"/>
  <c r="S310" i="1"/>
  <c r="T310" i="1" s="1"/>
  <c r="R312" i="1" l="1"/>
  <c r="S311" i="1"/>
  <c r="T311" i="1" s="1"/>
  <c r="Y326" i="1"/>
  <c r="W328" i="1"/>
  <c r="Z325" i="1"/>
  <c r="AA325" i="1" s="1"/>
  <c r="Y327" i="1" l="1"/>
  <c r="W329" i="1"/>
  <c r="Z326" i="1"/>
  <c r="AA326" i="1" s="1"/>
  <c r="R313" i="1"/>
  <c r="S312" i="1"/>
  <c r="T312" i="1" s="1"/>
  <c r="R314" i="1" l="1"/>
  <c r="S313" i="1"/>
  <c r="T313" i="1" s="1"/>
  <c r="Y328" i="1"/>
  <c r="W330" i="1"/>
  <c r="Z327" i="1"/>
  <c r="AA327" i="1" s="1"/>
  <c r="Y329" i="1" l="1"/>
  <c r="W331" i="1"/>
  <c r="Z328" i="1"/>
  <c r="AA328" i="1" s="1"/>
  <c r="R315" i="1"/>
  <c r="S314" i="1"/>
  <c r="T314" i="1" s="1"/>
  <c r="R316" i="1" l="1"/>
  <c r="S315" i="1"/>
  <c r="T315" i="1" s="1"/>
  <c r="Y330" i="1"/>
  <c r="W332" i="1"/>
  <c r="Z329" i="1"/>
  <c r="AA329" i="1" s="1"/>
  <c r="Y331" i="1" l="1"/>
  <c r="W333" i="1"/>
  <c r="Z330" i="1"/>
  <c r="AA330" i="1" s="1"/>
  <c r="R317" i="1"/>
  <c r="S316" i="1"/>
  <c r="T316" i="1" s="1"/>
  <c r="R318" i="1" l="1"/>
  <c r="S317" i="1"/>
  <c r="T317" i="1" s="1"/>
  <c r="Y332" i="1"/>
  <c r="W334" i="1"/>
  <c r="Z331" i="1"/>
  <c r="AA331" i="1" s="1"/>
  <c r="Y333" i="1" l="1"/>
  <c r="W335" i="1"/>
  <c r="Z332" i="1"/>
  <c r="AA332" i="1" s="1"/>
  <c r="R319" i="1"/>
  <c r="S318" i="1"/>
  <c r="T318" i="1" s="1"/>
  <c r="R320" i="1" l="1"/>
  <c r="S319" i="1"/>
  <c r="T319" i="1" s="1"/>
  <c r="Y334" i="1"/>
  <c r="W336" i="1"/>
  <c r="Z333" i="1"/>
  <c r="AA333" i="1" s="1"/>
  <c r="Y335" i="1" l="1"/>
  <c r="W337" i="1"/>
  <c r="Z334" i="1"/>
  <c r="AA334" i="1" s="1"/>
  <c r="R321" i="1"/>
  <c r="S320" i="1"/>
  <c r="T320" i="1" s="1"/>
  <c r="R322" i="1" l="1"/>
  <c r="S321" i="1"/>
  <c r="T321" i="1" s="1"/>
  <c r="Y336" i="1"/>
  <c r="W338" i="1"/>
  <c r="Z335" i="1"/>
  <c r="AA335" i="1" s="1"/>
  <c r="Y337" i="1" l="1"/>
  <c r="W339" i="1"/>
  <c r="Z336" i="1"/>
  <c r="AA336" i="1" s="1"/>
  <c r="R323" i="1"/>
  <c r="S322" i="1"/>
  <c r="T322" i="1" s="1"/>
  <c r="R324" i="1" l="1"/>
  <c r="S323" i="1"/>
  <c r="T323" i="1" s="1"/>
  <c r="Y338" i="1"/>
  <c r="W340" i="1"/>
  <c r="Z337" i="1"/>
  <c r="AA337" i="1" s="1"/>
  <c r="Y339" i="1" l="1"/>
  <c r="W341" i="1"/>
  <c r="Z338" i="1"/>
  <c r="AA338" i="1" s="1"/>
  <c r="R325" i="1"/>
  <c r="S324" i="1"/>
  <c r="T324" i="1" s="1"/>
  <c r="R326" i="1" l="1"/>
  <c r="S325" i="1"/>
  <c r="T325" i="1" s="1"/>
  <c r="Y340" i="1"/>
  <c r="W342" i="1"/>
  <c r="Z339" i="1"/>
  <c r="AA339" i="1" s="1"/>
  <c r="Y341" i="1" l="1"/>
  <c r="W343" i="1"/>
  <c r="Z340" i="1"/>
  <c r="AA340" i="1" s="1"/>
  <c r="R327" i="1"/>
  <c r="S326" i="1"/>
  <c r="T326" i="1" s="1"/>
  <c r="R328" i="1" l="1"/>
  <c r="S327" i="1"/>
  <c r="T327" i="1" s="1"/>
  <c r="Y342" i="1"/>
  <c r="W344" i="1"/>
  <c r="Z341" i="1"/>
  <c r="AA341" i="1" s="1"/>
  <c r="S328" i="1" l="1"/>
  <c r="T328" i="1" s="1"/>
  <c r="R329" i="1"/>
  <c r="Y343" i="1"/>
  <c r="W345" i="1"/>
  <c r="Z342" i="1"/>
  <c r="AA342" i="1" s="1"/>
  <c r="Y344" i="1" l="1"/>
  <c r="W346" i="1"/>
  <c r="Z343" i="1"/>
  <c r="AA343" i="1" s="1"/>
  <c r="R330" i="1"/>
  <c r="S329" i="1"/>
  <c r="T329" i="1" s="1"/>
  <c r="Y345" i="1" l="1"/>
  <c r="W347" i="1"/>
  <c r="R331" i="1"/>
  <c r="S330" i="1"/>
  <c r="T330" i="1" s="1"/>
  <c r="Z344" i="1"/>
  <c r="AA344" i="1" s="1"/>
  <c r="Y346" i="1" l="1"/>
  <c r="W348" i="1"/>
  <c r="R332" i="1"/>
  <c r="S331" i="1"/>
  <c r="T331" i="1" s="1"/>
  <c r="Z345" i="1"/>
  <c r="AA345" i="1" s="1"/>
  <c r="R333" i="1" l="1"/>
  <c r="S332" i="1"/>
  <c r="T332" i="1" s="1"/>
  <c r="Y347" i="1"/>
  <c r="W349" i="1"/>
  <c r="Z346" i="1"/>
  <c r="AA346" i="1" s="1"/>
  <c r="Y348" i="1" l="1"/>
  <c r="W350" i="1"/>
  <c r="Z347" i="1"/>
  <c r="AA347" i="1" s="1"/>
  <c r="R334" i="1"/>
  <c r="S333" i="1"/>
  <c r="T333" i="1" s="1"/>
  <c r="R335" i="1" l="1"/>
  <c r="S334" i="1"/>
  <c r="T334" i="1" s="1"/>
  <c r="Y349" i="1"/>
  <c r="W351" i="1"/>
  <c r="Z348" i="1"/>
  <c r="AA348" i="1" s="1"/>
  <c r="Y350" i="1" l="1"/>
  <c r="W352" i="1"/>
  <c r="Z349" i="1"/>
  <c r="AA349" i="1" s="1"/>
  <c r="R336" i="1"/>
  <c r="S335" i="1"/>
  <c r="T335" i="1" s="1"/>
  <c r="R337" i="1" l="1"/>
  <c r="S336" i="1"/>
  <c r="T336" i="1" s="1"/>
  <c r="Y351" i="1"/>
  <c r="W353" i="1"/>
  <c r="Z350" i="1"/>
  <c r="AA350" i="1" s="1"/>
  <c r="Y352" i="1" l="1"/>
  <c r="W354" i="1"/>
  <c r="Z351" i="1"/>
  <c r="AA351" i="1" s="1"/>
  <c r="R338" i="1"/>
  <c r="S337" i="1"/>
  <c r="T337" i="1" s="1"/>
  <c r="R339" i="1" l="1"/>
  <c r="S338" i="1"/>
  <c r="T338" i="1" s="1"/>
  <c r="Y353" i="1"/>
  <c r="W355" i="1"/>
  <c r="Z352" i="1"/>
  <c r="AA352" i="1" s="1"/>
  <c r="Y354" i="1" l="1"/>
  <c r="W356" i="1"/>
  <c r="Z353" i="1"/>
  <c r="AA353" i="1" s="1"/>
  <c r="R340" i="1"/>
  <c r="S339" i="1"/>
  <c r="T339" i="1" s="1"/>
  <c r="R341" i="1" l="1"/>
  <c r="S340" i="1"/>
  <c r="T340" i="1" s="1"/>
  <c r="Y355" i="1"/>
  <c r="W357" i="1"/>
  <c r="Z354" i="1"/>
  <c r="AA354" i="1" s="1"/>
  <c r="Y356" i="1" l="1"/>
  <c r="W358" i="1"/>
  <c r="Z355" i="1"/>
  <c r="AA355" i="1" s="1"/>
  <c r="R342" i="1"/>
  <c r="S341" i="1"/>
  <c r="T341" i="1" s="1"/>
  <c r="R343" i="1" l="1"/>
  <c r="S342" i="1"/>
  <c r="T342" i="1" s="1"/>
  <c r="Y357" i="1"/>
  <c r="W359" i="1"/>
  <c r="Z356" i="1"/>
  <c r="AA356" i="1" s="1"/>
  <c r="Y358" i="1" l="1"/>
  <c r="W360" i="1"/>
  <c r="Z357" i="1"/>
  <c r="AA357" i="1" s="1"/>
  <c r="R344" i="1"/>
  <c r="S343" i="1"/>
  <c r="T343" i="1" s="1"/>
  <c r="R345" i="1" l="1"/>
  <c r="S344" i="1"/>
  <c r="T344" i="1" s="1"/>
  <c r="Y359" i="1"/>
  <c r="W361" i="1"/>
  <c r="Z358" i="1"/>
  <c r="AA358" i="1" s="1"/>
  <c r="Y360" i="1" l="1"/>
  <c r="W362" i="1"/>
  <c r="Z359" i="1"/>
  <c r="AA359" i="1" s="1"/>
  <c r="R346" i="1"/>
  <c r="S345" i="1"/>
  <c r="T345" i="1" s="1"/>
  <c r="R347" i="1" l="1"/>
  <c r="S346" i="1"/>
  <c r="T346" i="1" s="1"/>
  <c r="Y361" i="1"/>
  <c r="W363" i="1"/>
  <c r="Z360" i="1"/>
  <c r="AA360" i="1" s="1"/>
  <c r="Y362" i="1" l="1"/>
  <c r="W364" i="1"/>
  <c r="Z361" i="1"/>
  <c r="AA361" i="1" s="1"/>
  <c r="R348" i="1"/>
  <c r="S347" i="1"/>
  <c r="T347" i="1" s="1"/>
  <c r="R349" i="1" l="1"/>
  <c r="S348" i="1"/>
  <c r="T348" i="1" s="1"/>
  <c r="Y363" i="1"/>
  <c r="W365" i="1"/>
  <c r="Z362" i="1"/>
  <c r="AA362" i="1" s="1"/>
  <c r="Z363" i="1" l="1"/>
  <c r="AA363" i="1" s="1"/>
  <c r="Y364" i="1"/>
  <c r="W366" i="1"/>
  <c r="R350" i="1"/>
  <c r="S349" i="1"/>
  <c r="T349" i="1" s="1"/>
  <c r="Z364" i="1" l="1"/>
  <c r="AA364" i="1" s="1"/>
  <c r="R351" i="1"/>
  <c r="S350" i="1"/>
  <c r="T350" i="1" s="1"/>
  <c r="Y365" i="1"/>
  <c r="W367" i="1"/>
  <c r="Z365" i="1" l="1"/>
  <c r="AA365" i="1" s="1"/>
  <c r="Y366" i="1"/>
  <c r="W368" i="1"/>
  <c r="S351" i="1"/>
  <c r="T351" i="1" s="1"/>
  <c r="R352" i="1"/>
  <c r="Z366" i="1" l="1"/>
  <c r="AA366" i="1" s="1"/>
  <c r="R353" i="1"/>
  <c r="S352" i="1"/>
  <c r="T352" i="1" s="1"/>
  <c r="Y367" i="1"/>
  <c r="W369" i="1"/>
  <c r="Y368" i="1" l="1"/>
  <c r="W370" i="1"/>
  <c r="Z367" i="1"/>
  <c r="AA367" i="1" s="1"/>
  <c r="R354" i="1"/>
  <c r="S353" i="1"/>
  <c r="T353" i="1" s="1"/>
  <c r="R355" i="1" l="1"/>
  <c r="S354" i="1"/>
  <c r="T354" i="1" s="1"/>
  <c r="Y369" i="1"/>
  <c r="W371" i="1"/>
  <c r="Z368" i="1"/>
  <c r="AA368" i="1" s="1"/>
  <c r="Y370" i="1" l="1"/>
  <c r="W372" i="1"/>
  <c r="Z369" i="1"/>
  <c r="AA369" i="1" s="1"/>
  <c r="S355" i="1"/>
  <c r="T355" i="1" s="1"/>
  <c r="R356" i="1"/>
  <c r="R357" i="1" l="1"/>
  <c r="S356" i="1"/>
  <c r="T356" i="1" s="1"/>
  <c r="Y371" i="1"/>
  <c r="W373" i="1"/>
  <c r="Z370" i="1"/>
  <c r="AA370" i="1" s="1"/>
  <c r="Y372" i="1" l="1"/>
  <c r="W374" i="1"/>
  <c r="Z371" i="1"/>
  <c r="AA371" i="1" s="1"/>
  <c r="R358" i="1"/>
  <c r="S357" i="1"/>
  <c r="T357" i="1" s="1"/>
  <c r="R359" i="1" l="1"/>
  <c r="S358" i="1"/>
  <c r="T358" i="1" s="1"/>
  <c r="Y373" i="1"/>
  <c r="W375" i="1"/>
  <c r="Z372" i="1"/>
  <c r="AA372" i="1" s="1"/>
  <c r="Y374" i="1" l="1"/>
  <c r="W376" i="1"/>
  <c r="Z373" i="1"/>
  <c r="AA373" i="1" s="1"/>
  <c r="S359" i="1"/>
  <c r="T359" i="1" s="1"/>
  <c r="R360" i="1"/>
  <c r="R361" i="1" l="1"/>
  <c r="S360" i="1"/>
  <c r="T360" i="1" s="1"/>
  <c r="Y375" i="1"/>
  <c r="W377" i="1"/>
  <c r="Z374" i="1"/>
  <c r="AA374" i="1" s="1"/>
  <c r="Y376" i="1" l="1"/>
  <c r="W378" i="1"/>
  <c r="Z375" i="1"/>
  <c r="AA375" i="1" s="1"/>
  <c r="R362" i="1"/>
  <c r="S361" i="1"/>
  <c r="T361" i="1" s="1"/>
  <c r="R363" i="1" l="1"/>
  <c r="S362" i="1"/>
  <c r="T362" i="1" s="1"/>
  <c r="Y377" i="1"/>
  <c r="W379" i="1"/>
  <c r="Z376" i="1"/>
  <c r="AA376" i="1" s="1"/>
  <c r="Y378" i="1" l="1"/>
  <c r="W380" i="1"/>
  <c r="Z377" i="1"/>
  <c r="AA377" i="1" s="1"/>
  <c r="R364" i="1"/>
  <c r="S363" i="1"/>
  <c r="T363" i="1" s="1"/>
  <c r="R365" i="1" l="1"/>
  <c r="S364" i="1"/>
  <c r="T364" i="1" s="1"/>
  <c r="Y379" i="1"/>
  <c r="W381" i="1"/>
  <c r="Z378" i="1"/>
  <c r="AA378" i="1" s="1"/>
  <c r="Y380" i="1" l="1"/>
  <c r="W382" i="1"/>
  <c r="Z379" i="1"/>
  <c r="AA379" i="1" s="1"/>
  <c r="R366" i="1"/>
  <c r="S365" i="1"/>
  <c r="T365" i="1" s="1"/>
  <c r="R367" i="1" l="1"/>
  <c r="S366" i="1"/>
  <c r="T366" i="1" s="1"/>
  <c r="Y381" i="1"/>
  <c r="W383" i="1"/>
  <c r="Z380" i="1"/>
  <c r="AA380" i="1" s="1"/>
  <c r="Y382" i="1" l="1"/>
  <c r="W384" i="1"/>
  <c r="Z381" i="1"/>
  <c r="AA381" i="1" s="1"/>
  <c r="R368" i="1"/>
  <c r="S367" i="1"/>
  <c r="T367" i="1" s="1"/>
  <c r="R369" i="1" l="1"/>
  <c r="S368" i="1"/>
  <c r="T368" i="1" s="1"/>
  <c r="Y383" i="1"/>
  <c r="W385" i="1"/>
  <c r="Z382" i="1"/>
  <c r="AA382" i="1" s="1"/>
  <c r="Z383" i="1" l="1"/>
  <c r="AA383" i="1" s="1"/>
  <c r="Y384" i="1"/>
  <c r="W386" i="1"/>
  <c r="R370" i="1"/>
  <c r="S369" i="1"/>
  <c r="T369" i="1" s="1"/>
  <c r="Z384" i="1" l="1"/>
  <c r="AA384" i="1" s="1"/>
  <c r="Y385" i="1"/>
  <c r="W387" i="1"/>
  <c r="R371" i="1"/>
  <c r="S370" i="1"/>
  <c r="T370" i="1" s="1"/>
  <c r="Z385" i="1" l="1"/>
  <c r="AA385" i="1" s="1"/>
  <c r="R372" i="1"/>
  <c r="S371" i="1"/>
  <c r="T371" i="1" s="1"/>
  <c r="Y386" i="1"/>
  <c r="W388" i="1"/>
  <c r="Z386" i="1" l="1"/>
  <c r="AA386" i="1" s="1"/>
  <c r="Y387" i="1"/>
  <c r="W389" i="1"/>
  <c r="S372" i="1"/>
  <c r="T372" i="1" s="1"/>
  <c r="R373" i="1"/>
  <c r="Z387" i="1" l="1"/>
  <c r="AA387" i="1" s="1"/>
  <c r="R374" i="1"/>
  <c r="S373" i="1"/>
  <c r="T373" i="1" s="1"/>
  <c r="Y388" i="1"/>
  <c r="W390" i="1"/>
  <c r="Z388" i="1" l="1"/>
  <c r="AA388" i="1" s="1"/>
  <c r="Y389" i="1"/>
  <c r="W391" i="1"/>
  <c r="R375" i="1"/>
  <c r="S374" i="1"/>
  <c r="T374" i="1" s="1"/>
  <c r="Z389" i="1" l="1"/>
  <c r="AA389" i="1" s="1"/>
  <c r="R376" i="1"/>
  <c r="S375" i="1"/>
  <c r="T375" i="1" s="1"/>
  <c r="Y390" i="1"/>
  <c r="W392" i="1"/>
  <c r="Z390" i="1" l="1"/>
  <c r="AA390" i="1" s="1"/>
  <c r="Y391" i="1"/>
  <c r="W393" i="1"/>
  <c r="R377" i="1"/>
  <c r="S376" i="1"/>
  <c r="T376" i="1" s="1"/>
  <c r="Z391" i="1" l="1"/>
  <c r="AA391" i="1" s="1"/>
  <c r="S377" i="1"/>
  <c r="T377" i="1" s="1"/>
  <c r="R378" i="1"/>
  <c r="Y392" i="1"/>
  <c r="W394" i="1"/>
  <c r="Z392" i="1" l="1"/>
  <c r="AA392" i="1" s="1"/>
  <c r="Y393" i="1"/>
  <c r="W395" i="1"/>
  <c r="R379" i="1"/>
  <c r="S378" i="1"/>
  <c r="T378" i="1" s="1"/>
  <c r="Z393" i="1" l="1"/>
  <c r="AA393" i="1" s="1"/>
  <c r="R380" i="1"/>
  <c r="S379" i="1"/>
  <c r="T379" i="1" s="1"/>
  <c r="Y394" i="1"/>
  <c r="W396" i="1"/>
  <c r="Z394" i="1" l="1"/>
  <c r="AA394" i="1" s="1"/>
  <c r="Y395" i="1"/>
  <c r="W397" i="1"/>
  <c r="R381" i="1"/>
  <c r="S380" i="1"/>
  <c r="T380" i="1" s="1"/>
  <c r="Z395" i="1" l="1"/>
  <c r="AA395" i="1" s="1"/>
  <c r="R382" i="1"/>
  <c r="S381" i="1"/>
  <c r="T381" i="1" s="1"/>
  <c r="Y396" i="1"/>
  <c r="Z396" i="1" s="1"/>
  <c r="AA396" i="1" s="1"/>
  <c r="W398" i="1"/>
  <c r="Y397" i="1" l="1"/>
  <c r="Z397" i="1" s="1"/>
  <c r="AA397" i="1" s="1"/>
  <c r="W399" i="1"/>
  <c r="R383" i="1"/>
  <c r="S382" i="1"/>
  <c r="T382" i="1" s="1"/>
  <c r="R384" i="1" l="1"/>
  <c r="S383" i="1"/>
  <c r="T383" i="1" s="1"/>
  <c r="Y398" i="1"/>
  <c r="Z398" i="1" s="1"/>
  <c r="AA398" i="1" s="1"/>
  <c r="W400" i="1"/>
  <c r="Y399" i="1" l="1"/>
  <c r="Z399" i="1" s="1"/>
  <c r="AA399" i="1" s="1"/>
  <c r="W401" i="1"/>
  <c r="R385" i="1"/>
  <c r="S384" i="1"/>
  <c r="T384" i="1" s="1"/>
  <c r="R386" i="1" l="1"/>
  <c r="S385" i="1"/>
  <c r="T385" i="1" s="1"/>
  <c r="Y400" i="1"/>
  <c r="Z400" i="1" s="1"/>
  <c r="AA400" i="1" s="1"/>
  <c r="W402" i="1"/>
  <c r="Y401" i="1" l="1"/>
  <c r="Z401" i="1" s="1"/>
  <c r="AA401" i="1" s="1"/>
  <c r="W403" i="1"/>
  <c r="R387" i="1"/>
  <c r="S386" i="1"/>
  <c r="T386" i="1" s="1"/>
  <c r="R388" i="1" l="1"/>
  <c r="S387" i="1"/>
  <c r="T387" i="1" s="1"/>
  <c r="Y402" i="1"/>
  <c r="Z402" i="1" s="1"/>
  <c r="AA402" i="1" s="1"/>
  <c r="W404" i="1"/>
  <c r="Y403" i="1" l="1"/>
  <c r="Z403" i="1" s="1"/>
  <c r="AA403" i="1" s="1"/>
  <c r="W405" i="1"/>
  <c r="R389" i="1"/>
  <c r="S388" i="1"/>
  <c r="T388" i="1" s="1"/>
  <c r="R390" i="1" l="1"/>
  <c r="S389" i="1"/>
  <c r="T389" i="1" s="1"/>
  <c r="Y404" i="1"/>
  <c r="Z404" i="1" s="1"/>
  <c r="AA404" i="1" s="1"/>
  <c r="W406" i="1"/>
  <c r="Y405" i="1" l="1"/>
  <c r="Z405" i="1" s="1"/>
  <c r="AA405" i="1" s="1"/>
  <c r="W407" i="1"/>
  <c r="R391" i="1"/>
  <c r="S390" i="1"/>
  <c r="T390" i="1" s="1"/>
  <c r="S391" i="1" l="1"/>
  <c r="T391" i="1" s="1"/>
  <c r="R392" i="1"/>
  <c r="Y406" i="1"/>
  <c r="Z406" i="1" s="1"/>
  <c r="AA406" i="1" s="1"/>
  <c r="W408" i="1"/>
  <c r="Y407" i="1" l="1"/>
  <c r="Z407" i="1" s="1"/>
  <c r="AA407" i="1" s="1"/>
  <c r="W409" i="1"/>
  <c r="R393" i="1"/>
  <c r="S392" i="1"/>
  <c r="T392" i="1" s="1"/>
  <c r="R394" i="1" l="1"/>
  <c r="S393" i="1"/>
  <c r="T393" i="1" s="1"/>
  <c r="Y408" i="1"/>
  <c r="Z408" i="1" s="1"/>
  <c r="AA408" i="1" s="1"/>
  <c r="W410" i="1"/>
  <c r="Y409" i="1" l="1"/>
  <c r="Z409" i="1" s="1"/>
  <c r="AA409" i="1" s="1"/>
  <c r="W411" i="1"/>
  <c r="R395" i="1"/>
  <c r="S394" i="1"/>
  <c r="T394" i="1" s="1"/>
  <c r="R396" i="1" l="1"/>
  <c r="S395" i="1"/>
  <c r="T395" i="1" s="1"/>
  <c r="Y410" i="1"/>
  <c r="Z410" i="1" s="1"/>
  <c r="AA410" i="1" s="1"/>
  <c r="W412" i="1"/>
  <c r="Y411" i="1" l="1"/>
  <c r="Z411" i="1" s="1"/>
  <c r="AA411" i="1" s="1"/>
  <c r="W413" i="1"/>
  <c r="R397" i="1"/>
  <c r="S396" i="1"/>
  <c r="T396" i="1" s="1"/>
  <c r="R398" i="1" l="1"/>
  <c r="S397" i="1"/>
  <c r="T397" i="1" s="1"/>
  <c r="Y412" i="1"/>
  <c r="Z412" i="1" s="1"/>
  <c r="AA412" i="1" s="1"/>
  <c r="W414" i="1"/>
  <c r="Y413" i="1" l="1"/>
  <c r="Z413" i="1" s="1"/>
  <c r="AA413" i="1" s="1"/>
  <c r="W415" i="1"/>
  <c r="S398" i="1"/>
  <c r="T398" i="1" s="1"/>
  <c r="R399" i="1"/>
  <c r="R400" i="1" l="1"/>
  <c r="S399" i="1"/>
  <c r="T399" i="1" s="1"/>
  <c r="Y414" i="1"/>
  <c r="Z414" i="1" s="1"/>
  <c r="AA414" i="1" s="1"/>
  <c r="W416" i="1"/>
  <c r="Y415" i="1" l="1"/>
  <c r="Z415" i="1" s="1"/>
  <c r="AA415" i="1" s="1"/>
  <c r="W417" i="1"/>
  <c r="R401" i="1"/>
  <c r="S400" i="1"/>
  <c r="T400" i="1" s="1"/>
  <c r="R402" i="1" l="1"/>
  <c r="S401" i="1"/>
  <c r="T401" i="1" s="1"/>
  <c r="Y416" i="1"/>
  <c r="Z416" i="1" s="1"/>
  <c r="AA416" i="1" s="1"/>
  <c r="W418" i="1"/>
  <c r="Y417" i="1" l="1"/>
  <c r="Z417" i="1" s="1"/>
  <c r="AA417" i="1" s="1"/>
  <c r="W419" i="1"/>
  <c r="S402" i="1"/>
  <c r="T402" i="1" s="1"/>
  <c r="R403" i="1"/>
  <c r="R404" i="1" l="1"/>
  <c r="S403" i="1"/>
  <c r="T403" i="1" s="1"/>
  <c r="Y418" i="1"/>
  <c r="Z418" i="1" s="1"/>
  <c r="AA418" i="1" s="1"/>
  <c r="W420" i="1"/>
  <c r="Y419" i="1" l="1"/>
  <c r="W421" i="1"/>
  <c r="S404" i="1"/>
  <c r="T404" i="1" s="1"/>
  <c r="R405" i="1"/>
  <c r="S405" i="1" l="1"/>
  <c r="T405" i="1" s="1"/>
  <c r="R406" i="1"/>
  <c r="Y420" i="1"/>
  <c r="W422" i="1"/>
  <c r="Z419" i="1"/>
  <c r="AA419" i="1" s="1"/>
  <c r="Y421" i="1" l="1"/>
  <c r="W423" i="1"/>
  <c r="Z420" i="1"/>
  <c r="AA420" i="1" s="1"/>
  <c r="R407" i="1"/>
  <c r="S406" i="1"/>
  <c r="T406" i="1" s="1"/>
  <c r="R408" i="1" l="1"/>
  <c r="S407" i="1"/>
  <c r="T407" i="1" s="1"/>
  <c r="Y422" i="1"/>
  <c r="W424" i="1"/>
  <c r="Z421" i="1"/>
  <c r="AA421" i="1" s="1"/>
  <c r="Y423" i="1" l="1"/>
  <c r="W425" i="1"/>
  <c r="Z422" i="1"/>
  <c r="AA422" i="1" s="1"/>
  <c r="R409" i="1"/>
  <c r="S408" i="1"/>
  <c r="T408" i="1" s="1"/>
  <c r="R410" i="1" l="1"/>
  <c r="S409" i="1"/>
  <c r="T409" i="1" s="1"/>
  <c r="Y424" i="1"/>
  <c r="W426" i="1"/>
  <c r="Z423" i="1"/>
  <c r="AA423" i="1" s="1"/>
  <c r="Y425" i="1" l="1"/>
  <c r="W427" i="1"/>
  <c r="Z424" i="1"/>
  <c r="AA424" i="1" s="1"/>
  <c r="R411" i="1"/>
  <c r="S410" i="1"/>
  <c r="T410" i="1" s="1"/>
  <c r="Z425" i="1" l="1"/>
  <c r="AA425" i="1" s="1"/>
  <c r="R412" i="1"/>
  <c r="S411" i="1"/>
  <c r="T411" i="1" s="1"/>
  <c r="Y426" i="1"/>
  <c r="W428" i="1"/>
  <c r="Z426" i="1" l="1"/>
  <c r="AA426" i="1" s="1"/>
  <c r="Y427" i="1"/>
  <c r="W429" i="1"/>
  <c r="R413" i="1"/>
  <c r="S412" i="1"/>
  <c r="T412" i="1" s="1"/>
  <c r="Z427" i="1" l="1"/>
  <c r="AA427" i="1" s="1"/>
  <c r="R414" i="1"/>
  <c r="S413" i="1"/>
  <c r="T413" i="1" s="1"/>
  <c r="Y428" i="1"/>
  <c r="W430" i="1"/>
  <c r="Z428" i="1" l="1"/>
  <c r="AA428" i="1" s="1"/>
  <c r="Y429" i="1"/>
  <c r="W431" i="1"/>
  <c r="R415" i="1"/>
  <c r="S414" i="1"/>
  <c r="T414" i="1" s="1"/>
  <c r="Z429" i="1" l="1"/>
  <c r="AA429" i="1" s="1"/>
  <c r="R416" i="1"/>
  <c r="S415" i="1"/>
  <c r="T415" i="1" s="1"/>
  <c r="Y430" i="1"/>
  <c r="Z430" i="1" s="1"/>
  <c r="AA430" i="1" s="1"/>
  <c r="W432" i="1"/>
  <c r="Y431" i="1" l="1"/>
  <c r="Z431" i="1" s="1"/>
  <c r="AA431" i="1" s="1"/>
  <c r="W433" i="1"/>
  <c r="R417" i="1"/>
  <c r="S416" i="1"/>
  <c r="T416" i="1" s="1"/>
  <c r="R418" i="1" l="1"/>
  <c r="S417" i="1"/>
  <c r="T417" i="1" s="1"/>
  <c r="Y432" i="1"/>
  <c r="Z432" i="1" s="1"/>
  <c r="AA432" i="1" s="1"/>
  <c r="W434" i="1"/>
  <c r="Y433" i="1" l="1"/>
  <c r="W435" i="1"/>
  <c r="R419" i="1"/>
  <c r="S418" i="1"/>
  <c r="T418" i="1" s="1"/>
  <c r="R420" i="1" l="1"/>
  <c r="S419" i="1"/>
  <c r="T419" i="1" s="1"/>
  <c r="Y434" i="1"/>
  <c r="W436" i="1"/>
  <c r="Z433" i="1"/>
  <c r="AA433" i="1" s="1"/>
  <c r="Z434" i="1" l="1"/>
  <c r="AA434" i="1" s="1"/>
  <c r="Y435" i="1"/>
  <c r="W437" i="1"/>
  <c r="R421" i="1"/>
  <c r="S420" i="1"/>
  <c r="T420" i="1" s="1"/>
  <c r="Z435" i="1" l="1"/>
  <c r="AA435" i="1" s="1"/>
  <c r="R422" i="1"/>
  <c r="S421" i="1"/>
  <c r="T421" i="1" s="1"/>
  <c r="Y436" i="1"/>
  <c r="W438" i="1"/>
  <c r="Z436" i="1" l="1"/>
  <c r="AA436" i="1" s="1"/>
  <c r="Y437" i="1"/>
  <c r="W439" i="1"/>
  <c r="S422" i="1"/>
  <c r="T422" i="1" s="1"/>
  <c r="R423" i="1"/>
  <c r="Z437" i="1" l="1"/>
  <c r="AA437" i="1" s="1"/>
  <c r="R424" i="1"/>
  <c r="S423" i="1"/>
  <c r="T423" i="1" s="1"/>
  <c r="Y438" i="1"/>
  <c r="W440" i="1"/>
  <c r="Z438" i="1" l="1"/>
  <c r="AA438" i="1" s="1"/>
  <c r="Y439" i="1"/>
  <c r="W441" i="1"/>
  <c r="R425" i="1"/>
  <c r="S424" i="1"/>
  <c r="T424" i="1" s="1"/>
  <c r="Z439" i="1" l="1"/>
  <c r="AA439" i="1" s="1"/>
  <c r="R426" i="1"/>
  <c r="S425" i="1"/>
  <c r="T425" i="1" s="1"/>
  <c r="Y440" i="1"/>
  <c r="W442" i="1"/>
  <c r="Z440" i="1" l="1"/>
  <c r="AA440" i="1" s="1"/>
  <c r="Y441" i="1"/>
  <c r="W443" i="1"/>
  <c r="R427" i="1"/>
  <c r="S426" i="1"/>
  <c r="T426" i="1" s="1"/>
  <c r="Z441" i="1" l="1"/>
  <c r="AA441" i="1" s="1"/>
  <c r="R428" i="1"/>
  <c r="S427" i="1"/>
  <c r="T427" i="1" s="1"/>
  <c r="Y442" i="1"/>
  <c r="W444" i="1"/>
  <c r="Z442" i="1" l="1"/>
  <c r="AA442" i="1" s="1"/>
  <c r="Y443" i="1"/>
  <c r="Z443" i="1" s="1"/>
  <c r="AA443" i="1" s="1"/>
  <c r="W445" i="1"/>
  <c r="R429" i="1"/>
  <c r="S428" i="1"/>
  <c r="T428" i="1" s="1"/>
  <c r="R430" i="1" l="1"/>
  <c r="S429" i="1"/>
  <c r="T429" i="1" s="1"/>
  <c r="Y444" i="1"/>
  <c r="Z444" i="1" s="1"/>
  <c r="AA444" i="1" s="1"/>
  <c r="W446" i="1"/>
  <c r="Y445" i="1" l="1"/>
  <c r="Z445" i="1" s="1"/>
  <c r="AA445" i="1" s="1"/>
  <c r="W447" i="1"/>
  <c r="R431" i="1"/>
  <c r="S430" i="1"/>
  <c r="T430" i="1" s="1"/>
  <c r="R432" i="1" l="1"/>
  <c r="S431" i="1"/>
  <c r="T431" i="1" s="1"/>
  <c r="Y446" i="1"/>
  <c r="Z446" i="1" s="1"/>
  <c r="AA446" i="1" s="1"/>
  <c r="W448" i="1"/>
  <c r="Y447" i="1" l="1"/>
  <c r="Z447" i="1" s="1"/>
  <c r="AA447" i="1" s="1"/>
  <c r="W449" i="1"/>
  <c r="R433" i="1"/>
  <c r="S432" i="1"/>
  <c r="T432" i="1" s="1"/>
  <c r="R434" i="1" l="1"/>
  <c r="S433" i="1"/>
  <c r="T433" i="1" s="1"/>
  <c r="Y448" i="1"/>
  <c r="Z448" i="1" s="1"/>
  <c r="AA448" i="1" s="1"/>
  <c r="W450" i="1"/>
  <c r="Y449" i="1" l="1"/>
  <c r="Z449" i="1" s="1"/>
  <c r="AA449" i="1" s="1"/>
  <c r="W451" i="1"/>
  <c r="R435" i="1"/>
  <c r="S434" i="1"/>
  <c r="T434" i="1" s="1"/>
  <c r="R436" i="1" l="1"/>
  <c r="S435" i="1"/>
  <c r="T435" i="1" s="1"/>
  <c r="Y450" i="1"/>
  <c r="Z450" i="1" s="1"/>
  <c r="AA450" i="1" s="1"/>
  <c r="W452" i="1"/>
  <c r="Y451" i="1" l="1"/>
  <c r="Z451" i="1" s="1"/>
  <c r="AA451" i="1" s="1"/>
  <c r="W453" i="1"/>
  <c r="S436" i="1"/>
  <c r="T436" i="1" s="1"/>
  <c r="R437" i="1"/>
  <c r="R438" i="1" l="1"/>
  <c r="S437" i="1"/>
  <c r="T437" i="1" s="1"/>
  <c r="Y452" i="1"/>
  <c r="Z452" i="1" s="1"/>
  <c r="AA452" i="1" s="1"/>
  <c r="W454" i="1"/>
  <c r="Y453" i="1" l="1"/>
  <c r="Z453" i="1" s="1"/>
  <c r="AA453" i="1" s="1"/>
  <c r="W455" i="1"/>
  <c r="R439" i="1"/>
  <c r="S438" i="1"/>
  <c r="T438" i="1" s="1"/>
  <c r="R440" i="1" l="1"/>
  <c r="S439" i="1"/>
  <c r="T439" i="1" s="1"/>
  <c r="Y454" i="1"/>
  <c r="Z454" i="1" s="1"/>
  <c r="AA454" i="1" s="1"/>
  <c r="W456" i="1"/>
  <c r="Y455" i="1" l="1"/>
  <c r="Z455" i="1" s="1"/>
  <c r="AA455" i="1" s="1"/>
  <c r="W457" i="1"/>
  <c r="R441" i="1"/>
  <c r="S440" i="1"/>
  <c r="T440" i="1" s="1"/>
  <c r="R442" i="1" l="1"/>
  <c r="S441" i="1"/>
  <c r="T441" i="1" s="1"/>
  <c r="Y456" i="1"/>
  <c r="Z456" i="1" s="1"/>
  <c r="AA456" i="1" s="1"/>
  <c r="W458" i="1"/>
  <c r="Y457" i="1" l="1"/>
  <c r="Z457" i="1" s="1"/>
  <c r="AA457" i="1" s="1"/>
  <c r="W459" i="1"/>
  <c r="R443" i="1"/>
  <c r="S442" i="1"/>
  <c r="T442" i="1" s="1"/>
  <c r="R444" i="1" l="1"/>
  <c r="S443" i="1"/>
  <c r="T443" i="1" s="1"/>
  <c r="Y458" i="1"/>
  <c r="Z458" i="1" s="1"/>
  <c r="AA458" i="1" s="1"/>
  <c r="W460" i="1"/>
  <c r="Y459" i="1" l="1"/>
  <c r="W461" i="1"/>
  <c r="R445" i="1"/>
  <c r="S444" i="1"/>
  <c r="T444" i="1" s="1"/>
  <c r="R446" i="1" l="1"/>
  <c r="S445" i="1"/>
  <c r="T445" i="1" s="1"/>
  <c r="Y460" i="1"/>
  <c r="W462" i="1"/>
  <c r="Z459" i="1"/>
  <c r="AA459" i="1" s="1"/>
  <c r="Y461" i="1" l="1"/>
  <c r="W463" i="1"/>
  <c r="Z460" i="1"/>
  <c r="AA460" i="1" s="1"/>
  <c r="R447" i="1"/>
  <c r="S446" i="1"/>
  <c r="T446" i="1" s="1"/>
  <c r="R448" i="1" l="1"/>
  <c r="S447" i="1"/>
  <c r="T447" i="1" s="1"/>
  <c r="Y462" i="1"/>
  <c r="W464" i="1"/>
  <c r="Z461" i="1"/>
  <c r="AA461" i="1" s="1"/>
  <c r="Y463" i="1" l="1"/>
  <c r="W465" i="1"/>
  <c r="Z462" i="1"/>
  <c r="AA462" i="1" s="1"/>
  <c r="R449" i="1"/>
  <c r="S448" i="1"/>
  <c r="T448" i="1" s="1"/>
  <c r="R450" i="1" l="1"/>
  <c r="S449" i="1"/>
  <c r="T449" i="1" s="1"/>
  <c r="Y464" i="1"/>
  <c r="W466" i="1"/>
  <c r="Z463" i="1"/>
  <c r="AA463" i="1" s="1"/>
  <c r="Y465" i="1" l="1"/>
  <c r="W467" i="1"/>
  <c r="Z464" i="1"/>
  <c r="AA464" i="1" s="1"/>
  <c r="R451" i="1"/>
  <c r="S450" i="1"/>
  <c r="T450" i="1" s="1"/>
  <c r="R452" i="1" l="1"/>
  <c r="S451" i="1"/>
  <c r="T451" i="1" s="1"/>
  <c r="Y466" i="1"/>
  <c r="W468" i="1"/>
  <c r="Z465" i="1"/>
  <c r="AA465" i="1" s="1"/>
  <c r="Y467" i="1" l="1"/>
  <c r="W469" i="1"/>
  <c r="Z466" i="1"/>
  <c r="AA466" i="1" s="1"/>
  <c r="R453" i="1"/>
  <c r="S452" i="1"/>
  <c r="T452" i="1" s="1"/>
  <c r="R454" i="1" l="1"/>
  <c r="S453" i="1"/>
  <c r="T453" i="1" s="1"/>
  <c r="Y468" i="1"/>
  <c r="W470" i="1"/>
  <c r="Z467" i="1"/>
  <c r="AA467" i="1" s="1"/>
  <c r="Z468" i="1" l="1"/>
  <c r="AA468" i="1" s="1"/>
  <c r="Y469" i="1"/>
  <c r="W471" i="1"/>
  <c r="R455" i="1"/>
  <c r="S454" i="1"/>
  <c r="T454" i="1" s="1"/>
  <c r="Z469" i="1" l="1"/>
  <c r="AA469" i="1" s="1"/>
  <c r="S455" i="1"/>
  <c r="T455" i="1" s="1"/>
  <c r="R456" i="1"/>
  <c r="Y470" i="1"/>
  <c r="W472" i="1"/>
  <c r="Z470" i="1" l="1"/>
  <c r="AA470" i="1" s="1"/>
  <c r="Y471" i="1"/>
  <c r="W473" i="1"/>
  <c r="R457" i="1"/>
  <c r="S456" i="1"/>
  <c r="T456" i="1" s="1"/>
  <c r="Z471" i="1" l="1"/>
  <c r="AA471" i="1" s="1"/>
  <c r="Y472" i="1"/>
  <c r="W474" i="1"/>
  <c r="R458" i="1"/>
  <c r="S457" i="1"/>
  <c r="T457" i="1" s="1"/>
  <c r="Z472" i="1" l="1"/>
  <c r="AA472" i="1" s="1"/>
  <c r="R459" i="1"/>
  <c r="S458" i="1"/>
  <c r="T458" i="1" s="1"/>
  <c r="Y473" i="1"/>
  <c r="W475" i="1"/>
  <c r="Z473" i="1" l="1"/>
  <c r="AA473" i="1" s="1"/>
  <c r="Y474" i="1"/>
  <c r="W476" i="1"/>
  <c r="R460" i="1"/>
  <c r="S459" i="1"/>
  <c r="T459" i="1" s="1"/>
  <c r="Z474" i="1" l="1"/>
  <c r="AA474" i="1" s="1"/>
  <c r="R461" i="1"/>
  <c r="S460" i="1"/>
  <c r="T460" i="1" s="1"/>
  <c r="Y475" i="1"/>
  <c r="W477" i="1"/>
  <c r="Z475" i="1" l="1"/>
  <c r="AA475" i="1" s="1"/>
  <c r="Y476" i="1"/>
  <c r="W478" i="1"/>
  <c r="R462" i="1"/>
  <c r="S461" i="1"/>
  <c r="T461" i="1" s="1"/>
  <c r="Z476" i="1" l="1"/>
  <c r="AA476" i="1" s="1"/>
  <c r="R463" i="1"/>
  <c r="S462" i="1"/>
  <c r="T462" i="1" s="1"/>
  <c r="Y477" i="1"/>
  <c r="W479" i="1"/>
  <c r="Z477" i="1" l="1"/>
  <c r="AA477" i="1" s="1"/>
  <c r="Y478" i="1"/>
  <c r="Z478" i="1" s="1"/>
  <c r="AA478" i="1" s="1"/>
  <c r="W480" i="1"/>
  <c r="R464" i="1"/>
  <c r="S463" i="1"/>
  <c r="T463" i="1" s="1"/>
  <c r="S464" i="1" l="1"/>
  <c r="T464" i="1" s="1"/>
  <c r="R465" i="1"/>
  <c r="Y479" i="1"/>
  <c r="Z479" i="1" s="1"/>
  <c r="AA479" i="1" s="1"/>
  <c r="W481" i="1"/>
  <c r="Y480" i="1" l="1"/>
  <c r="Z480" i="1" s="1"/>
  <c r="AA480" i="1" s="1"/>
  <c r="W482" i="1"/>
  <c r="R466" i="1"/>
  <c r="S465" i="1"/>
  <c r="T465" i="1" s="1"/>
  <c r="R467" i="1" l="1"/>
  <c r="S466" i="1"/>
  <c r="T466" i="1" s="1"/>
  <c r="Y481" i="1"/>
  <c r="Z481" i="1" s="1"/>
  <c r="AA481" i="1" s="1"/>
  <c r="W483" i="1"/>
  <c r="Y482" i="1" l="1"/>
  <c r="Z482" i="1" s="1"/>
  <c r="AA482" i="1" s="1"/>
  <c r="W484" i="1"/>
  <c r="R468" i="1"/>
  <c r="S467" i="1"/>
  <c r="T467" i="1" s="1"/>
  <c r="R469" i="1" l="1"/>
  <c r="S468" i="1"/>
  <c r="T468" i="1" s="1"/>
  <c r="Y483" i="1"/>
  <c r="Z483" i="1" s="1"/>
  <c r="AA483" i="1" s="1"/>
  <c r="W485" i="1"/>
  <c r="Y484" i="1" l="1"/>
  <c r="Z484" i="1" s="1"/>
  <c r="AA484" i="1" s="1"/>
  <c r="W486" i="1"/>
  <c r="R470" i="1"/>
  <c r="S469" i="1"/>
  <c r="T469" i="1" s="1"/>
  <c r="R471" i="1" l="1"/>
  <c r="S470" i="1"/>
  <c r="T470" i="1" s="1"/>
  <c r="Y485" i="1"/>
  <c r="W487" i="1"/>
  <c r="Y486" i="1" l="1"/>
  <c r="W488" i="1"/>
  <c r="Z485" i="1"/>
  <c r="AA485" i="1" s="1"/>
  <c r="R472" i="1"/>
  <c r="S471" i="1"/>
  <c r="T471" i="1" s="1"/>
  <c r="R473" i="1" l="1"/>
  <c r="S472" i="1"/>
  <c r="T472" i="1" s="1"/>
  <c r="Y487" i="1"/>
  <c r="W489" i="1"/>
  <c r="Z486" i="1"/>
  <c r="AA486" i="1" s="1"/>
  <c r="Y488" i="1" l="1"/>
  <c r="W490" i="1"/>
  <c r="Z487" i="1"/>
  <c r="AA487" i="1" s="1"/>
  <c r="R474" i="1"/>
  <c r="S473" i="1"/>
  <c r="T473" i="1" s="1"/>
  <c r="R475" i="1" l="1"/>
  <c r="S474" i="1"/>
  <c r="T474" i="1" s="1"/>
  <c r="Y489" i="1"/>
  <c r="W491" i="1"/>
  <c r="Z488" i="1"/>
  <c r="AA488" i="1" s="1"/>
  <c r="Y490" i="1" l="1"/>
  <c r="W492" i="1"/>
  <c r="Z489" i="1"/>
  <c r="AA489" i="1" s="1"/>
  <c r="R476" i="1"/>
  <c r="S475" i="1"/>
  <c r="T475" i="1" s="1"/>
  <c r="Y491" i="1" l="1"/>
  <c r="W493" i="1"/>
  <c r="R477" i="1"/>
  <c r="S476" i="1"/>
  <c r="T476" i="1" s="1"/>
  <c r="Z490" i="1"/>
  <c r="AA490" i="1" s="1"/>
  <c r="R478" i="1" l="1"/>
  <c r="S477" i="1"/>
  <c r="T477" i="1" s="1"/>
  <c r="Y492" i="1"/>
  <c r="W494" i="1"/>
  <c r="Z491" i="1"/>
  <c r="AA491" i="1" s="1"/>
  <c r="Y493" i="1" l="1"/>
  <c r="W495" i="1"/>
  <c r="Z492" i="1"/>
  <c r="AA492" i="1" s="1"/>
  <c r="S478" i="1"/>
  <c r="T478" i="1" s="1"/>
  <c r="R479" i="1"/>
  <c r="R480" i="1" l="1"/>
  <c r="S479" i="1"/>
  <c r="T479" i="1" s="1"/>
  <c r="Y494" i="1"/>
  <c r="W496" i="1"/>
  <c r="Z493" i="1"/>
  <c r="AA493" i="1" s="1"/>
  <c r="Y495" i="1" l="1"/>
  <c r="W497" i="1"/>
  <c r="Z494" i="1"/>
  <c r="AA494" i="1" s="1"/>
  <c r="R481" i="1"/>
  <c r="S480" i="1"/>
  <c r="T480" i="1" s="1"/>
  <c r="R482" i="1" l="1"/>
  <c r="S481" i="1"/>
  <c r="T481" i="1" s="1"/>
  <c r="Y496" i="1"/>
  <c r="W498" i="1"/>
  <c r="Z495" i="1"/>
  <c r="AA495" i="1" s="1"/>
  <c r="Z496" i="1" l="1"/>
  <c r="AA496" i="1" s="1"/>
  <c r="Y497" i="1"/>
  <c r="W499" i="1"/>
  <c r="R483" i="1"/>
  <c r="S482" i="1"/>
  <c r="T482" i="1" s="1"/>
  <c r="Z497" i="1" l="1"/>
  <c r="AA497" i="1" s="1"/>
  <c r="Y498" i="1"/>
  <c r="W500" i="1"/>
  <c r="R484" i="1"/>
  <c r="S483" i="1"/>
  <c r="T483" i="1" s="1"/>
  <c r="Z498" i="1" l="1"/>
  <c r="AA498" i="1" s="1"/>
  <c r="Y499" i="1"/>
  <c r="W501" i="1"/>
  <c r="R485" i="1"/>
  <c r="S484" i="1"/>
  <c r="T484" i="1" s="1"/>
  <c r="Z499" i="1" l="1"/>
  <c r="AA499" i="1" s="1"/>
  <c r="R486" i="1"/>
  <c r="S485" i="1"/>
  <c r="T485" i="1" s="1"/>
  <c r="Y500" i="1"/>
  <c r="W502" i="1"/>
  <c r="Z500" i="1" l="1"/>
  <c r="AA500" i="1" s="1"/>
  <c r="Y501" i="1"/>
  <c r="W503" i="1"/>
  <c r="R487" i="1"/>
  <c r="S486" i="1"/>
  <c r="T486" i="1" s="1"/>
  <c r="Z501" i="1" l="1"/>
  <c r="AA501" i="1" s="1"/>
  <c r="Y502" i="1"/>
  <c r="W504" i="1"/>
  <c r="R488" i="1"/>
  <c r="S487" i="1"/>
  <c r="T487" i="1" s="1"/>
  <c r="Z502" i="1" l="1"/>
  <c r="AA502" i="1" s="1"/>
  <c r="S488" i="1"/>
  <c r="T488" i="1" s="1"/>
  <c r="R489" i="1"/>
  <c r="Y503" i="1"/>
  <c r="W505" i="1"/>
  <c r="Z503" i="1" l="1"/>
  <c r="AA503" i="1" s="1"/>
  <c r="Y504" i="1"/>
  <c r="W506" i="1"/>
  <c r="S489" i="1"/>
  <c r="T489" i="1" s="1"/>
  <c r="R490" i="1"/>
  <c r="Z504" i="1" l="1"/>
  <c r="AA504" i="1" s="1"/>
  <c r="R491" i="1"/>
  <c r="S490" i="1"/>
  <c r="T490" i="1" s="1"/>
  <c r="Y505" i="1"/>
  <c r="W507" i="1"/>
  <c r="Z505" i="1" l="1"/>
  <c r="AA505" i="1" s="1"/>
  <c r="Y506" i="1"/>
  <c r="Z506" i="1" s="1"/>
  <c r="AA506" i="1" s="1"/>
  <c r="W508" i="1"/>
  <c r="R492" i="1"/>
  <c r="S491" i="1"/>
  <c r="T491" i="1" s="1"/>
  <c r="R493" i="1" l="1"/>
  <c r="S492" i="1"/>
  <c r="T492" i="1" s="1"/>
  <c r="Y507" i="1"/>
  <c r="Z507" i="1" s="1"/>
  <c r="AA507" i="1" s="1"/>
  <c r="W509" i="1"/>
  <c r="Y508" i="1" l="1"/>
  <c r="Z508" i="1" s="1"/>
  <c r="AA508" i="1" s="1"/>
  <c r="W510" i="1"/>
  <c r="R494" i="1"/>
  <c r="S493" i="1"/>
  <c r="T493" i="1" s="1"/>
  <c r="R495" i="1" l="1"/>
  <c r="S494" i="1"/>
  <c r="T494" i="1" s="1"/>
  <c r="Y509" i="1"/>
  <c r="Z509" i="1" s="1"/>
  <c r="AA509" i="1" s="1"/>
  <c r="W511" i="1"/>
  <c r="Y510" i="1" l="1"/>
  <c r="Z510" i="1" s="1"/>
  <c r="AA510" i="1" s="1"/>
  <c r="W512" i="1"/>
  <c r="R496" i="1"/>
  <c r="S495" i="1"/>
  <c r="T495" i="1" s="1"/>
  <c r="R497" i="1" l="1"/>
  <c r="S496" i="1"/>
  <c r="T496" i="1" s="1"/>
  <c r="Y511" i="1"/>
  <c r="Z511" i="1" s="1"/>
  <c r="AA511" i="1" s="1"/>
  <c r="W513" i="1"/>
  <c r="Y512" i="1" l="1"/>
  <c r="W514" i="1"/>
  <c r="R498" i="1"/>
  <c r="S497" i="1"/>
  <c r="T497" i="1" s="1"/>
  <c r="Y513" i="1" l="1"/>
  <c r="W515" i="1"/>
  <c r="R499" i="1"/>
  <c r="S498" i="1"/>
  <c r="T498" i="1" s="1"/>
  <c r="Z512" i="1"/>
  <c r="Z513" i="1" l="1"/>
  <c r="AA513" i="1" s="1"/>
  <c r="Y514" i="1"/>
  <c r="Z514" i="1" s="1"/>
  <c r="AA514" i="1" s="1"/>
  <c r="W516" i="1"/>
  <c r="AA512" i="1"/>
  <c r="R500" i="1"/>
  <c r="S499" i="1"/>
  <c r="T499" i="1" s="1"/>
  <c r="Y515" i="1" l="1"/>
  <c r="Z515" i="1" s="1"/>
  <c r="W517" i="1"/>
  <c r="R501" i="1"/>
  <c r="S500" i="1"/>
  <c r="T500" i="1" s="1"/>
  <c r="AA515" i="1" l="1"/>
  <c r="Y516" i="1"/>
  <c r="Z516" i="1" s="1"/>
  <c r="W518" i="1"/>
  <c r="R502" i="1"/>
  <c r="S501" i="1"/>
  <c r="T501" i="1" s="1"/>
  <c r="AA516" i="1" l="1"/>
  <c r="Y517" i="1"/>
  <c r="Z517" i="1" s="1"/>
  <c r="W519" i="1"/>
  <c r="AA517" i="1"/>
  <c r="R503" i="1"/>
  <c r="S502" i="1"/>
  <c r="T502" i="1" s="1"/>
  <c r="Y518" i="1" l="1"/>
  <c r="Z518" i="1" s="1"/>
  <c r="W520" i="1"/>
  <c r="AA518" i="1"/>
  <c r="R504" i="1"/>
  <c r="S503" i="1"/>
  <c r="T503" i="1" s="1"/>
  <c r="Y519" i="1" l="1"/>
  <c r="Z519" i="1" s="1"/>
  <c r="W521" i="1"/>
  <c r="R505" i="1"/>
  <c r="S504" i="1"/>
  <c r="T504" i="1" s="1"/>
  <c r="AA519" i="1" l="1"/>
  <c r="Y520" i="1"/>
  <c r="Z520" i="1" s="1"/>
  <c r="W522" i="1"/>
  <c r="AA520" i="1"/>
  <c r="R506" i="1"/>
  <c r="S505" i="1"/>
  <c r="T505" i="1" s="1"/>
  <c r="Y521" i="1" l="1"/>
  <c r="Z521" i="1" s="1"/>
  <c r="W523" i="1"/>
  <c r="R507" i="1"/>
  <c r="S506" i="1"/>
  <c r="T506" i="1" s="1"/>
  <c r="Y522" i="1" l="1"/>
  <c r="W524" i="1"/>
  <c r="AA521" i="1"/>
  <c r="Z522" i="1"/>
  <c r="AA522" i="1" s="1"/>
  <c r="R508" i="1"/>
  <c r="S507" i="1"/>
  <c r="T507" i="1" s="1"/>
  <c r="Y523" i="1" l="1"/>
  <c r="Z523" i="1" s="1"/>
  <c r="AA523" i="1" s="1"/>
  <c r="W525" i="1"/>
  <c r="Y524" i="1" s="1"/>
  <c r="R509" i="1"/>
  <c r="S508" i="1"/>
  <c r="T508" i="1" s="1"/>
  <c r="Z524" i="1" l="1"/>
  <c r="Z525" i="1" s="1"/>
  <c r="AA525" i="1" s="1"/>
  <c r="R510" i="1"/>
  <c r="S509" i="1"/>
  <c r="T509" i="1" s="1"/>
  <c r="AA524" i="1" l="1"/>
  <c r="R511" i="1"/>
  <c r="S510" i="1"/>
  <c r="T510" i="1" s="1"/>
  <c r="R512" i="1" l="1"/>
  <c r="S511" i="1"/>
  <c r="T511" i="1" s="1"/>
  <c r="R513" i="1" l="1"/>
  <c r="S512" i="1"/>
  <c r="T512" i="1" s="1"/>
  <c r="R514" i="1" l="1"/>
  <c r="S513" i="1"/>
  <c r="T513" i="1" s="1"/>
  <c r="S514" i="1" l="1"/>
  <c r="T514" i="1" s="1"/>
  <c r="R515" i="1"/>
  <c r="R516" i="1" l="1"/>
  <c r="S515" i="1"/>
  <c r="T515" i="1" s="1"/>
  <c r="R517" i="1" l="1"/>
  <c r="S516" i="1"/>
  <c r="T516" i="1" s="1"/>
  <c r="R518" i="1" l="1"/>
  <c r="S517" i="1"/>
  <c r="T517" i="1" s="1"/>
  <c r="R519" i="1" l="1"/>
  <c r="S518" i="1"/>
  <c r="T518" i="1" s="1"/>
  <c r="S519" i="1" l="1"/>
  <c r="T519" i="1" s="1"/>
  <c r="R520" i="1"/>
  <c r="R521" i="1" l="1"/>
  <c r="S520" i="1"/>
  <c r="T520" i="1" s="1"/>
  <c r="R522" i="1" l="1"/>
  <c r="S521" i="1"/>
  <c r="T521" i="1" s="1"/>
  <c r="S522" i="1" l="1"/>
  <c r="T522" i="1" s="1"/>
  <c r="R523" i="1"/>
  <c r="S523" i="1" l="1"/>
  <c r="T523" i="1" s="1"/>
  <c r="R524" i="1"/>
  <c r="R525" i="1" l="1"/>
  <c r="S525" i="1" s="1"/>
  <c r="T525" i="1" s="1"/>
  <c r="S524" i="1"/>
  <c r="T524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55F0B9E-5ACE-4E1D-9DBC-2D516DEC45B0}" keepAlive="1" name="Query - Forecast(1)" description="Connection to the 'Forecast' query in the workbook." type="5" refreshedVersion="8" background="1" saveData="1">
    <dbPr connection="Provider=Microsoft.Mashup.OleDb.1;Data Source=$Workbook$;Location=Forecast;Extended Properties=&quot;&quot;" command="SELECT * FROM [Forecast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530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  <bk>
      <extLst>
        <ext uri="{3e2802c4-a4d2-4d8b-9148-e3be6c30e623}">
          <xlrd:rvb i="377"/>
        </ext>
      </extLst>
    </bk>
    <bk>
      <extLst>
        <ext uri="{3e2802c4-a4d2-4d8b-9148-e3be6c30e623}">
          <xlrd:rvb i="378"/>
        </ext>
      </extLst>
    </bk>
    <bk>
      <extLst>
        <ext uri="{3e2802c4-a4d2-4d8b-9148-e3be6c30e623}">
          <xlrd:rvb i="379"/>
        </ext>
      </extLst>
    </bk>
    <bk>
      <extLst>
        <ext uri="{3e2802c4-a4d2-4d8b-9148-e3be6c30e623}">
          <xlrd:rvb i="380"/>
        </ext>
      </extLst>
    </bk>
    <bk>
      <extLst>
        <ext uri="{3e2802c4-a4d2-4d8b-9148-e3be6c30e623}">
          <xlrd:rvb i="381"/>
        </ext>
      </extLst>
    </bk>
    <bk>
      <extLst>
        <ext uri="{3e2802c4-a4d2-4d8b-9148-e3be6c30e623}">
          <xlrd:rvb i="382"/>
        </ext>
      </extLst>
    </bk>
    <bk>
      <extLst>
        <ext uri="{3e2802c4-a4d2-4d8b-9148-e3be6c30e623}">
          <xlrd:rvb i="383"/>
        </ext>
      </extLst>
    </bk>
    <bk>
      <extLst>
        <ext uri="{3e2802c4-a4d2-4d8b-9148-e3be6c30e623}">
          <xlrd:rvb i="384"/>
        </ext>
      </extLst>
    </bk>
    <bk>
      <extLst>
        <ext uri="{3e2802c4-a4d2-4d8b-9148-e3be6c30e623}">
          <xlrd:rvb i="385"/>
        </ext>
      </extLst>
    </bk>
    <bk>
      <extLst>
        <ext uri="{3e2802c4-a4d2-4d8b-9148-e3be6c30e623}">
          <xlrd:rvb i="386"/>
        </ext>
      </extLst>
    </bk>
    <bk>
      <extLst>
        <ext uri="{3e2802c4-a4d2-4d8b-9148-e3be6c30e623}">
          <xlrd:rvb i="387"/>
        </ext>
      </extLst>
    </bk>
    <bk>
      <extLst>
        <ext uri="{3e2802c4-a4d2-4d8b-9148-e3be6c30e623}">
          <xlrd:rvb i="388"/>
        </ext>
      </extLst>
    </bk>
    <bk>
      <extLst>
        <ext uri="{3e2802c4-a4d2-4d8b-9148-e3be6c30e623}">
          <xlrd:rvb i="389"/>
        </ext>
      </extLst>
    </bk>
    <bk>
      <extLst>
        <ext uri="{3e2802c4-a4d2-4d8b-9148-e3be6c30e623}">
          <xlrd:rvb i="390"/>
        </ext>
      </extLst>
    </bk>
    <bk>
      <extLst>
        <ext uri="{3e2802c4-a4d2-4d8b-9148-e3be6c30e623}">
          <xlrd:rvb i="391"/>
        </ext>
      </extLst>
    </bk>
    <bk>
      <extLst>
        <ext uri="{3e2802c4-a4d2-4d8b-9148-e3be6c30e623}">
          <xlrd:rvb i="392"/>
        </ext>
      </extLst>
    </bk>
    <bk>
      <extLst>
        <ext uri="{3e2802c4-a4d2-4d8b-9148-e3be6c30e623}">
          <xlrd:rvb i="393"/>
        </ext>
      </extLst>
    </bk>
    <bk>
      <extLst>
        <ext uri="{3e2802c4-a4d2-4d8b-9148-e3be6c30e623}">
          <xlrd:rvb i="394"/>
        </ext>
      </extLst>
    </bk>
    <bk>
      <extLst>
        <ext uri="{3e2802c4-a4d2-4d8b-9148-e3be6c30e623}">
          <xlrd:rvb i="395"/>
        </ext>
      </extLst>
    </bk>
    <bk>
      <extLst>
        <ext uri="{3e2802c4-a4d2-4d8b-9148-e3be6c30e623}">
          <xlrd:rvb i="396"/>
        </ext>
      </extLst>
    </bk>
    <bk>
      <extLst>
        <ext uri="{3e2802c4-a4d2-4d8b-9148-e3be6c30e623}">
          <xlrd:rvb i="397"/>
        </ext>
      </extLst>
    </bk>
    <bk>
      <extLst>
        <ext uri="{3e2802c4-a4d2-4d8b-9148-e3be6c30e623}">
          <xlrd:rvb i="398"/>
        </ext>
      </extLst>
    </bk>
    <bk>
      <extLst>
        <ext uri="{3e2802c4-a4d2-4d8b-9148-e3be6c30e623}">
          <xlrd:rvb i="399"/>
        </ext>
      </extLst>
    </bk>
    <bk>
      <extLst>
        <ext uri="{3e2802c4-a4d2-4d8b-9148-e3be6c30e623}">
          <xlrd:rvb i="400"/>
        </ext>
      </extLst>
    </bk>
    <bk>
      <extLst>
        <ext uri="{3e2802c4-a4d2-4d8b-9148-e3be6c30e623}">
          <xlrd:rvb i="401"/>
        </ext>
      </extLst>
    </bk>
    <bk>
      <extLst>
        <ext uri="{3e2802c4-a4d2-4d8b-9148-e3be6c30e623}">
          <xlrd:rvb i="402"/>
        </ext>
      </extLst>
    </bk>
    <bk>
      <extLst>
        <ext uri="{3e2802c4-a4d2-4d8b-9148-e3be6c30e623}">
          <xlrd:rvb i="403"/>
        </ext>
      </extLst>
    </bk>
    <bk>
      <extLst>
        <ext uri="{3e2802c4-a4d2-4d8b-9148-e3be6c30e623}">
          <xlrd:rvb i="404"/>
        </ext>
      </extLst>
    </bk>
    <bk>
      <extLst>
        <ext uri="{3e2802c4-a4d2-4d8b-9148-e3be6c30e623}">
          <xlrd:rvb i="405"/>
        </ext>
      </extLst>
    </bk>
    <bk>
      <extLst>
        <ext uri="{3e2802c4-a4d2-4d8b-9148-e3be6c30e623}">
          <xlrd:rvb i="406"/>
        </ext>
      </extLst>
    </bk>
    <bk>
      <extLst>
        <ext uri="{3e2802c4-a4d2-4d8b-9148-e3be6c30e623}">
          <xlrd:rvb i="407"/>
        </ext>
      </extLst>
    </bk>
    <bk>
      <extLst>
        <ext uri="{3e2802c4-a4d2-4d8b-9148-e3be6c30e623}">
          <xlrd:rvb i="408"/>
        </ext>
      </extLst>
    </bk>
    <bk>
      <extLst>
        <ext uri="{3e2802c4-a4d2-4d8b-9148-e3be6c30e623}">
          <xlrd:rvb i="409"/>
        </ext>
      </extLst>
    </bk>
    <bk>
      <extLst>
        <ext uri="{3e2802c4-a4d2-4d8b-9148-e3be6c30e623}">
          <xlrd:rvb i="410"/>
        </ext>
      </extLst>
    </bk>
    <bk>
      <extLst>
        <ext uri="{3e2802c4-a4d2-4d8b-9148-e3be6c30e623}">
          <xlrd:rvb i="411"/>
        </ext>
      </extLst>
    </bk>
    <bk>
      <extLst>
        <ext uri="{3e2802c4-a4d2-4d8b-9148-e3be6c30e623}">
          <xlrd:rvb i="412"/>
        </ext>
      </extLst>
    </bk>
    <bk>
      <extLst>
        <ext uri="{3e2802c4-a4d2-4d8b-9148-e3be6c30e623}">
          <xlrd:rvb i="413"/>
        </ext>
      </extLst>
    </bk>
    <bk>
      <extLst>
        <ext uri="{3e2802c4-a4d2-4d8b-9148-e3be6c30e623}">
          <xlrd:rvb i="414"/>
        </ext>
      </extLst>
    </bk>
    <bk>
      <extLst>
        <ext uri="{3e2802c4-a4d2-4d8b-9148-e3be6c30e623}">
          <xlrd:rvb i="415"/>
        </ext>
      </extLst>
    </bk>
    <bk>
      <extLst>
        <ext uri="{3e2802c4-a4d2-4d8b-9148-e3be6c30e623}">
          <xlrd:rvb i="416"/>
        </ext>
      </extLst>
    </bk>
    <bk>
      <extLst>
        <ext uri="{3e2802c4-a4d2-4d8b-9148-e3be6c30e623}">
          <xlrd:rvb i="417"/>
        </ext>
      </extLst>
    </bk>
    <bk>
      <extLst>
        <ext uri="{3e2802c4-a4d2-4d8b-9148-e3be6c30e623}">
          <xlrd:rvb i="418"/>
        </ext>
      </extLst>
    </bk>
    <bk>
      <extLst>
        <ext uri="{3e2802c4-a4d2-4d8b-9148-e3be6c30e623}">
          <xlrd:rvb i="419"/>
        </ext>
      </extLst>
    </bk>
    <bk>
      <extLst>
        <ext uri="{3e2802c4-a4d2-4d8b-9148-e3be6c30e623}">
          <xlrd:rvb i="420"/>
        </ext>
      </extLst>
    </bk>
    <bk>
      <extLst>
        <ext uri="{3e2802c4-a4d2-4d8b-9148-e3be6c30e623}">
          <xlrd:rvb i="421"/>
        </ext>
      </extLst>
    </bk>
    <bk>
      <extLst>
        <ext uri="{3e2802c4-a4d2-4d8b-9148-e3be6c30e623}">
          <xlrd:rvb i="422"/>
        </ext>
      </extLst>
    </bk>
    <bk>
      <extLst>
        <ext uri="{3e2802c4-a4d2-4d8b-9148-e3be6c30e623}">
          <xlrd:rvb i="423"/>
        </ext>
      </extLst>
    </bk>
    <bk>
      <extLst>
        <ext uri="{3e2802c4-a4d2-4d8b-9148-e3be6c30e623}">
          <xlrd:rvb i="424"/>
        </ext>
      </extLst>
    </bk>
    <bk>
      <extLst>
        <ext uri="{3e2802c4-a4d2-4d8b-9148-e3be6c30e623}">
          <xlrd:rvb i="425"/>
        </ext>
      </extLst>
    </bk>
    <bk>
      <extLst>
        <ext uri="{3e2802c4-a4d2-4d8b-9148-e3be6c30e623}">
          <xlrd:rvb i="426"/>
        </ext>
      </extLst>
    </bk>
    <bk>
      <extLst>
        <ext uri="{3e2802c4-a4d2-4d8b-9148-e3be6c30e623}">
          <xlrd:rvb i="427"/>
        </ext>
      </extLst>
    </bk>
    <bk>
      <extLst>
        <ext uri="{3e2802c4-a4d2-4d8b-9148-e3be6c30e623}">
          <xlrd:rvb i="428"/>
        </ext>
      </extLst>
    </bk>
    <bk>
      <extLst>
        <ext uri="{3e2802c4-a4d2-4d8b-9148-e3be6c30e623}">
          <xlrd:rvb i="429"/>
        </ext>
      </extLst>
    </bk>
    <bk>
      <extLst>
        <ext uri="{3e2802c4-a4d2-4d8b-9148-e3be6c30e623}">
          <xlrd:rvb i="430"/>
        </ext>
      </extLst>
    </bk>
    <bk>
      <extLst>
        <ext uri="{3e2802c4-a4d2-4d8b-9148-e3be6c30e623}">
          <xlrd:rvb i="431"/>
        </ext>
      </extLst>
    </bk>
    <bk>
      <extLst>
        <ext uri="{3e2802c4-a4d2-4d8b-9148-e3be6c30e623}">
          <xlrd:rvb i="432"/>
        </ext>
      </extLst>
    </bk>
    <bk>
      <extLst>
        <ext uri="{3e2802c4-a4d2-4d8b-9148-e3be6c30e623}">
          <xlrd:rvb i="433"/>
        </ext>
      </extLst>
    </bk>
    <bk>
      <extLst>
        <ext uri="{3e2802c4-a4d2-4d8b-9148-e3be6c30e623}">
          <xlrd:rvb i="434"/>
        </ext>
      </extLst>
    </bk>
    <bk>
      <extLst>
        <ext uri="{3e2802c4-a4d2-4d8b-9148-e3be6c30e623}">
          <xlrd:rvb i="435"/>
        </ext>
      </extLst>
    </bk>
    <bk>
      <extLst>
        <ext uri="{3e2802c4-a4d2-4d8b-9148-e3be6c30e623}">
          <xlrd:rvb i="436"/>
        </ext>
      </extLst>
    </bk>
    <bk>
      <extLst>
        <ext uri="{3e2802c4-a4d2-4d8b-9148-e3be6c30e623}">
          <xlrd:rvb i="437"/>
        </ext>
      </extLst>
    </bk>
    <bk>
      <extLst>
        <ext uri="{3e2802c4-a4d2-4d8b-9148-e3be6c30e623}">
          <xlrd:rvb i="438"/>
        </ext>
      </extLst>
    </bk>
    <bk>
      <extLst>
        <ext uri="{3e2802c4-a4d2-4d8b-9148-e3be6c30e623}">
          <xlrd:rvb i="439"/>
        </ext>
      </extLst>
    </bk>
    <bk>
      <extLst>
        <ext uri="{3e2802c4-a4d2-4d8b-9148-e3be6c30e623}">
          <xlrd:rvb i="440"/>
        </ext>
      </extLst>
    </bk>
    <bk>
      <extLst>
        <ext uri="{3e2802c4-a4d2-4d8b-9148-e3be6c30e623}">
          <xlrd:rvb i="441"/>
        </ext>
      </extLst>
    </bk>
    <bk>
      <extLst>
        <ext uri="{3e2802c4-a4d2-4d8b-9148-e3be6c30e623}">
          <xlrd:rvb i="442"/>
        </ext>
      </extLst>
    </bk>
    <bk>
      <extLst>
        <ext uri="{3e2802c4-a4d2-4d8b-9148-e3be6c30e623}">
          <xlrd:rvb i="443"/>
        </ext>
      </extLst>
    </bk>
    <bk>
      <extLst>
        <ext uri="{3e2802c4-a4d2-4d8b-9148-e3be6c30e623}">
          <xlrd:rvb i="444"/>
        </ext>
      </extLst>
    </bk>
    <bk>
      <extLst>
        <ext uri="{3e2802c4-a4d2-4d8b-9148-e3be6c30e623}">
          <xlrd:rvb i="445"/>
        </ext>
      </extLst>
    </bk>
    <bk>
      <extLst>
        <ext uri="{3e2802c4-a4d2-4d8b-9148-e3be6c30e623}">
          <xlrd:rvb i="446"/>
        </ext>
      </extLst>
    </bk>
    <bk>
      <extLst>
        <ext uri="{3e2802c4-a4d2-4d8b-9148-e3be6c30e623}">
          <xlrd:rvb i="447"/>
        </ext>
      </extLst>
    </bk>
    <bk>
      <extLst>
        <ext uri="{3e2802c4-a4d2-4d8b-9148-e3be6c30e623}">
          <xlrd:rvb i="448"/>
        </ext>
      </extLst>
    </bk>
    <bk>
      <extLst>
        <ext uri="{3e2802c4-a4d2-4d8b-9148-e3be6c30e623}">
          <xlrd:rvb i="449"/>
        </ext>
      </extLst>
    </bk>
    <bk>
      <extLst>
        <ext uri="{3e2802c4-a4d2-4d8b-9148-e3be6c30e623}">
          <xlrd:rvb i="450"/>
        </ext>
      </extLst>
    </bk>
    <bk>
      <extLst>
        <ext uri="{3e2802c4-a4d2-4d8b-9148-e3be6c30e623}">
          <xlrd:rvb i="451"/>
        </ext>
      </extLst>
    </bk>
    <bk>
      <extLst>
        <ext uri="{3e2802c4-a4d2-4d8b-9148-e3be6c30e623}">
          <xlrd:rvb i="452"/>
        </ext>
      </extLst>
    </bk>
    <bk>
      <extLst>
        <ext uri="{3e2802c4-a4d2-4d8b-9148-e3be6c30e623}">
          <xlrd:rvb i="453"/>
        </ext>
      </extLst>
    </bk>
    <bk>
      <extLst>
        <ext uri="{3e2802c4-a4d2-4d8b-9148-e3be6c30e623}">
          <xlrd:rvb i="454"/>
        </ext>
      </extLst>
    </bk>
    <bk>
      <extLst>
        <ext uri="{3e2802c4-a4d2-4d8b-9148-e3be6c30e623}">
          <xlrd:rvb i="455"/>
        </ext>
      </extLst>
    </bk>
    <bk>
      <extLst>
        <ext uri="{3e2802c4-a4d2-4d8b-9148-e3be6c30e623}">
          <xlrd:rvb i="456"/>
        </ext>
      </extLst>
    </bk>
    <bk>
      <extLst>
        <ext uri="{3e2802c4-a4d2-4d8b-9148-e3be6c30e623}">
          <xlrd:rvb i="457"/>
        </ext>
      </extLst>
    </bk>
    <bk>
      <extLst>
        <ext uri="{3e2802c4-a4d2-4d8b-9148-e3be6c30e623}">
          <xlrd:rvb i="458"/>
        </ext>
      </extLst>
    </bk>
    <bk>
      <extLst>
        <ext uri="{3e2802c4-a4d2-4d8b-9148-e3be6c30e623}">
          <xlrd:rvb i="459"/>
        </ext>
      </extLst>
    </bk>
    <bk>
      <extLst>
        <ext uri="{3e2802c4-a4d2-4d8b-9148-e3be6c30e623}">
          <xlrd:rvb i="460"/>
        </ext>
      </extLst>
    </bk>
    <bk>
      <extLst>
        <ext uri="{3e2802c4-a4d2-4d8b-9148-e3be6c30e623}">
          <xlrd:rvb i="461"/>
        </ext>
      </extLst>
    </bk>
    <bk>
      <extLst>
        <ext uri="{3e2802c4-a4d2-4d8b-9148-e3be6c30e623}">
          <xlrd:rvb i="462"/>
        </ext>
      </extLst>
    </bk>
    <bk>
      <extLst>
        <ext uri="{3e2802c4-a4d2-4d8b-9148-e3be6c30e623}">
          <xlrd:rvb i="463"/>
        </ext>
      </extLst>
    </bk>
    <bk>
      <extLst>
        <ext uri="{3e2802c4-a4d2-4d8b-9148-e3be6c30e623}">
          <xlrd:rvb i="464"/>
        </ext>
      </extLst>
    </bk>
    <bk>
      <extLst>
        <ext uri="{3e2802c4-a4d2-4d8b-9148-e3be6c30e623}">
          <xlrd:rvb i="465"/>
        </ext>
      </extLst>
    </bk>
    <bk>
      <extLst>
        <ext uri="{3e2802c4-a4d2-4d8b-9148-e3be6c30e623}">
          <xlrd:rvb i="466"/>
        </ext>
      </extLst>
    </bk>
    <bk>
      <extLst>
        <ext uri="{3e2802c4-a4d2-4d8b-9148-e3be6c30e623}">
          <xlrd:rvb i="467"/>
        </ext>
      </extLst>
    </bk>
    <bk>
      <extLst>
        <ext uri="{3e2802c4-a4d2-4d8b-9148-e3be6c30e623}">
          <xlrd:rvb i="468"/>
        </ext>
      </extLst>
    </bk>
    <bk>
      <extLst>
        <ext uri="{3e2802c4-a4d2-4d8b-9148-e3be6c30e623}">
          <xlrd:rvb i="469"/>
        </ext>
      </extLst>
    </bk>
    <bk>
      <extLst>
        <ext uri="{3e2802c4-a4d2-4d8b-9148-e3be6c30e623}">
          <xlrd:rvb i="470"/>
        </ext>
      </extLst>
    </bk>
    <bk>
      <extLst>
        <ext uri="{3e2802c4-a4d2-4d8b-9148-e3be6c30e623}">
          <xlrd:rvb i="471"/>
        </ext>
      </extLst>
    </bk>
    <bk>
      <extLst>
        <ext uri="{3e2802c4-a4d2-4d8b-9148-e3be6c30e623}">
          <xlrd:rvb i="472"/>
        </ext>
      </extLst>
    </bk>
    <bk>
      <extLst>
        <ext uri="{3e2802c4-a4d2-4d8b-9148-e3be6c30e623}">
          <xlrd:rvb i="473"/>
        </ext>
      </extLst>
    </bk>
    <bk>
      <extLst>
        <ext uri="{3e2802c4-a4d2-4d8b-9148-e3be6c30e623}">
          <xlrd:rvb i="474"/>
        </ext>
      </extLst>
    </bk>
    <bk>
      <extLst>
        <ext uri="{3e2802c4-a4d2-4d8b-9148-e3be6c30e623}">
          <xlrd:rvb i="475"/>
        </ext>
      </extLst>
    </bk>
    <bk>
      <extLst>
        <ext uri="{3e2802c4-a4d2-4d8b-9148-e3be6c30e623}">
          <xlrd:rvb i="476"/>
        </ext>
      </extLst>
    </bk>
    <bk>
      <extLst>
        <ext uri="{3e2802c4-a4d2-4d8b-9148-e3be6c30e623}">
          <xlrd:rvb i="477"/>
        </ext>
      </extLst>
    </bk>
    <bk>
      <extLst>
        <ext uri="{3e2802c4-a4d2-4d8b-9148-e3be6c30e623}">
          <xlrd:rvb i="478"/>
        </ext>
      </extLst>
    </bk>
    <bk>
      <extLst>
        <ext uri="{3e2802c4-a4d2-4d8b-9148-e3be6c30e623}">
          <xlrd:rvb i="479"/>
        </ext>
      </extLst>
    </bk>
    <bk>
      <extLst>
        <ext uri="{3e2802c4-a4d2-4d8b-9148-e3be6c30e623}">
          <xlrd:rvb i="480"/>
        </ext>
      </extLst>
    </bk>
    <bk>
      <extLst>
        <ext uri="{3e2802c4-a4d2-4d8b-9148-e3be6c30e623}">
          <xlrd:rvb i="481"/>
        </ext>
      </extLst>
    </bk>
    <bk>
      <extLst>
        <ext uri="{3e2802c4-a4d2-4d8b-9148-e3be6c30e623}">
          <xlrd:rvb i="482"/>
        </ext>
      </extLst>
    </bk>
    <bk>
      <extLst>
        <ext uri="{3e2802c4-a4d2-4d8b-9148-e3be6c30e623}">
          <xlrd:rvb i="483"/>
        </ext>
      </extLst>
    </bk>
    <bk>
      <extLst>
        <ext uri="{3e2802c4-a4d2-4d8b-9148-e3be6c30e623}">
          <xlrd:rvb i="484"/>
        </ext>
      </extLst>
    </bk>
    <bk>
      <extLst>
        <ext uri="{3e2802c4-a4d2-4d8b-9148-e3be6c30e623}">
          <xlrd:rvb i="485"/>
        </ext>
      </extLst>
    </bk>
    <bk>
      <extLst>
        <ext uri="{3e2802c4-a4d2-4d8b-9148-e3be6c30e623}">
          <xlrd:rvb i="486"/>
        </ext>
      </extLst>
    </bk>
    <bk>
      <extLst>
        <ext uri="{3e2802c4-a4d2-4d8b-9148-e3be6c30e623}">
          <xlrd:rvb i="487"/>
        </ext>
      </extLst>
    </bk>
    <bk>
      <extLst>
        <ext uri="{3e2802c4-a4d2-4d8b-9148-e3be6c30e623}">
          <xlrd:rvb i="488"/>
        </ext>
      </extLst>
    </bk>
    <bk>
      <extLst>
        <ext uri="{3e2802c4-a4d2-4d8b-9148-e3be6c30e623}">
          <xlrd:rvb i="489"/>
        </ext>
      </extLst>
    </bk>
    <bk>
      <extLst>
        <ext uri="{3e2802c4-a4d2-4d8b-9148-e3be6c30e623}">
          <xlrd:rvb i="490"/>
        </ext>
      </extLst>
    </bk>
    <bk>
      <extLst>
        <ext uri="{3e2802c4-a4d2-4d8b-9148-e3be6c30e623}">
          <xlrd:rvb i="491"/>
        </ext>
      </extLst>
    </bk>
    <bk>
      <extLst>
        <ext uri="{3e2802c4-a4d2-4d8b-9148-e3be6c30e623}">
          <xlrd:rvb i="492"/>
        </ext>
      </extLst>
    </bk>
    <bk>
      <extLst>
        <ext uri="{3e2802c4-a4d2-4d8b-9148-e3be6c30e623}">
          <xlrd:rvb i="493"/>
        </ext>
      </extLst>
    </bk>
    <bk>
      <extLst>
        <ext uri="{3e2802c4-a4d2-4d8b-9148-e3be6c30e623}">
          <xlrd:rvb i="494"/>
        </ext>
      </extLst>
    </bk>
    <bk>
      <extLst>
        <ext uri="{3e2802c4-a4d2-4d8b-9148-e3be6c30e623}">
          <xlrd:rvb i="495"/>
        </ext>
      </extLst>
    </bk>
    <bk>
      <extLst>
        <ext uri="{3e2802c4-a4d2-4d8b-9148-e3be6c30e623}">
          <xlrd:rvb i="496"/>
        </ext>
      </extLst>
    </bk>
    <bk>
      <extLst>
        <ext uri="{3e2802c4-a4d2-4d8b-9148-e3be6c30e623}">
          <xlrd:rvb i="497"/>
        </ext>
      </extLst>
    </bk>
    <bk>
      <extLst>
        <ext uri="{3e2802c4-a4d2-4d8b-9148-e3be6c30e623}">
          <xlrd:rvb i="498"/>
        </ext>
      </extLst>
    </bk>
    <bk>
      <extLst>
        <ext uri="{3e2802c4-a4d2-4d8b-9148-e3be6c30e623}">
          <xlrd:rvb i="499"/>
        </ext>
      </extLst>
    </bk>
    <bk>
      <extLst>
        <ext uri="{3e2802c4-a4d2-4d8b-9148-e3be6c30e623}">
          <xlrd:rvb i="500"/>
        </ext>
      </extLst>
    </bk>
    <bk>
      <extLst>
        <ext uri="{3e2802c4-a4d2-4d8b-9148-e3be6c30e623}">
          <xlrd:rvb i="501"/>
        </ext>
      </extLst>
    </bk>
    <bk>
      <extLst>
        <ext uri="{3e2802c4-a4d2-4d8b-9148-e3be6c30e623}">
          <xlrd:rvb i="502"/>
        </ext>
      </extLst>
    </bk>
    <bk>
      <extLst>
        <ext uri="{3e2802c4-a4d2-4d8b-9148-e3be6c30e623}">
          <xlrd:rvb i="503"/>
        </ext>
      </extLst>
    </bk>
    <bk>
      <extLst>
        <ext uri="{3e2802c4-a4d2-4d8b-9148-e3be6c30e623}">
          <xlrd:rvb i="504"/>
        </ext>
      </extLst>
    </bk>
    <bk>
      <extLst>
        <ext uri="{3e2802c4-a4d2-4d8b-9148-e3be6c30e623}">
          <xlrd:rvb i="505"/>
        </ext>
      </extLst>
    </bk>
    <bk>
      <extLst>
        <ext uri="{3e2802c4-a4d2-4d8b-9148-e3be6c30e623}">
          <xlrd:rvb i="506"/>
        </ext>
      </extLst>
    </bk>
    <bk>
      <extLst>
        <ext uri="{3e2802c4-a4d2-4d8b-9148-e3be6c30e623}">
          <xlrd:rvb i="507"/>
        </ext>
      </extLst>
    </bk>
    <bk>
      <extLst>
        <ext uri="{3e2802c4-a4d2-4d8b-9148-e3be6c30e623}">
          <xlrd:rvb i="508"/>
        </ext>
      </extLst>
    </bk>
    <bk>
      <extLst>
        <ext uri="{3e2802c4-a4d2-4d8b-9148-e3be6c30e623}">
          <xlrd:rvb i="509"/>
        </ext>
      </extLst>
    </bk>
    <bk>
      <extLst>
        <ext uri="{3e2802c4-a4d2-4d8b-9148-e3be6c30e623}">
          <xlrd:rvb i="510"/>
        </ext>
      </extLst>
    </bk>
    <bk>
      <extLst>
        <ext uri="{3e2802c4-a4d2-4d8b-9148-e3be6c30e623}">
          <xlrd:rvb i="511"/>
        </ext>
      </extLst>
    </bk>
    <bk>
      <extLst>
        <ext uri="{3e2802c4-a4d2-4d8b-9148-e3be6c30e623}">
          <xlrd:rvb i="512"/>
        </ext>
      </extLst>
    </bk>
    <bk>
      <extLst>
        <ext uri="{3e2802c4-a4d2-4d8b-9148-e3be6c30e623}">
          <xlrd:rvb i="513"/>
        </ext>
      </extLst>
    </bk>
    <bk>
      <extLst>
        <ext uri="{3e2802c4-a4d2-4d8b-9148-e3be6c30e623}">
          <xlrd:rvb i="514"/>
        </ext>
      </extLst>
    </bk>
    <bk>
      <extLst>
        <ext uri="{3e2802c4-a4d2-4d8b-9148-e3be6c30e623}">
          <xlrd:rvb i="515"/>
        </ext>
      </extLst>
    </bk>
    <bk>
      <extLst>
        <ext uri="{3e2802c4-a4d2-4d8b-9148-e3be6c30e623}">
          <xlrd:rvb i="516"/>
        </ext>
      </extLst>
    </bk>
    <bk>
      <extLst>
        <ext uri="{3e2802c4-a4d2-4d8b-9148-e3be6c30e623}">
          <xlrd:rvb i="517"/>
        </ext>
      </extLst>
    </bk>
    <bk>
      <extLst>
        <ext uri="{3e2802c4-a4d2-4d8b-9148-e3be6c30e623}">
          <xlrd:rvb i="518"/>
        </ext>
      </extLst>
    </bk>
    <bk>
      <extLst>
        <ext uri="{3e2802c4-a4d2-4d8b-9148-e3be6c30e623}">
          <xlrd:rvb i="519"/>
        </ext>
      </extLst>
    </bk>
    <bk>
      <extLst>
        <ext uri="{3e2802c4-a4d2-4d8b-9148-e3be6c30e623}">
          <xlrd:rvb i="520"/>
        </ext>
      </extLst>
    </bk>
    <bk>
      <extLst>
        <ext uri="{3e2802c4-a4d2-4d8b-9148-e3be6c30e623}">
          <xlrd:rvb i="521"/>
        </ext>
      </extLst>
    </bk>
    <bk>
      <extLst>
        <ext uri="{3e2802c4-a4d2-4d8b-9148-e3be6c30e623}">
          <xlrd:rvb i="522"/>
        </ext>
      </extLst>
    </bk>
    <bk>
      <extLst>
        <ext uri="{3e2802c4-a4d2-4d8b-9148-e3be6c30e623}">
          <xlrd:rvb i="523"/>
        </ext>
      </extLst>
    </bk>
    <bk>
      <extLst>
        <ext uri="{3e2802c4-a4d2-4d8b-9148-e3be6c30e623}">
          <xlrd:rvb i="524"/>
        </ext>
      </extLst>
    </bk>
    <bk>
      <extLst>
        <ext uri="{3e2802c4-a4d2-4d8b-9148-e3be6c30e623}">
          <xlrd:rvb i="525"/>
        </ext>
      </extLst>
    </bk>
    <bk>
      <extLst>
        <ext uri="{3e2802c4-a4d2-4d8b-9148-e3be6c30e623}">
          <xlrd:rvb i="526"/>
        </ext>
      </extLst>
    </bk>
    <bk>
      <extLst>
        <ext uri="{3e2802c4-a4d2-4d8b-9148-e3be6c30e623}">
          <xlrd:rvb i="527"/>
        </ext>
      </extLst>
    </bk>
    <bk>
      <extLst>
        <ext uri="{3e2802c4-a4d2-4d8b-9148-e3be6c30e623}">
          <xlrd:rvb i="528"/>
        </ext>
      </extLst>
    </bk>
    <bk>
      <extLst>
        <ext uri="{3e2802c4-a4d2-4d8b-9148-e3be6c30e623}">
          <xlrd:rvb i="529"/>
        </ext>
      </extLst>
    </bk>
    <bk>
      <extLst>
        <ext uri="{3e2802c4-a4d2-4d8b-9148-e3be6c30e623}">
          <xlrd:rvb i="530"/>
        </ext>
      </extLst>
    </bk>
    <bk>
      <extLst>
        <ext uri="{3e2802c4-a4d2-4d8b-9148-e3be6c30e623}">
          <xlrd:rvb i="531"/>
        </ext>
      </extLst>
    </bk>
    <bk>
      <extLst>
        <ext uri="{3e2802c4-a4d2-4d8b-9148-e3be6c30e623}">
          <xlrd:rvb i="532"/>
        </ext>
      </extLst>
    </bk>
    <bk>
      <extLst>
        <ext uri="{3e2802c4-a4d2-4d8b-9148-e3be6c30e623}">
          <xlrd:rvb i="533"/>
        </ext>
      </extLst>
    </bk>
    <bk>
      <extLst>
        <ext uri="{3e2802c4-a4d2-4d8b-9148-e3be6c30e623}">
          <xlrd:rvb i="534"/>
        </ext>
      </extLst>
    </bk>
    <bk>
      <extLst>
        <ext uri="{3e2802c4-a4d2-4d8b-9148-e3be6c30e623}">
          <xlrd:rvb i="535"/>
        </ext>
      </extLst>
    </bk>
    <bk>
      <extLst>
        <ext uri="{3e2802c4-a4d2-4d8b-9148-e3be6c30e623}">
          <xlrd:rvb i="536"/>
        </ext>
      </extLst>
    </bk>
    <bk>
      <extLst>
        <ext uri="{3e2802c4-a4d2-4d8b-9148-e3be6c30e623}">
          <xlrd:rvb i="537"/>
        </ext>
      </extLst>
    </bk>
    <bk>
      <extLst>
        <ext uri="{3e2802c4-a4d2-4d8b-9148-e3be6c30e623}">
          <xlrd:rvb i="538"/>
        </ext>
      </extLst>
    </bk>
    <bk>
      <extLst>
        <ext uri="{3e2802c4-a4d2-4d8b-9148-e3be6c30e623}">
          <xlrd:rvb i="539"/>
        </ext>
      </extLst>
    </bk>
    <bk>
      <extLst>
        <ext uri="{3e2802c4-a4d2-4d8b-9148-e3be6c30e623}">
          <xlrd:rvb i="540"/>
        </ext>
      </extLst>
    </bk>
    <bk>
      <extLst>
        <ext uri="{3e2802c4-a4d2-4d8b-9148-e3be6c30e623}">
          <xlrd:rvb i="541"/>
        </ext>
      </extLst>
    </bk>
    <bk>
      <extLst>
        <ext uri="{3e2802c4-a4d2-4d8b-9148-e3be6c30e623}">
          <xlrd:rvb i="542"/>
        </ext>
      </extLst>
    </bk>
    <bk>
      <extLst>
        <ext uri="{3e2802c4-a4d2-4d8b-9148-e3be6c30e623}">
          <xlrd:rvb i="543"/>
        </ext>
      </extLst>
    </bk>
    <bk>
      <extLst>
        <ext uri="{3e2802c4-a4d2-4d8b-9148-e3be6c30e623}">
          <xlrd:rvb i="544"/>
        </ext>
      </extLst>
    </bk>
    <bk>
      <extLst>
        <ext uri="{3e2802c4-a4d2-4d8b-9148-e3be6c30e623}">
          <xlrd:rvb i="545"/>
        </ext>
      </extLst>
    </bk>
    <bk>
      <extLst>
        <ext uri="{3e2802c4-a4d2-4d8b-9148-e3be6c30e623}">
          <xlrd:rvb i="546"/>
        </ext>
      </extLst>
    </bk>
    <bk>
      <extLst>
        <ext uri="{3e2802c4-a4d2-4d8b-9148-e3be6c30e623}">
          <xlrd:rvb i="547"/>
        </ext>
      </extLst>
    </bk>
    <bk>
      <extLst>
        <ext uri="{3e2802c4-a4d2-4d8b-9148-e3be6c30e623}">
          <xlrd:rvb i="548"/>
        </ext>
      </extLst>
    </bk>
    <bk>
      <extLst>
        <ext uri="{3e2802c4-a4d2-4d8b-9148-e3be6c30e623}">
          <xlrd:rvb i="549"/>
        </ext>
      </extLst>
    </bk>
    <bk>
      <extLst>
        <ext uri="{3e2802c4-a4d2-4d8b-9148-e3be6c30e623}">
          <xlrd:rvb i="550"/>
        </ext>
      </extLst>
    </bk>
    <bk>
      <extLst>
        <ext uri="{3e2802c4-a4d2-4d8b-9148-e3be6c30e623}">
          <xlrd:rvb i="551"/>
        </ext>
      </extLst>
    </bk>
    <bk>
      <extLst>
        <ext uri="{3e2802c4-a4d2-4d8b-9148-e3be6c30e623}">
          <xlrd:rvb i="552"/>
        </ext>
      </extLst>
    </bk>
    <bk>
      <extLst>
        <ext uri="{3e2802c4-a4d2-4d8b-9148-e3be6c30e623}">
          <xlrd:rvb i="553"/>
        </ext>
      </extLst>
    </bk>
    <bk>
      <extLst>
        <ext uri="{3e2802c4-a4d2-4d8b-9148-e3be6c30e623}">
          <xlrd:rvb i="554"/>
        </ext>
      </extLst>
    </bk>
    <bk>
      <extLst>
        <ext uri="{3e2802c4-a4d2-4d8b-9148-e3be6c30e623}">
          <xlrd:rvb i="555"/>
        </ext>
      </extLst>
    </bk>
    <bk>
      <extLst>
        <ext uri="{3e2802c4-a4d2-4d8b-9148-e3be6c30e623}">
          <xlrd:rvb i="556"/>
        </ext>
      </extLst>
    </bk>
    <bk>
      <extLst>
        <ext uri="{3e2802c4-a4d2-4d8b-9148-e3be6c30e623}">
          <xlrd:rvb i="557"/>
        </ext>
      </extLst>
    </bk>
    <bk>
      <extLst>
        <ext uri="{3e2802c4-a4d2-4d8b-9148-e3be6c30e623}">
          <xlrd:rvb i="558"/>
        </ext>
      </extLst>
    </bk>
    <bk>
      <extLst>
        <ext uri="{3e2802c4-a4d2-4d8b-9148-e3be6c30e623}">
          <xlrd:rvb i="559"/>
        </ext>
      </extLst>
    </bk>
    <bk>
      <extLst>
        <ext uri="{3e2802c4-a4d2-4d8b-9148-e3be6c30e623}">
          <xlrd:rvb i="560"/>
        </ext>
      </extLst>
    </bk>
    <bk>
      <extLst>
        <ext uri="{3e2802c4-a4d2-4d8b-9148-e3be6c30e623}">
          <xlrd:rvb i="561"/>
        </ext>
      </extLst>
    </bk>
    <bk>
      <extLst>
        <ext uri="{3e2802c4-a4d2-4d8b-9148-e3be6c30e623}">
          <xlrd:rvb i="562"/>
        </ext>
      </extLst>
    </bk>
    <bk>
      <extLst>
        <ext uri="{3e2802c4-a4d2-4d8b-9148-e3be6c30e623}">
          <xlrd:rvb i="563"/>
        </ext>
      </extLst>
    </bk>
    <bk>
      <extLst>
        <ext uri="{3e2802c4-a4d2-4d8b-9148-e3be6c30e623}">
          <xlrd:rvb i="564"/>
        </ext>
      </extLst>
    </bk>
    <bk>
      <extLst>
        <ext uri="{3e2802c4-a4d2-4d8b-9148-e3be6c30e623}">
          <xlrd:rvb i="565"/>
        </ext>
      </extLst>
    </bk>
    <bk>
      <extLst>
        <ext uri="{3e2802c4-a4d2-4d8b-9148-e3be6c30e623}">
          <xlrd:rvb i="566"/>
        </ext>
      </extLst>
    </bk>
    <bk>
      <extLst>
        <ext uri="{3e2802c4-a4d2-4d8b-9148-e3be6c30e623}">
          <xlrd:rvb i="567"/>
        </ext>
      </extLst>
    </bk>
    <bk>
      <extLst>
        <ext uri="{3e2802c4-a4d2-4d8b-9148-e3be6c30e623}">
          <xlrd:rvb i="568"/>
        </ext>
      </extLst>
    </bk>
    <bk>
      <extLst>
        <ext uri="{3e2802c4-a4d2-4d8b-9148-e3be6c30e623}">
          <xlrd:rvb i="569"/>
        </ext>
      </extLst>
    </bk>
    <bk>
      <extLst>
        <ext uri="{3e2802c4-a4d2-4d8b-9148-e3be6c30e623}">
          <xlrd:rvb i="570"/>
        </ext>
      </extLst>
    </bk>
    <bk>
      <extLst>
        <ext uri="{3e2802c4-a4d2-4d8b-9148-e3be6c30e623}">
          <xlrd:rvb i="571"/>
        </ext>
      </extLst>
    </bk>
    <bk>
      <extLst>
        <ext uri="{3e2802c4-a4d2-4d8b-9148-e3be6c30e623}">
          <xlrd:rvb i="572"/>
        </ext>
      </extLst>
    </bk>
    <bk>
      <extLst>
        <ext uri="{3e2802c4-a4d2-4d8b-9148-e3be6c30e623}">
          <xlrd:rvb i="573"/>
        </ext>
      </extLst>
    </bk>
    <bk>
      <extLst>
        <ext uri="{3e2802c4-a4d2-4d8b-9148-e3be6c30e623}">
          <xlrd:rvb i="574"/>
        </ext>
      </extLst>
    </bk>
    <bk>
      <extLst>
        <ext uri="{3e2802c4-a4d2-4d8b-9148-e3be6c30e623}">
          <xlrd:rvb i="575"/>
        </ext>
      </extLst>
    </bk>
    <bk>
      <extLst>
        <ext uri="{3e2802c4-a4d2-4d8b-9148-e3be6c30e623}">
          <xlrd:rvb i="576"/>
        </ext>
      </extLst>
    </bk>
    <bk>
      <extLst>
        <ext uri="{3e2802c4-a4d2-4d8b-9148-e3be6c30e623}">
          <xlrd:rvb i="577"/>
        </ext>
      </extLst>
    </bk>
    <bk>
      <extLst>
        <ext uri="{3e2802c4-a4d2-4d8b-9148-e3be6c30e623}">
          <xlrd:rvb i="578"/>
        </ext>
      </extLst>
    </bk>
    <bk>
      <extLst>
        <ext uri="{3e2802c4-a4d2-4d8b-9148-e3be6c30e623}">
          <xlrd:rvb i="579"/>
        </ext>
      </extLst>
    </bk>
    <bk>
      <extLst>
        <ext uri="{3e2802c4-a4d2-4d8b-9148-e3be6c30e623}">
          <xlrd:rvb i="580"/>
        </ext>
      </extLst>
    </bk>
    <bk>
      <extLst>
        <ext uri="{3e2802c4-a4d2-4d8b-9148-e3be6c30e623}">
          <xlrd:rvb i="581"/>
        </ext>
      </extLst>
    </bk>
    <bk>
      <extLst>
        <ext uri="{3e2802c4-a4d2-4d8b-9148-e3be6c30e623}">
          <xlrd:rvb i="582"/>
        </ext>
      </extLst>
    </bk>
    <bk>
      <extLst>
        <ext uri="{3e2802c4-a4d2-4d8b-9148-e3be6c30e623}">
          <xlrd:rvb i="583"/>
        </ext>
      </extLst>
    </bk>
    <bk>
      <extLst>
        <ext uri="{3e2802c4-a4d2-4d8b-9148-e3be6c30e623}">
          <xlrd:rvb i="584"/>
        </ext>
      </extLst>
    </bk>
    <bk>
      <extLst>
        <ext uri="{3e2802c4-a4d2-4d8b-9148-e3be6c30e623}">
          <xlrd:rvb i="585"/>
        </ext>
      </extLst>
    </bk>
    <bk>
      <extLst>
        <ext uri="{3e2802c4-a4d2-4d8b-9148-e3be6c30e623}">
          <xlrd:rvb i="586"/>
        </ext>
      </extLst>
    </bk>
    <bk>
      <extLst>
        <ext uri="{3e2802c4-a4d2-4d8b-9148-e3be6c30e623}">
          <xlrd:rvb i="587"/>
        </ext>
      </extLst>
    </bk>
    <bk>
      <extLst>
        <ext uri="{3e2802c4-a4d2-4d8b-9148-e3be6c30e623}">
          <xlrd:rvb i="588"/>
        </ext>
      </extLst>
    </bk>
    <bk>
      <extLst>
        <ext uri="{3e2802c4-a4d2-4d8b-9148-e3be6c30e623}">
          <xlrd:rvb i="589"/>
        </ext>
      </extLst>
    </bk>
    <bk>
      <extLst>
        <ext uri="{3e2802c4-a4d2-4d8b-9148-e3be6c30e623}">
          <xlrd:rvb i="590"/>
        </ext>
      </extLst>
    </bk>
    <bk>
      <extLst>
        <ext uri="{3e2802c4-a4d2-4d8b-9148-e3be6c30e623}">
          <xlrd:rvb i="591"/>
        </ext>
      </extLst>
    </bk>
    <bk>
      <extLst>
        <ext uri="{3e2802c4-a4d2-4d8b-9148-e3be6c30e623}">
          <xlrd:rvb i="592"/>
        </ext>
      </extLst>
    </bk>
    <bk>
      <extLst>
        <ext uri="{3e2802c4-a4d2-4d8b-9148-e3be6c30e623}">
          <xlrd:rvb i="593"/>
        </ext>
      </extLst>
    </bk>
    <bk>
      <extLst>
        <ext uri="{3e2802c4-a4d2-4d8b-9148-e3be6c30e623}">
          <xlrd:rvb i="594"/>
        </ext>
      </extLst>
    </bk>
    <bk>
      <extLst>
        <ext uri="{3e2802c4-a4d2-4d8b-9148-e3be6c30e623}">
          <xlrd:rvb i="595"/>
        </ext>
      </extLst>
    </bk>
    <bk>
      <extLst>
        <ext uri="{3e2802c4-a4d2-4d8b-9148-e3be6c30e623}">
          <xlrd:rvb i="596"/>
        </ext>
      </extLst>
    </bk>
    <bk>
      <extLst>
        <ext uri="{3e2802c4-a4d2-4d8b-9148-e3be6c30e623}">
          <xlrd:rvb i="597"/>
        </ext>
      </extLst>
    </bk>
    <bk>
      <extLst>
        <ext uri="{3e2802c4-a4d2-4d8b-9148-e3be6c30e623}">
          <xlrd:rvb i="598"/>
        </ext>
      </extLst>
    </bk>
    <bk>
      <extLst>
        <ext uri="{3e2802c4-a4d2-4d8b-9148-e3be6c30e623}">
          <xlrd:rvb i="599"/>
        </ext>
      </extLst>
    </bk>
    <bk>
      <extLst>
        <ext uri="{3e2802c4-a4d2-4d8b-9148-e3be6c30e623}">
          <xlrd:rvb i="600"/>
        </ext>
      </extLst>
    </bk>
    <bk>
      <extLst>
        <ext uri="{3e2802c4-a4d2-4d8b-9148-e3be6c30e623}">
          <xlrd:rvb i="601"/>
        </ext>
      </extLst>
    </bk>
    <bk>
      <extLst>
        <ext uri="{3e2802c4-a4d2-4d8b-9148-e3be6c30e623}">
          <xlrd:rvb i="602"/>
        </ext>
      </extLst>
    </bk>
    <bk>
      <extLst>
        <ext uri="{3e2802c4-a4d2-4d8b-9148-e3be6c30e623}">
          <xlrd:rvb i="603"/>
        </ext>
      </extLst>
    </bk>
    <bk>
      <extLst>
        <ext uri="{3e2802c4-a4d2-4d8b-9148-e3be6c30e623}">
          <xlrd:rvb i="604"/>
        </ext>
      </extLst>
    </bk>
    <bk>
      <extLst>
        <ext uri="{3e2802c4-a4d2-4d8b-9148-e3be6c30e623}">
          <xlrd:rvb i="605"/>
        </ext>
      </extLst>
    </bk>
    <bk>
      <extLst>
        <ext uri="{3e2802c4-a4d2-4d8b-9148-e3be6c30e623}">
          <xlrd:rvb i="606"/>
        </ext>
      </extLst>
    </bk>
    <bk>
      <extLst>
        <ext uri="{3e2802c4-a4d2-4d8b-9148-e3be6c30e623}">
          <xlrd:rvb i="607"/>
        </ext>
      </extLst>
    </bk>
    <bk>
      <extLst>
        <ext uri="{3e2802c4-a4d2-4d8b-9148-e3be6c30e623}">
          <xlrd:rvb i="608"/>
        </ext>
      </extLst>
    </bk>
    <bk>
      <extLst>
        <ext uri="{3e2802c4-a4d2-4d8b-9148-e3be6c30e623}">
          <xlrd:rvb i="609"/>
        </ext>
      </extLst>
    </bk>
    <bk>
      <extLst>
        <ext uri="{3e2802c4-a4d2-4d8b-9148-e3be6c30e623}">
          <xlrd:rvb i="610"/>
        </ext>
      </extLst>
    </bk>
    <bk>
      <extLst>
        <ext uri="{3e2802c4-a4d2-4d8b-9148-e3be6c30e623}">
          <xlrd:rvb i="611"/>
        </ext>
      </extLst>
    </bk>
    <bk>
      <extLst>
        <ext uri="{3e2802c4-a4d2-4d8b-9148-e3be6c30e623}">
          <xlrd:rvb i="612"/>
        </ext>
      </extLst>
    </bk>
    <bk>
      <extLst>
        <ext uri="{3e2802c4-a4d2-4d8b-9148-e3be6c30e623}">
          <xlrd:rvb i="613"/>
        </ext>
      </extLst>
    </bk>
    <bk>
      <extLst>
        <ext uri="{3e2802c4-a4d2-4d8b-9148-e3be6c30e623}">
          <xlrd:rvb i="614"/>
        </ext>
      </extLst>
    </bk>
    <bk>
      <extLst>
        <ext uri="{3e2802c4-a4d2-4d8b-9148-e3be6c30e623}">
          <xlrd:rvb i="615"/>
        </ext>
      </extLst>
    </bk>
    <bk>
      <extLst>
        <ext uri="{3e2802c4-a4d2-4d8b-9148-e3be6c30e623}">
          <xlrd:rvb i="616"/>
        </ext>
      </extLst>
    </bk>
    <bk>
      <extLst>
        <ext uri="{3e2802c4-a4d2-4d8b-9148-e3be6c30e623}">
          <xlrd:rvb i="617"/>
        </ext>
      </extLst>
    </bk>
    <bk>
      <extLst>
        <ext uri="{3e2802c4-a4d2-4d8b-9148-e3be6c30e623}">
          <xlrd:rvb i="618"/>
        </ext>
      </extLst>
    </bk>
    <bk>
      <extLst>
        <ext uri="{3e2802c4-a4d2-4d8b-9148-e3be6c30e623}">
          <xlrd:rvb i="619"/>
        </ext>
      </extLst>
    </bk>
    <bk>
      <extLst>
        <ext uri="{3e2802c4-a4d2-4d8b-9148-e3be6c30e623}">
          <xlrd:rvb i="620"/>
        </ext>
      </extLst>
    </bk>
    <bk>
      <extLst>
        <ext uri="{3e2802c4-a4d2-4d8b-9148-e3be6c30e623}">
          <xlrd:rvb i="621"/>
        </ext>
      </extLst>
    </bk>
    <bk>
      <extLst>
        <ext uri="{3e2802c4-a4d2-4d8b-9148-e3be6c30e623}">
          <xlrd:rvb i="622"/>
        </ext>
      </extLst>
    </bk>
    <bk>
      <extLst>
        <ext uri="{3e2802c4-a4d2-4d8b-9148-e3be6c30e623}">
          <xlrd:rvb i="623"/>
        </ext>
      </extLst>
    </bk>
    <bk>
      <extLst>
        <ext uri="{3e2802c4-a4d2-4d8b-9148-e3be6c30e623}">
          <xlrd:rvb i="624"/>
        </ext>
      </extLst>
    </bk>
    <bk>
      <extLst>
        <ext uri="{3e2802c4-a4d2-4d8b-9148-e3be6c30e623}">
          <xlrd:rvb i="625"/>
        </ext>
      </extLst>
    </bk>
    <bk>
      <extLst>
        <ext uri="{3e2802c4-a4d2-4d8b-9148-e3be6c30e623}">
          <xlrd:rvb i="626"/>
        </ext>
      </extLst>
    </bk>
    <bk>
      <extLst>
        <ext uri="{3e2802c4-a4d2-4d8b-9148-e3be6c30e623}">
          <xlrd:rvb i="627"/>
        </ext>
      </extLst>
    </bk>
    <bk>
      <extLst>
        <ext uri="{3e2802c4-a4d2-4d8b-9148-e3be6c30e623}">
          <xlrd:rvb i="628"/>
        </ext>
      </extLst>
    </bk>
    <bk>
      <extLst>
        <ext uri="{3e2802c4-a4d2-4d8b-9148-e3be6c30e623}">
          <xlrd:rvb i="629"/>
        </ext>
      </extLst>
    </bk>
    <bk>
      <extLst>
        <ext uri="{3e2802c4-a4d2-4d8b-9148-e3be6c30e623}">
          <xlrd:rvb i="630"/>
        </ext>
      </extLst>
    </bk>
    <bk>
      <extLst>
        <ext uri="{3e2802c4-a4d2-4d8b-9148-e3be6c30e623}">
          <xlrd:rvb i="631"/>
        </ext>
      </extLst>
    </bk>
    <bk>
      <extLst>
        <ext uri="{3e2802c4-a4d2-4d8b-9148-e3be6c30e623}">
          <xlrd:rvb i="632"/>
        </ext>
      </extLst>
    </bk>
    <bk>
      <extLst>
        <ext uri="{3e2802c4-a4d2-4d8b-9148-e3be6c30e623}">
          <xlrd:rvb i="633"/>
        </ext>
      </extLst>
    </bk>
    <bk>
      <extLst>
        <ext uri="{3e2802c4-a4d2-4d8b-9148-e3be6c30e623}">
          <xlrd:rvb i="634"/>
        </ext>
      </extLst>
    </bk>
    <bk>
      <extLst>
        <ext uri="{3e2802c4-a4d2-4d8b-9148-e3be6c30e623}">
          <xlrd:rvb i="635"/>
        </ext>
      </extLst>
    </bk>
    <bk>
      <extLst>
        <ext uri="{3e2802c4-a4d2-4d8b-9148-e3be6c30e623}">
          <xlrd:rvb i="636"/>
        </ext>
      </extLst>
    </bk>
    <bk>
      <extLst>
        <ext uri="{3e2802c4-a4d2-4d8b-9148-e3be6c30e623}">
          <xlrd:rvb i="637"/>
        </ext>
      </extLst>
    </bk>
    <bk>
      <extLst>
        <ext uri="{3e2802c4-a4d2-4d8b-9148-e3be6c30e623}">
          <xlrd:rvb i="638"/>
        </ext>
      </extLst>
    </bk>
    <bk>
      <extLst>
        <ext uri="{3e2802c4-a4d2-4d8b-9148-e3be6c30e623}">
          <xlrd:rvb i="639"/>
        </ext>
      </extLst>
    </bk>
    <bk>
      <extLst>
        <ext uri="{3e2802c4-a4d2-4d8b-9148-e3be6c30e623}">
          <xlrd:rvb i="640"/>
        </ext>
      </extLst>
    </bk>
    <bk>
      <extLst>
        <ext uri="{3e2802c4-a4d2-4d8b-9148-e3be6c30e623}">
          <xlrd:rvb i="641"/>
        </ext>
      </extLst>
    </bk>
    <bk>
      <extLst>
        <ext uri="{3e2802c4-a4d2-4d8b-9148-e3be6c30e623}">
          <xlrd:rvb i="642"/>
        </ext>
      </extLst>
    </bk>
    <bk>
      <extLst>
        <ext uri="{3e2802c4-a4d2-4d8b-9148-e3be6c30e623}">
          <xlrd:rvb i="643"/>
        </ext>
      </extLst>
    </bk>
    <bk>
      <extLst>
        <ext uri="{3e2802c4-a4d2-4d8b-9148-e3be6c30e623}">
          <xlrd:rvb i="644"/>
        </ext>
      </extLst>
    </bk>
    <bk>
      <extLst>
        <ext uri="{3e2802c4-a4d2-4d8b-9148-e3be6c30e623}">
          <xlrd:rvb i="645"/>
        </ext>
      </extLst>
    </bk>
    <bk>
      <extLst>
        <ext uri="{3e2802c4-a4d2-4d8b-9148-e3be6c30e623}">
          <xlrd:rvb i="646"/>
        </ext>
      </extLst>
    </bk>
    <bk>
      <extLst>
        <ext uri="{3e2802c4-a4d2-4d8b-9148-e3be6c30e623}">
          <xlrd:rvb i="647"/>
        </ext>
      </extLst>
    </bk>
    <bk>
      <extLst>
        <ext uri="{3e2802c4-a4d2-4d8b-9148-e3be6c30e623}">
          <xlrd:rvb i="648"/>
        </ext>
      </extLst>
    </bk>
    <bk>
      <extLst>
        <ext uri="{3e2802c4-a4d2-4d8b-9148-e3be6c30e623}">
          <xlrd:rvb i="649"/>
        </ext>
      </extLst>
    </bk>
    <bk>
      <extLst>
        <ext uri="{3e2802c4-a4d2-4d8b-9148-e3be6c30e623}">
          <xlrd:rvb i="650"/>
        </ext>
      </extLst>
    </bk>
    <bk>
      <extLst>
        <ext uri="{3e2802c4-a4d2-4d8b-9148-e3be6c30e623}">
          <xlrd:rvb i="651"/>
        </ext>
      </extLst>
    </bk>
    <bk>
      <extLst>
        <ext uri="{3e2802c4-a4d2-4d8b-9148-e3be6c30e623}">
          <xlrd:rvb i="652"/>
        </ext>
      </extLst>
    </bk>
    <bk>
      <extLst>
        <ext uri="{3e2802c4-a4d2-4d8b-9148-e3be6c30e623}">
          <xlrd:rvb i="653"/>
        </ext>
      </extLst>
    </bk>
    <bk>
      <extLst>
        <ext uri="{3e2802c4-a4d2-4d8b-9148-e3be6c30e623}">
          <xlrd:rvb i="654"/>
        </ext>
      </extLst>
    </bk>
    <bk>
      <extLst>
        <ext uri="{3e2802c4-a4d2-4d8b-9148-e3be6c30e623}">
          <xlrd:rvb i="655"/>
        </ext>
      </extLst>
    </bk>
    <bk>
      <extLst>
        <ext uri="{3e2802c4-a4d2-4d8b-9148-e3be6c30e623}">
          <xlrd:rvb i="656"/>
        </ext>
      </extLst>
    </bk>
    <bk>
      <extLst>
        <ext uri="{3e2802c4-a4d2-4d8b-9148-e3be6c30e623}">
          <xlrd:rvb i="657"/>
        </ext>
      </extLst>
    </bk>
    <bk>
      <extLst>
        <ext uri="{3e2802c4-a4d2-4d8b-9148-e3be6c30e623}">
          <xlrd:rvb i="658"/>
        </ext>
      </extLst>
    </bk>
    <bk>
      <extLst>
        <ext uri="{3e2802c4-a4d2-4d8b-9148-e3be6c30e623}">
          <xlrd:rvb i="659"/>
        </ext>
      </extLst>
    </bk>
    <bk>
      <extLst>
        <ext uri="{3e2802c4-a4d2-4d8b-9148-e3be6c30e623}">
          <xlrd:rvb i="660"/>
        </ext>
      </extLst>
    </bk>
    <bk>
      <extLst>
        <ext uri="{3e2802c4-a4d2-4d8b-9148-e3be6c30e623}">
          <xlrd:rvb i="661"/>
        </ext>
      </extLst>
    </bk>
    <bk>
      <extLst>
        <ext uri="{3e2802c4-a4d2-4d8b-9148-e3be6c30e623}">
          <xlrd:rvb i="662"/>
        </ext>
      </extLst>
    </bk>
    <bk>
      <extLst>
        <ext uri="{3e2802c4-a4d2-4d8b-9148-e3be6c30e623}">
          <xlrd:rvb i="663"/>
        </ext>
      </extLst>
    </bk>
    <bk>
      <extLst>
        <ext uri="{3e2802c4-a4d2-4d8b-9148-e3be6c30e623}">
          <xlrd:rvb i="664"/>
        </ext>
      </extLst>
    </bk>
    <bk>
      <extLst>
        <ext uri="{3e2802c4-a4d2-4d8b-9148-e3be6c30e623}">
          <xlrd:rvb i="665"/>
        </ext>
      </extLst>
    </bk>
    <bk>
      <extLst>
        <ext uri="{3e2802c4-a4d2-4d8b-9148-e3be6c30e623}">
          <xlrd:rvb i="666"/>
        </ext>
      </extLst>
    </bk>
    <bk>
      <extLst>
        <ext uri="{3e2802c4-a4d2-4d8b-9148-e3be6c30e623}">
          <xlrd:rvb i="667"/>
        </ext>
      </extLst>
    </bk>
    <bk>
      <extLst>
        <ext uri="{3e2802c4-a4d2-4d8b-9148-e3be6c30e623}">
          <xlrd:rvb i="668"/>
        </ext>
      </extLst>
    </bk>
    <bk>
      <extLst>
        <ext uri="{3e2802c4-a4d2-4d8b-9148-e3be6c30e623}">
          <xlrd:rvb i="669"/>
        </ext>
      </extLst>
    </bk>
    <bk>
      <extLst>
        <ext uri="{3e2802c4-a4d2-4d8b-9148-e3be6c30e623}">
          <xlrd:rvb i="670"/>
        </ext>
      </extLst>
    </bk>
    <bk>
      <extLst>
        <ext uri="{3e2802c4-a4d2-4d8b-9148-e3be6c30e623}">
          <xlrd:rvb i="671"/>
        </ext>
      </extLst>
    </bk>
    <bk>
      <extLst>
        <ext uri="{3e2802c4-a4d2-4d8b-9148-e3be6c30e623}">
          <xlrd:rvb i="672"/>
        </ext>
      </extLst>
    </bk>
    <bk>
      <extLst>
        <ext uri="{3e2802c4-a4d2-4d8b-9148-e3be6c30e623}">
          <xlrd:rvb i="673"/>
        </ext>
      </extLst>
    </bk>
    <bk>
      <extLst>
        <ext uri="{3e2802c4-a4d2-4d8b-9148-e3be6c30e623}">
          <xlrd:rvb i="674"/>
        </ext>
      </extLst>
    </bk>
    <bk>
      <extLst>
        <ext uri="{3e2802c4-a4d2-4d8b-9148-e3be6c30e623}">
          <xlrd:rvb i="675"/>
        </ext>
      </extLst>
    </bk>
    <bk>
      <extLst>
        <ext uri="{3e2802c4-a4d2-4d8b-9148-e3be6c30e623}">
          <xlrd:rvb i="676"/>
        </ext>
      </extLst>
    </bk>
    <bk>
      <extLst>
        <ext uri="{3e2802c4-a4d2-4d8b-9148-e3be6c30e623}">
          <xlrd:rvb i="677"/>
        </ext>
      </extLst>
    </bk>
    <bk>
      <extLst>
        <ext uri="{3e2802c4-a4d2-4d8b-9148-e3be6c30e623}">
          <xlrd:rvb i="678"/>
        </ext>
      </extLst>
    </bk>
    <bk>
      <extLst>
        <ext uri="{3e2802c4-a4d2-4d8b-9148-e3be6c30e623}">
          <xlrd:rvb i="679"/>
        </ext>
      </extLst>
    </bk>
    <bk>
      <extLst>
        <ext uri="{3e2802c4-a4d2-4d8b-9148-e3be6c30e623}">
          <xlrd:rvb i="680"/>
        </ext>
      </extLst>
    </bk>
    <bk>
      <extLst>
        <ext uri="{3e2802c4-a4d2-4d8b-9148-e3be6c30e623}">
          <xlrd:rvb i="681"/>
        </ext>
      </extLst>
    </bk>
    <bk>
      <extLst>
        <ext uri="{3e2802c4-a4d2-4d8b-9148-e3be6c30e623}">
          <xlrd:rvb i="682"/>
        </ext>
      </extLst>
    </bk>
    <bk>
      <extLst>
        <ext uri="{3e2802c4-a4d2-4d8b-9148-e3be6c30e623}">
          <xlrd:rvb i="683"/>
        </ext>
      </extLst>
    </bk>
    <bk>
      <extLst>
        <ext uri="{3e2802c4-a4d2-4d8b-9148-e3be6c30e623}">
          <xlrd:rvb i="684"/>
        </ext>
      </extLst>
    </bk>
    <bk>
      <extLst>
        <ext uri="{3e2802c4-a4d2-4d8b-9148-e3be6c30e623}">
          <xlrd:rvb i="685"/>
        </ext>
      </extLst>
    </bk>
    <bk>
      <extLst>
        <ext uri="{3e2802c4-a4d2-4d8b-9148-e3be6c30e623}">
          <xlrd:rvb i="686"/>
        </ext>
      </extLst>
    </bk>
    <bk>
      <extLst>
        <ext uri="{3e2802c4-a4d2-4d8b-9148-e3be6c30e623}">
          <xlrd:rvb i="687"/>
        </ext>
      </extLst>
    </bk>
    <bk>
      <extLst>
        <ext uri="{3e2802c4-a4d2-4d8b-9148-e3be6c30e623}">
          <xlrd:rvb i="688"/>
        </ext>
      </extLst>
    </bk>
    <bk>
      <extLst>
        <ext uri="{3e2802c4-a4d2-4d8b-9148-e3be6c30e623}">
          <xlrd:rvb i="689"/>
        </ext>
      </extLst>
    </bk>
    <bk>
      <extLst>
        <ext uri="{3e2802c4-a4d2-4d8b-9148-e3be6c30e623}">
          <xlrd:rvb i="690"/>
        </ext>
      </extLst>
    </bk>
    <bk>
      <extLst>
        <ext uri="{3e2802c4-a4d2-4d8b-9148-e3be6c30e623}">
          <xlrd:rvb i="691"/>
        </ext>
      </extLst>
    </bk>
    <bk>
      <extLst>
        <ext uri="{3e2802c4-a4d2-4d8b-9148-e3be6c30e623}">
          <xlrd:rvb i="692"/>
        </ext>
      </extLst>
    </bk>
    <bk>
      <extLst>
        <ext uri="{3e2802c4-a4d2-4d8b-9148-e3be6c30e623}">
          <xlrd:rvb i="693"/>
        </ext>
      </extLst>
    </bk>
    <bk>
      <extLst>
        <ext uri="{3e2802c4-a4d2-4d8b-9148-e3be6c30e623}">
          <xlrd:rvb i="694"/>
        </ext>
      </extLst>
    </bk>
    <bk>
      <extLst>
        <ext uri="{3e2802c4-a4d2-4d8b-9148-e3be6c30e623}">
          <xlrd:rvb i="695"/>
        </ext>
      </extLst>
    </bk>
    <bk>
      <extLst>
        <ext uri="{3e2802c4-a4d2-4d8b-9148-e3be6c30e623}">
          <xlrd:rvb i="696"/>
        </ext>
      </extLst>
    </bk>
    <bk>
      <extLst>
        <ext uri="{3e2802c4-a4d2-4d8b-9148-e3be6c30e623}">
          <xlrd:rvb i="697"/>
        </ext>
      </extLst>
    </bk>
    <bk>
      <extLst>
        <ext uri="{3e2802c4-a4d2-4d8b-9148-e3be6c30e623}">
          <xlrd:rvb i="698"/>
        </ext>
      </extLst>
    </bk>
    <bk>
      <extLst>
        <ext uri="{3e2802c4-a4d2-4d8b-9148-e3be6c30e623}">
          <xlrd:rvb i="699"/>
        </ext>
      </extLst>
    </bk>
    <bk>
      <extLst>
        <ext uri="{3e2802c4-a4d2-4d8b-9148-e3be6c30e623}">
          <xlrd:rvb i="700"/>
        </ext>
      </extLst>
    </bk>
    <bk>
      <extLst>
        <ext uri="{3e2802c4-a4d2-4d8b-9148-e3be6c30e623}">
          <xlrd:rvb i="701"/>
        </ext>
      </extLst>
    </bk>
    <bk>
      <extLst>
        <ext uri="{3e2802c4-a4d2-4d8b-9148-e3be6c30e623}">
          <xlrd:rvb i="702"/>
        </ext>
      </extLst>
    </bk>
    <bk>
      <extLst>
        <ext uri="{3e2802c4-a4d2-4d8b-9148-e3be6c30e623}">
          <xlrd:rvb i="703"/>
        </ext>
      </extLst>
    </bk>
    <bk>
      <extLst>
        <ext uri="{3e2802c4-a4d2-4d8b-9148-e3be6c30e623}">
          <xlrd:rvb i="704"/>
        </ext>
      </extLst>
    </bk>
    <bk>
      <extLst>
        <ext uri="{3e2802c4-a4d2-4d8b-9148-e3be6c30e623}">
          <xlrd:rvb i="705"/>
        </ext>
      </extLst>
    </bk>
    <bk>
      <extLst>
        <ext uri="{3e2802c4-a4d2-4d8b-9148-e3be6c30e623}">
          <xlrd:rvb i="706"/>
        </ext>
      </extLst>
    </bk>
    <bk>
      <extLst>
        <ext uri="{3e2802c4-a4d2-4d8b-9148-e3be6c30e623}">
          <xlrd:rvb i="707"/>
        </ext>
      </extLst>
    </bk>
    <bk>
      <extLst>
        <ext uri="{3e2802c4-a4d2-4d8b-9148-e3be6c30e623}">
          <xlrd:rvb i="708"/>
        </ext>
      </extLst>
    </bk>
    <bk>
      <extLst>
        <ext uri="{3e2802c4-a4d2-4d8b-9148-e3be6c30e623}">
          <xlrd:rvb i="709"/>
        </ext>
      </extLst>
    </bk>
    <bk>
      <extLst>
        <ext uri="{3e2802c4-a4d2-4d8b-9148-e3be6c30e623}">
          <xlrd:rvb i="710"/>
        </ext>
      </extLst>
    </bk>
    <bk>
      <extLst>
        <ext uri="{3e2802c4-a4d2-4d8b-9148-e3be6c30e623}">
          <xlrd:rvb i="711"/>
        </ext>
      </extLst>
    </bk>
    <bk>
      <extLst>
        <ext uri="{3e2802c4-a4d2-4d8b-9148-e3be6c30e623}">
          <xlrd:rvb i="712"/>
        </ext>
      </extLst>
    </bk>
    <bk>
      <extLst>
        <ext uri="{3e2802c4-a4d2-4d8b-9148-e3be6c30e623}">
          <xlrd:rvb i="713"/>
        </ext>
      </extLst>
    </bk>
    <bk>
      <extLst>
        <ext uri="{3e2802c4-a4d2-4d8b-9148-e3be6c30e623}">
          <xlrd:rvb i="714"/>
        </ext>
      </extLst>
    </bk>
    <bk>
      <extLst>
        <ext uri="{3e2802c4-a4d2-4d8b-9148-e3be6c30e623}">
          <xlrd:rvb i="715"/>
        </ext>
      </extLst>
    </bk>
    <bk>
      <extLst>
        <ext uri="{3e2802c4-a4d2-4d8b-9148-e3be6c30e623}">
          <xlrd:rvb i="716"/>
        </ext>
      </extLst>
    </bk>
    <bk>
      <extLst>
        <ext uri="{3e2802c4-a4d2-4d8b-9148-e3be6c30e623}">
          <xlrd:rvb i="717"/>
        </ext>
      </extLst>
    </bk>
    <bk>
      <extLst>
        <ext uri="{3e2802c4-a4d2-4d8b-9148-e3be6c30e623}">
          <xlrd:rvb i="718"/>
        </ext>
      </extLst>
    </bk>
    <bk>
      <extLst>
        <ext uri="{3e2802c4-a4d2-4d8b-9148-e3be6c30e623}">
          <xlrd:rvb i="719"/>
        </ext>
      </extLst>
    </bk>
    <bk>
      <extLst>
        <ext uri="{3e2802c4-a4d2-4d8b-9148-e3be6c30e623}">
          <xlrd:rvb i="720"/>
        </ext>
      </extLst>
    </bk>
    <bk>
      <extLst>
        <ext uri="{3e2802c4-a4d2-4d8b-9148-e3be6c30e623}">
          <xlrd:rvb i="721"/>
        </ext>
      </extLst>
    </bk>
    <bk>
      <extLst>
        <ext uri="{3e2802c4-a4d2-4d8b-9148-e3be6c30e623}">
          <xlrd:rvb i="722"/>
        </ext>
      </extLst>
    </bk>
    <bk>
      <extLst>
        <ext uri="{3e2802c4-a4d2-4d8b-9148-e3be6c30e623}">
          <xlrd:rvb i="723"/>
        </ext>
      </extLst>
    </bk>
    <bk>
      <extLst>
        <ext uri="{3e2802c4-a4d2-4d8b-9148-e3be6c30e623}">
          <xlrd:rvb i="724"/>
        </ext>
      </extLst>
    </bk>
    <bk>
      <extLst>
        <ext uri="{3e2802c4-a4d2-4d8b-9148-e3be6c30e623}">
          <xlrd:rvb i="725"/>
        </ext>
      </extLst>
    </bk>
    <bk>
      <extLst>
        <ext uri="{3e2802c4-a4d2-4d8b-9148-e3be6c30e623}">
          <xlrd:rvb i="726"/>
        </ext>
      </extLst>
    </bk>
    <bk>
      <extLst>
        <ext uri="{3e2802c4-a4d2-4d8b-9148-e3be6c30e623}">
          <xlrd:rvb i="727"/>
        </ext>
      </extLst>
    </bk>
    <bk>
      <extLst>
        <ext uri="{3e2802c4-a4d2-4d8b-9148-e3be6c30e623}">
          <xlrd:rvb i="728"/>
        </ext>
      </extLst>
    </bk>
    <bk>
      <extLst>
        <ext uri="{3e2802c4-a4d2-4d8b-9148-e3be6c30e623}">
          <xlrd:rvb i="729"/>
        </ext>
      </extLst>
    </bk>
    <bk>
      <extLst>
        <ext uri="{3e2802c4-a4d2-4d8b-9148-e3be6c30e623}">
          <xlrd:rvb i="730"/>
        </ext>
      </extLst>
    </bk>
    <bk>
      <extLst>
        <ext uri="{3e2802c4-a4d2-4d8b-9148-e3be6c30e623}">
          <xlrd:rvb i="731"/>
        </ext>
      </extLst>
    </bk>
    <bk>
      <extLst>
        <ext uri="{3e2802c4-a4d2-4d8b-9148-e3be6c30e623}">
          <xlrd:rvb i="732"/>
        </ext>
      </extLst>
    </bk>
    <bk>
      <extLst>
        <ext uri="{3e2802c4-a4d2-4d8b-9148-e3be6c30e623}">
          <xlrd:rvb i="733"/>
        </ext>
      </extLst>
    </bk>
    <bk>
      <extLst>
        <ext uri="{3e2802c4-a4d2-4d8b-9148-e3be6c30e623}">
          <xlrd:rvb i="734"/>
        </ext>
      </extLst>
    </bk>
    <bk>
      <extLst>
        <ext uri="{3e2802c4-a4d2-4d8b-9148-e3be6c30e623}">
          <xlrd:rvb i="735"/>
        </ext>
      </extLst>
    </bk>
    <bk>
      <extLst>
        <ext uri="{3e2802c4-a4d2-4d8b-9148-e3be6c30e623}">
          <xlrd:rvb i="736"/>
        </ext>
      </extLst>
    </bk>
    <bk>
      <extLst>
        <ext uri="{3e2802c4-a4d2-4d8b-9148-e3be6c30e623}">
          <xlrd:rvb i="737"/>
        </ext>
      </extLst>
    </bk>
    <bk>
      <extLst>
        <ext uri="{3e2802c4-a4d2-4d8b-9148-e3be6c30e623}">
          <xlrd:rvb i="738"/>
        </ext>
      </extLst>
    </bk>
    <bk>
      <extLst>
        <ext uri="{3e2802c4-a4d2-4d8b-9148-e3be6c30e623}">
          <xlrd:rvb i="739"/>
        </ext>
      </extLst>
    </bk>
    <bk>
      <extLst>
        <ext uri="{3e2802c4-a4d2-4d8b-9148-e3be6c30e623}">
          <xlrd:rvb i="740"/>
        </ext>
      </extLst>
    </bk>
    <bk>
      <extLst>
        <ext uri="{3e2802c4-a4d2-4d8b-9148-e3be6c30e623}">
          <xlrd:rvb i="741"/>
        </ext>
      </extLst>
    </bk>
    <bk>
      <extLst>
        <ext uri="{3e2802c4-a4d2-4d8b-9148-e3be6c30e623}">
          <xlrd:rvb i="742"/>
        </ext>
      </extLst>
    </bk>
    <bk>
      <extLst>
        <ext uri="{3e2802c4-a4d2-4d8b-9148-e3be6c30e623}">
          <xlrd:rvb i="743"/>
        </ext>
      </extLst>
    </bk>
    <bk>
      <extLst>
        <ext uri="{3e2802c4-a4d2-4d8b-9148-e3be6c30e623}">
          <xlrd:rvb i="744"/>
        </ext>
      </extLst>
    </bk>
    <bk>
      <extLst>
        <ext uri="{3e2802c4-a4d2-4d8b-9148-e3be6c30e623}">
          <xlrd:rvb i="745"/>
        </ext>
      </extLst>
    </bk>
    <bk>
      <extLst>
        <ext uri="{3e2802c4-a4d2-4d8b-9148-e3be6c30e623}">
          <xlrd:rvb i="746"/>
        </ext>
      </extLst>
    </bk>
    <bk>
      <extLst>
        <ext uri="{3e2802c4-a4d2-4d8b-9148-e3be6c30e623}">
          <xlrd:rvb i="747"/>
        </ext>
      </extLst>
    </bk>
    <bk>
      <extLst>
        <ext uri="{3e2802c4-a4d2-4d8b-9148-e3be6c30e623}">
          <xlrd:rvb i="748"/>
        </ext>
      </extLst>
    </bk>
    <bk>
      <extLst>
        <ext uri="{3e2802c4-a4d2-4d8b-9148-e3be6c30e623}">
          <xlrd:rvb i="749"/>
        </ext>
      </extLst>
    </bk>
    <bk>
      <extLst>
        <ext uri="{3e2802c4-a4d2-4d8b-9148-e3be6c30e623}">
          <xlrd:rvb i="750"/>
        </ext>
      </extLst>
    </bk>
    <bk>
      <extLst>
        <ext uri="{3e2802c4-a4d2-4d8b-9148-e3be6c30e623}">
          <xlrd:rvb i="751"/>
        </ext>
      </extLst>
    </bk>
    <bk>
      <extLst>
        <ext uri="{3e2802c4-a4d2-4d8b-9148-e3be6c30e623}">
          <xlrd:rvb i="752"/>
        </ext>
      </extLst>
    </bk>
    <bk>
      <extLst>
        <ext uri="{3e2802c4-a4d2-4d8b-9148-e3be6c30e623}">
          <xlrd:rvb i="753"/>
        </ext>
      </extLst>
    </bk>
    <bk>
      <extLst>
        <ext uri="{3e2802c4-a4d2-4d8b-9148-e3be6c30e623}">
          <xlrd:rvb i="754"/>
        </ext>
      </extLst>
    </bk>
    <bk>
      <extLst>
        <ext uri="{3e2802c4-a4d2-4d8b-9148-e3be6c30e623}">
          <xlrd:rvb i="755"/>
        </ext>
      </extLst>
    </bk>
    <bk>
      <extLst>
        <ext uri="{3e2802c4-a4d2-4d8b-9148-e3be6c30e623}">
          <xlrd:rvb i="756"/>
        </ext>
      </extLst>
    </bk>
    <bk>
      <extLst>
        <ext uri="{3e2802c4-a4d2-4d8b-9148-e3be6c30e623}">
          <xlrd:rvb i="757"/>
        </ext>
      </extLst>
    </bk>
    <bk>
      <extLst>
        <ext uri="{3e2802c4-a4d2-4d8b-9148-e3be6c30e623}">
          <xlrd:rvb i="758"/>
        </ext>
      </extLst>
    </bk>
    <bk>
      <extLst>
        <ext uri="{3e2802c4-a4d2-4d8b-9148-e3be6c30e623}">
          <xlrd:rvb i="759"/>
        </ext>
      </extLst>
    </bk>
    <bk>
      <extLst>
        <ext uri="{3e2802c4-a4d2-4d8b-9148-e3be6c30e623}">
          <xlrd:rvb i="760"/>
        </ext>
      </extLst>
    </bk>
    <bk>
      <extLst>
        <ext uri="{3e2802c4-a4d2-4d8b-9148-e3be6c30e623}">
          <xlrd:rvb i="761"/>
        </ext>
      </extLst>
    </bk>
    <bk>
      <extLst>
        <ext uri="{3e2802c4-a4d2-4d8b-9148-e3be6c30e623}">
          <xlrd:rvb i="762"/>
        </ext>
      </extLst>
    </bk>
    <bk>
      <extLst>
        <ext uri="{3e2802c4-a4d2-4d8b-9148-e3be6c30e623}">
          <xlrd:rvb i="763"/>
        </ext>
      </extLst>
    </bk>
    <bk>
      <extLst>
        <ext uri="{3e2802c4-a4d2-4d8b-9148-e3be6c30e623}">
          <xlrd:rvb i="764"/>
        </ext>
      </extLst>
    </bk>
    <bk>
      <extLst>
        <ext uri="{3e2802c4-a4d2-4d8b-9148-e3be6c30e623}">
          <xlrd:rvb i="765"/>
        </ext>
      </extLst>
    </bk>
    <bk>
      <extLst>
        <ext uri="{3e2802c4-a4d2-4d8b-9148-e3be6c30e623}">
          <xlrd:rvb i="766"/>
        </ext>
      </extLst>
    </bk>
    <bk>
      <extLst>
        <ext uri="{3e2802c4-a4d2-4d8b-9148-e3be6c30e623}">
          <xlrd:rvb i="767"/>
        </ext>
      </extLst>
    </bk>
    <bk>
      <extLst>
        <ext uri="{3e2802c4-a4d2-4d8b-9148-e3be6c30e623}">
          <xlrd:rvb i="768"/>
        </ext>
      </extLst>
    </bk>
    <bk>
      <extLst>
        <ext uri="{3e2802c4-a4d2-4d8b-9148-e3be6c30e623}">
          <xlrd:rvb i="769"/>
        </ext>
      </extLst>
    </bk>
    <bk>
      <extLst>
        <ext uri="{3e2802c4-a4d2-4d8b-9148-e3be6c30e623}">
          <xlrd:rvb i="770"/>
        </ext>
      </extLst>
    </bk>
    <bk>
      <extLst>
        <ext uri="{3e2802c4-a4d2-4d8b-9148-e3be6c30e623}">
          <xlrd:rvb i="771"/>
        </ext>
      </extLst>
    </bk>
    <bk>
      <extLst>
        <ext uri="{3e2802c4-a4d2-4d8b-9148-e3be6c30e623}">
          <xlrd:rvb i="772"/>
        </ext>
      </extLst>
    </bk>
    <bk>
      <extLst>
        <ext uri="{3e2802c4-a4d2-4d8b-9148-e3be6c30e623}">
          <xlrd:rvb i="773"/>
        </ext>
      </extLst>
    </bk>
    <bk>
      <extLst>
        <ext uri="{3e2802c4-a4d2-4d8b-9148-e3be6c30e623}">
          <xlrd:rvb i="774"/>
        </ext>
      </extLst>
    </bk>
    <bk>
      <extLst>
        <ext uri="{3e2802c4-a4d2-4d8b-9148-e3be6c30e623}">
          <xlrd:rvb i="775"/>
        </ext>
      </extLst>
    </bk>
    <bk>
      <extLst>
        <ext uri="{3e2802c4-a4d2-4d8b-9148-e3be6c30e623}">
          <xlrd:rvb i="776"/>
        </ext>
      </extLst>
    </bk>
    <bk>
      <extLst>
        <ext uri="{3e2802c4-a4d2-4d8b-9148-e3be6c30e623}">
          <xlrd:rvb i="777"/>
        </ext>
      </extLst>
    </bk>
    <bk>
      <extLst>
        <ext uri="{3e2802c4-a4d2-4d8b-9148-e3be6c30e623}">
          <xlrd:rvb i="778"/>
        </ext>
      </extLst>
    </bk>
    <bk>
      <extLst>
        <ext uri="{3e2802c4-a4d2-4d8b-9148-e3be6c30e623}">
          <xlrd:rvb i="779"/>
        </ext>
      </extLst>
    </bk>
    <bk>
      <extLst>
        <ext uri="{3e2802c4-a4d2-4d8b-9148-e3be6c30e623}">
          <xlrd:rvb i="780"/>
        </ext>
      </extLst>
    </bk>
    <bk>
      <extLst>
        <ext uri="{3e2802c4-a4d2-4d8b-9148-e3be6c30e623}">
          <xlrd:rvb i="781"/>
        </ext>
      </extLst>
    </bk>
    <bk>
      <extLst>
        <ext uri="{3e2802c4-a4d2-4d8b-9148-e3be6c30e623}">
          <xlrd:rvb i="782"/>
        </ext>
      </extLst>
    </bk>
    <bk>
      <extLst>
        <ext uri="{3e2802c4-a4d2-4d8b-9148-e3be6c30e623}">
          <xlrd:rvb i="783"/>
        </ext>
      </extLst>
    </bk>
    <bk>
      <extLst>
        <ext uri="{3e2802c4-a4d2-4d8b-9148-e3be6c30e623}">
          <xlrd:rvb i="784"/>
        </ext>
      </extLst>
    </bk>
    <bk>
      <extLst>
        <ext uri="{3e2802c4-a4d2-4d8b-9148-e3be6c30e623}">
          <xlrd:rvb i="785"/>
        </ext>
      </extLst>
    </bk>
    <bk>
      <extLst>
        <ext uri="{3e2802c4-a4d2-4d8b-9148-e3be6c30e623}">
          <xlrd:rvb i="786"/>
        </ext>
      </extLst>
    </bk>
    <bk>
      <extLst>
        <ext uri="{3e2802c4-a4d2-4d8b-9148-e3be6c30e623}">
          <xlrd:rvb i="787"/>
        </ext>
      </extLst>
    </bk>
    <bk>
      <extLst>
        <ext uri="{3e2802c4-a4d2-4d8b-9148-e3be6c30e623}">
          <xlrd:rvb i="788"/>
        </ext>
      </extLst>
    </bk>
    <bk>
      <extLst>
        <ext uri="{3e2802c4-a4d2-4d8b-9148-e3be6c30e623}">
          <xlrd:rvb i="789"/>
        </ext>
      </extLst>
    </bk>
    <bk>
      <extLst>
        <ext uri="{3e2802c4-a4d2-4d8b-9148-e3be6c30e623}">
          <xlrd:rvb i="790"/>
        </ext>
      </extLst>
    </bk>
    <bk>
      <extLst>
        <ext uri="{3e2802c4-a4d2-4d8b-9148-e3be6c30e623}">
          <xlrd:rvb i="791"/>
        </ext>
      </extLst>
    </bk>
    <bk>
      <extLst>
        <ext uri="{3e2802c4-a4d2-4d8b-9148-e3be6c30e623}">
          <xlrd:rvb i="792"/>
        </ext>
      </extLst>
    </bk>
    <bk>
      <extLst>
        <ext uri="{3e2802c4-a4d2-4d8b-9148-e3be6c30e623}">
          <xlrd:rvb i="793"/>
        </ext>
      </extLst>
    </bk>
    <bk>
      <extLst>
        <ext uri="{3e2802c4-a4d2-4d8b-9148-e3be6c30e623}">
          <xlrd:rvb i="794"/>
        </ext>
      </extLst>
    </bk>
    <bk>
      <extLst>
        <ext uri="{3e2802c4-a4d2-4d8b-9148-e3be6c30e623}">
          <xlrd:rvb i="795"/>
        </ext>
      </extLst>
    </bk>
    <bk>
      <extLst>
        <ext uri="{3e2802c4-a4d2-4d8b-9148-e3be6c30e623}">
          <xlrd:rvb i="796"/>
        </ext>
      </extLst>
    </bk>
    <bk>
      <extLst>
        <ext uri="{3e2802c4-a4d2-4d8b-9148-e3be6c30e623}">
          <xlrd:rvb i="797"/>
        </ext>
      </extLst>
    </bk>
    <bk>
      <extLst>
        <ext uri="{3e2802c4-a4d2-4d8b-9148-e3be6c30e623}">
          <xlrd:rvb i="798"/>
        </ext>
      </extLst>
    </bk>
    <bk>
      <extLst>
        <ext uri="{3e2802c4-a4d2-4d8b-9148-e3be6c30e623}">
          <xlrd:rvb i="799"/>
        </ext>
      </extLst>
    </bk>
    <bk>
      <extLst>
        <ext uri="{3e2802c4-a4d2-4d8b-9148-e3be6c30e623}">
          <xlrd:rvb i="800"/>
        </ext>
      </extLst>
    </bk>
    <bk>
      <extLst>
        <ext uri="{3e2802c4-a4d2-4d8b-9148-e3be6c30e623}">
          <xlrd:rvb i="801"/>
        </ext>
      </extLst>
    </bk>
    <bk>
      <extLst>
        <ext uri="{3e2802c4-a4d2-4d8b-9148-e3be6c30e623}">
          <xlrd:rvb i="802"/>
        </ext>
      </extLst>
    </bk>
    <bk>
      <extLst>
        <ext uri="{3e2802c4-a4d2-4d8b-9148-e3be6c30e623}">
          <xlrd:rvb i="803"/>
        </ext>
      </extLst>
    </bk>
    <bk>
      <extLst>
        <ext uri="{3e2802c4-a4d2-4d8b-9148-e3be6c30e623}">
          <xlrd:rvb i="804"/>
        </ext>
      </extLst>
    </bk>
    <bk>
      <extLst>
        <ext uri="{3e2802c4-a4d2-4d8b-9148-e3be6c30e623}">
          <xlrd:rvb i="805"/>
        </ext>
      </extLst>
    </bk>
    <bk>
      <extLst>
        <ext uri="{3e2802c4-a4d2-4d8b-9148-e3be6c30e623}">
          <xlrd:rvb i="806"/>
        </ext>
      </extLst>
    </bk>
    <bk>
      <extLst>
        <ext uri="{3e2802c4-a4d2-4d8b-9148-e3be6c30e623}">
          <xlrd:rvb i="807"/>
        </ext>
      </extLst>
    </bk>
    <bk>
      <extLst>
        <ext uri="{3e2802c4-a4d2-4d8b-9148-e3be6c30e623}">
          <xlrd:rvb i="808"/>
        </ext>
      </extLst>
    </bk>
    <bk>
      <extLst>
        <ext uri="{3e2802c4-a4d2-4d8b-9148-e3be6c30e623}">
          <xlrd:rvb i="809"/>
        </ext>
      </extLst>
    </bk>
    <bk>
      <extLst>
        <ext uri="{3e2802c4-a4d2-4d8b-9148-e3be6c30e623}">
          <xlrd:rvb i="810"/>
        </ext>
      </extLst>
    </bk>
    <bk>
      <extLst>
        <ext uri="{3e2802c4-a4d2-4d8b-9148-e3be6c30e623}">
          <xlrd:rvb i="811"/>
        </ext>
      </extLst>
    </bk>
    <bk>
      <extLst>
        <ext uri="{3e2802c4-a4d2-4d8b-9148-e3be6c30e623}">
          <xlrd:rvb i="812"/>
        </ext>
      </extLst>
    </bk>
    <bk>
      <extLst>
        <ext uri="{3e2802c4-a4d2-4d8b-9148-e3be6c30e623}">
          <xlrd:rvb i="813"/>
        </ext>
      </extLst>
    </bk>
    <bk>
      <extLst>
        <ext uri="{3e2802c4-a4d2-4d8b-9148-e3be6c30e623}">
          <xlrd:rvb i="814"/>
        </ext>
      </extLst>
    </bk>
    <bk>
      <extLst>
        <ext uri="{3e2802c4-a4d2-4d8b-9148-e3be6c30e623}">
          <xlrd:rvb i="815"/>
        </ext>
      </extLst>
    </bk>
    <bk>
      <extLst>
        <ext uri="{3e2802c4-a4d2-4d8b-9148-e3be6c30e623}">
          <xlrd:rvb i="816"/>
        </ext>
      </extLst>
    </bk>
    <bk>
      <extLst>
        <ext uri="{3e2802c4-a4d2-4d8b-9148-e3be6c30e623}">
          <xlrd:rvb i="817"/>
        </ext>
      </extLst>
    </bk>
    <bk>
      <extLst>
        <ext uri="{3e2802c4-a4d2-4d8b-9148-e3be6c30e623}">
          <xlrd:rvb i="818"/>
        </ext>
      </extLst>
    </bk>
    <bk>
      <extLst>
        <ext uri="{3e2802c4-a4d2-4d8b-9148-e3be6c30e623}">
          <xlrd:rvb i="819"/>
        </ext>
      </extLst>
    </bk>
    <bk>
      <extLst>
        <ext uri="{3e2802c4-a4d2-4d8b-9148-e3be6c30e623}">
          <xlrd:rvb i="820"/>
        </ext>
      </extLst>
    </bk>
    <bk>
      <extLst>
        <ext uri="{3e2802c4-a4d2-4d8b-9148-e3be6c30e623}">
          <xlrd:rvb i="821"/>
        </ext>
      </extLst>
    </bk>
    <bk>
      <extLst>
        <ext uri="{3e2802c4-a4d2-4d8b-9148-e3be6c30e623}">
          <xlrd:rvb i="822"/>
        </ext>
      </extLst>
    </bk>
    <bk>
      <extLst>
        <ext uri="{3e2802c4-a4d2-4d8b-9148-e3be6c30e623}">
          <xlrd:rvb i="823"/>
        </ext>
      </extLst>
    </bk>
    <bk>
      <extLst>
        <ext uri="{3e2802c4-a4d2-4d8b-9148-e3be6c30e623}">
          <xlrd:rvb i="824"/>
        </ext>
      </extLst>
    </bk>
    <bk>
      <extLst>
        <ext uri="{3e2802c4-a4d2-4d8b-9148-e3be6c30e623}">
          <xlrd:rvb i="825"/>
        </ext>
      </extLst>
    </bk>
    <bk>
      <extLst>
        <ext uri="{3e2802c4-a4d2-4d8b-9148-e3be6c30e623}">
          <xlrd:rvb i="826"/>
        </ext>
      </extLst>
    </bk>
    <bk>
      <extLst>
        <ext uri="{3e2802c4-a4d2-4d8b-9148-e3be6c30e623}">
          <xlrd:rvb i="827"/>
        </ext>
      </extLst>
    </bk>
    <bk>
      <extLst>
        <ext uri="{3e2802c4-a4d2-4d8b-9148-e3be6c30e623}">
          <xlrd:rvb i="828"/>
        </ext>
      </extLst>
    </bk>
    <bk>
      <extLst>
        <ext uri="{3e2802c4-a4d2-4d8b-9148-e3be6c30e623}">
          <xlrd:rvb i="829"/>
        </ext>
      </extLst>
    </bk>
    <bk>
      <extLst>
        <ext uri="{3e2802c4-a4d2-4d8b-9148-e3be6c30e623}">
          <xlrd:rvb i="830"/>
        </ext>
      </extLst>
    </bk>
    <bk>
      <extLst>
        <ext uri="{3e2802c4-a4d2-4d8b-9148-e3be6c30e623}">
          <xlrd:rvb i="831"/>
        </ext>
      </extLst>
    </bk>
    <bk>
      <extLst>
        <ext uri="{3e2802c4-a4d2-4d8b-9148-e3be6c30e623}">
          <xlrd:rvb i="832"/>
        </ext>
      </extLst>
    </bk>
    <bk>
      <extLst>
        <ext uri="{3e2802c4-a4d2-4d8b-9148-e3be6c30e623}">
          <xlrd:rvb i="833"/>
        </ext>
      </extLst>
    </bk>
    <bk>
      <extLst>
        <ext uri="{3e2802c4-a4d2-4d8b-9148-e3be6c30e623}">
          <xlrd:rvb i="834"/>
        </ext>
      </extLst>
    </bk>
    <bk>
      <extLst>
        <ext uri="{3e2802c4-a4d2-4d8b-9148-e3be6c30e623}">
          <xlrd:rvb i="835"/>
        </ext>
      </extLst>
    </bk>
    <bk>
      <extLst>
        <ext uri="{3e2802c4-a4d2-4d8b-9148-e3be6c30e623}">
          <xlrd:rvb i="836"/>
        </ext>
      </extLst>
    </bk>
    <bk>
      <extLst>
        <ext uri="{3e2802c4-a4d2-4d8b-9148-e3be6c30e623}">
          <xlrd:rvb i="837"/>
        </ext>
      </extLst>
    </bk>
    <bk>
      <extLst>
        <ext uri="{3e2802c4-a4d2-4d8b-9148-e3be6c30e623}">
          <xlrd:rvb i="838"/>
        </ext>
      </extLst>
    </bk>
    <bk>
      <extLst>
        <ext uri="{3e2802c4-a4d2-4d8b-9148-e3be6c30e623}">
          <xlrd:rvb i="839"/>
        </ext>
      </extLst>
    </bk>
    <bk>
      <extLst>
        <ext uri="{3e2802c4-a4d2-4d8b-9148-e3be6c30e623}">
          <xlrd:rvb i="840"/>
        </ext>
      </extLst>
    </bk>
    <bk>
      <extLst>
        <ext uri="{3e2802c4-a4d2-4d8b-9148-e3be6c30e623}">
          <xlrd:rvb i="841"/>
        </ext>
      </extLst>
    </bk>
    <bk>
      <extLst>
        <ext uri="{3e2802c4-a4d2-4d8b-9148-e3be6c30e623}">
          <xlrd:rvb i="842"/>
        </ext>
      </extLst>
    </bk>
    <bk>
      <extLst>
        <ext uri="{3e2802c4-a4d2-4d8b-9148-e3be6c30e623}">
          <xlrd:rvb i="843"/>
        </ext>
      </extLst>
    </bk>
    <bk>
      <extLst>
        <ext uri="{3e2802c4-a4d2-4d8b-9148-e3be6c30e623}">
          <xlrd:rvb i="844"/>
        </ext>
      </extLst>
    </bk>
    <bk>
      <extLst>
        <ext uri="{3e2802c4-a4d2-4d8b-9148-e3be6c30e623}">
          <xlrd:rvb i="845"/>
        </ext>
      </extLst>
    </bk>
    <bk>
      <extLst>
        <ext uri="{3e2802c4-a4d2-4d8b-9148-e3be6c30e623}">
          <xlrd:rvb i="846"/>
        </ext>
      </extLst>
    </bk>
    <bk>
      <extLst>
        <ext uri="{3e2802c4-a4d2-4d8b-9148-e3be6c30e623}">
          <xlrd:rvb i="847"/>
        </ext>
      </extLst>
    </bk>
    <bk>
      <extLst>
        <ext uri="{3e2802c4-a4d2-4d8b-9148-e3be6c30e623}">
          <xlrd:rvb i="848"/>
        </ext>
      </extLst>
    </bk>
    <bk>
      <extLst>
        <ext uri="{3e2802c4-a4d2-4d8b-9148-e3be6c30e623}">
          <xlrd:rvb i="849"/>
        </ext>
      </extLst>
    </bk>
    <bk>
      <extLst>
        <ext uri="{3e2802c4-a4d2-4d8b-9148-e3be6c30e623}">
          <xlrd:rvb i="850"/>
        </ext>
      </extLst>
    </bk>
    <bk>
      <extLst>
        <ext uri="{3e2802c4-a4d2-4d8b-9148-e3be6c30e623}">
          <xlrd:rvb i="851"/>
        </ext>
      </extLst>
    </bk>
    <bk>
      <extLst>
        <ext uri="{3e2802c4-a4d2-4d8b-9148-e3be6c30e623}">
          <xlrd:rvb i="852"/>
        </ext>
      </extLst>
    </bk>
    <bk>
      <extLst>
        <ext uri="{3e2802c4-a4d2-4d8b-9148-e3be6c30e623}">
          <xlrd:rvb i="853"/>
        </ext>
      </extLst>
    </bk>
    <bk>
      <extLst>
        <ext uri="{3e2802c4-a4d2-4d8b-9148-e3be6c30e623}">
          <xlrd:rvb i="854"/>
        </ext>
      </extLst>
    </bk>
    <bk>
      <extLst>
        <ext uri="{3e2802c4-a4d2-4d8b-9148-e3be6c30e623}">
          <xlrd:rvb i="855"/>
        </ext>
      </extLst>
    </bk>
    <bk>
      <extLst>
        <ext uri="{3e2802c4-a4d2-4d8b-9148-e3be6c30e623}">
          <xlrd:rvb i="856"/>
        </ext>
      </extLst>
    </bk>
    <bk>
      <extLst>
        <ext uri="{3e2802c4-a4d2-4d8b-9148-e3be6c30e623}">
          <xlrd:rvb i="857"/>
        </ext>
      </extLst>
    </bk>
    <bk>
      <extLst>
        <ext uri="{3e2802c4-a4d2-4d8b-9148-e3be6c30e623}">
          <xlrd:rvb i="858"/>
        </ext>
      </extLst>
    </bk>
    <bk>
      <extLst>
        <ext uri="{3e2802c4-a4d2-4d8b-9148-e3be6c30e623}">
          <xlrd:rvb i="859"/>
        </ext>
      </extLst>
    </bk>
    <bk>
      <extLst>
        <ext uri="{3e2802c4-a4d2-4d8b-9148-e3be6c30e623}">
          <xlrd:rvb i="860"/>
        </ext>
      </extLst>
    </bk>
    <bk>
      <extLst>
        <ext uri="{3e2802c4-a4d2-4d8b-9148-e3be6c30e623}">
          <xlrd:rvb i="861"/>
        </ext>
      </extLst>
    </bk>
    <bk>
      <extLst>
        <ext uri="{3e2802c4-a4d2-4d8b-9148-e3be6c30e623}">
          <xlrd:rvb i="862"/>
        </ext>
      </extLst>
    </bk>
    <bk>
      <extLst>
        <ext uri="{3e2802c4-a4d2-4d8b-9148-e3be6c30e623}">
          <xlrd:rvb i="863"/>
        </ext>
      </extLst>
    </bk>
    <bk>
      <extLst>
        <ext uri="{3e2802c4-a4d2-4d8b-9148-e3be6c30e623}">
          <xlrd:rvb i="864"/>
        </ext>
      </extLst>
    </bk>
    <bk>
      <extLst>
        <ext uri="{3e2802c4-a4d2-4d8b-9148-e3be6c30e623}">
          <xlrd:rvb i="865"/>
        </ext>
      </extLst>
    </bk>
    <bk>
      <extLst>
        <ext uri="{3e2802c4-a4d2-4d8b-9148-e3be6c30e623}">
          <xlrd:rvb i="866"/>
        </ext>
      </extLst>
    </bk>
    <bk>
      <extLst>
        <ext uri="{3e2802c4-a4d2-4d8b-9148-e3be6c30e623}">
          <xlrd:rvb i="867"/>
        </ext>
      </extLst>
    </bk>
    <bk>
      <extLst>
        <ext uri="{3e2802c4-a4d2-4d8b-9148-e3be6c30e623}">
          <xlrd:rvb i="868"/>
        </ext>
      </extLst>
    </bk>
    <bk>
      <extLst>
        <ext uri="{3e2802c4-a4d2-4d8b-9148-e3be6c30e623}">
          <xlrd:rvb i="869"/>
        </ext>
      </extLst>
    </bk>
    <bk>
      <extLst>
        <ext uri="{3e2802c4-a4d2-4d8b-9148-e3be6c30e623}">
          <xlrd:rvb i="870"/>
        </ext>
      </extLst>
    </bk>
    <bk>
      <extLst>
        <ext uri="{3e2802c4-a4d2-4d8b-9148-e3be6c30e623}">
          <xlrd:rvb i="871"/>
        </ext>
      </extLst>
    </bk>
    <bk>
      <extLst>
        <ext uri="{3e2802c4-a4d2-4d8b-9148-e3be6c30e623}">
          <xlrd:rvb i="872"/>
        </ext>
      </extLst>
    </bk>
    <bk>
      <extLst>
        <ext uri="{3e2802c4-a4d2-4d8b-9148-e3be6c30e623}">
          <xlrd:rvb i="873"/>
        </ext>
      </extLst>
    </bk>
    <bk>
      <extLst>
        <ext uri="{3e2802c4-a4d2-4d8b-9148-e3be6c30e623}">
          <xlrd:rvb i="874"/>
        </ext>
      </extLst>
    </bk>
    <bk>
      <extLst>
        <ext uri="{3e2802c4-a4d2-4d8b-9148-e3be6c30e623}">
          <xlrd:rvb i="875"/>
        </ext>
      </extLst>
    </bk>
    <bk>
      <extLst>
        <ext uri="{3e2802c4-a4d2-4d8b-9148-e3be6c30e623}">
          <xlrd:rvb i="876"/>
        </ext>
      </extLst>
    </bk>
    <bk>
      <extLst>
        <ext uri="{3e2802c4-a4d2-4d8b-9148-e3be6c30e623}">
          <xlrd:rvb i="877"/>
        </ext>
      </extLst>
    </bk>
    <bk>
      <extLst>
        <ext uri="{3e2802c4-a4d2-4d8b-9148-e3be6c30e623}">
          <xlrd:rvb i="878"/>
        </ext>
      </extLst>
    </bk>
    <bk>
      <extLst>
        <ext uri="{3e2802c4-a4d2-4d8b-9148-e3be6c30e623}">
          <xlrd:rvb i="879"/>
        </ext>
      </extLst>
    </bk>
    <bk>
      <extLst>
        <ext uri="{3e2802c4-a4d2-4d8b-9148-e3be6c30e623}">
          <xlrd:rvb i="880"/>
        </ext>
      </extLst>
    </bk>
    <bk>
      <extLst>
        <ext uri="{3e2802c4-a4d2-4d8b-9148-e3be6c30e623}">
          <xlrd:rvb i="881"/>
        </ext>
      </extLst>
    </bk>
    <bk>
      <extLst>
        <ext uri="{3e2802c4-a4d2-4d8b-9148-e3be6c30e623}">
          <xlrd:rvb i="882"/>
        </ext>
      </extLst>
    </bk>
    <bk>
      <extLst>
        <ext uri="{3e2802c4-a4d2-4d8b-9148-e3be6c30e623}">
          <xlrd:rvb i="883"/>
        </ext>
      </extLst>
    </bk>
    <bk>
      <extLst>
        <ext uri="{3e2802c4-a4d2-4d8b-9148-e3be6c30e623}">
          <xlrd:rvb i="884"/>
        </ext>
      </extLst>
    </bk>
    <bk>
      <extLst>
        <ext uri="{3e2802c4-a4d2-4d8b-9148-e3be6c30e623}">
          <xlrd:rvb i="885"/>
        </ext>
      </extLst>
    </bk>
    <bk>
      <extLst>
        <ext uri="{3e2802c4-a4d2-4d8b-9148-e3be6c30e623}">
          <xlrd:rvb i="886"/>
        </ext>
      </extLst>
    </bk>
    <bk>
      <extLst>
        <ext uri="{3e2802c4-a4d2-4d8b-9148-e3be6c30e623}">
          <xlrd:rvb i="887"/>
        </ext>
      </extLst>
    </bk>
    <bk>
      <extLst>
        <ext uri="{3e2802c4-a4d2-4d8b-9148-e3be6c30e623}">
          <xlrd:rvb i="888"/>
        </ext>
      </extLst>
    </bk>
    <bk>
      <extLst>
        <ext uri="{3e2802c4-a4d2-4d8b-9148-e3be6c30e623}">
          <xlrd:rvb i="889"/>
        </ext>
      </extLst>
    </bk>
    <bk>
      <extLst>
        <ext uri="{3e2802c4-a4d2-4d8b-9148-e3be6c30e623}">
          <xlrd:rvb i="890"/>
        </ext>
      </extLst>
    </bk>
    <bk>
      <extLst>
        <ext uri="{3e2802c4-a4d2-4d8b-9148-e3be6c30e623}">
          <xlrd:rvb i="891"/>
        </ext>
      </extLst>
    </bk>
    <bk>
      <extLst>
        <ext uri="{3e2802c4-a4d2-4d8b-9148-e3be6c30e623}">
          <xlrd:rvb i="892"/>
        </ext>
      </extLst>
    </bk>
    <bk>
      <extLst>
        <ext uri="{3e2802c4-a4d2-4d8b-9148-e3be6c30e623}">
          <xlrd:rvb i="893"/>
        </ext>
      </extLst>
    </bk>
    <bk>
      <extLst>
        <ext uri="{3e2802c4-a4d2-4d8b-9148-e3be6c30e623}">
          <xlrd:rvb i="894"/>
        </ext>
      </extLst>
    </bk>
    <bk>
      <extLst>
        <ext uri="{3e2802c4-a4d2-4d8b-9148-e3be6c30e623}">
          <xlrd:rvb i="895"/>
        </ext>
      </extLst>
    </bk>
    <bk>
      <extLst>
        <ext uri="{3e2802c4-a4d2-4d8b-9148-e3be6c30e623}">
          <xlrd:rvb i="896"/>
        </ext>
      </extLst>
    </bk>
    <bk>
      <extLst>
        <ext uri="{3e2802c4-a4d2-4d8b-9148-e3be6c30e623}">
          <xlrd:rvb i="897"/>
        </ext>
      </extLst>
    </bk>
    <bk>
      <extLst>
        <ext uri="{3e2802c4-a4d2-4d8b-9148-e3be6c30e623}">
          <xlrd:rvb i="898"/>
        </ext>
      </extLst>
    </bk>
    <bk>
      <extLst>
        <ext uri="{3e2802c4-a4d2-4d8b-9148-e3be6c30e623}">
          <xlrd:rvb i="899"/>
        </ext>
      </extLst>
    </bk>
    <bk>
      <extLst>
        <ext uri="{3e2802c4-a4d2-4d8b-9148-e3be6c30e623}">
          <xlrd:rvb i="900"/>
        </ext>
      </extLst>
    </bk>
    <bk>
      <extLst>
        <ext uri="{3e2802c4-a4d2-4d8b-9148-e3be6c30e623}">
          <xlrd:rvb i="901"/>
        </ext>
      </extLst>
    </bk>
    <bk>
      <extLst>
        <ext uri="{3e2802c4-a4d2-4d8b-9148-e3be6c30e623}">
          <xlrd:rvb i="902"/>
        </ext>
      </extLst>
    </bk>
    <bk>
      <extLst>
        <ext uri="{3e2802c4-a4d2-4d8b-9148-e3be6c30e623}">
          <xlrd:rvb i="903"/>
        </ext>
      </extLst>
    </bk>
    <bk>
      <extLst>
        <ext uri="{3e2802c4-a4d2-4d8b-9148-e3be6c30e623}">
          <xlrd:rvb i="904"/>
        </ext>
      </extLst>
    </bk>
    <bk>
      <extLst>
        <ext uri="{3e2802c4-a4d2-4d8b-9148-e3be6c30e623}">
          <xlrd:rvb i="905"/>
        </ext>
      </extLst>
    </bk>
    <bk>
      <extLst>
        <ext uri="{3e2802c4-a4d2-4d8b-9148-e3be6c30e623}">
          <xlrd:rvb i="906"/>
        </ext>
      </extLst>
    </bk>
    <bk>
      <extLst>
        <ext uri="{3e2802c4-a4d2-4d8b-9148-e3be6c30e623}">
          <xlrd:rvb i="907"/>
        </ext>
      </extLst>
    </bk>
    <bk>
      <extLst>
        <ext uri="{3e2802c4-a4d2-4d8b-9148-e3be6c30e623}">
          <xlrd:rvb i="908"/>
        </ext>
      </extLst>
    </bk>
    <bk>
      <extLst>
        <ext uri="{3e2802c4-a4d2-4d8b-9148-e3be6c30e623}">
          <xlrd:rvb i="909"/>
        </ext>
      </extLst>
    </bk>
    <bk>
      <extLst>
        <ext uri="{3e2802c4-a4d2-4d8b-9148-e3be6c30e623}">
          <xlrd:rvb i="910"/>
        </ext>
      </extLst>
    </bk>
    <bk>
      <extLst>
        <ext uri="{3e2802c4-a4d2-4d8b-9148-e3be6c30e623}">
          <xlrd:rvb i="911"/>
        </ext>
      </extLst>
    </bk>
    <bk>
      <extLst>
        <ext uri="{3e2802c4-a4d2-4d8b-9148-e3be6c30e623}">
          <xlrd:rvb i="912"/>
        </ext>
      </extLst>
    </bk>
    <bk>
      <extLst>
        <ext uri="{3e2802c4-a4d2-4d8b-9148-e3be6c30e623}">
          <xlrd:rvb i="913"/>
        </ext>
      </extLst>
    </bk>
    <bk>
      <extLst>
        <ext uri="{3e2802c4-a4d2-4d8b-9148-e3be6c30e623}">
          <xlrd:rvb i="914"/>
        </ext>
      </extLst>
    </bk>
    <bk>
      <extLst>
        <ext uri="{3e2802c4-a4d2-4d8b-9148-e3be6c30e623}">
          <xlrd:rvb i="915"/>
        </ext>
      </extLst>
    </bk>
    <bk>
      <extLst>
        <ext uri="{3e2802c4-a4d2-4d8b-9148-e3be6c30e623}">
          <xlrd:rvb i="916"/>
        </ext>
      </extLst>
    </bk>
    <bk>
      <extLst>
        <ext uri="{3e2802c4-a4d2-4d8b-9148-e3be6c30e623}">
          <xlrd:rvb i="917"/>
        </ext>
      </extLst>
    </bk>
    <bk>
      <extLst>
        <ext uri="{3e2802c4-a4d2-4d8b-9148-e3be6c30e623}">
          <xlrd:rvb i="918"/>
        </ext>
      </extLst>
    </bk>
    <bk>
      <extLst>
        <ext uri="{3e2802c4-a4d2-4d8b-9148-e3be6c30e623}">
          <xlrd:rvb i="919"/>
        </ext>
      </extLst>
    </bk>
    <bk>
      <extLst>
        <ext uri="{3e2802c4-a4d2-4d8b-9148-e3be6c30e623}">
          <xlrd:rvb i="920"/>
        </ext>
      </extLst>
    </bk>
    <bk>
      <extLst>
        <ext uri="{3e2802c4-a4d2-4d8b-9148-e3be6c30e623}">
          <xlrd:rvb i="921"/>
        </ext>
      </extLst>
    </bk>
    <bk>
      <extLst>
        <ext uri="{3e2802c4-a4d2-4d8b-9148-e3be6c30e623}">
          <xlrd:rvb i="922"/>
        </ext>
      </extLst>
    </bk>
    <bk>
      <extLst>
        <ext uri="{3e2802c4-a4d2-4d8b-9148-e3be6c30e623}">
          <xlrd:rvb i="923"/>
        </ext>
      </extLst>
    </bk>
    <bk>
      <extLst>
        <ext uri="{3e2802c4-a4d2-4d8b-9148-e3be6c30e623}">
          <xlrd:rvb i="924"/>
        </ext>
      </extLst>
    </bk>
    <bk>
      <extLst>
        <ext uri="{3e2802c4-a4d2-4d8b-9148-e3be6c30e623}">
          <xlrd:rvb i="925"/>
        </ext>
      </extLst>
    </bk>
    <bk>
      <extLst>
        <ext uri="{3e2802c4-a4d2-4d8b-9148-e3be6c30e623}">
          <xlrd:rvb i="926"/>
        </ext>
      </extLst>
    </bk>
    <bk>
      <extLst>
        <ext uri="{3e2802c4-a4d2-4d8b-9148-e3be6c30e623}">
          <xlrd:rvb i="927"/>
        </ext>
      </extLst>
    </bk>
    <bk>
      <extLst>
        <ext uri="{3e2802c4-a4d2-4d8b-9148-e3be6c30e623}">
          <xlrd:rvb i="928"/>
        </ext>
      </extLst>
    </bk>
    <bk>
      <extLst>
        <ext uri="{3e2802c4-a4d2-4d8b-9148-e3be6c30e623}">
          <xlrd:rvb i="929"/>
        </ext>
      </extLst>
    </bk>
    <bk>
      <extLst>
        <ext uri="{3e2802c4-a4d2-4d8b-9148-e3be6c30e623}">
          <xlrd:rvb i="930"/>
        </ext>
      </extLst>
    </bk>
    <bk>
      <extLst>
        <ext uri="{3e2802c4-a4d2-4d8b-9148-e3be6c30e623}">
          <xlrd:rvb i="931"/>
        </ext>
      </extLst>
    </bk>
    <bk>
      <extLst>
        <ext uri="{3e2802c4-a4d2-4d8b-9148-e3be6c30e623}">
          <xlrd:rvb i="932"/>
        </ext>
      </extLst>
    </bk>
    <bk>
      <extLst>
        <ext uri="{3e2802c4-a4d2-4d8b-9148-e3be6c30e623}">
          <xlrd:rvb i="933"/>
        </ext>
      </extLst>
    </bk>
    <bk>
      <extLst>
        <ext uri="{3e2802c4-a4d2-4d8b-9148-e3be6c30e623}">
          <xlrd:rvb i="934"/>
        </ext>
      </extLst>
    </bk>
    <bk>
      <extLst>
        <ext uri="{3e2802c4-a4d2-4d8b-9148-e3be6c30e623}">
          <xlrd:rvb i="935"/>
        </ext>
      </extLst>
    </bk>
    <bk>
      <extLst>
        <ext uri="{3e2802c4-a4d2-4d8b-9148-e3be6c30e623}">
          <xlrd:rvb i="936"/>
        </ext>
      </extLst>
    </bk>
    <bk>
      <extLst>
        <ext uri="{3e2802c4-a4d2-4d8b-9148-e3be6c30e623}">
          <xlrd:rvb i="937"/>
        </ext>
      </extLst>
    </bk>
    <bk>
      <extLst>
        <ext uri="{3e2802c4-a4d2-4d8b-9148-e3be6c30e623}">
          <xlrd:rvb i="938"/>
        </ext>
      </extLst>
    </bk>
    <bk>
      <extLst>
        <ext uri="{3e2802c4-a4d2-4d8b-9148-e3be6c30e623}">
          <xlrd:rvb i="939"/>
        </ext>
      </extLst>
    </bk>
    <bk>
      <extLst>
        <ext uri="{3e2802c4-a4d2-4d8b-9148-e3be6c30e623}">
          <xlrd:rvb i="940"/>
        </ext>
      </extLst>
    </bk>
    <bk>
      <extLst>
        <ext uri="{3e2802c4-a4d2-4d8b-9148-e3be6c30e623}">
          <xlrd:rvb i="941"/>
        </ext>
      </extLst>
    </bk>
    <bk>
      <extLst>
        <ext uri="{3e2802c4-a4d2-4d8b-9148-e3be6c30e623}">
          <xlrd:rvb i="942"/>
        </ext>
      </extLst>
    </bk>
    <bk>
      <extLst>
        <ext uri="{3e2802c4-a4d2-4d8b-9148-e3be6c30e623}">
          <xlrd:rvb i="943"/>
        </ext>
      </extLst>
    </bk>
    <bk>
      <extLst>
        <ext uri="{3e2802c4-a4d2-4d8b-9148-e3be6c30e623}">
          <xlrd:rvb i="944"/>
        </ext>
      </extLst>
    </bk>
    <bk>
      <extLst>
        <ext uri="{3e2802c4-a4d2-4d8b-9148-e3be6c30e623}">
          <xlrd:rvb i="945"/>
        </ext>
      </extLst>
    </bk>
    <bk>
      <extLst>
        <ext uri="{3e2802c4-a4d2-4d8b-9148-e3be6c30e623}">
          <xlrd:rvb i="946"/>
        </ext>
      </extLst>
    </bk>
    <bk>
      <extLst>
        <ext uri="{3e2802c4-a4d2-4d8b-9148-e3be6c30e623}">
          <xlrd:rvb i="947"/>
        </ext>
      </extLst>
    </bk>
    <bk>
      <extLst>
        <ext uri="{3e2802c4-a4d2-4d8b-9148-e3be6c30e623}">
          <xlrd:rvb i="948"/>
        </ext>
      </extLst>
    </bk>
    <bk>
      <extLst>
        <ext uri="{3e2802c4-a4d2-4d8b-9148-e3be6c30e623}">
          <xlrd:rvb i="949"/>
        </ext>
      </extLst>
    </bk>
    <bk>
      <extLst>
        <ext uri="{3e2802c4-a4d2-4d8b-9148-e3be6c30e623}">
          <xlrd:rvb i="950"/>
        </ext>
      </extLst>
    </bk>
    <bk>
      <extLst>
        <ext uri="{3e2802c4-a4d2-4d8b-9148-e3be6c30e623}">
          <xlrd:rvb i="951"/>
        </ext>
      </extLst>
    </bk>
    <bk>
      <extLst>
        <ext uri="{3e2802c4-a4d2-4d8b-9148-e3be6c30e623}">
          <xlrd:rvb i="952"/>
        </ext>
      </extLst>
    </bk>
    <bk>
      <extLst>
        <ext uri="{3e2802c4-a4d2-4d8b-9148-e3be6c30e623}">
          <xlrd:rvb i="953"/>
        </ext>
      </extLst>
    </bk>
    <bk>
      <extLst>
        <ext uri="{3e2802c4-a4d2-4d8b-9148-e3be6c30e623}">
          <xlrd:rvb i="954"/>
        </ext>
      </extLst>
    </bk>
    <bk>
      <extLst>
        <ext uri="{3e2802c4-a4d2-4d8b-9148-e3be6c30e623}">
          <xlrd:rvb i="955"/>
        </ext>
      </extLst>
    </bk>
    <bk>
      <extLst>
        <ext uri="{3e2802c4-a4d2-4d8b-9148-e3be6c30e623}">
          <xlrd:rvb i="956"/>
        </ext>
      </extLst>
    </bk>
    <bk>
      <extLst>
        <ext uri="{3e2802c4-a4d2-4d8b-9148-e3be6c30e623}">
          <xlrd:rvb i="957"/>
        </ext>
      </extLst>
    </bk>
    <bk>
      <extLst>
        <ext uri="{3e2802c4-a4d2-4d8b-9148-e3be6c30e623}">
          <xlrd:rvb i="958"/>
        </ext>
      </extLst>
    </bk>
    <bk>
      <extLst>
        <ext uri="{3e2802c4-a4d2-4d8b-9148-e3be6c30e623}">
          <xlrd:rvb i="959"/>
        </ext>
      </extLst>
    </bk>
    <bk>
      <extLst>
        <ext uri="{3e2802c4-a4d2-4d8b-9148-e3be6c30e623}">
          <xlrd:rvb i="960"/>
        </ext>
      </extLst>
    </bk>
    <bk>
      <extLst>
        <ext uri="{3e2802c4-a4d2-4d8b-9148-e3be6c30e623}">
          <xlrd:rvb i="961"/>
        </ext>
      </extLst>
    </bk>
    <bk>
      <extLst>
        <ext uri="{3e2802c4-a4d2-4d8b-9148-e3be6c30e623}">
          <xlrd:rvb i="962"/>
        </ext>
      </extLst>
    </bk>
    <bk>
      <extLst>
        <ext uri="{3e2802c4-a4d2-4d8b-9148-e3be6c30e623}">
          <xlrd:rvb i="963"/>
        </ext>
      </extLst>
    </bk>
    <bk>
      <extLst>
        <ext uri="{3e2802c4-a4d2-4d8b-9148-e3be6c30e623}">
          <xlrd:rvb i="964"/>
        </ext>
      </extLst>
    </bk>
    <bk>
      <extLst>
        <ext uri="{3e2802c4-a4d2-4d8b-9148-e3be6c30e623}">
          <xlrd:rvb i="965"/>
        </ext>
      </extLst>
    </bk>
    <bk>
      <extLst>
        <ext uri="{3e2802c4-a4d2-4d8b-9148-e3be6c30e623}">
          <xlrd:rvb i="966"/>
        </ext>
      </extLst>
    </bk>
    <bk>
      <extLst>
        <ext uri="{3e2802c4-a4d2-4d8b-9148-e3be6c30e623}">
          <xlrd:rvb i="967"/>
        </ext>
      </extLst>
    </bk>
    <bk>
      <extLst>
        <ext uri="{3e2802c4-a4d2-4d8b-9148-e3be6c30e623}">
          <xlrd:rvb i="968"/>
        </ext>
      </extLst>
    </bk>
    <bk>
      <extLst>
        <ext uri="{3e2802c4-a4d2-4d8b-9148-e3be6c30e623}">
          <xlrd:rvb i="969"/>
        </ext>
      </extLst>
    </bk>
    <bk>
      <extLst>
        <ext uri="{3e2802c4-a4d2-4d8b-9148-e3be6c30e623}">
          <xlrd:rvb i="970"/>
        </ext>
      </extLst>
    </bk>
    <bk>
      <extLst>
        <ext uri="{3e2802c4-a4d2-4d8b-9148-e3be6c30e623}">
          <xlrd:rvb i="971"/>
        </ext>
      </extLst>
    </bk>
    <bk>
      <extLst>
        <ext uri="{3e2802c4-a4d2-4d8b-9148-e3be6c30e623}">
          <xlrd:rvb i="972"/>
        </ext>
      </extLst>
    </bk>
    <bk>
      <extLst>
        <ext uri="{3e2802c4-a4d2-4d8b-9148-e3be6c30e623}">
          <xlrd:rvb i="973"/>
        </ext>
      </extLst>
    </bk>
    <bk>
      <extLst>
        <ext uri="{3e2802c4-a4d2-4d8b-9148-e3be6c30e623}">
          <xlrd:rvb i="974"/>
        </ext>
      </extLst>
    </bk>
    <bk>
      <extLst>
        <ext uri="{3e2802c4-a4d2-4d8b-9148-e3be6c30e623}">
          <xlrd:rvb i="975"/>
        </ext>
      </extLst>
    </bk>
    <bk>
      <extLst>
        <ext uri="{3e2802c4-a4d2-4d8b-9148-e3be6c30e623}">
          <xlrd:rvb i="976"/>
        </ext>
      </extLst>
    </bk>
    <bk>
      <extLst>
        <ext uri="{3e2802c4-a4d2-4d8b-9148-e3be6c30e623}">
          <xlrd:rvb i="977"/>
        </ext>
      </extLst>
    </bk>
    <bk>
      <extLst>
        <ext uri="{3e2802c4-a4d2-4d8b-9148-e3be6c30e623}">
          <xlrd:rvb i="978"/>
        </ext>
      </extLst>
    </bk>
    <bk>
      <extLst>
        <ext uri="{3e2802c4-a4d2-4d8b-9148-e3be6c30e623}">
          <xlrd:rvb i="979"/>
        </ext>
      </extLst>
    </bk>
    <bk>
      <extLst>
        <ext uri="{3e2802c4-a4d2-4d8b-9148-e3be6c30e623}">
          <xlrd:rvb i="980"/>
        </ext>
      </extLst>
    </bk>
    <bk>
      <extLst>
        <ext uri="{3e2802c4-a4d2-4d8b-9148-e3be6c30e623}">
          <xlrd:rvb i="981"/>
        </ext>
      </extLst>
    </bk>
    <bk>
      <extLst>
        <ext uri="{3e2802c4-a4d2-4d8b-9148-e3be6c30e623}">
          <xlrd:rvb i="982"/>
        </ext>
      </extLst>
    </bk>
    <bk>
      <extLst>
        <ext uri="{3e2802c4-a4d2-4d8b-9148-e3be6c30e623}">
          <xlrd:rvb i="983"/>
        </ext>
      </extLst>
    </bk>
    <bk>
      <extLst>
        <ext uri="{3e2802c4-a4d2-4d8b-9148-e3be6c30e623}">
          <xlrd:rvb i="984"/>
        </ext>
      </extLst>
    </bk>
    <bk>
      <extLst>
        <ext uri="{3e2802c4-a4d2-4d8b-9148-e3be6c30e623}">
          <xlrd:rvb i="985"/>
        </ext>
      </extLst>
    </bk>
    <bk>
      <extLst>
        <ext uri="{3e2802c4-a4d2-4d8b-9148-e3be6c30e623}">
          <xlrd:rvb i="986"/>
        </ext>
      </extLst>
    </bk>
    <bk>
      <extLst>
        <ext uri="{3e2802c4-a4d2-4d8b-9148-e3be6c30e623}">
          <xlrd:rvb i="987"/>
        </ext>
      </extLst>
    </bk>
    <bk>
      <extLst>
        <ext uri="{3e2802c4-a4d2-4d8b-9148-e3be6c30e623}">
          <xlrd:rvb i="988"/>
        </ext>
      </extLst>
    </bk>
    <bk>
      <extLst>
        <ext uri="{3e2802c4-a4d2-4d8b-9148-e3be6c30e623}">
          <xlrd:rvb i="989"/>
        </ext>
      </extLst>
    </bk>
    <bk>
      <extLst>
        <ext uri="{3e2802c4-a4d2-4d8b-9148-e3be6c30e623}">
          <xlrd:rvb i="990"/>
        </ext>
      </extLst>
    </bk>
    <bk>
      <extLst>
        <ext uri="{3e2802c4-a4d2-4d8b-9148-e3be6c30e623}">
          <xlrd:rvb i="991"/>
        </ext>
      </extLst>
    </bk>
    <bk>
      <extLst>
        <ext uri="{3e2802c4-a4d2-4d8b-9148-e3be6c30e623}">
          <xlrd:rvb i="992"/>
        </ext>
      </extLst>
    </bk>
    <bk>
      <extLst>
        <ext uri="{3e2802c4-a4d2-4d8b-9148-e3be6c30e623}">
          <xlrd:rvb i="993"/>
        </ext>
      </extLst>
    </bk>
    <bk>
      <extLst>
        <ext uri="{3e2802c4-a4d2-4d8b-9148-e3be6c30e623}">
          <xlrd:rvb i="994"/>
        </ext>
      </extLst>
    </bk>
    <bk>
      <extLst>
        <ext uri="{3e2802c4-a4d2-4d8b-9148-e3be6c30e623}">
          <xlrd:rvb i="995"/>
        </ext>
      </extLst>
    </bk>
    <bk>
      <extLst>
        <ext uri="{3e2802c4-a4d2-4d8b-9148-e3be6c30e623}">
          <xlrd:rvb i="996"/>
        </ext>
      </extLst>
    </bk>
    <bk>
      <extLst>
        <ext uri="{3e2802c4-a4d2-4d8b-9148-e3be6c30e623}">
          <xlrd:rvb i="997"/>
        </ext>
      </extLst>
    </bk>
    <bk>
      <extLst>
        <ext uri="{3e2802c4-a4d2-4d8b-9148-e3be6c30e623}">
          <xlrd:rvb i="998"/>
        </ext>
      </extLst>
    </bk>
    <bk>
      <extLst>
        <ext uri="{3e2802c4-a4d2-4d8b-9148-e3be6c30e623}">
          <xlrd:rvb i="999"/>
        </ext>
      </extLst>
    </bk>
    <bk>
      <extLst>
        <ext uri="{3e2802c4-a4d2-4d8b-9148-e3be6c30e623}">
          <xlrd:rvb i="1000"/>
        </ext>
      </extLst>
    </bk>
    <bk>
      <extLst>
        <ext uri="{3e2802c4-a4d2-4d8b-9148-e3be6c30e623}">
          <xlrd:rvb i="1001"/>
        </ext>
      </extLst>
    </bk>
    <bk>
      <extLst>
        <ext uri="{3e2802c4-a4d2-4d8b-9148-e3be6c30e623}">
          <xlrd:rvb i="1002"/>
        </ext>
      </extLst>
    </bk>
    <bk>
      <extLst>
        <ext uri="{3e2802c4-a4d2-4d8b-9148-e3be6c30e623}">
          <xlrd:rvb i="1003"/>
        </ext>
      </extLst>
    </bk>
    <bk>
      <extLst>
        <ext uri="{3e2802c4-a4d2-4d8b-9148-e3be6c30e623}">
          <xlrd:rvb i="1004"/>
        </ext>
      </extLst>
    </bk>
    <bk>
      <extLst>
        <ext uri="{3e2802c4-a4d2-4d8b-9148-e3be6c30e623}">
          <xlrd:rvb i="1005"/>
        </ext>
      </extLst>
    </bk>
    <bk>
      <extLst>
        <ext uri="{3e2802c4-a4d2-4d8b-9148-e3be6c30e623}">
          <xlrd:rvb i="1006"/>
        </ext>
      </extLst>
    </bk>
    <bk>
      <extLst>
        <ext uri="{3e2802c4-a4d2-4d8b-9148-e3be6c30e623}">
          <xlrd:rvb i="1007"/>
        </ext>
      </extLst>
    </bk>
    <bk>
      <extLst>
        <ext uri="{3e2802c4-a4d2-4d8b-9148-e3be6c30e623}">
          <xlrd:rvb i="1008"/>
        </ext>
      </extLst>
    </bk>
    <bk>
      <extLst>
        <ext uri="{3e2802c4-a4d2-4d8b-9148-e3be6c30e623}">
          <xlrd:rvb i="1009"/>
        </ext>
      </extLst>
    </bk>
    <bk>
      <extLst>
        <ext uri="{3e2802c4-a4d2-4d8b-9148-e3be6c30e623}">
          <xlrd:rvb i="1010"/>
        </ext>
      </extLst>
    </bk>
    <bk>
      <extLst>
        <ext uri="{3e2802c4-a4d2-4d8b-9148-e3be6c30e623}">
          <xlrd:rvb i="1011"/>
        </ext>
      </extLst>
    </bk>
    <bk>
      <extLst>
        <ext uri="{3e2802c4-a4d2-4d8b-9148-e3be6c30e623}">
          <xlrd:rvb i="1012"/>
        </ext>
      </extLst>
    </bk>
    <bk>
      <extLst>
        <ext uri="{3e2802c4-a4d2-4d8b-9148-e3be6c30e623}">
          <xlrd:rvb i="1013"/>
        </ext>
      </extLst>
    </bk>
    <bk>
      <extLst>
        <ext uri="{3e2802c4-a4d2-4d8b-9148-e3be6c30e623}">
          <xlrd:rvb i="1014"/>
        </ext>
      </extLst>
    </bk>
    <bk>
      <extLst>
        <ext uri="{3e2802c4-a4d2-4d8b-9148-e3be6c30e623}">
          <xlrd:rvb i="1015"/>
        </ext>
      </extLst>
    </bk>
    <bk>
      <extLst>
        <ext uri="{3e2802c4-a4d2-4d8b-9148-e3be6c30e623}">
          <xlrd:rvb i="1016"/>
        </ext>
      </extLst>
    </bk>
    <bk>
      <extLst>
        <ext uri="{3e2802c4-a4d2-4d8b-9148-e3be6c30e623}">
          <xlrd:rvb i="1017"/>
        </ext>
      </extLst>
    </bk>
    <bk>
      <extLst>
        <ext uri="{3e2802c4-a4d2-4d8b-9148-e3be6c30e623}">
          <xlrd:rvb i="1018"/>
        </ext>
      </extLst>
    </bk>
    <bk>
      <extLst>
        <ext uri="{3e2802c4-a4d2-4d8b-9148-e3be6c30e623}">
          <xlrd:rvb i="1019"/>
        </ext>
      </extLst>
    </bk>
    <bk>
      <extLst>
        <ext uri="{3e2802c4-a4d2-4d8b-9148-e3be6c30e623}">
          <xlrd:rvb i="1020"/>
        </ext>
      </extLst>
    </bk>
    <bk>
      <extLst>
        <ext uri="{3e2802c4-a4d2-4d8b-9148-e3be6c30e623}">
          <xlrd:rvb i="1021"/>
        </ext>
      </extLst>
    </bk>
    <bk>
      <extLst>
        <ext uri="{3e2802c4-a4d2-4d8b-9148-e3be6c30e623}">
          <xlrd:rvb i="1022"/>
        </ext>
      </extLst>
    </bk>
    <bk>
      <extLst>
        <ext uri="{3e2802c4-a4d2-4d8b-9148-e3be6c30e623}">
          <xlrd:rvb i="1023"/>
        </ext>
      </extLst>
    </bk>
    <bk>
      <extLst>
        <ext uri="{3e2802c4-a4d2-4d8b-9148-e3be6c30e623}">
          <xlrd:rvb i="1024"/>
        </ext>
      </extLst>
    </bk>
    <bk>
      <extLst>
        <ext uri="{3e2802c4-a4d2-4d8b-9148-e3be6c30e623}">
          <xlrd:rvb i="1025"/>
        </ext>
      </extLst>
    </bk>
    <bk>
      <extLst>
        <ext uri="{3e2802c4-a4d2-4d8b-9148-e3be6c30e623}">
          <xlrd:rvb i="1026"/>
        </ext>
      </extLst>
    </bk>
    <bk>
      <extLst>
        <ext uri="{3e2802c4-a4d2-4d8b-9148-e3be6c30e623}">
          <xlrd:rvb i="1027"/>
        </ext>
      </extLst>
    </bk>
    <bk>
      <extLst>
        <ext uri="{3e2802c4-a4d2-4d8b-9148-e3be6c30e623}">
          <xlrd:rvb i="1028"/>
        </ext>
      </extLst>
    </bk>
    <bk>
      <extLst>
        <ext uri="{3e2802c4-a4d2-4d8b-9148-e3be6c30e623}">
          <xlrd:rvb i="1029"/>
        </ext>
      </extLst>
    </bk>
    <bk>
      <extLst>
        <ext uri="{3e2802c4-a4d2-4d8b-9148-e3be6c30e623}">
          <xlrd:rvb i="1030"/>
        </ext>
      </extLst>
    </bk>
    <bk>
      <extLst>
        <ext uri="{3e2802c4-a4d2-4d8b-9148-e3be6c30e623}">
          <xlrd:rvb i="1031"/>
        </ext>
      </extLst>
    </bk>
    <bk>
      <extLst>
        <ext uri="{3e2802c4-a4d2-4d8b-9148-e3be6c30e623}">
          <xlrd:rvb i="1032"/>
        </ext>
      </extLst>
    </bk>
    <bk>
      <extLst>
        <ext uri="{3e2802c4-a4d2-4d8b-9148-e3be6c30e623}">
          <xlrd:rvb i="1033"/>
        </ext>
      </extLst>
    </bk>
    <bk>
      <extLst>
        <ext uri="{3e2802c4-a4d2-4d8b-9148-e3be6c30e623}">
          <xlrd:rvb i="1034"/>
        </ext>
      </extLst>
    </bk>
    <bk>
      <extLst>
        <ext uri="{3e2802c4-a4d2-4d8b-9148-e3be6c30e623}">
          <xlrd:rvb i="1035"/>
        </ext>
      </extLst>
    </bk>
    <bk>
      <extLst>
        <ext uri="{3e2802c4-a4d2-4d8b-9148-e3be6c30e623}">
          <xlrd:rvb i="1036"/>
        </ext>
      </extLst>
    </bk>
    <bk>
      <extLst>
        <ext uri="{3e2802c4-a4d2-4d8b-9148-e3be6c30e623}">
          <xlrd:rvb i="1037"/>
        </ext>
      </extLst>
    </bk>
    <bk>
      <extLst>
        <ext uri="{3e2802c4-a4d2-4d8b-9148-e3be6c30e623}">
          <xlrd:rvb i="1038"/>
        </ext>
      </extLst>
    </bk>
    <bk>
      <extLst>
        <ext uri="{3e2802c4-a4d2-4d8b-9148-e3be6c30e623}">
          <xlrd:rvb i="1039"/>
        </ext>
      </extLst>
    </bk>
    <bk>
      <extLst>
        <ext uri="{3e2802c4-a4d2-4d8b-9148-e3be6c30e623}">
          <xlrd:rvb i="1040"/>
        </ext>
      </extLst>
    </bk>
    <bk>
      <extLst>
        <ext uri="{3e2802c4-a4d2-4d8b-9148-e3be6c30e623}">
          <xlrd:rvb i="1041"/>
        </ext>
      </extLst>
    </bk>
    <bk>
      <extLst>
        <ext uri="{3e2802c4-a4d2-4d8b-9148-e3be6c30e623}">
          <xlrd:rvb i="1042"/>
        </ext>
      </extLst>
    </bk>
    <bk>
      <extLst>
        <ext uri="{3e2802c4-a4d2-4d8b-9148-e3be6c30e623}">
          <xlrd:rvb i="1043"/>
        </ext>
      </extLst>
    </bk>
    <bk>
      <extLst>
        <ext uri="{3e2802c4-a4d2-4d8b-9148-e3be6c30e623}">
          <xlrd:rvb i="1044"/>
        </ext>
      </extLst>
    </bk>
    <bk>
      <extLst>
        <ext uri="{3e2802c4-a4d2-4d8b-9148-e3be6c30e623}">
          <xlrd:rvb i="1045"/>
        </ext>
      </extLst>
    </bk>
    <bk>
      <extLst>
        <ext uri="{3e2802c4-a4d2-4d8b-9148-e3be6c30e623}">
          <xlrd:rvb i="1046"/>
        </ext>
      </extLst>
    </bk>
    <bk>
      <extLst>
        <ext uri="{3e2802c4-a4d2-4d8b-9148-e3be6c30e623}">
          <xlrd:rvb i="1047"/>
        </ext>
      </extLst>
    </bk>
    <bk>
      <extLst>
        <ext uri="{3e2802c4-a4d2-4d8b-9148-e3be6c30e623}">
          <xlrd:rvb i="1048"/>
        </ext>
      </extLst>
    </bk>
    <bk>
      <extLst>
        <ext uri="{3e2802c4-a4d2-4d8b-9148-e3be6c30e623}">
          <xlrd:rvb i="1049"/>
        </ext>
      </extLst>
    </bk>
    <bk>
      <extLst>
        <ext uri="{3e2802c4-a4d2-4d8b-9148-e3be6c30e623}">
          <xlrd:rvb i="1050"/>
        </ext>
      </extLst>
    </bk>
    <bk>
      <extLst>
        <ext uri="{3e2802c4-a4d2-4d8b-9148-e3be6c30e623}">
          <xlrd:rvb i="1051"/>
        </ext>
      </extLst>
    </bk>
    <bk>
      <extLst>
        <ext uri="{3e2802c4-a4d2-4d8b-9148-e3be6c30e623}">
          <xlrd:rvb i="1052"/>
        </ext>
      </extLst>
    </bk>
    <bk>
      <extLst>
        <ext uri="{3e2802c4-a4d2-4d8b-9148-e3be6c30e623}">
          <xlrd:rvb i="1053"/>
        </ext>
      </extLst>
    </bk>
    <bk>
      <extLst>
        <ext uri="{3e2802c4-a4d2-4d8b-9148-e3be6c30e623}">
          <xlrd:rvb i="1054"/>
        </ext>
      </extLst>
    </bk>
    <bk>
      <extLst>
        <ext uri="{3e2802c4-a4d2-4d8b-9148-e3be6c30e623}">
          <xlrd:rvb i="1055"/>
        </ext>
      </extLst>
    </bk>
    <bk>
      <extLst>
        <ext uri="{3e2802c4-a4d2-4d8b-9148-e3be6c30e623}">
          <xlrd:rvb i="1056"/>
        </ext>
      </extLst>
    </bk>
    <bk>
      <extLst>
        <ext uri="{3e2802c4-a4d2-4d8b-9148-e3be6c30e623}">
          <xlrd:rvb i="1057"/>
        </ext>
      </extLst>
    </bk>
    <bk>
      <extLst>
        <ext uri="{3e2802c4-a4d2-4d8b-9148-e3be6c30e623}">
          <xlrd:rvb i="1058"/>
        </ext>
      </extLst>
    </bk>
    <bk>
      <extLst>
        <ext uri="{3e2802c4-a4d2-4d8b-9148-e3be6c30e623}">
          <xlrd:rvb i="1059"/>
        </ext>
      </extLst>
    </bk>
    <bk>
      <extLst>
        <ext uri="{3e2802c4-a4d2-4d8b-9148-e3be6c30e623}">
          <xlrd:rvb i="1060"/>
        </ext>
      </extLst>
    </bk>
    <bk>
      <extLst>
        <ext uri="{3e2802c4-a4d2-4d8b-9148-e3be6c30e623}">
          <xlrd:rvb i="1061"/>
        </ext>
      </extLst>
    </bk>
    <bk>
      <extLst>
        <ext uri="{3e2802c4-a4d2-4d8b-9148-e3be6c30e623}">
          <xlrd:rvb i="1062"/>
        </ext>
      </extLst>
    </bk>
    <bk>
      <extLst>
        <ext uri="{3e2802c4-a4d2-4d8b-9148-e3be6c30e623}">
          <xlrd:rvb i="1063"/>
        </ext>
      </extLst>
    </bk>
    <bk>
      <extLst>
        <ext uri="{3e2802c4-a4d2-4d8b-9148-e3be6c30e623}">
          <xlrd:rvb i="1064"/>
        </ext>
      </extLst>
    </bk>
    <bk>
      <extLst>
        <ext uri="{3e2802c4-a4d2-4d8b-9148-e3be6c30e623}">
          <xlrd:rvb i="1065"/>
        </ext>
      </extLst>
    </bk>
    <bk>
      <extLst>
        <ext uri="{3e2802c4-a4d2-4d8b-9148-e3be6c30e623}">
          <xlrd:rvb i="1066"/>
        </ext>
      </extLst>
    </bk>
    <bk>
      <extLst>
        <ext uri="{3e2802c4-a4d2-4d8b-9148-e3be6c30e623}">
          <xlrd:rvb i="1067"/>
        </ext>
      </extLst>
    </bk>
    <bk>
      <extLst>
        <ext uri="{3e2802c4-a4d2-4d8b-9148-e3be6c30e623}">
          <xlrd:rvb i="1068"/>
        </ext>
      </extLst>
    </bk>
    <bk>
      <extLst>
        <ext uri="{3e2802c4-a4d2-4d8b-9148-e3be6c30e623}">
          <xlrd:rvb i="1069"/>
        </ext>
      </extLst>
    </bk>
    <bk>
      <extLst>
        <ext uri="{3e2802c4-a4d2-4d8b-9148-e3be6c30e623}">
          <xlrd:rvb i="1070"/>
        </ext>
      </extLst>
    </bk>
    <bk>
      <extLst>
        <ext uri="{3e2802c4-a4d2-4d8b-9148-e3be6c30e623}">
          <xlrd:rvb i="1071"/>
        </ext>
      </extLst>
    </bk>
    <bk>
      <extLst>
        <ext uri="{3e2802c4-a4d2-4d8b-9148-e3be6c30e623}">
          <xlrd:rvb i="1072"/>
        </ext>
      </extLst>
    </bk>
    <bk>
      <extLst>
        <ext uri="{3e2802c4-a4d2-4d8b-9148-e3be6c30e623}">
          <xlrd:rvb i="1073"/>
        </ext>
      </extLst>
    </bk>
    <bk>
      <extLst>
        <ext uri="{3e2802c4-a4d2-4d8b-9148-e3be6c30e623}">
          <xlrd:rvb i="1074"/>
        </ext>
      </extLst>
    </bk>
    <bk>
      <extLst>
        <ext uri="{3e2802c4-a4d2-4d8b-9148-e3be6c30e623}">
          <xlrd:rvb i="1075"/>
        </ext>
      </extLst>
    </bk>
    <bk>
      <extLst>
        <ext uri="{3e2802c4-a4d2-4d8b-9148-e3be6c30e623}">
          <xlrd:rvb i="1076"/>
        </ext>
      </extLst>
    </bk>
    <bk>
      <extLst>
        <ext uri="{3e2802c4-a4d2-4d8b-9148-e3be6c30e623}">
          <xlrd:rvb i="1077"/>
        </ext>
      </extLst>
    </bk>
    <bk>
      <extLst>
        <ext uri="{3e2802c4-a4d2-4d8b-9148-e3be6c30e623}">
          <xlrd:rvb i="1078"/>
        </ext>
      </extLst>
    </bk>
    <bk>
      <extLst>
        <ext uri="{3e2802c4-a4d2-4d8b-9148-e3be6c30e623}">
          <xlrd:rvb i="1079"/>
        </ext>
      </extLst>
    </bk>
    <bk>
      <extLst>
        <ext uri="{3e2802c4-a4d2-4d8b-9148-e3be6c30e623}">
          <xlrd:rvb i="1080"/>
        </ext>
      </extLst>
    </bk>
    <bk>
      <extLst>
        <ext uri="{3e2802c4-a4d2-4d8b-9148-e3be6c30e623}">
          <xlrd:rvb i="1081"/>
        </ext>
      </extLst>
    </bk>
    <bk>
      <extLst>
        <ext uri="{3e2802c4-a4d2-4d8b-9148-e3be6c30e623}">
          <xlrd:rvb i="1082"/>
        </ext>
      </extLst>
    </bk>
    <bk>
      <extLst>
        <ext uri="{3e2802c4-a4d2-4d8b-9148-e3be6c30e623}">
          <xlrd:rvb i="1083"/>
        </ext>
      </extLst>
    </bk>
    <bk>
      <extLst>
        <ext uri="{3e2802c4-a4d2-4d8b-9148-e3be6c30e623}">
          <xlrd:rvb i="1084"/>
        </ext>
      </extLst>
    </bk>
    <bk>
      <extLst>
        <ext uri="{3e2802c4-a4d2-4d8b-9148-e3be6c30e623}">
          <xlrd:rvb i="1085"/>
        </ext>
      </extLst>
    </bk>
    <bk>
      <extLst>
        <ext uri="{3e2802c4-a4d2-4d8b-9148-e3be6c30e623}">
          <xlrd:rvb i="1086"/>
        </ext>
      </extLst>
    </bk>
    <bk>
      <extLst>
        <ext uri="{3e2802c4-a4d2-4d8b-9148-e3be6c30e623}">
          <xlrd:rvb i="1087"/>
        </ext>
      </extLst>
    </bk>
    <bk>
      <extLst>
        <ext uri="{3e2802c4-a4d2-4d8b-9148-e3be6c30e623}">
          <xlrd:rvb i="1088"/>
        </ext>
      </extLst>
    </bk>
    <bk>
      <extLst>
        <ext uri="{3e2802c4-a4d2-4d8b-9148-e3be6c30e623}">
          <xlrd:rvb i="1089"/>
        </ext>
      </extLst>
    </bk>
    <bk>
      <extLst>
        <ext uri="{3e2802c4-a4d2-4d8b-9148-e3be6c30e623}">
          <xlrd:rvb i="1090"/>
        </ext>
      </extLst>
    </bk>
    <bk>
      <extLst>
        <ext uri="{3e2802c4-a4d2-4d8b-9148-e3be6c30e623}">
          <xlrd:rvb i="1091"/>
        </ext>
      </extLst>
    </bk>
    <bk>
      <extLst>
        <ext uri="{3e2802c4-a4d2-4d8b-9148-e3be6c30e623}">
          <xlrd:rvb i="1092"/>
        </ext>
      </extLst>
    </bk>
    <bk>
      <extLst>
        <ext uri="{3e2802c4-a4d2-4d8b-9148-e3be6c30e623}">
          <xlrd:rvb i="1093"/>
        </ext>
      </extLst>
    </bk>
    <bk>
      <extLst>
        <ext uri="{3e2802c4-a4d2-4d8b-9148-e3be6c30e623}">
          <xlrd:rvb i="1094"/>
        </ext>
      </extLst>
    </bk>
    <bk>
      <extLst>
        <ext uri="{3e2802c4-a4d2-4d8b-9148-e3be6c30e623}">
          <xlrd:rvb i="1095"/>
        </ext>
      </extLst>
    </bk>
    <bk>
      <extLst>
        <ext uri="{3e2802c4-a4d2-4d8b-9148-e3be6c30e623}">
          <xlrd:rvb i="1096"/>
        </ext>
      </extLst>
    </bk>
    <bk>
      <extLst>
        <ext uri="{3e2802c4-a4d2-4d8b-9148-e3be6c30e623}">
          <xlrd:rvb i="1097"/>
        </ext>
      </extLst>
    </bk>
    <bk>
      <extLst>
        <ext uri="{3e2802c4-a4d2-4d8b-9148-e3be6c30e623}">
          <xlrd:rvb i="1098"/>
        </ext>
      </extLst>
    </bk>
    <bk>
      <extLst>
        <ext uri="{3e2802c4-a4d2-4d8b-9148-e3be6c30e623}">
          <xlrd:rvb i="1099"/>
        </ext>
      </extLst>
    </bk>
    <bk>
      <extLst>
        <ext uri="{3e2802c4-a4d2-4d8b-9148-e3be6c30e623}">
          <xlrd:rvb i="1100"/>
        </ext>
      </extLst>
    </bk>
    <bk>
      <extLst>
        <ext uri="{3e2802c4-a4d2-4d8b-9148-e3be6c30e623}">
          <xlrd:rvb i="1101"/>
        </ext>
      </extLst>
    </bk>
    <bk>
      <extLst>
        <ext uri="{3e2802c4-a4d2-4d8b-9148-e3be6c30e623}">
          <xlrd:rvb i="1102"/>
        </ext>
      </extLst>
    </bk>
    <bk>
      <extLst>
        <ext uri="{3e2802c4-a4d2-4d8b-9148-e3be6c30e623}">
          <xlrd:rvb i="1103"/>
        </ext>
      </extLst>
    </bk>
    <bk>
      <extLst>
        <ext uri="{3e2802c4-a4d2-4d8b-9148-e3be6c30e623}">
          <xlrd:rvb i="1104"/>
        </ext>
      </extLst>
    </bk>
    <bk>
      <extLst>
        <ext uri="{3e2802c4-a4d2-4d8b-9148-e3be6c30e623}">
          <xlrd:rvb i="1105"/>
        </ext>
      </extLst>
    </bk>
    <bk>
      <extLst>
        <ext uri="{3e2802c4-a4d2-4d8b-9148-e3be6c30e623}">
          <xlrd:rvb i="1106"/>
        </ext>
      </extLst>
    </bk>
    <bk>
      <extLst>
        <ext uri="{3e2802c4-a4d2-4d8b-9148-e3be6c30e623}">
          <xlrd:rvb i="1107"/>
        </ext>
      </extLst>
    </bk>
    <bk>
      <extLst>
        <ext uri="{3e2802c4-a4d2-4d8b-9148-e3be6c30e623}">
          <xlrd:rvb i="1108"/>
        </ext>
      </extLst>
    </bk>
    <bk>
      <extLst>
        <ext uri="{3e2802c4-a4d2-4d8b-9148-e3be6c30e623}">
          <xlrd:rvb i="1109"/>
        </ext>
      </extLst>
    </bk>
    <bk>
      <extLst>
        <ext uri="{3e2802c4-a4d2-4d8b-9148-e3be6c30e623}">
          <xlrd:rvb i="1110"/>
        </ext>
      </extLst>
    </bk>
    <bk>
      <extLst>
        <ext uri="{3e2802c4-a4d2-4d8b-9148-e3be6c30e623}">
          <xlrd:rvb i="1111"/>
        </ext>
      </extLst>
    </bk>
    <bk>
      <extLst>
        <ext uri="{3e2802c4-a4d2-4d8b-9148-e3be6c30e623}">
          <xlrd:rvb i="1112"/>
        </ext>
      </extLst>
    </bk>
    <bk>
      <extLst>
        <ext uri="{3e2802c4-a4d2-4d8b-9148-e3be6c30e623}">
          <xlrd:rvb i="1113"/>
        </ext>
      </extLst>
    </bk>
    <bk>
      <extLst>
        <ext uri="{3e2802c4-a4d2-4d8b-9148-e3be6c30e623}">
          <xlrd:rvb i="1114"/>
        </ext>
      </extLst>
    </bk>
    <bk>
      <extLst>
        <ext uri="{3e2802c4-a4d2-4d8b-9148-e3be6c30e623}">
          <xlrd:rvb i="1115"/>
        </ext>
      </extLst>
    </bk>
    <bk>
      <extLst>
        <ext uri="{3e2802c4-a4d2-4d8b-9148-e3be6c30e623}">
          <xlrd:rvb i="1116"/>
        </ext>
      </extLst>
    </bk>
    <bk>
      <extLst>
        <ext uri="{3e2802c4-a4d2-4d8b-9148-e3be6c30e623}">
          <xlrd:rvb i="1117"/>
        </ext>
      </extLst>
    </bk>
    <bk>
      <extLst>
        <ext uri="{3e2802c4-a4d2-4d8b-9148-e3be6c30e623}">
          <xlrd:rvb i="1118"/>
        </ext>
      </extLst>
    </bk>
    <bk>
      <extLst>
        <ext uri="{3e2802c4-a4d2-4d8b-9148-e3be6c30e623}">
          <xlrd:rvb i="1119"/>
        </ext>
      </extLst>
    </bk>
    <bk>
      <extLst>
        <ext uri="{3e2802c4-a4d2-4d8b-9148-e3be6c30e623}">
          <xlrd:rvb i="1120"/>
        </ext>
      </extLst>
    </bk>
    <bk>
      <extLst>
        <ext uri="{3e2802c4-a4d2-4d8b-9148-e3be6c30e623}">
          <xlrd:rvb i="1121"/>
        </ext>
      </extLst>
    </bk>
    <bk>
      <extLst>
        <ext uri="{3e2802c4-a4d2-4d8b-9148-e3be6c30e623}">
          <xlrd:rvb i="1122"/>
        </ext>
      </extLst>
    </bk>
    <bk>
      <extLst>
        <ext uri="{3e2802c4-a4d2-4d8b-9148-e3be6c30e623}">
          <xlrd:rvb i="1123"/>
        </ext>
      </extLst>
    </bk>
    <bk>
      <extLst>
        <ext uri="{3e2802c4-a4d2-4d8b-9148-e3be6c30e623}">
          <xlrd:rvb i="1124"/>
        </ext>
      </extLst>
    </bk>
    <bk>
      <extLst>
        <ext uri="{3e2802c4-a4d2-4d8b-9148-e3be6c30e623}">
          <xlrd:rvb i="1125"/>
        </ext>
      </extLst>
    </bk>
    <bk>
      <extLst>
        <ext uri="{3e2802c4-a4d2-4d8b-9148-e3be6c30e623}">
          <xlrd:rvb i="1126"/>
        </ext>
      </extLst>
    </bk>
    <bk>
      <extLst>
        <ext uri="{3e2802c4-a4d2-4d8b-9148-e3be6c30e623}">
          <xlrd:rvb i="1127"/>
        </ext>
      </extLst>
    </bk>
    <bk>
      <extLst>
        <ext uri="{3e2802c4-a4d2-4d8b-9148-e3be6c30e623}">
          <xlrd:rvb i="1128"/>
        </ext>
      </extLst>
    </bk>
    <bk>
      <extLst>
        <ext uri="{3e2802c4-a4d2-4d8b-9148-e3be6c30e623}">
          <xlrd:rvb i="1129"/>
        </ext>
      </extLst>
    </bk>
    <bk>
      <extLst>
        <ext uri="{3e2802c4-a4d2-4d8b-9148-e3be6c30e623}">
          <xlrd:rvb i="1130"/>
        </ext>
      </extLst>
    </bk>
    <bk>
      <extLst>
        <ext uri="{3e2802c4-a4d2-4d8b-9148-e3be6c30e623}">
          <xlrd:rvb i="1131"/>
        </ext>
      </extLst>
    </bk>
    <bk>
      <extLst>
        <ext uri="{3e2802c4-a4d2-4d8b-9148-e3be6c30e623}">
          <xlrd:rvb i="1132"/>
        </ext>
      </extLst>
    </bk>
    <bk>
      <extLst>
        <ext uri="{3e2802c4-a4d2-4d8b-9148-e3be6c30e623}">
          <xlrd:rvb i="1133"/>
        </ext>
      </extLst>
    </bk>
    <bk>
      <extLst>
        <ext uri="{3e2802c4-a4d2-4d8b-9148-e3be6c30e623}">
          <xlrd:rvb i="1134"/>
        </ext>
      </extLst>
    </bk>
    <bk>
      <extLst>
        <ext uri="{3e2802c4-a4d2-4d8b-9148-e3be6c30e623}">
          <xlrd:rvb i="1135"/>
        </ext>
      </extLst>
    </bk>
    <bk>
      <extLst>
        <ext uri="{3e2802c4-a4d2-4d8b-9148-e3be6c30e623}">
          <xlrd:rvb i="1136"/>
        </ext>
      </extLst>
    </bk>
    <bk>
      <extLst>
        <ext uri="{3e2802c4-a4d2-4d8b-9148-e3be6c30e623}">
          <xlrd:rvb i="1137"/>
        </ext>
      </extLst>
    </bk>
    <bk>
      <extLst>
        <ext uri="{3e2802c4-a4d2-4d8b-9148-e3be6c30e623}">
          <xlrd:rvb i="1138"/>
        </ext>
      </extLst>
    </bk>
    <bk>
      <extLst>
        <ext uri="{3e2802c4-a4d2-4d8b-9148-e3be6c30e623}">
          <xlrd:rvb i="1139"/>
        </ext>
      </extLst>
    </bk>
    <bk>
      <extLst>
        <ext uri="{3e2802c4-a4d2-4d8b-9148-e3be6c30e623}">
          <xlrd:rvb i="1140"/>
        </ext>
      </extLst>
    </bk>
    <bk>
      <extLst>
        <ext uri="{3e2802c4-a4d2-4d8b-9148-e3be6c30e623}">
          <xlrd:rvb i="1141"/>
        </ext>
      </extLst>
    </bk>
    <bk>
      <extLst>
        <ext uri="{3e2802c4-a4d2-4d8b-9148-e3be6c30e623}">
          <xlrd:rvb i="1142"/>
        </ext>
      </extLst>
    </bk>
    <bk>
      <extLst>
        <ext uri="{3e2802c4-a4d2-4d8b-9148-e3be6c30e623}">
          <xlrd:rvb i="1143"/>
        </ext>
      </extLst>
    </bk>
    <bk>
      <extLst>
        <ext uri="{3e2802c4-a4d2-4d8b-9148-e3be6c30e623}">
          <xlrd:rvb i="1144"/>
        </ext>
      </extLst>
    </bk>
    <bk>
      <extLst>
        <ext uri="{3e2802c4-a4d2-4d8b-9148-e3be6c30e623}">
          <xlrd:rvb i="1145"/>
        </ext>
      </extLst>
    </bk>
    <bk>
      <extLst>
        <ext uri="{3e2802c4-a4d2-4d8b-9148-e3be6c30e623}">
          <xlrd:rvb i="1146"/>
        </ext>
      </extLst>
    </bk>
    <bk>
      <extLst>
        <ext uri="{3e2802c4-a4d2-4d8b-9148-e3be6c30e623}">
          <xlrd:rvb i="1147"/>
        </ext>
      </extLst>
    </bk>
    <bk>
      <extLst>
        <ext uri="{3e2802c4-a4d2-4d8b-9148-e3be6c30e623}">
          <xlrd:rvb i="1148"/>
        </ext>
      </extLst>
    </bk>
    <bk>
      <extLst>
        <ext uri="{3e2802c4-a4d2-4d8b-9148-e3be6c30e623}">
          <xlrd:rvb i="1149"/>
        </ext>
      </extLst>
    </bk>
    <bk>
      <extLst>
        <ext uri="{3e2802c4-a4d2-4d8b-9148-e3be6c30e623}">
          <xlrd:rvb i="1150"/>
        </ext>
      </extLst>
    </bk>
    <bk>
      <extLst>
        <ext uri="{3e2802c4-a4d2-4d8b-9148-e3be6c30e623}">
          <xlrd:rvb i="1151"/>
        </ext>
      </extLst>
    </bk>
    <bk>
      <extLst>
        <ext uri="{3e2802c4-a4d2-4d8b-9148-e3be6c30e623}">
          <xlrd:rvb i="1152"/>
        </ext>
      </extLst>
    </bk>
    <bk>
      <extLst>
        <ext uri="{3e2802c4-a4d2-4d8b-9148-e3be6c30e623}">
          <xlrd:rvb i="1153"/>
        </ext>
      </extLst>
    </bk>
    <bk>
      <extLst>
        <ext uri="{3e2802c4-a4d2-4d8b-9148-e3be6c30e623}">
          <xlrd:rvb i="1154"/>
        </ext>
      </extLst>
    </bk>
    <bk>
      <extLst>
        <ext uri="{3e2802c4-a4d2-4d8b-9148-e3be6c30e623}">
          <xlrd:rvb i="1155"/>
        </ext>
      </extLst>
    </bk>
    <bk>
      <extLst>
        <ext uri="{3e2802c4-a4d2-4d8b-9148-e3be6c30e623}">
          <xlrd:rvb i="1156"/>
        </ext>
      </extLst>
    </bk>
    <bk>
      <extLst>
        <ext uri="{3e2802c4-a4d2-4d8b-9148-e3be6c30e623}">
          <xlrd:rvb i="1157"/>
        </ext>
      </extLst>
    </bk>
    <bk>
      <extLst>
        <ext uri="{3e2802c4-a4d2-4d8b-9148-e3be6c30e623}">
          <xlrd:rvb i="1158"/>
        </ext>
      </extLst>
    </bk>
    <bk>
      <extLst>
        <ext uri="{3e2802c4-a4d2-4d8b-9148-e3be6c30e623}">
          <xlrd:rvb i="1159"/>
        </ext>
      </extLst>
    </bk>
    <bk>
      <extLst>
        <ext uri="{3e2802c4-a4d2-4d8b-9148-e3be6c30e623}">
          <xlrd:rvb i="1160"/>
        </ext>
      </extLst>
    </bk>
    <bk>
      <extLst>
        <ext uri="{3e2802c4-a4d2-4d8b-9148-e3be6c30e623}">
          <xlrd:rvb i="1161"/>
        </ext>
      </extLst>
    </bk>
    <bk>
      <extLst>
        <ext uri="{3e2802c4-a4d2-4d8b-9148-e3be6c30e623}">
          <xlrd:rvb i="1162"/>
        </ext>
      </extLst>
    </bk>
    <bk>
      <extLst>
        <ext uri="{3e2802c4-a4d2-4d8b-9148-e3be6c30e623}">
          <xlrd:rvb i="1163"/>
        </ext>
      </extLst>
    </bk>
    <bk>
      <extLst>
        <ext uri="{3e2802c4-a4d2-4d8b-9148-e3be6c30e623}">
          <xlrd:rvb i="1164"/>
        </ext>
      </extLst>
    </bk>
    <bk>
      <extLst>
        <ext uri="{3e2802c4-a4d2-4d8b-9148-e3be6c30e623}">
          <xlrd:rvb i="1165"/>
        </ext>
      </extLst>
    </bk>
    <bk>
      <extLst>
        <ext uri="{3e2802c4-a4d2-4d8b-9148-e3be6c30e623}">
          <xlrd:rvb i="1166"/>
        </ext>
      </extLst>
    </bk>
    <bk>
      <extLst>
        <ext uri="{3e2802c4-a4d2-4d8b-9148-e3be6c30e623}">
          <xlrd:rvb i="1167"/>
        </ext>
      </extLst>
    </bk>
    <bk>
      <extLst>
        <ext uri="{3e2802c4-a4d2-4d8b-9148-e3be6c30e623}">
          <xlrd:rvb i="1168"/>
        </ext>
      </extLst>
    </bk>
    <bk>
      <extLst>
        <ext uri="{3e2802c4-a4d2-4d8b-9148-e3be6c30e623}">
          <xlrd:rvb i="1169"/>
        </ext>
      </extLst>
    </bk>
    <bk>
      <extLst>
        <ext uri="{3e2802c4-a4d2-4d8b-9148-e3be6c30e623}">
          <xlrd:rvb i="1170"/>
        </ext>
      </extLst>
    </bk>
    <bk>
      <extLst>
        <ext uri="{3e2802c4-a4d2-4d8b-9148-e3be6c30e623}">
          <xlrd:rvb i="1171"/>
        </ext>
      </extLst>
    </bk>
    <bk>
      <extLst>
        <ext uri="{3e2802c4-a4d2-4d8b-9148-e3be6c30e623}">
          <xlrd:rvb i="1172"/>
        </ext>
      </extLst>
    </bk>
    <bk>
      <extLst>
        <ext uri="{3e2802c4-a4d2-4d8b-9148-e3be6c30e623}">
          <xlrd:rvb i="1173"/>
        </ext>
      </extLst>
    </bk>
    <bk>
      <extLst>
        <ext uri="{3e2802c4-a4d2-4d8b-9148-e3be6c30e623}">
          <xlrd:rvb i="1174"/>
        </ext>
      </extLst>
    </bk>
    <bk>
      <extLst>
        <ext uri="{3e2802c4-a4d2-4d8b-9148-e3be6c30e623}">
          <xlrd:rvb i="1175"/>
        </ext>
      </extLst>
    </bk>
    <bk>
      <extLst>
        <ext uri="{3e2802c4-a4d2-4d8b-9148-e3be6c30e623}">
          <xlrd:rvb i="1176"/>
        </ext>
      </extLst>
    </bk>
    <bk>
      <extLst>
        <ext uri="{3e2802c4-a4d2-4d8b-9148-e3be6c30e623}">
          <xlrd:rvb i="1177"/>
        </ext>
      </extLst>
    </bk>
    <bk>
      <extLst>
        <ext uri="{3e2802c4-a4d2-4d8b-9148-e3be6c30e623}">
          <xlrd:rvb i="1178"/>
        </ext>
      </extLst>
    </bk>
    <bk>
      <extLst>
        <ext uri="{3e2802c4-a4d2-4d8b-9148-e3be6c30e623}">
          <xlrd:rvb i="1179"/>
        </ext>
      </extLst>
    </bk>
    <bk>
      <extLst>
        <ext uri="{3e2802c4-a4d2-4d8b-9148-e3be6c30e623}">
          <xlrd:rvb i="1180"/>
        </ext>
      </extLst>
    </bk>
    <bk>
      <extLst>
        <ext uri="{3e2802c4-a4d2-4d8b-9148-e3be6c30e623}">
          <xlrd:rvb i="1181"/>
        </ext>
      </extLst>
    </bk>
    <bk>
      <extLst>
        <ext uri="{3e2802c4-a4d2-4d8b-9148-e3be6c30e623}">
          <xlrd:rvb i="1182"/>
        </ext>
      </extLst>
    </bk>
    <bk>
      <extLst>
        <ext uri="{3e2802c4-a4d2-4d8b-9148-e3be6c30e623}">
          <xlrd:rvb i="1183"/>
        </ext>
      </extLst>
    </bk>
    <bk>
      <extLst>
        <ext uri="{3e2802c4-a4d2-4d8b-9148-e3be6c30e623}">
          <xlrd:rvb i="1184"/>
        </ext>
      </extLst>
    </bk>
    <bk>
      <extLst>
        <ext uri="{3e2802c4-a4d2-4d8b-9148-e3be6c30e623}">
          <xlrd:rvb i="1185"/>
        </ext>
      </extLst>
    </bk>
    <bk>
      <extLst>
        <ext uri="{3e2802c4-a4d2-4d8b-9148-e3be6c30e623}">
          <xlrd:rvb i="1186"/>
        </ext>
      </extLst>
    </bk>
    <bk>
      <extLst>
        <ext uri="{3e2802c4-a4d2-4d8b-9148-e3be6c30e623}">
          <xlrd:rvb i="1187"/>
        </ext>
      </extLst>
    </bk>
    <bk>
      <extLst>
        <ext uri="{3e2802c4-a4d2-4d8b-9148-e3be6c30e623}">
          <xlrd:rvb i="1188"/>
        </ext>
      </extLst>
    </bk>
    <bk>
      <extLst>
        <ext uri="{3e2802c4-a4d2-4d8b-9148-e3be6c30e623}">
          <xlrd:rvb i="1189"/>
        </ext>
      </extLst>
    </bk>
    <bk>
      <extLst>
        <ext uri="{3e2802c4-a4d2-4d8b-9148-e3be6c30e623}">
          <xlrd:rvb i="1190"/>
        </ext>
      </extLst>
    </bk>
    <bk>
      <extLst>
        <ext uri="{3e2802c4-a4d2-4d8b-9148-e3be6c30e623}">
          <xlrd:rvb i="1191"/>
        </ext>
      </extLst>
    </bk>
    <bk>
      <extLst>
        <ext uri="{3e2802c4-a4d2-4d8b-9148-e3be6c30e623}">
          <xlrd:rvb i="1192"/>
        </ext>
      </extLst>
    </bk>
    <bk>
      <extLst>
        <ext uri="{3e2802c4-a4d2-4d8b-9148-e3be6c30e623}">
          <xlrd:rvb i="1193"/>
        </ext>
      </extLst>
    </bk>
    <bk>
      <extLst>
        <ext uri="{3e2802c4-a4d2-4d8b-9148-e3be6c30e623}">
          <xlrd:rvb i="1194"/>
        </ext>
      </extLst>
    </bk>
    <bk>
      <extLst>
        <ext uri="{3e2802c4-a4d2-4d8b-9148-e3be6c30e623}">
          <xlrd:rvb i="1195"/>
        </ext>
      </extLst>
    </bk>
    <bk>
      <extLst>
        <ext uri="{3e2802c4-a4d2-4d8b-9148-e3be6c30e623}">
          <xlrd:rvb i="1196"/>
        </ext>
      </extLst>
    </bk>
    <bk>
      <extLst>
        <ext uri="{3e2802c4-a4d2-4d8b-9148-e3be6c30e623}">
          <xlrd:rvb i="1197"/>
        </ext>
      </extLst>
    </bk>
    <bk>
      <extLst>
        <ext uri="{3e2802c4-a4d2-4d8b-9148-e3be6c30e623}">
          <xlrd:rvb i="1198"/>
        </ext>
      </extLst>
    </bk>
    <bk>
      <extLst>
        <ext uri="{3e2802c4-a4d2-4d8b-9148-e3be6c30e623}">
          <xlrd:rvb i="1199"/>
        </ext>
      </extLst>
    </bk>
    <bk>
      <extLst>
        <ext uri="{3e2802c4-a4d2-4d8b-9148-e3be6c30e623}">
          <xlrd:rvb i="1200"/>
        </ext>
      </extLst>
    </bk>
    <bk>
      <extLst>
        <ext uri="{3e2802c4-a4d2-4d8b-9148-e3be6c30e623}">
          <xlrd:rvb i="1201"/>
        </ext>
      </extLst>
    </bk>
    <bk>
      <extLst>
        <ext uri="{3e2802c4-a4d2-4d8b-9148-e3be6c30e623}">
          <xlrd:rvb i="1202"/>
        </ext>
      </extLst>
    </bk>
    <bk>
      <extLst>
        <ext uri="{3e2802c4-a4d2-4d8b-9148-e3be6c30e623}">
          <xlrd:rvb i="1203"/>
        </ext>
      </extLst>
    </bk>
    <bk>
      <extLst>
        <ext uri="{3e2802c4-a4d2-4d8b-9148-e3be6c30e623}">
          <xlrd:rvb i="1204"/>
        </ext>
      </extLst>
    </bk>
    <bk>
      <extLst>
        <ext uri="{3e2802c4-a4d2-4d8b-9148-e3be6c30e623}">
          <xlrd:rvb i="1205"/>
        </ext>
      </extLst>
    </bk>
    <bk>
      <extLst>
        <ext uri="{3e2802c4-a4d2-4d8b-9148-e3be6c30e623}">
          <xlrd:rvb i="1206"/>
        </ext>
      </extLst>
    </bk>
    <bk>
      <extLst>
        <ext uri="{3e2802c4-a4d2-4d8b-9148-e3be6c30e623}">
          <xlrd:rvb i="1207"/>
        </ext>
      </extLst>
    </bk>
    <bk>
      <extLst>
        <ext uri="{3e2802c4-a4d2-4d8b-9148-e3be6c30e623}">
          <xlrd:rvb i="1208"/>
        </ext>
      </extLst>
    </bk>
    <bk>
      <extLst>
        <ext uri="{3e2802c4-a4d2-4d8b-9148-e3be6c30e623}">
          <xlrd:rvb i="1209"/>
        </ext>
      </extLst>
    </bk>
    <bk>
      <extLst>
        <ext uri="{3e2802c4-a4d2-4d8b-9148-e3be6c30e623}">
          <xlrd:rvb i="1210"/>
        </ext>
      </extLst>
    </bk>
    <bk>
      <extLst>
        <ext uri="{3e2802c4-a4d2-4d8b-9148-e3be6c30e623}">
          <xlrd:rvb i="1211"/>
        </ext>
      </extLst>
    </bk>
    <bk>
      <extLst>
        <ext uri="{3e2802c4-a4d2-4d8b-9148-e3be6c30e623}">
          <xlrd:rvb i="1212"/>
        </ext>
      </extLst>
    </bk>
    <bk>
      <extLst>
        <ext uri="{3e2802c4-a4d2-4d8b-9148-e3be6c30e623}">
          <xlrd:rvb i="1213"/>
        </ext>
      </extLst>
    </bk>
    <bk>
      <extLst>
        <ext uri="{3e2802c4-a4d2-4d8b-9148-e3be6c30e623}">
          <xlrd:rvb i="1214"/>
        </ext>
      </extLst>
    </bk>
    <bk>
      <extLst>
        <ext uri="{3e2802c4-a4d2-4d8b-9148-e3be6c30e623}">
          <xlrd:rvb i="1215"/>
        </ext>
      </extLst>
    </bk>
    <bk>
      <extLst>
        <ext uri="{3e2802c4-a4d2-4d8b-9148-e3be6c30e623}">
          <xlrd:rvb i="1216"/>
        </ext>
      </extLst>
    </bk>
    <bk>
      <extLst>
        <ext uri="{3e2802c4-a4d2-4d8b-9148-e3be6c30e623}">
          <xlrd:rvb i="1217"/>
        </ext>
      </extLst>
    </bk>
    <bk>
      <extLst>
        <ext uri="{3e2802c4-a4d2-4d8b-9148-e3be6c30e623}">
          <xlrd:rvb i="1218"/>
        </ext>
      </extLst>
    </bk>
    <bk>
      <extLst>
        <ext uri="{3e2802c4-a4d2-4d8b-9148-e3be6c30e623}">
          <xlrd:rvb i="1219"/>
        </ext>
      </extLst>
    </bk>
    <bk>
      <extLst>
        <ext uri="{3e2802c4-a4d2-4d8b-9148-e3be6c30e623}">
          <xlrd:rvb i="1220"/>
        </ext>
      </extLst>
    </bk>
    <bk>
      <extLst>
        <ext uri="{3e2802c4-a4d2-4d8b-9148-e3be6c30e623}">
          <xlrd:rvb i="1221"/>
        </ext>
      </extLst>
    </bk>
    <bk>
      <extLst>
        <ext uri="{3e2802c4-a4d2-4d8b-9148-e3be6c30e623}">
          <xlrd:rvb i="1222"/>
        </ext>
      </extLst>
    </bk>
    <bk>
      <extLst>
        <ext uri="{3e2802c4-a4d2-4d8b-9148-e3be6c30e623}">
          <xlrd:rvb i="1223"/>
        </ext>
      </extLst>
    </bk>
    <bk>
      <extLst>
        <ext uri="{3e2802c4-a4d2-4d8b-9148-e3be6c30e623}">
          <xlrd:rvb i="1224"/>
        </ext>
      </extLst>
    </bk>
    <bk>
      <extLst>
        <ext uri="{3e2802c4-a4d2-4d8b-9148-e3be6c30e623}">
          <xlrd:rvb i="1225"/>
        </ext>
      </extLst>
    </bk>
    <bk>
      <extLst>
        <ext uri="{3e2802c4-a4d2-4d8b-9148-e3be6c30e623}">
          <xlrd:rvb i="1226"/>
        </ext>
      </extLst>
    </bk>
    <bk>
      <extLst>
        <ext uri="{3e2802c4-a4d2-4d8b-9148-e3be6c30e623}">
          <xlrd:rvb i="1227"/>
        </ext>
      </extLst>
    </bk>
    <bk>
      <extLst>
        <ext uri="{3e2802c4-a4d2-4d8b-9148-e3be6c30e623}">
          <xlrd:rvb i="1228"/>
        </ext>
      </extLst>
    </bk>
    <bk>
      <extLst>
        <ext uri="{3e2802c4-a4d2-4d8b-9148-e3be6c30e623}">
          <xlrd:rvb i="1229"/>
        </ext>
      </extLst>
    </bk>
    <bk>
      <extLst>
        <ext uri="{3e2802c4-a4d2-4d8b-9148-e3be6c30e623}">
          <xlrd:rvb i="1230"/>
        </ext>
      </extLst>
    </bk>
    <bk>
      <extLst>
        <ext uri="{3e2802c4-a4d2-4d8b-9148-e3be6c30e623}">
          <xlrd:rvb i="1231"/>
        </ext>
      </extLst>
    </bk>
    <bk>
      <extLst>
        <ext uri="{3e2802c4-a4d2-4d8b-9148-e3be6c30e623}">
          <xlrd:rvb i="1232"/>
        </ext>
      </extLst>
    </bk>
    <bk>
      <extLst>
        <ext uri="{3e2802c4-a4d2-4d8b-9148-e3be6c30e623}">
          <xlrd:rvb i="1233"/>
        </ext>
      </extLst>
    </bk>
    <bk>
      <extLst>
        <ext uri="{3e2802c4-a4d2-4d8b-9148-e3be6c30e623}">
          <xlrd:rvb i="1234"/>
        </ext>
      </extLst>
    </bk>
    <bk>
      <extLst>
        <ext uri="{3e2802c4-a4d2-4d8b-9148-e3be6c30e623}">
          <xlrd:rvb i="1235"/>
        </ext>
      </extLst>
    </bk>
    <bk>
      <extLst>
        <ext uri="{3e2802c4-a4d2-4d8b-9148-e3be6c30e623}">
          <xlrd:rvb i="1236"/>
        </ext>
      </extLst>
    </bk>
    <bk>
      <extLst>
        <ext uri="{3e2802c4-a4d2-4d8b-9148-e3be6c30e623}">
          <xlrd:rvb i="1237"/>
        </ext>
      </extLst>
    </bk>
    <bk>
      <extLst>
        <ext uri="{3e2802c4-a4d2-4d8b-9148-e3be6c30e623}">
          <xlrd:rvb i="1238"/>
        </ext>
      </extLst>
    </bk>
    <bk>
      <extLst>
        <ext uri="{3e2802c4-a4d2-4d8b-9148-e3be6c30e623}">
          <xlrd:rvb i="1239"/>
        </ext>
      </extLst>
    </bk>
    <bk>
      <extLst>
        <ext uri="{3e2802c4-a4d2-4d8b-9148-e3be6c30e623}">
          <xlrd:rvb i="1240"/>
        </ext>
      </extLst>
    </bk>
    <bk>
      <extLst>
        <ext uri="{3e2802c4-a4d2-4d8b-9148-e3be6c30e623}">
          <xlrd:rvb i="1241"/>
        </ext>
      </extLst>
    </bk>
    <bk>
      <extLst>
        <ext uri="{3e2802c4-a4d2-4d8b-9148-e3be6c30e623}">
          <xlrd:rvb i="1242"/>
        </ext>
      </extLst>
    </bk>
    <bk>
      <extLst>
        <ext uri="{3e2802c4-a4d2-4d8b-9148-e3be6c30e623}">
          <xlrd:rvb i="1243"/>
        </ext>
      </extLst>
    </bk>
    <bk>
      <extLst>
        <ext uri="{3e2802c4-a4d2-4d8b-9148-e3be6c30e623}">
          <xlrd:rvb i="1244"/>
        </ext>
      </extLst>
    </bk>
    <bk>
      <extLst>
        <ext uri="{3e2802c4-a4d2-4d8b-9148-e3be6c30e623}">
          <xlrd:rvb i="1245"/>
        </ext>
      </extLst>
    </bk>
    <bk>
      <extLst>
        <ext uri="{3e2802c4-a4d2-4d8b-9148-e3be6c30e623}">
          <xlrd:rvb i="1246"/>
        </ext>
      </extLst>
    </bk>
    <bk>
      <extLst>
        <ext uri="{3e2802c4-a4d2-4d8b-9148-e3be6c30e623}">
          <xlrd:rvb i="1247"/>
        </ext>
      </extLst>
    </bk>
    <bk>
      <extLst>
        <ext uri="{3e2802c4-a4d2-4d8b-9148-e3be6c30e623}">
          <xlrd:rvb i="1248"/>
        </ext>
      </extLst>
    </bk>
    <bk>
      <extLst>
        <ext uri="{3e2802c4-a4d2-4d8b-9148-e3be6c30e623}">
          <xlrd:rvb i="1249"/>
        </ext>
      </extLst>
    </bk>
    <bk>
      <extLst>
        <ext uri="{3e2802c4-a4d2-4d8b-9148-e3be6c30e623}">
          <xlrd:rvb i="1250"/>
        </ext>
      </extLst>
    </bk>
    <bk>
      <extLst>
        <ext uri="{3e2802c4-a4d2-4d8b-9148-e3be6c30e623}">
          <xlrd:rvb i="1251"/>
        </ext>
      </extLst>
    </bk>
    <bk>
      <extLst>
        <ext uri="{3e2802c4-a4d2-4d8b-9148-e3be6c30e623}">
          <xlrd:rvb i="1252"/>
        </ext>
      </extLst>
    </bk>
    <bk>
      <extLst>
        <ext uri="{3e2802c4-a4d2-4d8b-9148-e3be6c30e623}">
          <xlrd:rvb i="1253"/>
        </ext>
      </extLst>
    </bk>
    <bk>
      <extLst>
        <ext uri="{3e2802c4-a4d2-4d8b-9148-e3be6c30e623}">
          <xlrd:rvb i="1254"/>
        </ext>
      </extLst>
    </bk>
    <bk>
      <extLst>
        <ext uri="{3e2802c4-a4d2-4d8b-9148-e3be6c30e623}">
          <xlrd:rvb i="1255"/>
        </ext>
      </extLst>
    </bk>
    <bk>
      <extLst>
        <ext uri="{3e2802c4-a4d2-4d8b-9148-e3be6c30e623}">
          <xlrd:rvb i="1256"/>
        </ext>
      </extLst>
    </bk>
    <bk>
      <extLst>
        <ext uri="{3e2802c4-a4d2-4d8b-9148-e3be6c30e623}">
          <xlrd:rvb i="1257"/>
        </ext>
      </extLst>
    </bk>
    <bk>
      <extLst>
        <ext uri="{3e2802c4-a4d2-4d8b-9148-e3be6c30e623}">
          <xlrd:rvb i="1258"/>
        </ext>
      </extLst>
    </bk>
    <bk>
      <extLst>
        <ext uri="{3e2802c4-a4d2-4d8b-9148-e3be6c30e623}">
          <xlrd:rvb i="1259"/>
        </ext>
      </extLst>
    </bk>
    <bk>
      <extLst>
        <ext uri="{3e2802c4-a4d2-4d8b-9148-e3be6c30e623}">
          <xlrd:rvb i="1260"/>
        </ext>
      </extLst>
    </bk>
    <bk>
      <extLst>
        <ext uri="{3e2802c4-a4d2-4d8b-9148-e3be6c30e623}">
          <xlrd:rvb i="1261"/>
        </ext>
      </extLst>
    </bk>
    <bk>
      <extLst>
        <ext uri="{3e2802c4-a4d2-4d8b-9148-e3be6c30e623}">
          <xlrd:rvb i="1262"/>
        </ext>
      </extLst>
    </bk>
    <bk>
      <extLst>
        <ext uri="{3e2802c4-a4d2-4d8b-9148-e3be6c30e623}">
          <xlrd:rvb i="1263"/>
        </ext>
      </extLst>
    </bk>
    <bk>
      <extLst>
        <ext uri="{3e2802c4-a4d2-4d8b-9148-e3be6c30e623}">
          <xlrd:rvb i="1264"/>
        </ext>
      </extLst>
    </bk>
    <bk>
      <extLst>
        <ext uri="{3e2802c4-a4d2-4d8b-9148-e3be6c30e623}">
          <xlrd:rvb i="1265"/>
        </ext>
      </extLst>
    </bk>
    <bk>
      <extLst>
        <ext uri="{3e2802c4-a4d2-4d8b-9148-e3be6c30e623}">
          <xlrd:rvb i="1266"/>
        </ext>
      </extLst>
    </bk>
    <bk>
      <extLst>
        <ext uri="{3e2802c4-a4d2-4d8b-9148-e3be6c30e623}">
          <xlrd:rvb i="1267"/>
        </ext>
      </extLst>
    </bk>
    <bk>
      <extLst>
        <ext uri="{3e2802c4-a4d2-4d8b-9148-e3be6c30e623}">
          <xlrd:rvb i="1268"/>
        </ext>
      </extLst>
    </bk>
    <bk>
      <extLst>
        <ext uri="{3e2802c4-a4d2-4d8b-9148-e3be6c30e623}">
          <xlrd:rvb i="1269"/>
        </ext>
      </extLst>
    </bk>
    <bk>
      <extLst>
        <ext uri="{3e2802c4-a4d2-4d8b-9148-e3be6c30e623}">
          <xlrd:rvb i="1270"/>
        </ext>
      </extLst>
    </bk>
    <bk>
      <extLst>
        <ext uri="{3e2802c4-a4d2-4d8b-9148-e3be6c30e623}">
          <xlrd:rvb i="1271"/>
        </ext>
      </extLst>
    </bk>
    <bk>
      <extLst>
        <ext uri="{3e2802c4-a4d2-4d8b-9148-e3be6c30e623}">
          <xlrd:rvb i="1272"/>
        </ext>
      </extLst>
    </bk>
    <bk>
      <extLst>
        <ext uri="{3e2802c4-a4d2-4d8b-9148-e3be6c30e623}">
          <xlrd:rvb i="1273"/>
        </ext>
      </extLst>
    </bk>
    <bk>
      <extLst>
        <ext uri="{3e2802c4-a4d2-4d8b-9148-e3be6c30e623}">
          <xlrd:rvb i="1274"/>
        </ext>
      </extLst>
    </bk>
    <bk>
      <extLst>
        <ext uri="{3e2802c4-a4d2-4d8b-9148-e3be6c30e623}">
          <xlrd:rvb i="1275"/>
        </ext>
      </extLst>
    </bk>
    <bk>
      <extLst>
        <ext uri="{3e2802c4-a4d2-4d8b-9148-e3be6c30e623}">
          <xlrd:rvb i="1276"/>
        </ext>
      </extLst>
    </bk>
    <bk>
      <extLst>
        <ext uri="{3e2802c4-a4d2-4d8b-9148-e3be6c30e623}">
          <xlrd:rvb i="1277"/>
        </ext>
      </extLst>
    </bk>
    <bk>
      <extLst>
        <ext uri="{3e2802c4-a4d2-4d8b-9148-e3be6c30e623}">
          <xlrd:rvb i="1278"/>
        </ext>
      </extLst>
    </bk>
    <bk>
      <extLst>
        <ext uri="{3e2802c4-a4d2-4d8b-9148-e3be6c30e623}">
          <xlrd:rvb i="1279"/>
        </ext>
      </extLst>
    </bk>
    <bk>
      <extLst>
        <ext uri="{3e2802c4-a4d2-4d8b-9148-e3be6c30e623}">
          <xlrd:rvb i="1280"/>
        </ext>
      </extLst>
    </bk>
    <bk>
      <extLst>
        <ext uri="{3e2802c4-a4d2-4d8b-9148-e3be6c30e623}">
          <xlrd:rvb i="1281"/>
        </ext>
      </extLst>
    </bk>
    <bk>
      <extLst>
        <ext uri="{3e2802c4-a4d2-4d8b-9148-e3be6c30e623}">
          <xlrd:rvb i="1282"/>
        </ext>
      </extLst>
    </bk>
    <bk>
      <extLst>
        <ext uri="{3e2802c4-a4d2-4d8b-9148-e3be6c30e623}">
          <xlrd:rvb i="1283"/>
        </ext>
      </extLst>
    </bk>
    <bk>
      <extLst>
        <ext uri="{3e2802c4-a4d2-4d8b-9148-e3be6c30e623}">
          <xlrd:rvb i="1284"/>
        </ext>
      </extLst>
    </bk>
    <bk>
      <extLst>
        <ext uri="{3e2802c4-a4d2-4d8b-9148-e3be6c30e623}">
          <xlrd:rvb i="1285"/>
        </ext>
      </extLst>
    </bk>
    <bk>
      <extLst>
        <ext uri="{3e2802c4-a4d2-4d8b-9148-e3be6c30e623}">
          <xlrd:rvb i="1286"/>
        </ext>
      </extLst>
    </bk>
    <bk>
      <extLst>
        <ext uri="{3e2802c4-a4d2-4d8b-9148-e3be6c30e623}">
          <xlrd:rvb i="1287"/>
        </ext>
      </extLst>
    </bk>
    <bk>
      <extLst>
        <ext uri="{3e2802c4-a4d2-4d8b-9148-e3be6c30e623}">
          <xlrd:rvb i="1288"/>
        </ext>
      </extLst>
    </bk>
    <bk>
      <extLst>
        <ext uri="{3e2802c4-a4d2-4d8b-9148-e3be6c30e623}">
          <xlrd:rvb i="1289"/>
        </ext>
      </extLst>
    </bk>
    <bk>
      <extLst>
        <ext uri="{3e2802c4-a4d2-4d8b-9148-e3be6c30e623}">
          <xlrd:rvb i="1290"/>
        </ext>
      </extLst>
    </bk>
    <bk>
      <extLst>
        <ext uri="{3e2802c4-a4d2-4d8b-9148-e3be6c30e623}">
          <xlrd:rvb i="1291"/>
        </ext>
      </extLst>
    </bk>
    <bk>
      <extLst>
        <ext uri="{3e2802c4-a4d2-4d8b-9148-e3be6c30e623}">
          <xlrd:rvb i="1292"/>
        </ext>
      </extLst>
    </bk>
    <bk>
      <extLst>
        <ext uri="{3e2802c4-a4d2-4d8b-9148-e3be6c30e623}">
          <xlrd:rvb i="1293"/>
        </ext>
      </extLst>
    </bk>
    <bk>
      <extLst>
        <ext uri="{3e2802c4-a4d2-4d8b-9148-e3be6c30e623}">
          <xlrd:rvb i="1294"/>
        </ext>
      </extLst>
    </bk>
    <bk>
      <extLst>
        <ext uri="{3e2802c4-a4d2-4d8b-9148-e3be6c30e623}">
          <xlrd:rvb i="1295"/>
        </ext>
      </extLst>
    </bk>
    <bk>
      <extLst>
        <ext uri="{3e2802c4-a4d2-4d8b-9148-e3be6c30e623}">
          <xlrd:rvb i="1296"/>
        </ext>
      </extLst>
    </bk>
    <bk>
      <extLst>
        <ext uri="{3e2802c4-a4d2-4d8b-9148-e3be6c30e623}">
          <xlrd:rvb i="1297"/>
        </ext>
      </extLst>
    </bk>
    <bk>
      <extLst>
        <ext uri="{3e2802c4-a4d2-4d8b-9148-e3be6c30e623}">
          <xlrd:rvb i="1298"/>
        </ext>
      </extLst>
    </bk>
    <bk>
      <extLst>
        <ext uri="{3e2802c4-a4d2-4d8b-9148-e3be6c30e623}">
          <xlrd:rvb i="1299"/>
        </ext>
      </extLst>
    </bk>
    <bk>
      <extLst>
        <ext uri="{3e2802c4-a4d2-4d8b-9148-e3be6c30e623}">
          <xlrd:rvb i="1300"/>
        </ext>
      </extLst>
    </bk>
    <bk>
      <extLst>
        <ext uri="{3e2802c4-a4d2-4d8b-9148-e3be6c30e623}">
          <xlrd:rvb i="1301"/>
        </ext>
      </extLst>
    </bk>
    <bk>
      <extLst>
        <ext uri="{3e2802c4-a4d2-4d8b-9148-e3be6c30e623}">
          <xlrd:rvb i="1302"/>
        </ext>
      </extLst>
    </bk>
    <bk>
      <extLst>
        <ext uri="{3e2802c4-a4d2-4d8b-9148-e3be6c30e623}">
          <xlrd:rvb i="1303"/>
        </ext>
      </extLst>
    </bk>
    <bk>
      <extLst>
        <ext uri="{3e2802c4-a4d2-4d8b-9148-e3be6c30e623}">
          <xlrd:rvb i="1304"/>
        </ext>
      </extLst>
    </bk>
    <bk>
      <extLst>
        <ext uri="{3e2802c4-a4d2-4d8b-9148-e3be6c30e623}">
          <xlrd:rvb i="1305"/>
        </ext>
      </extLst>
    </bk>
    <bk>
      <extLst>
        <ext uri="{3e2802c4-a4d2-4d8b-9148-e3be6c30e623}">
          <xlrd:rvb i="1306"/>
        </ext>
      </extLst>
    </bk>
    <bk>
      <extLst>
        <ext uri="{3e2802c4-a4d2-4d8b-9148-e3be6c30e623}">
          <xlrd:rvb i="1307"/>
        </ext>
      </extLst>
    </bk>
    <bk>
      <extLst>
        <ext uri="{3e2802c4-a4d2-4d8b-9148-e3be6c30e623}">
          <xlrd:rvb i="1308"/>
        </ext>
      </extLst>
    </bk>
    <bk>
      <extLst>
        <ext uri="{3e2802c4-a4d2-4d8b-9148-e3be6c30e623}">
          <xlrd:rvb i="1309"/>
        </ext>
      </extLst>
    </bk>
    <bk>
      <extLst>
        <ext uri="{3e2802c4-a4d2-4d8b-9148-e3be6c30e623}">
          <xlrd:rvb i="1310"/>
        </ext>
      </extLst>
    </bk>
    <bk>
      <extLst>
        <ext uri="{3e2802c4-a4d2-4d8b-9148-e3be6c30e623}">
          <xlrd:rvb i="1311"/>
        </ext>
      </extLst>
    </bk>
    <bk>
      <extLst>
        <ext uri="{3e2802c4-a4d2-4d8b-9148-e3be6c30e623}">
          <xlrd:rvb i="1312"/>
        </ext>
      </extLst>
    </bk>
    <bk>
      <extLst>
        <ext uri="{3e2802c4-a4d2-4d8b-9148-e3be6c30e623}">
          <xlrd:rvb i="1313"/>
        </ext>
      </extLst>
    </bk>
    <bk>
      <extLst>
        <ext uri="{3e2802c4-a4d2-4d8b-9148-e3be6c30e623}">
          <xlrd:rvb i="1314"/>
        </ext>
      </extLst>
    </bk>
    <bk>
      <extLst>
        <ext uri="{3e2802c4-a4d2-4d8b-9148-e3be6c30e623}">
          <xlrd:rvb i="1315"/>
        </ext>
      </extLst>
    </bk>
    <bk>
      <extLst>
        <ext uri="{3e2802c4-a4d2-4d8b-9148-e3be6c30e623}">
          <xlrd:rvb i="1316"/>
        </ext>
      </extLst>
    </bk>
    <bk>
      <extLst>
        <ext uri="{3e2802c4-a4d2-4d8b-9148-e3be6c30e623}">
          <xlrd:rvb i="1317"/>
        </ext>
      </extLst>
    </bk>
    <bk>
      <extLst>
        <ext uri="{3e2802c4-a4d2-4d8b-9148-e3be6c30e623}">
          <xlrd:rvb i="1318"/>
        </ext>
      </extLst>
    </bk>
    <bk>
      <extLst>
        <ext uri="{3e2802c4-a4d2-4d8b-9148-e3be6c30e623}">
          <xlrd:rvb i="1319"/>
        </ext>
      </extLst>
    </bk>
    <bk>
      <extLst>
        <ext uri="{3e2802c4-a4d2-4d8b-9148-e3be6c30e623}">
          <xlrd:rvb i="1320"/>
        </ext>
      </extLst>
    </bk>
    <bk>
      <extLst>
        <ext uri="{3e2802c4-a4d2-4d8b-9148-e3be6c30e623}">
          <xlrd:rvb i="1321"/>
        </ext>
      </extLst>
    </bk>
    <bk>
      <extLst>
        <ext uri="{3e2802c4-a4d2-4d8b-9148-e3be6c30e623}">
          <xlrd:rvb i="1322"/>
        </ext>
      </extLst>
    </bk>
    <bk>
      <extLst>
        <ext uri="{3e2802c4-a4d2-4d8b-9148-e3be6c30e623}">
          <xlrd:rvb i="1323"/>
        </ext>
      </extLst>
    </bk>
    <bk>
      <extLst>
        <ext uri="{3e2802c4-a4d2-4d8b-9148-e3be6c30e623}">
          <xlrd:rvb i="1324"/>
        </ext>
      </extLst>
    </bk>
    <bk>
      <extLst>
        <ext uri="{3e2802c4-a4d2-4d8b-9148-e3be6c30e623}">
          <xlrd:rvb i="1325"/>
        </ext>
      </extLst>
    </bk>
    <bk>
      <extLst>
        <ext uri="{3e2802c4-a4d2-4d8b-9148-e3be6c30e623}">
          <xlrd:rvb i="1326"/>
        </ext>
      </extLst>
    </bk>
    <bk>
      <extLst>
        <ext uri="{3e2802c4-a4d2-4d8b-9148-e3be6c30e623}">
          <xlrd:rvb i="1327"/>
        </ext>
      </extLst>
    </bk>
    <bk>
      <extLst>
        <ext uri="{3e2802c4-a4d2-4d8b-9148-e3be6c30e623}">
          <xlrd:rvb i="1328"/>
        </ext>
      </extLst>
    </bk>
    <bk>
      <extLst>
        <ext uri="{3e2802c4-a4d2-4d8b-9148-e3be6c30e623}">
          <xlrd:rvb i="1329"/>
        </ext>
      </extLst>
    </bk>
    <bk>
      <extLst>
        <ext uri="{3e2802c4-a4d2-4d8b-9148-e3be6c30e623}">
          <xlrd:rvb i="1330"/>
        </ext>
      </extLst>
    </bk>
    <bk>
      <extLst>
        <ext uri="{3e2802c4-a4d2-4d8b-9148-e3be6c30e623}">
          <xlrd:rvb i="1331"/>
        </ext>
      </extLst>
    </bk>
    <bk>
      <extLst>
        <ext uri="{3e2802c4-a4d2-4d8b-9148-e3be6c30e623}">
          <xlrd:rvb i="1332"/>
        </ext>
      </extLst>
    </bk>
    <bk>
      <extLst>
        <ext uri="{3e2802c4-a4d2-4d8b-9148-e3be6c30e623}">
          <xlrd:rvb i="1333"/>
        </ext>
      </extLst>
    </bk>
    <bk>
      <extLst>
        <ext uri="{3e2802c4-a4d2-4d8b-9148-e3be6c30e623}">
          <xlrd:rvb i="1334"/>
        </ext>
      </extLst>
    </bk>
    <bk>
      <extLst>
        <ext uri="{3e2802c4-a4d2-4d8b-9148-e3be6c30e623}">
          <xlrd:rvb i="1335"/>
        </ext>
      </extLst>
    </bk>
    <bk>
      <extLst>
        <ext uri="{3e2802c4-a4d2-4d8b-9148-e3be6c30e623}">
          <xlrd:rvb i="1336"/>
        </ext>
      </extLst>
    </bk>
    <bk>
      <extLst>
        <ext uri="{3e2802c4-a4d2-4d8b-9148-e3be6c30e623}">
          <xlrd:rvb i="1337"/>
        </ext>
      </extLst>
    </bk>
    <bk>
      <extLst>
        <ext uri="{3e2802c4-a4d2-4d8b-9148-e3be6c30e623}">
          <xlrd:rvb i="1338"/>
        </ext>
      </extLst>
    </bk>
    <bk>
      <extLst>
        <ext uri="{3e2802c4-a4d2-4d8b-9148-e3be6c30e623}">
          <xlrd:rvb i="1339"/>
        </ext>
      </extLst>
    </bk>
    <bk>
      <extLst>
        <ext uri="{3e2802c4-a4d2-4d8b-9148-e3be6c30e623}">
          <xlrd:rvb i="1340"/>
        </ext>
      </extLst>
    </bk>
    <bk>
      <extLst>
        <ext uri="{3e2802c4-a4d2-4d8b-9148-e3be6c30e623}">
          <xlrd:rvb i="1341"/>
        </ext>
      </extLst>
    </bk>
    <bk>
      <extLst>
        <ext uri="{3e2802c4-a4d2-4d8b-9148-e3be6c30e623}">
          <xlrd:rvb i="1342"/>
        </ext>
      </extLst>
    </bk>
    <bk>
      <extLst>
        <ext uri="{3e2802c4-a4d2-4d8b-9148-e3be6c30e623}">
          <xlrd:rvb i="1343"/>
        </ext>
      </extLst>
    </bk>
    <bk>
      <extLst>
        <ext uri="{3e2802c4-a4d2-4d8b-9148-e3be6c30e623}">
          <xlrd:rvb i="1344"/>
        </ext>
      </extLst>
    </bk>
    <bk>
      <extLst>
        <ext uri="{3e2802c4-a4d2-4d8b-9148-e3be6c30e623}">
          <xlrd:rvb i="1345"/>
        </ext>
      </extLst>
    </bk>
    <bk>
      <extLst>
        <ext uri="{3e2802c4-a4d2-4d8b-9148-e3be6c30e623}">
          <xlrd:rvb i="1346"/>
        </ext>
      </extLst>
    </bk>
    <bk>
      <extLst>
        <ext uri="{3e2802c4-a4d2-4d8b-9148-e3be6c30e623}">
          <xlrd:rvb i="1347"/>
        </ext>
      </extLst>
    </bk>
    <bk>
      <extLst>
        <ext uri="{3e2802c4-a4d2-4d8b-9148-e3be6c30e623}">
          <xlrd:rvb i="1348"/>
        </ext>
      </extLst>
    </bk>
    <bk>
      <extLst>
        <ext uri="{3e2802c4-a4d2-4d8b-9148-e3be6c30e623}">
          <xlrd:rvb i="1349"/>
        </ext>
      </extLst>
    </bk>
    <bk>
      <extLst>
        <ext uri="{3e2802c4-a4d2-4d8b-9148-e3be6c30e623}">
          <xlrd:rvb i="1350"/>
        </ext>
      </extLst>
    </bk>
    <bk>
      <extLst>
        <ext uri="{3e2802c4-a4d2-4d8b-9148-e3be6c30e623}">
          <xlrd:rvb i="1351"/>
        </ext>
      </extLst>
    </bk>
    <bk>
      <extLst>
        <ext uri="{3e2802c4-a4d2-4d8b-9148-e3be6c30e623}">
          <xlrd:rvb i="1352"/>
        </ext>
      </extLst>
    </bk>
    <bk>
      <extLst>
        <ext uri="{3e2802c4-a4d2-4d8b-9148-e3be6c30e623}">
          <xlrd:rvb i="1353"/>
        </ext>
      </extLst>
    </bk>
    <bk>
      <extLst>
        <ext uri="{3e2802c4-a4d2-4d8b-9148-e3be6c30e623}">
          <xlrd:rvb i="1354"/>
        </ext>
      </extLst>
    </bk>
    <bk>
      <extLst>
        <ext uri="{3e2802c4-a4d2-4d8b-9148-e3be6c30e623}">
          <xlrd:rvb i="1355"/>
        </ext>
      </extLst>
    </bk>
    <bk>
      <extLst>
        <ext uri="{3e2802c4-a4d2-4d8b-9148-e3be6c30e623}">
          <xlrd:rvb i="1356"/>
        </ext>
      </extLst>
    </bk>
    <bk>
      <extLst>
        <ext uri="{3e2802c4-a4d2-4d8b-9148-e3be6c30e623}">
          <xlrd:rvb i="1357"/>
        </ext>
      </extLst>
    </bk>
    <bk>
      <extLst>
        <ext uri="{3e2802c4-a4d2-4d8b-9148-e3be6c30e623}">
          <xlrd:rvb i="1358"/>
        </ext>
      </extLst>
    </bk>
    <bk>
      <extLst>
        <ext uri="{3e2802c4-a4d2-4d8b-9148-e3be6c30e623}">
          <xlrd:rvb i="1359"/>
        </ext>
      </extLst>
    </bk>
    <bk>
      <extLst>
        <ext uri="{3e2802c4-a4d2-4d8b-9148-e3be6c30e623}">
          <xlrd:rvb i="1360"/>
        </ext>
      </extLst>
    </bk>
    <bk>
      <extLst>
        <ext uri="{3e2802c4-a4d2-4d8b-9148-e3be6c30e623}">
          <xlrd:rvb i="1361"/>
        </ext>
      </extLst>
    </bk>
    <bk>
      <extLst>
        <ext uri="{3e2802c4-a4d2-4d8b-9148-e3be6c30e623}">
          <xlrd:rvb i="1362"/>
        </ext>
      </extLst>
    </bk>
    <bk>
      <extLst>
        <ext uri="{3e2802c4-a4d2-4d8b-9148-e3be6c30e623}">
          <xlrd:rvb i="1363"/>
        </ext>
      </extLst>
    </bk>
    <bk>
      <extLst>
        <ext uri="{3e2802c4-a4d2-4d8b-9148-e3be6c30e623}">
          <xlrd:rvb i="1364"/>
        </ext>
      </extLst>
    </bk>
    <bk>
      <extLst>
        <ext uri="{3e2802c4-a4d2-4d8b-9148-e3be6c30e623}">
          <xlrd:rvb i="1365"/>
        </ext>
      </extLst>
    </bk>
    <bk>
      <extLst>
        <ext uri="{3e2802c4-a4d2-4d8b-9148-e3be6c30e623}">
          <xlrd:rvb i="1366"/>
        </ext>
      </extLst>
    </bk>
    <bk>
      <extLst>
        <ext uri="{3e2802c4-a4d2-4d8b-9148-e3be6c30e623}">
          <xlrd:rvb i="1367"/>
        </ext>
      </extLst>
    </bk>
    <bk>
      <extLst>
        <ext uri="{3e2802c4-a4d2-4d8b-9148-e3be6c30e623}">
          <xlrd:rvb i="1368"/>
        </ext>
      </extLst>
    </bk>
    <bk>
      <extLst>
        <ext uri="{3e2802c4-a4d2-4d8b-9148-e3be6c30e623}">
          <xlrd:rvb i="1369"/>
        </ext>
      </extLst>
    </bk>
    <bk>
      <extLst>
        <ext uri="{3e2802c4-a4d2-4d8b-9148-e3be6c30e623}">
          <xlrd:rvb i="1370"/>
        </ext>
      </extLst>
    </bk>
    <bk>
      <extLst>
        <ext uri="{3e2802c4-a4d2-4d8b-9148-e3be6c30e623}">
          <xlrd:rvb i="1371"/>
        </ext>
      </extLst>
    </bk>
    <bk>
      <extLst>
        <ext uri="{3e2802c4-a4d2-4d8b-9148-e3be6c30e623}">
          <xlrd:rvb i="1372"/>
        </ext>
      </extLst>
    </bk>
    <bk>
      <extLst>
        <ext uri="{3e2802c4-a4d2-4d8b-9148-e3be6c30e623}">
          <xlrd:rvb i="1373"/>
        </ext>
      </extLst>
    </bk>
    <bk>
      <extLst>
        <ext uri="{3e2802c4-a4d2-4d8b-9148-e3be6c30e623}">
          <xlrd:rvb i="1374"/>
        </ext>
      </extLst>
    </bk>
    <bk>
      <extLst>
        <ext uri="{3e2802c4-a4d2-4d8b-9148-e3be6c30e623}">
          <xlrd:rvb i="1375"/>
        </ext>
      </extLst>
    </bk>
    <bk>
      <extLst>
        <ext uri="{3e2802c4-a4d2-4d8b-9148-e3be6c30e623}">
          <xlrd:rvb i="1376"/>
        </ext>
      </extLst>
    </bk>
    <bk>
      <extLst>
        <ext uri="{3e2802c4-a4d2-4d8b-9148-e3be6c30e623}">
          <xlrd:rvb i="1377"/>
        </ext>
      </extLst>
    </bk>
    <bk>
      <extLst>
        <ext uri="{3e2802c4-a4d2-4d8b-9148-e3be6c30e623}">
          <xlrd:rvb i="1378"/>
        </ext>
      </extLst>
    </bk>
    <bk>
      <extLst>
        <ext uri="{3e2802c4-a4d2-4d8b-9148-e3be6c30e623}">
          <xlrd:rvb i="1379"/>
        </ext>
      </extLst>
    </bk>
    <bk>
      <extLst>
        <ext uri="{3e2802c4-a4d2-4d8b-9148-e3be6c30e623}">
          <xlrd:rvb i="1380"/>
        </ext>
      </extLst>
    </bk>
    <bk>
      <extLst>
        <ext uri="{3e2802c4-a4d2-4d8b-9148-e3be6c30e623}">
          <xlrd:rvb i="1381"/>
        </ext>
      </extLst>
    </bk>
    <bk>
      <extLst>
        <ext uri="{3e2802c4-a4d2-4d8b-9148-e3be6c30e623}">
          <xlrd:rvb i="1382"/>
        </ext>
      </extLst>
    </bk>
    <bk>
      <extLst>
        <ext uri="{3e2802c4-a4d2-4d8b-9148-e3be6c30e623}">
          <xlrd:rvb i="1383"/>
        </ext>
      </extLst>
    </bk>
    <bk>
      <extLst>
        <ext uri="{3e2802c4-a4d2-4d8b-9148-e3be6c30e623}">
          <xlrd:rvb i="1384"/>
        </ext>
      </extLst>
    </bk>
    <bk>
      <extLst>
        <ext uri="{3e2802c4-a4d2-4d8b-9148-e3be6c30e623}">
          <xlrd:rvb i="1385"/>
        </ext>
      </extLst>
    </bk>
    <bk>
      <extLst>
        <ext uri="{3e2802c4-a4d2-4d8b-9148-e3be6c30e623}">
          <xlrd:rvb i="1386"/>
        </ext>
      </extLst>
    </bk>
    <bk>
      <extLst>
        <ext uri="{3e2802c4-a4d2-4d8b-9148-e3be6c30e623}">
          <xlrd:rvb i="1387"/>
        </ext>
      </extLst>
    </bk>
    <bk>
      <extLst>
        <ext uri="{3e2802c4-a4d2-4d8b-9148-e3be6c30e623}">
          <xlrd:rvb i="1388"/>
        </ext>
      </extLst>
    </bk>
    <bk>
      <extLst>
        <ext uri="{3e2802c4-a4d2-4d8b-9148-e3be6c30e623}">
          <xlrd:rvb i="1389"/>
        </ext>
      </extLst>
    </bk>
    <bk>
      <extLst>
        <ext uri="{3e2802c4-a4d2-4d8b-9148-e3be6c30e623}">
          <xlrd:rvb i="1390"/>
        </ext>
      </extLst>
    </bk>
    <bk>
      <extLst>
        <ext uri="{3e2802c4-a4d2-4d8b-9148-e3be6c30e623}">
          <xlrd:rvb i="1391"/>
        </ext>
      </extLst>
    </bk>
    <bk>
      <extLst>
        <ext uri="{3e2802c4-a4d2-4d8b-9148-e3be6c30e623}">
          <xlrd:rvb i="1392"/>
        </ext>
      </extLst>
    </bk>
    <bk>
      <extLst>
        <ext uri="{3e2802c4-a4d2-4d8b-9148-e3be6c30e623}">
          <xlrd:rvb i="1393"/>
        </ext>
      </extLst>
    </bk>
    <bk>
      <extLst>
        <ext uri="{3e2802c4-a4d2-4d8b-9148-e3be6c30e623}">
          <xlrd:rvb i="1394"/>
        </ext>
      </extLst>
    </bk>
    <bk>
      <extLst>
        <ext uri="{3e2802c4-a4d2-4d8b-9148-e3be6c30e623}">
          <xlrd:rvb i="1395"/>
        </ext>
      </extLst>
    </bk>
    <bk>
      <extLst>
        <ext uri="{3e2802c4-a4d2-4d8b-9148-e3be6c30e623}">
          <xlrd:rvb i="1396"/>
        </ext>
      </extLst>
    </bk>
    <bk>
      <extLst>
        <ext uri="{3e2802c4-a4d2-4d8b-9148-e3be6c30e623}">
          <xlrd:rvb i="1397"/>
        </ext>
      </extLst>
    </bk>
    <bk>
      <extLst>
        <ext uri="{3e2802c4-a4d2-4d8b-9148-e3be6c30e623}">
          <xlrd:rvb i="1398"/>
        </ext>
      </extLst>
    </bk>
    <bk>
      <extLst>
        <ext uri="{3e2802c4-a4d2-4d8b-9148-e3be6c30e623}">
          <xlrd:rvb i="1399"/>
        </ext>
      </extLst>
    </bk>
    <bk>
      <extLst>
        <ext uri="{3e2802c4-a4d2-4d8b-9148-e3be6c30e623}">
          <xlrd:rvb i="1400"/>
        </ext>
      </extLst>
    </bk>
    <bk>
      <extLst>
        <ext uri="{3e2802c4-a4d2-4d8b-9148-e3be6c30e623}">
          <xlrd:rvb i="1401"/>
        </ext>
      </extLst>
    </bk>
    <bk>
      <extLst>
        <ext uri="{3e2802c4-a4d2-4d8b-9148-e3be6c30e623}">
          <xlrd:rvb i="1402"/>
        </ext>
      </extLst>
    </bk>
    <bk>
      <extLst>
        <ext uri="{3e2802c4-a4d2-4d8b-9148-e3be6c30e623}">
          <xlrd:rvb i="1403"/>
        </ext>
      </extLst>
    </bk>
    <bk>
      <extLst>
        <ext uri="{3e2802c4-a4d2-4d8b-9148-e3be6c30e623}">
          <xlrd:rvb i="1404"/>
        </ext>
      </extLst>
    </bk>
    <bk>
      <extLst>
        <ext uri="{3e2802c4-a4d2-4d8b-9148-e3be6c30e623}">
          <xlrd:rvb i="1405"/>
        </ext>
      </extLst>
    </bk>
    <bk>
      <extLst>
        <ext uri="{3e2802c4-a4d2-4d8b-9148-e3be6c30e623}">
          <xlrd:rvb i="1406"/>
        </ext>
      </extLst>
    </bk>
    <bk>
      <extLst>
        <ext uri="{3e2802c4-a4d2-4d8b-9148-e3be6c30e623}">
          <xlrd:rvb i="1407"/>
        </ext>
      </extLst>
    </bk>
    <bk>
      <extLst>
        <ext uri="{3e2802c4-a4d2-4d8b-9148-e3be6c30e623}">
          <xlrd:rvb i="1408"/>
        </ext>
      </extLst>
    </bk>
    <bk>
      <extLst>
        <ext uri="{3e2802c4-a4d2-4d8b-9148-e3be6c30e623}">
          <xlrd:rvb i="1409"/>
        </ext>
      </extLst>
    </bk>
    <bk>
      <extLst>
        <ext uri="{3e2802c4-a4d2-4d8b-9148-e3be6c30e623}">
          <xlrd:rvb i="1410"/>
        </ext>
      </extLst>
    </bk>
    <bk>
      <extLst>
        <ext uri="{3e2802c4-a4d2-4d8b-9148-e3be6c30e623}">
          <xlrd:rvb i="1411"/>
        </ext>
      </extLst>
    </bk>
    <bk>
      <extLst>
        <ext uri="{3e2802c4-a4d2-4d8b-9148-e3be6c30e623}">
          <xlrd:rvb i="1412"/>
        </ext>
      </extLst>
    </bk>
    <bk>
      <extLst>
        <ext uri="{3e2802c4-a4d2-4d8b-9148-e3be6c30e623}">
          <xlrd:rvb i="1413"/>
        </ext>
      </extLst>
    </bk>
    <bk>
      <extLst>
        <ext uri="{3e2802c4-a4d2-4d8b-9148-e3be6c30e623}">
          <xlrd:rvb i="1414"/>
        </ext>
      </extLst>
    </bk>
    <bk>
      <extLst>
        <ext uri="{3e2802c4-a4d2-4d8b-9148-e3be6c30e623}">
          <xlrd:rvb i="1415"/>
        </ext>
      </extLst>
    </bk>
    <bk>
      <extLst>
        <ext uri="{3e2802c4-a4d2-4d8b-9148-e3be6c30e623}">
          <xlrd:rvb i="1416"/>
        </ext>
      </extLst>
    </bk>
    <bk>
      <extLst>
        <ext uri="{3e2802c4-a4d2-4d8b-9148-e3be6c30e623}">
          <xlrd:rvb i="1417"/>
        </ext>
      </extLst>
    </bk>
    <bk>
      <extLst>
        <ext uri="{3e2802c4-a4d2-4d8b-9148-e3be6c30e623}">
          <xlrd:rvb i="1418"/>
        </ext>
      </extLst>
    </bk>
    <bk>
      <extLst>
        <ext uri="{3e2802c4-a4d2-4d8b-9148-e3be6c30e623}">
          <xlrd:rvb i="1419"/>
        </ext>
      </extLst>
    </bk>
    <bk>
      <extLst>
        <ext uri="{3e2802c4-a4d2-4d8b-9148-e3be6c30e623}">
          <xlrd:rvb i="1420"/>
        </ext>
      </extLst>
    </bk>
    <bk>
      <extLst>
        <ext uri="{3e2802c4-a4d2-4d8b-9148-e3be6c30e623}">
          <xlrd:rvb i="1421"/>
        </ext>
      </extLst>
    </bk>
    <bk>
      <extLst>
        <ext uri="{3e2802c4-a4d2-4d8b-9148-e3be6c30e623}">
          <xlrd:rvb i="1422"/>
        </ext>
      </extLst>
    </bk>
    <bk>
      <extLst>
        <ext uri="{3e2802c4-a4d2-4d8b-9148-e3be6c30e623}">
          <xlrd:rvb i="1423"/>
        </ext>
      </extLst>
    </bk>
    <bk>
      <extLst>
        <ext uri="{3e2802c4-a4d2-4d8b-9148-e3be6c30e623}">
          <xlrd:rvb i="1424"/>
        </ext>
      </extLst>
    </bk>
    <bk>
      <extLst>
        <ext uri="{3e2802c4-a4d2-4d8b-9148-e3be6c30e623}">
          <xlrd:rvb i="1425"/>
        </ext>
      </extLst>
    </bk>
    <bk>
      <extLst>
        <ext uri="{3e2802c4-a4d2-4d8b-9148-e3be6c30e623}">
          <xlrd:rvb i="1426"/>
        </ext>
      </extLst>
    </bk>
    <bk>
      <extLst>
        <ext uri="{3e2802c4-a4d2-4d8b-9148-e3be6c30e623}">
          <xlrd:rvb i="1427"/>
        </ext>
      </extLst>
    </bk>
    <bk>
      <extLst>
        <ext uri="{3e2802c4-a4d2-4d8b-9148-e3be6c30e623}">
          <xlrd:rvb i="1428"/>
        </ext>
      </extLst>
    </bk>
    <bk>
      <extLst>
        <ext uri="{3e2802c4-a4d2-4d8b-9148-e3be6c30e623}">
          <xlrd:rvb i="1429"/>
        </ext>
      </extLst>
    </bk>
    <bk>
      <extLst>
        <ext uri="{3e2802c4-a4d2-4d8b-9148-e3be6c30e623}">
          <xlrd:rvb i="1430"/>
        </ext>
      </extLst>
    </bk>
    <bk>
      <extLst>
        <ext uri="{3e2802c4-a4d2-4d8b-9148-e3be6c30e623}">
          <xlrd:rvb i="1431"/>
        </ext>
      </extLst>
    </bk>
    <bk>
      <extLst>
        <ext uri="{3e2802c4-a4d2-4d8b-9148-e3be6c30e623}">
          <xlrd:rvb i="1432"/>
        </ext>
      </extLst>
    </bk>
    <bk>
      <extLst>
        <ext uri="{3e2802c4-a4d2-4d8b-9148-e3be6c30e623}">
          <xlrd:rvb i="1433"/>
        </ext>
      </extLst>
    </bk>
    <bk>
      <extLst>
        <ext uri="{3e2802c4-a4d2-4d8b-9148-e3be6c30e623}">
          <xlrd:rvb i="1434"/>
        </ext>
      </extLst>
    </bk>
    <bk>
      <extLst>
        <ext uri="{3e2802c4-a4d2-4d8b-9148-e3be6c30e623}">
          <xlrd:rvb i="1435"/>
        </ext>
      </extLst>
    </bk>
    <bk>
      <extLst>
        <ext uri="{3e2802c4-a4d2-4d8b-9148-e3be6c30e623}">
          <xlrd:rvb i="1436"/>
        </ext>
      </extLst>
    </bk>
    <bk>
      <extLst>
        <ext uri="{3e2802c4-a4d2-4d8b-9148-e3be6c30e623}">
          <xlrd:rvb i="1437"/>
        </ext>
      </extLst>
    </bk>
    <bk>
      <extLst>
        <ext uri="{3e2802c4-a4d2-4d8b-9148-e3be6c30e623}">
          <xlrd:rvb i="1438"/>
        </ext>
      </extLst>
    </bk>
    <bk>
      <extLst>
        <ext uri="{3e2802c4-a4d2-4d8b-9148-e3be6c30e623}">
          <xlrd:rvb i="1439"/>
        </ext>
      </extLst>
    </bk>
    <bk>
      <extLst>
        <ext uri="{3e2802c4-a4d2-4d8b-9148-e3be6c30e623}">
          <xlrd:rvb i="1440"/>
        </ext>
      </extLst>
    </bk>
    <bk>
      <extLst>
        <ext uri="{3e2802c4-a4d2-4d8b-9148-e3be6c30e623}">
          <xlrd:rvb i="1441"/>
        </ext>
      </extLst>
    </bk>
    <bk>
      <extLst>
        <ext uri="{3e2802c4-a4d2-4d8b-9148-e3be6c30e623}">
          <xlrd:rvb i="1442"/>
        </ext>
      </extLst>
    </bk>
    <bk>
      <extLst>
        <ext uri="{3e2802c4-a4d2-4d8b-9148-e3be6c30e623}">
          <xlrd:rvb i="1443"/>
        </ext>
      </extLst>
    </bk>
    <bk>
      <extLst>
        <ext uri="{3e2802c4-a4d2-4d8b-9148-e3be6c30e623}">
          <xlrd:rvb i="1444"/>
        </ext>
      </extLst>
    </bk>
    <bk>
      <extLst>
        <ext uri="{3e2802c4-a4d2-4d8b-9148-e3be6c30e623}">
          <xlrd:rvb i="1445"/>
        </ext>
      </extLst>
    </bk>
    <bk>
      <extLst>
        <ext uri="{3e2802c4-a4d2-4d8b-9148-e3be6c30e623}">
          <xlrd:rvb i="1446"/>
        </ext>
      </extLst>
    </bk>
    <bk>
      <extLst>
        <ext uri="{3e2802c4-a4d2-4d8b-9148-e3be6c30e623}">
          <xlrd:rvb i="1447"/>
        </ext>
      </extLst>
    </bk>
    <bk>
      <extLst>
        <ext uri="{3e2802c4-a4d2-4d8b-9148-e3be6c30e623}">
          <xlrd:rvb i="1448"/>
        </ext>
      </extLst>
    </bk>
    <bk>
      <extLst>
        <ext uri="{3e2802c4-a4d2-4d8b-9148-e3be6c30e623}">
          <xlrd:rvb i="1449"/>
        </ext>
      </extLst>
    </bk>
    <bk>
      <extLst>
        <ext uri="{3e2802c4-a4d2-4d8b-9148-e3be6c30e623}">
          <xlrd:rvb i="1450"/>
        </ext>
      </extLst>
    </bk>
    <bk>
      <extLst>
        <ext uri="{3e2802c4-a4d2-4d8b-9148-e3be6c30e623}">
          <xlrd:rvb i="1451"/>
        </ext>
      </extLst>
    </bk>
    <bk>
      <extLst>
        <ext uri="{3e2802c4-a4d2-4d8b-9148-e3be6c30e623}">
          <xlrd:rvb i="1452"/>
        </ext>
      </extLst>
    </bk>
    <bk>
      <extLst>
        <ext uri="{3e2802c4-a4d2-4d8b-9148-e3be6c30e623}">
          <xlrd:rvb i="1453"/>
        </ext>
      </extLst>
    </bk>
    <bk>
      <extLst>
        <ext uri="{3e2802c4-a4d2-4d8b-9148-e3be6c30e623}">
          <xlrd:rvb i="1454"/>
        </ext>
      </extLst>
    </bk>
    <bk>
      <extLst>
        <ext uri="{3e2802c4-a4d2-4d8b-9148-e3be6c30e623}">
          <xlrd:rvb i="1455"/>
        </ext>
      </extLst>
    </bk>
    <bk>
      <extLst>
        <ext uri="{3e2802c4-a4d2-4d8b-9148-e3be6c30e623}">
          <xlrd:rvb i="1456"/>
        </ext>
      </extLst>
    </bk>
    <bk>
      <extLst>
        <ext uri="{3e2802c4-a4d2-4d8b-9148-e3be6c30e623}">
          <xlrd:rvb i="1457"/>
        </ext>
      </extLst>
    </bk>
    <bk>
      <extLst>
        <ext uri="{3e2802c4-a4d2-4d8b-9148-e3be6c30e623}">
          <xlrd:rvb i="1458"/>
        </ext>
      </extLst>
    </bk>
    <bk>
      <extLst>
        <ext uri="{3e2802c4-a4d2-4d8b-9148-e3be6c30e623}">
          <xlrd:rvb i="1459"/>
        </ext>
      </extLst>
    </bk>
    <bk>
      <extLst>
        <ext uri="{3e2802c4-a4d2-4d8b-9148-e3be6c30e623}">
          <xlrd:rvb i="1460"/>
        </ext>
      </extLst>
    </bk>
    <bk>
      <extLst>
        <ext uri="{3e2802c4-a4d2-4d8b-9148-e3be6c30e623}">
          <xlrd:rvb i="1461"/>
        </ext>
      </extLst>
    </bk>
    <bk>
      <extLst>
        <ext uri="{3e2802c4-a4d2-4d8b-9148-e3be6c30e623}">
          <xlrd:rvb i="1462"/>
        </ext>
      </extLst>
    </bk>
    <bk>
      <extLst>
        <ext uri="{3e2802c4-a4d2-4d8b-9148-e3be6c30e623}">
          <xlrd:rvb i="1463"/>
        </ext>
      </extLst>
    </bk>
    <bk>
      <extLst>
        <ext uri="{3e2802c4-a4d2-4d8b-9148-e3be6c30e623}">
          <xlrd:rvb i="1464"/>
        </ext>
      </extLst>
    </bk>
    <bk>
      <extLst>
        <ext uri="{3e2802c4-a4d2-4d8b-9148-e3be6c30e623}">
          <xlrd:rvb i="1465"/>
        </ext>
      </extLst>
    </bk>
    <bk>
      <extLst>
        <ext uri="{3e2802c4-a4d2-4d8b-9148-e3be6c30e623}">
          <xlrd:rvb i="1466"/>
        </ext>
      </extLst>
    </bk>
    <bk>
      <extLst>
        <ext uri="{3e2802c4-a4d2-4d8b-9148-e3be6c30e623}">
          <xlrd:rvb i="1467"/>
        </ext>
      </extLst>
    </bk>
    <bk>
      <extLst>
        <ext uri="{3e2802c4-a4d2-4d8b-9148-e3be6c30e623}">
          <xlrd:rvb i="1468"/>
        </ext>
      </extLst>
    </bk>
    <bk>
      <extLst>
        <ext uri="{3e2802c4-a4d2-4d8b-9148-e3be6c30e623}">
          <xlrd:rvb i="1469"/>
        </ext>
      </extLst>
    </bk>
    <bk>
      <extLst>
        <ext uri="{3e2802c4-a4d2-4d8b-9148-e3be6c30e623}">
          <xlrd:rvb i="1470"/>
        </ext>
      </extLst>
    </bk>
    <bk>
      <extLst>
        <ext uri="{3e2802c4-a4d2-4d8b-9148-e3be6c30e623}">
          <xlrd:rvb i="1471"/>
        </ext>
      </extLst>
    </bk>
    <bk>
      <extLst>
        <ext uri="{3e2802c4-a4d2-4d8b-9148-e3be6c30e623}">
          <xlrd:rvb i="1472"/>
        </ext>
      </extLst>
    </bk>
    <bk>
      <extLst>
        <ext uri="{3e2802c4-a4d2-4d8b-9148-e3be6c30e623}">
          <xlrd:rvb i="1473"/>
        </ext>
      </extLst>
    </bk>
    <bk>
      <extLst>
        <ext uri="{3e2802c4-a4d2-4d8b-9148-e3be6c30e623}">
          <xlrd:rvb i="1474"/>
        </ext>
      </extLst>
    </bk>
    <bk>
      <extLst>
        <ext uri="{3e2802c4-a4d2-4d8b-9148-e3be6c30e623}">
          <xlrd:rvb i="1475"/>
        </ext>
      </extLst>
    </bk>
    <bk>
      <extLst>
        <ext uri="{3e2802c4-a4d2-4d8b-9148-e3be6c30e623}">
          <xlrd:rvb i="1476"/>
        </ext>
      </extLst>
    </bk>
    <bk>
      <extLst>
        <ext uri="{3e2802c4-a4d2-4d8b-9148-e3be6c30e623}">
          <xlrd:rvb i="1477"/>
        </ext>
      </extLst>
    </bk>
    <bk>
      <extLst>
        <ext uri="{3e2802c4-a4d2-4d8b-9148-e3be6c30e623}">
          <xlrd:rvb i="1478"/>
        </ext>
      </extLst>
    </bk>
    <bk>
      <extLst>
        <ext uri="{3e2802c4-a4d2-4d8b-9148-e3be6c30e623}">
          <xlrd:rvb i="1479"/>
        </ext>
      </extLst>
    </bk>
    <bk>
      <extLst>
        <ext uri="{3e2802c4-a4d2-4d8b-9148-e3be6c30e623}">
          <xlrd:rvb i="1480"/>
        </ext>
      </extLst>
    </bk>
    <bk>
      <extLst>
        <ext uri="{3e2802c4-a4d2-4d8b-9148-e3be6c30e623}">
          <xlrd:rvb i="1481"/>
        </ext>
      </extLst>
    </bk>
    <bk>
      <extLst>
        <ext uri="{3e2802c4-a4d2-4d8b-9148-e3be6c30e623}">
          <xlrd:rvb i="1482"/>
        </ext>
      </extLst>
    </bk>
    <bk>
      <extLst>
        <ext uri="{3e2802c4-a4d2-4d8b-9148-e3be6c30e623}">
          <xlrd:rvb i="1483"/>
        </ext>
      </extLst>
    </bk>
    <bk>
      <extLst>
        <ext uri="{3e2802c4-a4d2-4d8b-9148-e3be6c30e623}">
          <xlrd:rvb i="1484"/>
        </ext>
      </extLst>
    </bk>
    <bk>
      <extLst>
        <ext uri="{3e2802c4-a4d2-4d8b-9148-e3be6c30e623}">
          <xlrd:rvb i="1485"/>
        </ext>
      </extLst>
    </bk>
    <bk>
      <extLst>
        <ext uri="{3e2802c4-a4d2-4d8b-9148-e3be6c30e623}">
          <xlrd:rvb i="1486"/>
        </ext>
      </extLst>
    </bk>
    <bk>
      <extLst>
        <ext uri="{3e2802c4-a4d2-4d8b-9148-e3be6c30e623}">
          <xlrd:rvb i="1487"/>
        </ext>
      </extLst>
    </bk>
    <bk>
      <extLst>
        <ext uri="{3e2802c4-a4d2-4d8b-9148-e3be6c30e623}">
          <xlrd:rvb i="1488"/>
        </ext>
      </extLst>
    </bk>
    <bk>
      <extLst>
        <ext uri="{3e2802c4-a4d2-4d8b-9148-e3be6c30e623}">
          <xlrd:rvb i="1489"/>
        </ext>
      </extLst>
    </bk>
    <bk>
      <extLst>
        <ext uri="{3e2802c4-a4d2-4d8b-9148-e3be6c30e623}">
          <xlrd:rvb i="1490"/>
        </ext>
      </extLst>
    </bk>
    <bk>
      <extLst>
        <ext uri="{3e2802c4-a4d2-4d8b-9148-e3be6c30e623}">
          <xlrd:rvb i="1491"/>
        </ext>
      </extLst>
    </bk>
    <bk>
      <extLst>
        <ext uri="{3e2802c4-a4d2-4d8b-9148-e3be6c30e623}">
          <xlrd:rvb i="1492"/>
        </ext>
      </extLst>
    </bk>
    <bk>
      <extLst>
        <ext uri="{3e2802c4-a4d2-4d8b-9148-e3be6c30e623}">
          <xlrd:rvb i="1493"/>
        </ext>
      </extLst>
    </bk>
    <bk>
      <extLst>
        <ext uri="{3e2802c4-a4d2-4d8b-9148-e3be6c30e623}">
          <xlrd:rvb i="1494"/>
        </ext>
      </extLst>
    </bk>
    <bk>
      <extLst>
        <ext uri="{3e2802c4-a4d2-4d8b-9148-e3be6c30e623}">
          <xlrd:rvb i="1495"/>
        </ext>
      </extLst>
    </bk>
    <bk>
      <extLst>
        <ext uri="{3e2802c4-a4d2-4d8b-9148-e3be6c30e623}">
          <xlrd:rvb i="1496"/>
        </ext>
      </extLst>
    </bk>
    <bk>
      <extLst>
        <ext uri="{3e2802c4-a4d2-4d8b-9148-e3be6c30e623}">
          <xlrd:rvb i="1497"/>
        </ext>
      </extLst>
    </bk>
    <bk>
      <extLst>
        <ext uri="{3e2802c4-a4d2-4d8b-9148-e3be6c30e623}">
          <xlrd:rvb i="1498"/>
        </ext>
      </extLst>
    </bk>
    <bk>
      <extLst>
        <ext uri="{3e2802c4-a4d2-4d8b-9148-e3be6c30e623}">
          <xlrd:rvb i="1499"/>
        </ext>
      </extLst>
    </bk>
    <bk>
      <extLst>
        <ext uri="{3e2802c4-a4d2-4d8b-9148-e3be6c30e623}">
          <xlrd:rvb i="1500"/>
        </ext>
      </extLst>
    </bk>
    <bk>
      <extLst>
        <ext uri="{3e2802c4-a4d2-4d8b-9148-e3be6c30e623}">
          <xlrd:rvb i="1501"/>
        </ext>
      </extLst>
    </bk>
    <bk>
      <extLst>
        <ext uri="{3e2802c4-a4d2-4d8b-9148-e3be6c30e623}">
          <xlrd:rvb i="1502"/>
        </ext>
      </extLst>
    </bk>
    <bk>
      <extLst>
        <ext uri="{3e2802c4-a4d2-4d8b-9148-e3be6c30e623}">
          <xlrd:rvb i="1503"/>
        </ext>
      </extLst>
    </bk>
    <bk>
      <extLst>
        <ext uri="{3e2802c4-a4d2-4d8b-9148-e3be6c30e623}">
          <xlrd:rvb i="1504"/>
        </ext>
      </extLst>
    </bk>
    <bk>
      <extLst>
        <ext uri="{3e2802c4-a4d2-4d8b-9148-e3be6c30e623}">
          <xlrd:rvb i="1505"/>
        </ext>
      </extLst>
    </bk>
    <bk>
      <extLst>
        <ext uri="{3e2802c4-a4d2-4d8b-9148-e3be6c30e623}">
          <xlrd:rvb i="1506"/>
        </ext>
      </extLst>
    </bk>
    <bk>
      <extLst>
        <ext uri="{3e2802c4-a4d2-4d8b-9148-e3be6c30e623}">
          <xlrd:rvb i="1507"/>
        </ext>
      </extLst>
    </bk>
    <bk>
      <extLst>
        <ext uri="{3e2802c4-a4d2-4d8b-9148-e3be6c30e623}">
          <xlrd:rvb i="1508"/>
        </ext>
      </extLst>
    </bk>
    <bk>
      <extLst>
        <ext uri="{3e2802c4-a4d2-4d8b-9148-e3be6c30e623}">
          <xlrd:rvb i="1509"/>
        </ext>
      </extLst>
    </bk>
    <bk>
      <extLst>
        <ext uri="{3e2802c4-a4d2-4d8b-9148-e3be6c30e623}">
          <xlrd:rvb i="1510"/>
        </ext>
      </extLst>
    </bk>
    <bk>
      <extLst>
        <ext uri="{3e2802c4-a4d2-4d8b-9148-e3be6c30e623}">
          <xlrd:rvb i="1511"/>
        </ext>
      </extLst>
    </bk>
    <bk>
      <extLst>
        <ext uri="{3e2802c4-a4d2-4d8b-9148-e3be6c30e623}">
          <xlrd:rvb i="1512"/>
        </ext>
      </extLst>
    </bk>
    <bk>
      <extLst>
        <ext uri="{3e2802c4-a4d2-4d8b-9148-e3be6c30e623}">
          <xlrd:rvb i="1513"/>
        </ext>
      </extLst>
    </bk>
    <bk>
      <extLst>
        <ext uri="{3e2802c4-a4d2-4d8b-9148-e3be6c30e623}">
          <xlrd:rvb i="1514"/>
        </ext>
      </extLst>
    </bk>
    <bk>
      <extLst>
        <ext uri="{3e2802c4-a4d2-4d8b-9148-e3be6c30e623}">
          <xlrd:rvb i="1515"/>
        </ext>
      </extLst>
    </bk>
    <bk>
      <extLst>
        <ext uri="{3e2802c4-a4d2-4d8b-9148-e3be6c30e623}">
          <xlrd:rvb i="1516"/>
        </ext>
      </extLst>
    </bk>
    <bk>
      <extLst>
        <ext uri="{3e2802c4-a4d2-4d8b-9148-e3be6c30e623}">
          <xlrd:rvb i="1517"/>
        </ext>
      </extLst>
    </bk>
    <bk>
      <extLst>
        <ext uri="{3e2802c4-a4d2-4d8b-9148-e3be6c30e623}">
          <xlrd:rvb i="1518"/>
        </ext>
      </extLst>
    </bk>
    <bk>
      <extLst>
        <ext uri="{3e2802c4-a4d2-4d8b-9148-e3be6c30e623}">
          <xlrd:rvb i="1519"/>
        </ext>
      </extLst>
    </bk>
    <bk>
      <extLst>
        <ext uri="{3e2802c4-a4d2-4d8b-9148-e3be6c30e623}">
          <xlrd:rvb i="1520"/>
        </ext>
      </extLst>
    </bk>
    <bk>
      <extLst>
        <ext uri="{3e2802c4-a4d2-4d8b-9148-e3be6c30e623}">
          <xlrd:rvb i="1521"/>
        </ext>
      </extLst>
    </bk>
    <bk>
      <extLst>
        <ext uri="{3e2802c4-a4d2-4d8b-9148-e3be6c30e623}">
          <xlrd:rvb i="1522"/>
        </ext>
      </extLst>
    </bk>
    <bk>
      <extLst>
        <ext uri="{3e2802c4-a4d2-4d8b-9148-e3be6c30e623}">
          <xlrd:rvb i="1523"/>
        </ext>
      </extLst>
    </bk>
    <bk>
      <extLst>
        <ext uri="{3e2802c4-a4d2-4d8b-9148-e3be6c30e623}">
          <xlrd:rvb i="1524"/>
        </ext>
      </extLst>
    </bk>
    <bk>
      <extLst>
        <ext uri="{3e2802c4-a4d2-4d8b-9148-e3be6c30e623}">
          <xlrd:rvb i="1525"/>
        </ext>
      </extLst>
    </bk>
    <bk>
      <extLst>
        <ext uri="{3e2802c4-a4d2-4d8b-9148-e3be6c30e623}">
          <xlrd:rvb i="1526"/>
        </ext>
      </extLst>
    </bk>
    <bk>
      <extLst>
        <ext uri="{3e2802c4-a4d2-4d8b-9148-e3be6c30e623}">
          <xlrd:rvb i="1527"/>
        </ext>
      </extLst>
    </bk>
    <bk>
      <extLst>
        <ext uri="{3e2802c4-a4d2-4d8b-9148-e3be6c30e623}">
          <xlrd:rvb i="1528"/>
        </ext>
      </extLst>
    </bk>
    <bk>
      <extLst>
        <ext uri="{3e2802c4-a4d2-4d8b-9148-e3be6c30e623}">
          <xlrd:rvb i="1529"/>
        </ext>
      </extLst>
    </bk>
  </futureMetadata>
  <cellMetadata count="1">
    <bk>
      <rc t="1" v="0"/>
    </bk>
  </cellMetadata>
  <valueMetadata count="1530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  <bk>
      <rc t="2" v="377"/>
    </bk>
    <bk>
      <rc t="2" v="378"/>
    </bk>
    <bk>
      <rc t="2" v="379"/>
    </bk>
    <bk>
      <rc t="2" v="380"/>
    </bk>
    <bk>
      <rc t="2" v="381"/>
    </bk>
    <bk>
      <rc t="2" v="382"/>
    </bk>
    <bk>
      <rc t="2" v="383"/>
    </bk>
    <bk>
      <rc t="2" v="384"/>
    </bk>
    <bk>
      <rc t="2" v="385"/>
    </bk>
    <bk>
      <rc t="2" v="386"/>
    </bk>
    <bk>
      <rc t="2" v="387"/>
    </bk>
    <bk>
      <rc t="2" v="388"/>
    </bk>
    <bk>
      <rc t="2" v="389"/>
    </bk>
    <bk>
      <rc t="2" v="390"/>
    </bk>
    <bk>
      <rc t="2" v="391"/>
    </bk>
    <bk>
      <rc t="2" v="392"/>
    </bk>
    <bk>
      <rc t="2" v="393"/>
    </bk>
    <bk>
      <rc t="2" v="394"/>
    </bk>
    <bk>
      <rc t="2" v="395"/>
    </bk>
    <bk>
      <rc t="2" v="396"/>
    </bk>
    <bk>
      <rc t="2" v="397"/>
    </bk>
    <bk>
      <rc t="2" v="398"/>
    </bk>
    <bk>
      <rc t="2" v="399"/>
    </bk>
    <bk>
      <rc t="2" v="400"/>
    </bk>
    <bk>
      <rc t="2" v="401"/>
    </bk>
    <bk>
      <rc t="2" v="402"/>
    </bk>
    <bk>
      <rc t="2" v="403"/>
    </bk>
    <bk>
      <rc t="2" v="404"/>
    </bk>
    <bk>
      <rc t="2" v="405"/>
    </bk>
    <bk>
      <rc t="2" v="406"/>
    </bk>
    <bk>
      <rc t="2" v="407"/>
    </bk>
    <bk>
      <rc t="2" v="408"/>
    </bk>
    <bk>
      <rc t="2" v="409"/>
    </bk>
    <bk>
      <rc t="2" v="410"/>
    </bk>
    <bk>
      <rc t="2" v="411"/>
    </bk>
    <bk>
      <rc t="2" v="412"/>
    </bk>
    <bk>
      <rc t="2" v="413"/>
    </bk>
    <bk>
      <rc t="2" v="414"/>
    </bk>
    <bk>
      <rc t="2" v="415"/>
    </bk>
    <bk>
      <rc t="2" v="416"/>
    </bk>
    <bk>
      <rc t="2" v="417"/>
    </bk>
    <bk>
      <rc t="2" v="418"/>
    </bk>
    <bk>
      <rc t="2" v="419"/>
    </bk>
    <bk>
      <rc t="2" v="420"/>
    </bk>
    <bk>
      <rc t="2" v="421"/>
    </bk>
    <bk>
      <rc t="2" v="422"/>
    </bk>
    <bk>
      <rc t="2" v="423"/>
    </bk>
    <bk>
      <rc t="2" v="424"/>
    </bk>
    <bk>
      <rc t="2" v="425"/>
    </bk>
    <bk>
      <rc t="2" v="426"/>
    </bk>
    <bk>
      <rc t="2" v="427"/>
    </bk>
    <bk>
      <rc t="2" v="428"/>
    </bk>
    <bk>
      <rc t="2" v="429"/>
    </bk>
    <bk>
      <rc t="2" v="430"/>
    </bk>
    <bk>
      <rc t="2" v="431"/>
    </bk>
    <bk>
      <rc t="2" v="432"/>
    </bk>
    <bk>
      <rc t="2" v="433"/>
    </bk>
    <bk>
      <rc t="2" v="434"/>
    </bk>
    <bk>
      <rc t="2" v="435"/>
    </bk>
    <bk>
      <rc t="2" v="436"/>
    </bk>
    <bk>
      <rc t="2" v="437"/>
    </bk>
    <bk>
      <rc t="2" v="438"/>
    </bk>
    <bk>
      <rc t="2" v="439"/>
    </bk>
    <bk>
      <rc t="2" v="440"/>
    </bk>
    <bk>
      <rc t="2" v="441"/>
    </bk>
    <bk>
      <rc t="2" v="442"/>
    </bk>
    <bk>
      <rc t="2" v="443"/>
    </bk>
    <bk>
      <rc t="2" v="444"/>
    </bk>
    <bk>
      <rc t="2" v="445"/>
    </bk>
    <bk>
      <rc t="2" v="446"/>
    </bk>
    <bk>
      <rc t="2" v="447"/>
    </bk>
    <bk>
      <rc t="2" v="448"/>
    </bk>
    <bk>
      <rc t="2" v="449"/>
    </bk>
    <bk>
      <rc t="2" v="450"/>
    </bk>
    <bk>
      <rc t="2" v="451"/>
    </bk>
    <bk>
      <rc t="2" v="452"/>
    </bk>
    <bk>
      <rc t="2" v="453"/>
    </bk>
    <bk>
      <rc t="2" v="454"/>
    </bk>
    <bk>
      <rc t="2" v="455"/>
    </bk>
    <bk>
      <rc t="2" v="456"/>
    </bk>
    <bk>
      <rc t="2" v="457"/>
    </bk>
    <bk>
      <rc t="2" v="458"/>
    </bk>
    <bk>
      <rc t="2" v="459"/>
    </bk>
    <bk>
      <rc t="2" v="460"/>
    </bk>
    <bk>
      <rc t="2" v="461"/>
    </bk>
    <bk>
      <rc t="2" v="462"/>
    </bk>
    <bk>
      <rc t="2" v="463"/>
    </bk>
    <bk>
      <rc t="2" v="464"/>
    </bk>
    <bk>
      <rc t="2" v="465"/>
    </bk>
    <bk>
      <rc t="2" v="466"/>
    </bk>
    <bk>
      <rc t="2" v="467"/>
    </bk>
    <bk>
      <rc t="2" v="468"/>
    </bk>
    <bk>
      <rc t="2" v="469"/>
    </bk>
    <bk>
      <rc t="2" v="470"/>
    </bk>
    <bk>
      <rc t="2" v="471"/>
    </bk>
    <bk>
      <rc t="2" v="472"/>
    </bk>
    <bk>
      <rc t="2" v="473"/>
    </bk>
    <bk>
      <rc t="2" v="474"/>
    </bk>
    <bk>
      <rc t="2" v="475"/>
    </bk>
    <bk>
      <rc t="2" v="476"/>
    </bk>
    <bk>
      <rc t="2" v="477"/>
    </bk>
    <bk>
      <rc t="2" v="478"/>
    </bk>
    <bk>
      <rc t="2" v="479"/>
    </bk>
    <bk>
      <rc t="2" v="480"/>
    </bk>
    <bk>
      <rc t="2" v="481"/>
    </bk>
    <bk>
      <rc t="2" v="482"/>
    </bk>
    <bk>
      <rc t="2" v="483"/>
    </bk>
    <bk>
      <rc t="2" v="484"/>
    </bk>
    <bk>
      <rc t="2" v="485"/>
    </bk>
    <bk>
      <rc t="2" v="486"/>
    </bk>
    <bk>
      <rc t="2" v="487"/>
    </bk>
    <bk>
      <rc t="2" v="488"/>
    </bk>
    <bk>
      <rc t="2" v="489"/>
    </bk>
    <bk>
      <rc t="2" v="490"/>
    </bk>
    <bk>
      <rc t="2" v="491"/>
    </bk>
    <bk>
      <rc t="2" v="492"/>
    </bk>
    <bk>
      <rc t="2" v="493"/>
    </bk>
    <bk>
      <rc t="2" v="494"/>
    </bk>
    <bk>
      <rc t="2" v="495"/>
    </bk>
    <bk>
      <rc t="2" v="496"/>
    </bk>
    <bk>
      <rc t="2" v="497"/>
    </bk>
    <bk>
      <rc t="2" v="498"/>
    </bk>
    <bk>
      <rc t="2" v="499"/>
    </bk>
    <bk>
      <rc t="2" v="500"/>
    </bk>
    <bk>
      <rc t="2" v="501"/>
    </bk>
    <bk>
      <rc t="2" v="502"/>
    </bk>
    <bk>
      <rc t="2" v="503"/>
    </bk>
    <bk>
      <rc t="2" v="504"/>
    </bk>
    <bk>
      <rc t="2" v="505"/>
    </bk>
    <bk>
      <rc t="2" v="506"/>
    </bk>
    <bk>
      <rc t="2" v="507"/>
    </bk>
    <bk>
      <rc t="2" v="508"/>
    </bk>
    <bk>
      <rc t="2" v="509"/>
    </bk>
    <bk>
      <rc t="2" v="510"/>
    </bk>
    <bk>
      <rc t="2" v="511"/>
    </bk>
    <bk>
      <rc t="2" v="512"/>
    </bk>
    <bk>
      <rc t="2" v="513"/>
    </bk>
    <bk>
      <rc t="2" v="514"/>
    </bk>
    <bk>
      <rc t="2" v="515"/>
    </bk>
    <bk>
      <rc t="2" v="516"/>
    </bk>
    <bk>
      <rc t="2" v="517"/>
    </bk>
    <bk>
      <rc t="2" v="518"/>
    </bk>
    <bk>
      <rc t="2" v="519"/>
    </bk>
    <bk>
      <rc t="2" v="520"/>
    </bk>
    <bk>
      <rc t="2" v="521"/>
    </bk>
    <bk>
      <rc t="2" v="522"/>
    </bk>
    <bk>
      <rc t="2" v="523"/>
    </bk>
    <bk>
      <rc t="2" v="524"/>
    </bk>
    <bk>
      <rc t="2" v="525"/>
    </bk>
    <bk>
      <rc t="2" v="526"/>
    </bk>
    <bk>
      <rc t="2" v="527"/>
    </bk>
    <bk>
      <rc t="2" v="528"/>
    </bk>
    <bk>
      <rc t="2" v="529"/>
    </bk>
    <bk>
      <rc t="2" v="530"/>
    </bk>
    <bk>
      <rc t="2" v="531"/>
    </bk>
    <bk>
      <rc t="2" v="532"/>
    </bk>
    <bk>
      <rc t="2" v="533"/>
    </bk>
    <bk>
      <rc t="2" v="534"/>
    </bk>
    <bk>
      <rc t="2" v="535"/>
    </bk>
    <bk>
      <rc t="2" v="536"/>
    </bk>
    <bk>
      <rc t="2" v="537"/>
    </bk>
    <bk>
      <rc t="2" v="538"/>
    </bk>
    <bk>
      <rc t="2" v="539"/>
    </bk>
    <bk>
      <rc t="2" v="540"/>
    </bk>
    <bk>
      <rc t="2" v="541"/>
    </bk>
    <bk>
      <rc t="2" v="542"/>
    </bk>
    <bk>
      <rc t="2" v="543"/>
    </bk>
    <bk>
      <rc t="2" v="544"/>
    </bk>
    <bk>
      <rc t="2" v="545"/>
    </bk>
    <bk>
      <rc t="2" v="546"/>
    </bk>
    <bk>
      <rc t="2" v="547"/>
    </bk>
    <bk>
      <rc t="2" v="548"/>
    </bk>
    <bk>
      <rc t="2" v="549"/>
    </bk>
    <bk>
      <rc t="2" v="550"/>
    </bk>
    <bk>
      <rc t="2" v="551"/>
    </bk>
    <bk>
      <rc t="2" v="552"/>
    </bk>
    <bk>
      <rc t="2" v="553"/>
    </bk>
    <bk>
      <rc t="2" v="554"/>
    </bk>
    <bk>
      <rc t="2" v="555"/>
    </bk>
    <bk>
      <rc t="2" v="556"/>
    </bk>
    <bk>
      <rc t="2" v="557"/>
    </bk>
    <bk>
      <rc t="2" v="558"/>
    </bk>
    <bk>
      <rc t="2" v="559"/>
    </bk>
    <bk>
      <rc t="2" v="560"/>
    </bk>
    <bk>
      <rc t="2" v="561"/>
    </bk>
    <bk>
      <rc t="2" v="562"/>
    </bk>
    <bk>
      <rc t="2" v="563"/>
    </bk>
    <bk>
      <rc t="2" v="564"/>
    </bk>
    <bk>
      <rc t="2" v="565"/>
    </bk>
    <bk>
      <rc t="2" v="566"/>
    </bk>
    <bk>
      <rc t="2" v="567"/>
    </bk>
    <bk>
      <rc t="2" v="568"/>
    </bk>
    <bk>
      <rc t="2" v="569"/>
    </bk>
    <bk>
      <rc t="2" v="570"/>
    </bk>
    <bk>
      <rc t="2" v="571"/>
    </bk>
    <bk>
      <rc t="2" v="572"/>
    </bk>
    <bk>
      <rc t="2" v="573"/>
    </bk>
    <bk>
      <rc t="2" v="574"/>
    </bk>
    <bk>
      <rc t="2" v="575"/>
    </bk>
    <bk>
      <rc t="2" v="576"/>
    </bk>
    <bk>
      <rc t="2" v="577"/>
    </bk>
    <bk>
      <rc t="2" v="578"/>
    </bk>
    <bk>
      <rc t="2" v="579"/>
    </bk>
    <bk>
      <rc t="2" v="580"/>
    </bk>
    <bk>
      <rc t="2" v="581"/>
    </bk>
    <bk>
      <rc t="2" v="582"/>
    </bk>
    <bk>
      <rc t="2" v="583"/>
    </bk>
    <bk>
      <rc t="2" v="584"/>
    </bk>
    <bk>
      <rc t="2" v="585"/>
    </bk>
    <bk>
      <rc t="2" v="586"/>
    </bk>
    <bk>
      <rc t="2" v="587"/>
    </bk>
    <bk>
      <rc t="2" v="588"/>
    </bk>
    <bk>
      <rc t="2" v="589"/>
    </bk>
    <bk>
      <rc t="2" v="590"/>
    </bk>
    <bk>
      <rc t="2" v="591"/>
    </bk>
    <bk>
      <rc t="2" v="592"/>
    </bk>
    <bk>
      <rc t="2" v="593"/>
    </bk>
    <bk>
      <rc t="2" v="594"/>
    </bk>
    <bk>
      <rc t="2" v="595"/>
    </bk>
    <bk>
      <rc t="2" v="596"/>
    </bk>
    <bk>
      <rc t="2" v="597"/>
    </bk>
    <bk>
      <rc t="2" v="598"/>
    </bk>
    <bk>
      <rc t="2" v="599"/>
    </bk>
    <bk>
      <rc t="2" v="600"/>
    </bk>
    <bk>
      <rc t="2" v="601"/>
    </bk>
    <bk>
      <rc t="2" v="602"/>
    </bk>
    <bk>
      <rc t="2" v="603"/>
    </bk>
    <bk>
      <rc t="2" v="604"/>
    </bk>
    <bk>
      <rc t="2" v="605"/>
    </bk>
    <bk>
      <rc t="2" v="606"/>
    </bk>
    <bk>
      <rc t="2" v="607"/>
    </bk>
    <bk>
      <rc t="2" v="608"/>
    </bk>
    <bk>
      <rc t="2" v="609"/>
    </bk>
    <bk>
      <rc t="2" v="610"/>
    </bk>
    <bk>
      <rc t="2" v="611"/>
    </bk>
    <bk>
      <rc t="2" v="612"/>
    </bk>
    <bk>
      <rc t="2" v="613"/>
    </bk>
    <bk>
      <rc t="2" v="614"/>
    </bk>
    <bk>
      <rc t="2" v="615"/>
    </bk>
    <bk>
      <rc t="2" v="616"/>
    </bk>
    <bk>
      <rc t="2" v="617"/>
    </bk>
    <bk>
      <rc t="2" v="618"/>
    </bk>
    <bk>
      <rc t="2" v="619"/>
    </bk>
    <bk>
      <rc t="2" v="620"/>
    </bk>
    <bk>
      <rc t="2" v="621"/>
    </bk>
    <bk>
      <rc t="2" v="622"/>
    </bk>
    <bk>
      <rc t="2" v="623"/>
    </bk>
    <bk>
      <rc t="2" v="624"/>
    </bk>
    <bk>
      <rc t="2" v="625"/>
    </bk>
    <bk>
      <rc t="2" v="626"/>
    </bk>
    <bk>
      <rc t="2" v="627"/>
    </bk>
    <bk>
      <rc t="2" v="628"/>
    </bk>
    <bk>
      <rc t="2" v="629"/>
    </bk>
    <bk>
      <rc t="2" v="630"/>
    </bk>
    <bk>
      <rc t="2" v="631"/>
    </bk>
    <bk>
      <rc t="2" v="632"/>
    </bk>
    <bk>
      <rc t="2" v="633"/>
    </bk>
    <bk>
      <rc t="2" v="634"/>
    </bk>
    <bk>
      <rc t="2" v="635"/>
    </bk>
    <bk>
      <rc t="2" v="636"/>
    </bk>
    <bk>
      <rc t="2" v="637"/>
    </bk>
    <bk>
      <rc t="2" v="638"/>
    </bk>
    <bk>
      <rc t="2" v="639"/>
    </bk>
    <bk>
      <rc t="2" v="640"/>
    </bk>
    <bk>
      <rc t="2" v="641"/>
    </bk>
    <bk>
      <rc t="2" v="642"/>
    </bk>
    <bk>
      <rc t="2" v="643"/>
    </bk>
    <bk>
      <rc t="2" v="644"/>
    </bk>
    <bk>
      <rc t="2" v="645"/>
    </bk>
    <bk>
      <rc t="2" v="646"/>
    </bk>
    <bk>
      <rc t="2" v="647"/>
    </bk>
    <bk>
      <rc t="2" v="648"/>
    </bk>
    <bk>
      <rc t="2" v="649"/>
    </bk>
    <bk>
      <rc t="2" v="650"/>
    </bk>
    <bk>
      <rc t="2" v="651"/>
    </bk>
    <bk>
      <rc t="2" v="652"/>
    </bk>
    <bk>
      <rc t="2" v="653"/>
    </bk>
    <bk>
      <rc t="2" v="654"/>
    </bk>
    <bk>
      <rc t="2" v="655"/>
    </bk>
    <bk>
      <rc t="2" v="656"/>
    </bk>
    <bk>
      <rc t="2" v="657"/>
    </bk>
    <bk>
      <rc t="2" v="658"/>
    </bk>
    <bk>
      <rc t="2" v="659"/>
    </bk>
    <bk>
      <rc t="2" v="660"/>
    </bk>
    <bk>
      <rc t="2" v="661"/>
    </bk>
    <bk>
      <rc t="2" v="662"/>
    </bk>
    <bk>
      <rc t="2" v="663"/>
    </bk>
    <bk>
      <rc t="2" v="664"/>
    </bk>
    <bk>
      <rc t="2" v="665"/>
    </bk>
    <bk>
      <rc t="2" v="666"/>
    </bk>
    <bk>
      <rc t="2" v="667"/>
    </bk>
    <bk>
      <rc t="2" v="668"/>
    </bk>
    <bk>
      <rc t="2" v="669"/>
    </bk>
    <bk>
      <rc t="2" v="670"/>
    </bk>
    <bk>
      <rc t="2" v="671"/>
    </bk>
    <bk>
      <rc t="2" v="672"/>
    </bk>
    <bk>
      <rc t="2" v="673"/>
    </bk>
    <bk>
      <rc t="2" v="674"/>
    </bk>
    <bk>
      <rc t="2" v="675"/>
    </bk>
    <bk>
      <rc t="2" v="676"/>
    </bk>
    <bk>
      <rc t="2" v="677"/>
    </bk>
    <bk>
      <rc t="2" v="678"/>
    </bk>
    <bk>
      <rc t="2" v="679"/>
    </bk>
    <bk>
      <rc t="2" v="680"/>
    </bk>
    <bk>
      <rc t="2" v="681"/>
    </bk>
    <bk>
      <rc t="2" v="682"/>
    </bk>
    <bk>
      <rc t="2" v="683"/>
    </bk>
    <bk>
      <rc t="2" v="684"/>
    </bk>
    <bk>
      <rc t="2" v="685"/>
    </bk>
    <bk>
      <rc t="2" v="686"/>
    </bk>
    <bk>
      <rc t="2" v="687"/>
    </bk>
    <bk>
      <rc t="2" v="688"/>
    </bk>
    <bk>
      <rc t="2" v="689"/>
    </bk>
    <bk>
      <rc t="2" v="690"/>
    </bk>
    <bk>
      <rc t="2" v="691"/>
    </bk>
    <bk>
      <rc t="2" v="692"/>
    </bk>
    <bk>
      <rc t="2" v="693"/>
    </bk>
    <bk>
      <rc t="2" v="694"/>
    </bk>
    <bk>
      <rc t="2" v="695"/>
    </bk>
    <bk>
      <rc t="2" v="696"/>
    </bk>
    <bk>
      <rc t="2" v="697"/>
    </bk>
    <bk>
      <rc t="2" v="698"/>
    </bk>
    <bk>
      <rc t="2" v="699"/>
    </bk>
    <bk>
      <rc t="2" v="700"/>
    </bk>
    <bk>
      <rc t="2" v="701"/>
    </bk>
    <bk>
      <rc t="2" v="702"/>
    </bk>
    <bk>
      <rc t="2" v="703"/>
    </bk>
    <bk>
      <rc t="2" v="704"/>
    </bk>
    <bk>
      <rc t="2" v="705"/>
    </bk>
    <bk>
      <rc t="2" v="706"/>
    </bk>
    <bk>
      <rc t="2" v="707"/>
    </bk>
    <bk>
      <rc t="2" v="708"/>
    </bk>
    <bk>
      <rc t="2" v="709"/>
    </bk>
    <bk>
      <rc t="2" v="710"/>
    </bk>
    <bk>
      <rc t="2" v="711"/>
    </bk>
    <bk>
      <rc t="2" v="712"/>
    </bk>
    <bk>
      <rc t="2" v="713"/>
    </bk>
    <bk>
      <rc t="2" v="714"/>
    </bk>
    <bk>
      <rc t="2" v="715"/>
    </bk>
    <bk>
      <rc t="2" v="716"/>
    </bk>
    <bk>
      <rc t="2" v="717"/>
    </bk>
    <bk>
      <rc t="2" v="718"/>
    </bk>
    <bk>
      <rc t="2" v="719"/>
    </bk>
    <bk>
      <rc t="2" v="720"/>
    </bk>
    <bk>
      <rc t="2" v="721"/>
    </bk>
    <bk>
      <rc t="2" v="722"/>
    </bk>
    <bk>
      <rc t="2" v="723"/>
    </bk>
    <bk>
      <rc t="2" v="724"/>
    </bk>
    <bk>
      <rc t="2" v="725"/>
    </bk>
    <bk>
      <rc t="2" v="726"/>
    </bk>
    <bk>
      <rc t="2" v="727"/>
    </bk>
    <bk>
      <rc t="2" v="728"/>
    </bk>
    <bk>
      <rc t="2" v="729"/>
    </bk>
    <bk>
      <rc t="2" v="730"/>
    </bk>
    <bk>
      <rc t="2" v="731"/>
    </bk>
    <bk>
      <rc t="2" v="732"/>
    </bk>
    <bk>
      <rc t="2" v="733"/>
    </bk>
    <bk>
      <rc t="2" v="734"/>
    </bk>
    <bk>
      <rc t="2" v="735"/>
    </bk>
    <bk>
      <rc t="2" v="736"/>
    </bk>
    <bk>
      <rc t="2" v="737"/>
    </bk>
    <bk>
      <rc t="2" v="738"/>
    </bk>
    <bk>
      <rc t="2" v="739"/>
    </bk>
    <bk>
      <rc t="2" v="740"/>
    </bk>
    <bk>
      <rc t="2" v="741"/>
    </bk>
    <bk>
      <rc t="2" v="742"/>
    </bk>
    <bk>
      <rc t="2" v="743"/>
    </bk>
    <bk>
      <rc t="2" v="744"/>
    </bk>
    <bk>
      <rc t="2" v="745"/>
    </bk>
    <bk>
      <rc t="2" v="746"/>
    </bk>
    <bk>
      <rc t="2" v="747"/>
    </bk>
    <bk>
      <rc t="2" v="748"/>
    </bk>
    <bk>
      <rc t="2" v="749"/>
    </bk>
    <bk>
      <rc t="2" v="750"/>
    </bk>
    <bk>
      <rc t="2" v="751"/>
    </bk>
    <bk>
      <rc t="2" v="752"/>
    </bk>
    <bk>
      <rc t="2" v="753"/>
    </bk>
    <bk>
      <rc t="2" v="754"/>
    </bk>
    <bk>
      <rc t="2" v="755"/>
    </bk>
    <bk>
      <rc t="2" v="756"/>
    </bk>
    <bk>
      <rc t="2" v="757"/>
    </bk>
    <bk>
      <rc t="2" v="758"/>
    </bk>
    <bk>
      <rc t="2" v="759"/>
    </bk>
    <bk>
      <rc t="2" v="760"/>
    </bk>
    <bk>
      <rc t="2" v="761"/>
    </bk>
    <bk>
      <rc t="2" v="762"/>
    </bk>
    <bk>
      <rc t="2" v="763"/>
    </bk>
    <bk>
      <rc t="2" v="764"/>
    </bk>
    <bk>
      <rc t="2" v="765"/>
    </bk>
    <bk>
      <rc t="2" v="766"/>
    </bk>
    <bk>
      <rc t="2" v="767"/>
    </bk>
    <bk>
      <rc t="2" v="768"/>
    </bk>
    <bk>
      <rc t="2" v="769"/>
    </bk>
    <bk>
      <rc t="2" v="770"/>
    </bk>
    <bk>
      <rc t="2" v="771"/>
    </bk>
    <bk>
      <rc t="2" v="772"/>
    </bk>
    <bk>
      <rc t="2" v="773"/>
    </bk>
    <bk>
      <rc t="2" v="774"/>
    </bk>
    <bk>
      <rc t="2" v="775"/>
    </bk>
    <bk>
      <rc t="2" v="776"/>
    </bk>
    <bk>
      <rc t="2" v="777"/>
    </bk>
    <bk>
      <rc t="2" v="778"/>
    </bk>
    <bk>
      <rc t="2" v="779"/>
    </bk>
    <bk>
      <rc t="2" v="780"/>
    </bk>
    <bk>
      <rc t="2" v="781"/>
    </bk>
    <bk>
      <rc t="2" v="782"/>
    </bk>
    <bk>
      <rc t="2" v="783"/>
    </bk>
    <bk>
      <rc t="2" v="784"/>
    </bk>
    <bk>
      <rc t="2" v="785"/>
    </bk>
    <bk>
      <rc t="2" v="786"/>
    </bk>
    <bk>
      <rc t="2" v="787"/>
    </bk>
    <bk>
      <rc t="2" v="788"/>
    </bk>
    <bk>
      <rc t="2" v="789"/>
    </bk>
    <bk>
      <rc t="2" v="790"/>
    </bk>
    <bk>
      <rc t="2" v="791"/>
    </bk>
    <bk>
      <rc t="2" v="792"/>
    </bk>
    <bk>
      <rc t="2" v="793"/>
    </bk>
    <bk>
      <rc t="2" v="794"/>
    </bk>
    <bk>
      <rc t="2" v="795"/>
    </bk>
    <bk>
      <rc t="2" v="796"/>
    </bk>
    <bk>
      <rc t="2" v="797"/>
    </bk>
    <bk>
      <rc t="2" v="798"/>
    </bk>
    <bk>
      <rc t="2" v="799"/>
    </bk>
    <bk>
      <rc t="2" v="800"/>
    </bk>
    <bk>
      <rc t="2" v="801"/>
    </bk>
    <bk>
      <rc t="2" v="802"/>
    </bk>
    <bk>
      <rc t="2" v="803"/>
    </bk>
    <bk>
      <rc t="2" v="804"/>
    </bk>
    <bk>
      <rc t="2" v="805"/>
    </bk>
    <bk>
      <rc t="2" v="806"/>
    </bk>
    <bk>
      <rc t="2" v="807"/>
    </bk>
    <bk>
      <rc t="2" v="808"/>
    </bk>
    <bk>
      <rc t="2" v="809"/>
    </bk>
    <bk>
      <rc t="2" v="810"/>
    </bk>
    <bk>
      <rc t="2" v="811"/>
    </bk>
    <bk>
      <rc t="2" v="812"/>
    </bk>
    <bk>
      <rc t="2" v="813"/>
    </bk>
    <bk>
      <rc t="2" v="814"/>
    </bk>
    <bk>
      <rc t="2" v="815"/>
    </bk>
    <bk>
      <rc t="2" v="816"/>
    </bk>
    <bk>
      <rc t="2" v="817"/>
    </bk>
    <bk>
      <rc t="2" v="818"/>
    </bk>
    <bk>
      <rc t="2" v="819"/>
    </bk>
    <bk>
      <rc t="2" v="820"/>
    </bk>
    <bk>
      <rc t="2" v="821"/>
    </bk>
    <bk>
      <rc t="2" v="822"/>
    </bk>
    <bk>
      <rc t="2" v="823"/>
    </bk>
    <bk>
      <rc t="2" v="824"/>
    </bk>
    <bk>
      <rc t="2" v="825"/>
    </bk>
    <bk>
      <rc t="2" v="826"/>
    </bk>
    <bk>
      <rc t="2" v="827"/>
    </bk>
    <bk>
      <rc t="2" v="828"/>
    </bk>
    <bk>
      <rc t="2" v="829"/>
    </bk>
    <bk>
      <rc t="2" v="830"/>
    </bk>
    <bk>
      <rc t="2" v="831"/>
    </bk>
    <bk>
      <rc t="2" v="832"/>
    </bk>
    <bk>
      <rc t="2" v="833"/>
    </bk>
    <bk>
      <rc t="2" v="834"/>
    </bk>
    <bk>
      <rc t="2" v="835"/>
    </bk>
    <bk>
      <rc t="2" v="836"/>
    </bk>
    <bk>
      <rc t="2" v="837"/>
    </bk>
    <bk>
      <rc t="2" v="838"/>
    </bk>
    <bk>
      <rc t="2" v="839"/>
    </bk>
    <bk>
      <rc t="2" v="840"/>
    </bk>
    <bk>
      <rc t="2" v="841"/>
    </bk>
    <bk>
      <rc t="2" v="842"/>
    </bk>
    <bk>
      <rc t="2" v="843"/>
    </bk>
    <bk>
      <rc t="2" v="844"/>
    </bk>
    <bk>
      <rc t="2" v="845"/>
    </bk>
    <bk>
      <rc t="2" v="846"/>
    </bk>
    <bk>
      <rc t="2" v="847"/>
    </bk>
    <bk>
      <rc t="2" v="848"/>
    </bk>
    <bk>
      <rc t="2" v="849"/>
    </bk>
    <bk>
      <rc t="2" v="850"/>
    </bk>
    <bk>
      <rc t="2" v="851"/>
    </bk>
    <bk>
      <rc t="2" v="852"/>
    </bk>
    <bk>
      <rc t="2" v="853"/>
    </bk>
    <bk>
      <rc t="2" v="854"/>
    </bk>
    <bk>
      <rc t="2" v="855"/>
    </bk>
    <bk>
      <rc t="2" v="856"/>
    </bk>
    <bk>
      <rc t="2" v="857"/>
    </bk>
    <bk>
      <rc t="2" v="858"/>
    </bk>
    <bk>
      <rc t="2" v="859"/>
    </bk>
    <bk>
      <rc t="2" v="860"/>
    </bk>
    <bk>
      <rc t="2" v="861"/>
    </bk>
    <bk>
      <rc t="2" v="862"/>
    </bk>
    <bk>
      <rc t="2" v="863"/>
    </bk>
    <bk>
      <rc t="2" v="864"/>
    </bk>
    <bk>
      <rc t="2" v="865"/>
    </bk>
    <bk>
      <rc t="2" v="866"/>
    </bk>
    <bk>
      <rc t="2" v="867"/>
    </bk>
    <bk>
      <rc t="2" v="868"/>
    </bk>
    <bk>
      <rc t="2" v="869"/>
    </bk>
    <bk>
      <rc t="2" v="870"/>
    </bk>
    <bk>
      <rc t="2" v="871"/>
    </bk>
    <bk>
      <rc t="2" v="872"/>
    </bk>
    <bk>
      <rc t="2" v="873"/>
    </bk>
    <bk>
      <rc t="2" v="874"/>
    </bk>
    <bk>
      <rc t="2" v="875"/>
    </bk>
    <bk>
      <rc t="2" v="876"/>
    </bk>
    <bk>
      <rc t="2" v="877"/>
    </bk>
    <bk>
      <rc t="2" v="878"/>
    </bk>
    <bk>
      <rc t="2" v="879"/>
    </bk>
    <bk>
      <rc t="2" v="880"/>
    </bk>
    <bk>
      <rc t="2" v="881"/>
    </bk>
    <bk>
      <rc t="2" v="882"/>
    </bk>
    <bk>
      <rc t="2" v="883"/>
    </bk>
    <bk>
      <rc t="2" v="884"/>
    </bk>
    <bk>
      <rc t="2" v="885"/>
    </bk>
    <bk>
      <rc t="2" v="886"/>
    </bk>
    <bk>
      <rc t="2" v="887"/>
    </bk>
    <bk>
      <rc t="2" v="888"/>
    </bk>
    <bk>
      <rc t="2" v="889"/>
    </bk>
    <bk>
      <rc t="2" v="890"/>
    </bk>
    <bk>
      <rc t="2" v="891"/>
    </bk>
    <bk>
      <rc t="2" v="892"/>
    </bk>
    <bk>
      <rc t="2" v="893"/>
    </bk>
    <bk>
      <rc t="2" v="894"/>
    </bk>
    <bk>
      <rc t="2" v="895"/>
    </bk>
    <bk>
      <rc t="2" v="896"/>
    </bk>
    <bk>
      <rc t="2" v="897"/>
    </bk>
    <bk>
      <rc t="2" v="898"/>
    </bk>
    <bk>
      <rc t="2" v="899"/>
    </bk>
    <bk>
      <rc t="2" v="900"/>
    </bk>
    <bk>
      <rc t="2" v="901"/>
    </bk>
    <bk>
      <rc t="2" v="902"/>
    </bk>
    <bk>
      <rc t="2" v="903"/>
    </bk>
    <bk>
      <rc t="2" v="904"/>
    </bk>
    <bk>
      <rc t="2" v="905"/>
    </bk>
    <bk>
      <rc t="2" v="906"/>
    </bk>
    <bk>
      <rc t="2" v="907"/>
    </bk>
    <bk>
      <rc t="2" v="908"/>
    </bk>
    <bk>
      <rc t="2" v="909"/>
    </bk>
    <bk>
      <rc t="2" v="910"/>
    </bk>
    <bk>
      <rc t="2" v="911"/>
    </bk>
    <bk>
      <rc t="2" v="912"/>
    </bk>
    <bk>
      <rc t="2" v="913"/>
    </bk>
    <bk>
      <rc t="2" v="914"/>
    </bk>
    <bk>
      <rc t="2" v="915"/>
    </bk>
    <bk>
      <rc t="2" v="916"/>
    </bk>
    <bk>
      <rc t="2" v="917"/>
    </bk>
    <bk>
      <rc t="2" v="918"/>
    </bk>
    <bk>
      <rc t="2" v="919"/>
    </bk>
    <bk>
      <rc t="2" v="920"/>
    </bk>
    <bk>
      <rc t="2" v="921"/>
    </bk>
    <bk>
      <rc t="2" v="922"/>
    </bk>
    <bk>
      <rc t="2" v="923"/>
    </bk>
    <bk>
      <rc t="2" v="924"/>
    </bk>
    <bk>
      <rc t="2" v="925"/>
    </bk>
    <bk>
      <rc t="2" v="926"/>
    </bk>
    <bk>
      <rc t="2" v="927"/>
    </bk>
    <bk>
      <rc t="2" v="928"/>
    </bk>
    <bk>
      <rc t="2" v="929"/>
    </bk>
    <bk>
      <rc t="2" v="930"/>
    </bk>
    <bk>
      <rc t="2" v="931"/>
    </bk>
    <bk>
      <rc t="2" v="932"/>
    </bk>
    <bk>
      <rc t="2" v="933"/>
    </bk>
    <bk>
      <rc t="2" v="934"/>
    </bk>
    <bk>
      <rc t="2" v="935"/>
    </bk>
    <bk>
      <rc t="2" v="936"/>
    </bk>
    <bk>
      <rc t="2" v="937"/>
    </bk>
    <bk>
      <rc t="2" v="938"/>
    </bk>
    <bk>
      <rc t="2" v="939"/>
    </bk>
    <bk>
      <rc t="2" v="940"/>
    </bk>
    <bk>
      <rc t="2" v="941"/>
    </bk>
    <bk>
      <rc t="2" v="942"/>
    </bk>
    <bk>
      <rc t="2" v="943"/>
    </bk>
    <bk>
      <rc t="2" v="944"/>
    </bk>
    <bk>
      <rc t="2" v="945"/>
    </bk>
    <bk>
      <rc t="2" v="946"/>
    </bk>
    <bk>
      <rc t="2" v="947"/>
    </bk>
    <bk>
      <rc t="2" v="948"/>
    </bk>
    <bk>
      <rc t="2" v="949"/>
    </bk>
    <bk>
      <rc t="2" v="950"/>
    </bk>
    <bk>
      <rc t="2" v="951"/>
    </bk>
    <bk>
      <rc t="2" v="952"/>
    </bk>
    <bk>
      <rc t="2" v="953"/>
    </bk>
    <bk>
      <rc t="2" v="954"/>
    </bk>
    <bk>
      <rc t="2" v="955"/>
    </bk>
    <bk>
      <rc t="2" v="956"/>
    </bk>
    <bk>
      <rc t="2" v="957"/>
    </bk>
    <bk>
      <rc t="2" v="958"/>
    </bk>
    <bk>
      <rc t="2" v="959"/>
    </bk>
    <bk>
      <rc t="2" v="960"/>
    </bk>
    <bk>
      <rc t="2" v="961"/>
    </bk>
    <bk>
      <rc t="2" v="962"/>
    </bk>
    <bk>
      <rc t="2" v="963"/>
    </bk>
    <bk>
      <rc t="2" v="964"/>
    </bk>
    <bk>
      <rc t="2" v="965"/>
    </bk>
    <bk>
      <rc t="2" v="966"/>
    </bk>
    <bk>
      <rc t="2" v="967"/>
    </bk>
    <bk>
      <rc t="2" v="968"/>
    </bk>
    <bk>
      <rc t="2" v="969"/>
    </bk>
    <bk>
      <rc t="2" v="970"/>
    </bk>
    <bk>
      <rc t="2" v="971"/>
    </bk>
    <bk>
      <rc t="2" v="972"/>
    </bk>
    <bk>
      <rc t="2" v="973"/>
    </bk>
    <bk>
      <rc t="2" v="974"/>
    </bk>
    <bk>
      <rc t="2" v="975"/>
    </bk>
    <bk>
      <rc t="2" v="976"/>
    </bk>
    <bk>
      <rc t="2" v="977"/>
    </bk>
    <bk>
      <rc t="2" v="978"/>
    </bk>
    <bk>
      <rc t="2" v="979"/>
    </bk>
    <bk>
      <rc t="2" v="980"/>
    </bk>
    <bk>
      <rc t="2" v="981"/>
    </bk>
    <bk>
      <rc t="2" v="982"/>
    </bk>
    <bk>
      <rc t="2" v="983"/>
    </bk>
    <bk>
      <rc t="2" v="984"/>
    </bk>
    <bk>
      <rc t="2" v="985"/>
    </bk>
    <bk>
      <rc t="2" v="986"/>
    </bk>
    <bk>
      <rc t="2" v="987"/>
    </bk>
    <bk>
      <rc t="2" v="988"/>
    </bk>
    <bk>
      <rc t="2" v="989"/>
    </bk>
    <bk>
      <rc t="2" v="990"/>
    </bk>
    <bk>
      <rc t="2" v="991"/>
    </bk>
    <bk>
      <rc t="2" v="992"/>
    </bk>
    <bk>
      <rc t="2" v="993"/>
    </bk>
    <bk>
      <rc t="2" v="994"/>
    </bk>
    <bk>
      <rc t="2" v="995"/>
    </bk>
    <bk>
      <rc t="2" v="996"/>
    </bk>
    <bk>
      <rc t="2" v="997"/>
    </bk>
    <bk>
      <rc t="2" v="998"/>
    </bk>
    <bk>
      <rc t="2" v="999"/>
    </bk>
    <bk>
      <rc t="2" v="1000"/>
    </bk>
    <bk>
      <rc t="2" v="1001"/>
    </bk>
    <bk>
      <rc t="2" v="1002"/>
    </bk>
    <bk>
      <rc t="2" v="1003"/>
    </bk>
    <bk>
      <rc t="2" v="1004"/>
    </bk>
    <bk>
      <rc t="2" v="1005"/>
    </bk>
    <bk>
      <rc t="2" v="1006"/>
    </bk>
    <bk>
      <rc t="2" v="1007"/>
    </bk>
    <bk>
      <rc t="2" v="1008"/>
    </bk>
    <bk>
      <rc t="2" v="1009"/>
    </bk>
    <bk>
      <rc t="2" v="1010"/>
    </bk>
    <bk>
      <rc t="2" v="1011"/>
    </bk>
    <bk>
      <rc t="2" v="1012"/>
    </bk>
    <bk>
      <rc t="2" v="1013"/>
    </bk>
    <bk>
      <rc t="2" v="1014"/>
    </bk>
    <bk>
      <rc t="2" v="1015"/>
    </bk>
    <bk>
      <rc t="2" v="1016"/>
    </bk>
    <bk>
      <rc t="2" v="1017"/>
    </bk>
    <bk>
      <rc t="2" v="1018"/>
    </bk>
    <bk>
      <rc t="2" v="1019"/>
    </bk>
    <bk>
      <rc t="2" v="1020"/>
    </bk>
    <bk>
      <rc t="2" v="1021"/>
    </bk>
    <bk>
      <rc t="2" v="1022"/>
    </bk>
    <bk>
      <rc t="2" v="1023"/>
    </bk>
    <bk>
      <rc t="2" v="1024"/>
    </bk>
    <bk>
      <rc t="2" v="1025"/>
    </bk>
    <bk>
      <rc t="2" v="1026"/>
    </bk>
    <bk>
      <rc t="2" v="1027"/>
    </bk>
    <bk>
      <rc t="2" v="1028"/>
    </bk>
    <bk>
      <rc t="2" v="1029"/>
    </bk>
    <bk>
      <rc t="2" v="1030"/>
    </bk>
    <bk>
      <rc t="2" v="1031"/>
    </bk>
    <bk>
      <rc t="2" v="1032"/>
    </bk>
    <bk>
      <rc t="2" v="1033"/>
    </bk>
    <bk>
      <rc t="2" v="1034"/>
    </bk>
    <bk>
      <rc t="2" v="1035"/>
    </bk>
    <bk>
      <rc t="2" v="1036"/>
    </bk>
    <bk>
      <rc t="2" v="1037"/>
    </bk>
    <bk>
      <rc t="2" v="1038"/>
    </bk>
    <bk>
      <rc t="2" v="1039"/>
    </bk>
    <bk>
      <rc t="2" v="1040"/>
    </bk>
    <bk>
      <rc t="2" v="1041"/>
    </bk>
    <bk>
      <rc t="2" v="1042"/>
    </bk>
    <bk>
      <rc t="2" v="1043"/>
    </bk>
    <bk>
      <rc t="2" v="1044"/>
    </bk>
    <bk>
      <rc t="2" v="1045"/>
    </bk>
    <bk>
      <rc t="2" v="1046"/>
    </bk>
    <bk>
      <rc t="2" v="1047"/>
    </bk>
    <bk>
      <rc t="2" v="1048"/>
    </bk>
    <bk>
      <rc t="2" v="1049"/>
    </bk>
    <bk>
      <rc t="2" v="1050"/>
    </bk>
    <bk>
      <rc t="2" v="1051"/>
    </bk>
    <bk>
      <rc t="2" v="1052"/>
    </bk>
    <bk>
      <rc t="2" v="1053"/>
    </bk>
    <bk>
      <rc t="2" v="1054"/>
    </bk>
    <bk>
      <rc t="2" v="1055"/>
    </bk>
    <bk>
      <rc t="2" v="1056"/>
    </bk>
    <bk>
      <rc t="2" v="1057"/>
    </bk>
    <bk>
      <rc t="2" v="1058"/>
    </bk>
    <bk>
      <rc t="2" v="1059"/>
    </bk>
    <bk>
      <rc t="2" v="1060"/>
    </bk>
    <bk>
      <rc t="2" v="1061"/>
    </bk>
    <bk>
      <rc t="2" v="1062"/>
    </bk>
    <bk>
      <rc t="2" v="1063"/>
    </bk>
    <bk>
      <rc t="2" v="1064"/>
    </bk>
    <bk>
      <rc t="2" v="1065"/>
    </bk>
    <bk>
      <rc t="2" v="1066"/>
    </bk>
    <bk>
      <rc t="2" v="1067"/>
    </bk>
    <bk>
      <rc t="2" v="1068"/>
    </bk>
    <bk>
      <rc t="2" v="1069"/>
    </bk>
    <bk>
      <rc t="2" v="1070"/>
    </bk>
    <bk>
      <rc t="2" v="1071"/>
    </bk>
    <bk>
      <rc t="2" v="1072"/>
    </bk>
    <bk>
      <rc t="2" v="1073"/>
    </bk>
    <bk>
      <rc t="2" v="1074"/>
    </bk>
    <bk>
      <rc t="2" v="1075"/>
    </bk>
    <bk>
      <rc t="2" v="1076"/>
    </bk>
    <bk>
      <rc t="2" v="1077"/>
    </bk>
    <bk>
      <rc t="2" v="1078"/>
    </bk>
    <bk>
      <rc t="2" v="1079"/>
    </bk>
    <bk>
      <rc t="2" v="1080"/>
    </bk>
    <bk>
      <rc t="2" v="1081"/>
    </bk>
    <bk>
      <rc t="2" v="1082"/>
    </bk>
    <bk>
      <rc t="2" v="1083"/>
    </bk>
    <bk>
      <rc t="2" v="1084"/>
    </bk>
    <bk>
      <rc t="2" v="1085"/>
    </bk>
    <bk>
      <rc t="2" v="1086"/>
    </bk>
    <bk>
      <rc t="2" v="1087"/>
    </bk>
    <bk>
      <rc t="2" v="1088"/>
    </bk>
    <bk>
      <rc t="2" v="1089"/>
    </bk>
    <bk>
      <rc t="2" v="1090"/>
    </bk>
    <bk>
      <rc t="2" v="1091"/>
    </bk>
    <bk>
      <rc t="2" v="1092"/>
    </bk>
    <bk>
      <rc t="2" v="1093"/>
    </bk>
    <bk>
      <rc t="2" v="1094"/>
    </bk>
    <bk>
      <rc t="2" v="1095"/>
    </bk>
    <bk>
      <rc t="2" v="1096"/>
    </bk>
    <bk>
      <rc t="2" v="1097"/>
    </bk>
    <bk>
      <rc t="2" v="1098"/>
    </bk>
    <bk>
      <rc t="2" v="1099"/>
    </bk>
    <bk>
      <rc t="2" v="1100"/>
    </bk>
    <bk>
      <rc t="2" v="1101"/>
    </bk>
    <bk>
      <rc t="2" v="1102"/>
    </bk>
    <bk>
      <rc t="2" v="1103"/>
    </bk>
    <bk>
      <rc t="2" v="1104"/>
    </bk>
    <bk>
      <rc t="2" v="1105"/>
    </bk>
    <bk>
      <rc t="2" v="1106"/>
    </bk>
    <bk>
      <rc t="2" v="1107"/>
    </bk>
    <bk>
      <rc t="2" v="1108"/>
    </bk>
    <bk>
      <rc t="2" v="1109"/>
    </bk>
    <bk>
      <rc t="2" v="1110"/>
    </bk>
    <bk>
      <rc t="2" v="1111"/>
    </bk>
    <bk>
      <rc t="2" v="1112"/>
    </bk>
    <bk>
      <rc t="2" v="1113"/>
    </bk>
    <bk>
      <rc t="2" v="1114"/>
    </bk>
    <bk>
      <rc t="2" v="1115"/>
    </bk>
    <bk>
      <rc t="2" v="1116"/>
    </bk>
    <bk>
      <rc t="2" v="1117"/>
    </bk>
    <bk>
      <rc t="2" v="1118"/>
    </bk>
    <bk>
      <rc t="2" v="1119"/>
    </bk>
    <bk>
      <rc t="2" v="1120"/>
    </bk>
    <bk>
      <rc t="2" v="1121"/>
    </bk>
    <bk>
      <rc t="2" v="1122"/>
    </bk>
    <bk>
      <rc t="2" v="1123"/>
    </bk>
    <bk>
      <rc t="2" v="1124"/>
    </bk>
    <bk>
      <rc t="2" v="1125"/>
    </bk>
    <bk>
      <rc t="2" v="1126"/>
    </bk>
    <bk>
      <rc t="2" v="1127"/>
    </bk>
    <bk>
      <rc t="2" v="1128"/>
    </bk>
    <bk>
      <rc t="2" v="1129"/>
    </bk>
    <bk>
      <rc t="2" v="1130"/>
    </bk>
    <bk>
      <rc t="2" v="1131"/>
    </bk>
    <bk>
      <rc t="2" v="1132"/>
    </bk>
    <bk>
      <rc t="2" v="1133"/>
    </bk>
    <bk>
      <rc t="2" v="1134"/>
    </bk>
    <bk>
      <rc t="2" v="1135"/>
    </bk>
    <bk>
      <rc t="2" v="1136"/>
    </bk>
    <bk>
      <rc t="2" v="1137"/>
    </bk>
    <bk>
      <rc t="2" v="1138"/>
    </bk>
    <bk>
      <rc t="2" v="1139"/>
    </bk>
    <bk>
      <rc t="2" v="1140"/>
    </bk>
    <bk>
      <rc t="2" v="1141"/>
    </bk>
    <bk>
      <rc t="2" v="1142"/>
    </bk>
    <bk>
      <rc t="2" v="1143"/>
    </bk>
    <bk>
      <rc t="2" v="1144"/>
    </bk>
    <bk>
      <rc t="2" v="1145"/>
    </bk>
    <bk>
      <rc t="2" v="1146"/>
    </bk>
    <bk>
      <rc t="2" v="1147"/>
    </bk>
    <bk>
      <rc t="2" v="1148"/>
    </bk>
    <bk>
      <rc t="2" v="1149"/>
    </bk>
    <bk>
      <rc t="2" v="1150"/>
    </bk>
    <bk>
      <rc t="2" v="1151"/>
    </bk>
    <bk>
      <rc t="2" v="1152"/>
    </bk>
    <bk>
      <rc t="2" v="1153"/>
    </bk>
    <bk>
      <rc t="2" v="1154"/>
    </bk>
    <bk>
      <rc t="2" v="1155"/>
    </bk>
    <bk>
      <rc t="2" v="1156"/>
    </bk>
    <bk>
      <rc t="2" v="1157"/>
    </bk>
    <bk>
      <rc t="2" v="1158"/>
    </bk>
    <bk>
      <rc t="2" v="1159"/>
    </bk>
    <bk>
      <rc t="2" v="1160"/>
    </bk>
    <bk>
      <rc t="2" v="1161"/>
    </bk>
    <bk>
      <rc t="2" v="1162"/>
    </bk>
    <bk>
      <rc t="2" v="1163"/>
    </bk>
    <bk>
      <rc t="2" v="1164"/>
    </bk>
    <bk>
      <rc t="2" v="1165"/>
    </bk>
    <bk>
      <rc t="2" v="1166"/>
    </bk>
    <bk>
      <rc t="2" v="1167"/>
    </bk>
    <bk>
      <rc t="2" v="1168"/>
    </bk>
    <bk>
      <rc t="2" v="1169"/>
    </bk>
    <bk>
      <rc t="2" v="1170"/>
    </bk>
    <bk>
      <rc t="2" v="1171"/>
    </bk>
    <bk>
      <rc t="2" v="1172"/>
    </bk>
    <bk>
      <rc t="2" v="1173"/>
    </bk>
    <bk>
      <rc t="2" v="1174"/>
    </bk>
    <bk>
      <rc t="2" v="1175"/>
    </bk>
    <bk>
      <rc t="2" v="1176"/>
    </bk>
    <bk>
      <rc t="2" v="1177"/>
    </bk>
    <bk>
      <rc t="2" v="1178"/>
    </bk>
    <bk>
      <rc t="2" v="1179"/>
    </bk>
    <bk>
      <rc t="2" v="1180"/>
    </bk>
    <bk>
      <rc t="2" v="1181"/>
    </bk>
    <bk>
      <rc t="2" v="1182"/>
    </bk>
    <bk>
      <rc t="2" v="1183"/>
    </bk>
    <bk>
      <rc t="2" v="1184"/>
    </bk>
    <bk>
      <rc t="2" v="1185"/>
    </bk>
    <bk>
      <rc t="2" v="1186"/>
    </bk>
    <bk>
      <rc t="2" v="1187"/>
    </bk>
    <bk>
      <rc t="2" v="1188"/>
    </bk>
    <bk>
      <rc t="2" v="1189"/>
    </bk>
    <bk>
      <rc t="2" v="1190"/>
    </bk>
    <bk>
      <rc t="2" v="1191"/>
    </bk>
    <bk>
      <rc t="2" v="1192"/>
    </bk>
    <bk>
      <rc t="2" v="1193"/>
    </bk>
    <bk>
      <rc t="2" v="1194"/>
    </bk>
    <bk>
      <rc t="2" v="1195"/>
    </bk>
    <bk>
      <rc t="2" v="1196"/>
    </bk>
    <bk>
      <rc t="2" v="1197"/>
    </bk>
    <bk>
      <rc t="2" v="1198"/>
    </bk>
    <bk>
      <rc t="2" v="1199"/>
    </bk>
    <bk>
      <rc t="2" v="1200"/>
    </bk>
    <bk>
      <rc t="2" v="1201"/>
    </bk>
    <bk>
      <rc t="2" v="1202"/>
    </bk>
    <bk>
      <rc t="2" v="1203"/>
    </bk>
    <bk>
      <rc t="2" v="1204"/>
    </bk>
    <bk>
      <rc t="2" v="1205"/>
    </bk>
    <bk>
      <rc t="2" v="1206"/>
    </bk>
    <bk>
      <rc t="2" v="1207"/>
    </bk>
    <bk>
      <rc t="2" v="1208"/>
    </bk>
    <bk>
      <rc t="2" v="1209"/>
    </bk>
    <bk>
      <rc t="2" v="1210"/>
    </bk>
    <bk>
      <rc t="2" v="1211"/>
    </bk>
    <bk>
      <rc t="2" v="1212"/>
    </bk>
    <bk>
      <rc t="2" v="1213"/>
    </bk>
    <bk>
      <rc t="2" v="1214"/>
    </bk>
    <bk>
      <rc t="2" v="1215"/>
    </bk>
    <bk>
      <rc t="2" v="1216"/>
    </bk>
    <bk>
      <rc t="2" v="1217"/>
    </bk>
    <bk>
      <rc t="2" v="1218"/>
    </bk>
    <bk>
      <rc t="2" v="1219"/>
    </bk>
    <bk>
      <rc t="2" v="1220"/>
    </bk>
    <bk>
      <rc t="2" v="1221"/>
    </bk>
    <bk>
      <rc t="2" v="1222"/>
    </bk>
    <bk>
      <rc t="2" v="1223"/>
    </bk>
    <bk>
      <rc t="2" v="1224"/>
    </bk>
    <bk>
      <rc t="2" v="1225"/>
    </bk>
    <bk>
      <rc t="2" v="1226"/>
    </bk>
    <bk>
      <rc t="2" v="1227"/>
    </bk>
    <bk>
      <rc t="2" v="1228"/>
    </bk>
    <bk>
      <rc t="2" v="1229"/>
    </bk>
    <bk>
      <rc t="2" v="1230"/>
    </bk>
    <bk>
      <rc t="2" v="1231"/>
    </bk>
    <bk>
      <rc t="2" v="1232"/>
    </bk>
    <bk>
      <rc t="2" v="1233"/>
    </bk>
    <bk>
      <rc t="2" v="1234"/>
    </bk>
    <bk>
      <rc t="2" v="1235"/>
    </bk>
    <bk>
      <rc t="2" v="1236"/>
    </bk>
    <bk>
      <rc t="2" v="1237"/>
    </bk>
    <bk>
      <rc t="2" v="1238"/>
    </bk>
    <bk>
      <rc t="2" v="1239"/>
    </bk>
    <bk>
      <rc t="2" v="1240"/>
    </bk>
    <bk>
      <rc t="2" v="1241"/>
    </bk>
    <bk>
      <rc t="2" v="1242"/>
    </bk>
    <bk>
      <rc t="2" v="1243"/>
    </bk>
    <bk>
      <rc t="2" v="1244"/>
    </bk>
    <bk>
      <rc t="2" v="1245"/>
    </bk>
    <bk>
      <rc t="2" v="1246"/>
    </bk>
    <bk>
      <rc t="2" v="1247"/>
    </bk>
    <bk>
      <rc t="2" v="1248"/>
    </bk>
    <bk>
      <rc t="2" v="1249"/>
    </bk>
    <bk>
      <rc t="2" v="1250"/>
    </bk>
    <bk>
      <rc t="2" v="1251"/>
    </bk>
    <bk>
      <rc t="2" v="1252"/>
    </bk>
    <bk>
      <rc t="2" v="1253"/>
    </bk>
    <bk>
      <rc t="2" v="1254"/>
    </bk>
    <bk>
      <rc t="2" v="1255"/>
    </bk>
    <bk>
      <rc t="2" v="1256"/>
    </bk>
    <bk>
      <rc t="2" v="1257"/>
    </bk>
    <bk>
      <rc t="2" v="1258"/>
    </bk>
    <bk>
      <rc t="2" v="1259"/>
    </bk>
    <bk>
      <rc t="2" v="1260"/>
    </bk>
    <bk>
      <rc t="2" v="1261"/>
    </bk>
    <bk>
      <rc t="2" v="1262"/>
    </bk>
    <bk>
      <rc t="2" v="1263"/>
    </bk>
    <bk>
      <rc t="2" v="1264"/>
    </bk>
    <bk>
      <rc t="2" v="1265"/>
    </bk>
    <bk>
      <rc t="2" v="1266"/>
    </bk>
    <bk>
      <rc t="2" v="1267"/>
    </bk>
    <bk>
      <rc t="2" v="1268"/>
    </bk>
    <bk>
      <rc t="2" v="1269"/>
    </bk>
    <bk>
      <rc t="2" v="1270"/>
    </bk>
    <bk>
      <rc t="2" v="1271"/>
    </bk>
    <bk>
      <rc t="2" v="1272"/>
    </bk>
    <bk>
      <rc t="2" v="1273"/>
    </bk>
    <bk>
      <rc t="2" v="1274"/>
    </bk>
    <bk>
      <rc t="2" v="1275"/>
    </bk>
    <bk>
      <rc t="2" v="1276"/>
    </bk>
    <bk>
      <rc t="2" v="1277"/>
    </bk>
    <bk>
      <rc t="2" v="1278"/>
    </bk>
    <bk>
      <rc t="2" v="1279"/>
    </bk>
    <bk>
      <rc t="2" v="1280"/>
    </bk>
    <bk>
      <rc t="2" v="1281"/>
    </bk>
    <bk>
      <rc t="2" v="1282"/>
    </bk>
    <bk>
      <rc t="2" v="1283"/>
    </bk>
    <bk>
      <rc t="2" v="1284"/>
    </bk>
    <bk>
      <rc t="2" v="1285"/>
    </bk>
    <bk>
      <rc t="2" v="1286"/>
    </bk>
    <bk>
      <rc t="2" v="1287"/>
    </bk>
    <bk>
      <rc t="2" v="1288"/>
    </bk>
    <bk>
      <rc t="2" v="1289"/>
    </bk>
    <bk>
      <rc t="2" v="1290"/>
    </bk>
    <bk>
      <rc t="2" v="1291"/>
    </bk>
    <bk>
      <rc t="2" v="1292"/>
    </bk>
    <bk>
      <rc t="2" v="1293"/>
    </bk>
    <bk>
      <rc t="2" v="1294"/>
    </bk>
    <bk>
      <rc t="2" v="1295"/>
    </bk>
    <bk>
      <rc t="2" v="1296"/>
    </bk>
    <bk>
      <rc t="2" v="1297"/>
    </bk>
    <bk>
      <rc t="2" v="1298"/>
    </bk>
    <bk>
      <rc t="2" v="1299"/>
    </bk>
    <bk>
      <rc t="2" v="1300"/>
    </bk>
    <bk>
      <rc t="2" v="1301"/>
    </bk>
    <bk>
      <rc t="2" v="1302"/>
    </bk>
    <bk>
      <rc t="2" v="1303"/>
    </bk>
    <bk>
      <rc t="2" v="1304"/>
    </bk>
    <bk>
      <rc t="2" v="1305"/>
    </bk>
    <bk>
      <rc t="2" v="1306"/>
    </bk>
    <bk>
      <rc t="2" v="1307"/>
    </bk>
    <bk>
      <rc t="2" v="1308"/>
    </bk>
    <bk>
      <rc t="2" v="1309"/>
    </bk>
    <bk>
      <rc t="2" v="1310"/>
    </bk>
    <bk>
      <rc t="2" v="1311"/>
    </bk>
    <bk>
      <rc t="2" v="1312"/>
    </bk>
    <bk>
      <rc t="2" v="1313"/>
    </bk>
    <bk>
      <rc t="2" v="1314"/>
    </bk>
    <bk>
      <rc t="2" v="1315"/>
    </bk>
    <bk>
      <rc t="2" v="1316"/>
    </bk>
    <bk>
      <rc t="2" v="1317"/>
    </bk>
    <bk>
      <rc t="2" v="1318"/>
    </bk>
    <bk>
      <rc t="2" v="1319"/>
    </bk>
    <bk>
      <rc t="2" v="1320"/>
    </bk>
    <bk>
      <rc t="2" v="1321"/>
    </bk>
    <bk>
      <rc t="2" v="1322"/>
    </bk>
    <bk>
      <rc t="2" v="1323"/>
    </bk>
    <bk>
      <rc t="2" v="1324"/>
    </bk>
    <bk>
      <rc t="2" v="1325"/>
    </bk>
    <bk>
      <rc t="2" v="1326"/>
    </bk>
    <bk>
      <rc t="2" v="1327"/>
    </bk>
    <bk>
      <rc t="2" v="1328"/>
    </bk>
    <bk>
      <rc t="2" v="1329"/>
    </bk>
    <bk>
      <rc t="2" v="1330"/>
    </bk>
    <bk>
      <rc t="2" v="1331"/>
    </bk>
    <bk>
      <rc t="2" v="1332"/>
    </bk>
    <bk>
      <rc t="2" v="1333"/>
    </bk>
    <bk>
      <rc t="2" v="1334"/>
    </bk>
    <bk>
      <rc t="2" v="1335"/>
    </bk>
    <bk>
      <rc t="2" v="1336"/>
    </bk>
    <bk>
      <rc t="2" v="1337"/>
    </bk>
    <bk>
      <rc t="2" v="1338"/>
    </bk>
    <bk>
      <rc t="2" v="1339"/>
    </bk>
    <bk>
      <rc t="2" v="1340"/>
    </bk>
    <bk>
      <rc t="2" v="1341"/>
    </bk>
    <bk>
      <rc t="2" v="1342"/>
    </bk>
    <bk>
      <rc t="2" v="1343"/>
    </bk>
    <bk>
      <rc t="2" v="1344"/>
    </bk>
    <bk>
      <rc t="2" v="1345"/>
    </bk>
    <bk>
      <rc t="2" v="1346"/>
    </bk>
    <bk>
      <rc t="2" v="1347"/>
    </bk>
    <bk>
      <rc t="2" v="1348"/>
    </bk>
    <bk>
      <rc t="2" v="1349"/>
    </bk>
    <bk>
      <rc t="2" v="1350"/>
    </bk>
    <bk>
      <rc t="2" v="1351"/>
    </bk>
    <bk>
      <rc t="2" v="1352"/>
    </bk>
    <bk>
      <rc t="2" v="1353"/>
    </bk>
    <bk>
      <rc t="2" v="1354"/>
    </bk>
    <bk>
      <rc t="2" v="1355"/>
    </bk>
    <bk>
      <rc t="2" v="1356"/>
    </bk>
    <bk>
      <rc t="2" v="1357"/>
    </bk>
    <bk>
      <rc t="2" v="1358"/>
    </bk>
    <bk>
      <rc t="2" v="1359"/>
    </bk>
    <bk>
      <rc t="2" v="1360"/>
    </bk>
    <bk>
      <rc t="2" v="1361"/>
    </bk>
    <bk>
      <rc t="2" v="1362"/>
    </bk>
    <bk>
      <rc t="2" v="1363"/>
    </bk>
    <bk>
      <rc t="2" v="1364"/>
    </bk>
    <bk>
      <rc t="2" v="1365"/>
    </bk>
    <bk>
      <rc t="2" v="1366"/>
    </bk>
    <bk>
      <rc t="2" v="1367"/>
    </bk>
    <bk>
      <rc t="2" v="1368"/>
    </bk>
    <bk>
      <rc t="2" v="1369"/>
    </bk>
    <bk>
      <rc t="2" v="1370"/>
    </bk>
    <bk>
      <rc t="2" v="1371"/>
    </bk>
    <bk>
      <rc t="2" v="1372"/>
    </bk>
    <bk>
      <rc t="2" v="1373"/>
    </bk>
    <bk>
      <rc t="2" v="1374"/>
    </bk>
    <bk>
      <rc t="2" v="1375"/>
    </bk>
    <bk>
      <rc t="2" v="1376"/>
    </bk>
    <bk>
      <rc t="2" v="1377"/>
    </bk>
    <bk>
      <rc t="2" v="1378"/>
    </bk>
    <bk>
      <rc t="2" v="1379"/>
    </bk>
    <bk>
      <rc t="2" v="1380"/>
    </bk>
    <bk>
      <rc t="2" v="1381"/>
    </bk>
    <bk>
      <rc t="2" v="1382"/>
    </bk>
    <bk>
      <rc t="2" v="1383"/>
    </bk>
    <bk>
      <rc t="2" v="1384"/>
    </bk>
    <bk>
      <rc t="2" v="1385"/>
    </bk>
    <bk>
      <rc t="2" v="1386"/>
    </bk>
    <bk>
      <rc t="2" v="1387"/>
    </bk>
    <bk>
      <rc t="2" v="1388"/>
    </bk>
    <bk>
      <rc t="2" v="1389"/>
    </bk>
    <bk>
      <rc t="2" v="1390"/>
    </bk>
    <bk>
      <rc t="2" v="1391"/>
    </bk>
    <bk>
      <rc t="2" v="1392"/>
    </bk>
    <bk>
      <rc t="2" v="1393"/>
    </bk>
    <bk>
      <rc t="2" v="1394"/>
    </bk>
    <bk>
      <rc t="2" v="1395"/>
    </bk>
    <bk>
      <rc t="2" v="1396"/>
    </bk>
    <bk>
      <rc t="2" v="1397"/>
    </bk>
    <bk>
      <rc t="2" v="1398"/>
    </bk>
    <bk>
      <rc t="2" v="1399"/>
    </bk>
    <bk>
      <rc t="2" v="1400"/>
    </bk>
    <bk>
      <rc t="2" v="1401"/>
    </bk>
    <bk>
      <rc t="2" v="1402"/>
    </bk>
    <bk>
      <rc t="2" v="1403"/>
    </bk>
    <bk>
      <rc t="2" v="1404"/>
    </bk>
    <bk>
      <rc t="2" v="1405"/>
    </bk>
    <bk>
      <rc t="2" v="1406"/>
    </bk>
    <bk>
      <rc t="2" v="1407"/>
    </bk>
    <bk>
      <rc t="2" v="1408"/>
    </bk>
    <bk>
      <rc t="2" v="1409"/>
    </bk>
    <bk>
      <rc t="2" v="1410"/>
    </bk>
    <bk>
      <rc t="2" v="1411"/>
    </bk>
    <bk>
      <rc t="2" v="1412"/>
    </bk>
    <bk>
      <rc t="2" v="1413"/>
    </bk>
    <bk>
      <rc t="2" v="1414"/>
    </bk>
    <bk>
      <rc t="2" v="1415"/>
    </bk>
    <bk>
      <rc t="2" v="1416"/>
    </bk>
    <bk>
      <rc t="2" v="1417"/>
    </bk>
    <bk>
      <rc t="2" v="1418"/>
    </bk>
    <bk>
      <rc t="2" v="1419"/>
    </bk>
    <bk>
      <rc t="2" v="1420"/>
    </bk>
    <bk>
      <rc t="2" v="1421"/>
    </bk>
    <bk>
      <rc t="2" v="1422"/>
    </bk>
    <bk>
      <rc t="2" v="1423"/>
    </bk>
    <bk>
      <rc t="2" v="1424"/>
    </bk>
    <bk>
      <rc t="2" v="1425"/>
    </bk>
    <bk>
      <rc t="2" v="1426"/>
    </bk>
    <bk>
      <rc t="2" v="1427"/>
    </bk>
    <bk>
      <rc t="2" v="1428"/>
    </bk>
    <bk>
      <rc t="2" v="1429"/>
    </bk>
    <bk>
      <rc t="2" v="1430"/>
    </bk>
    <bk>
      <rc t="2" v="1431"/>
    </bk>
    <bk>
      <rc t="2" v="1432"/>
    </bk>
    <bk>
      <rc t="2" v="1433"/>
    </bk>
    <bk>
      <rc t="2" v="1434"/>
    </bk>
    <bk>
      <rc t="2" v="1435"/>
    </bk>
    <bk>
      <rc t="2" v="1436"/>
    </bk>
    <bk>
      <rc t="2" v="1437"/>
    </bk>
    <bk>
      <rc t="2" v="1438"/>
    </bk>
    <bk>
      <rc t="2" v="1439"/>
    </bk>
    <bk>
      <rc t="2" v="1440"/>
    </bk>
    <bk>
      <rc t="2" v="1441"/>
    </bk>
    <bk>
      <rc t="2" v="1442"/>
    </bk>
    <bk>
      <rc t="2" v="1443"/>
    </bk>
    <bk>
      <rc t="2" v="1444"/>
    </bk>
    <bk>
      <rc t="2" v="1445"/>
    </bk>
    <bk>
      <rc t="2" v="1446"/>
    </bk>
    <bk>
      <rc t="2" v="1447"/>
    </bk>
    <bk>
      <rc t="2" v="1448"/>
    </bk>
    <bk>
      <rc t="2" v="1449"/>
    </bk>
    <bk>
      <rc t="2" v="1450"/>
    </bk>
    <bk>
      <rc t="2" v="1451"/>
    </bk>
    <bk>
      <rc t="2" v="1452"/>
    </bk>
    <bk>
      <rc t="2" v="1453"/>
    </bk>
    <bk>
      <rc t="2" v="1454"/>
    </bk>
    <bk>
      <rc t="2" v="1455"/>
    </bk>
    <bk>
      <rc t="2" v="1456"/>
    </bk>
    <bk>
      <rc t="2" v="1457"/>
    </bk>
    <bk>
      <rc t="2" v="1458"/>
    </bk>
    <bk>
      <rc t="2" v="1459"/>
    </bk>
    <bk>
      <rc t="2" v="1460"/>
    </bk>
    <bk>
      <rc t="2" v="1461"/>
    </bk>
    <bk>
      <rc t="2" v="1462"/>
    </bk>
    <bk>
      <rc t="2" v="1463"/>
    </bk>
    <bk>
      <rc t="2" v="1464"/>
    </bk>
    <bk>
      <rc t="2" v="1465"/>
    </bk>
    <bk>
      <rc t="2" v="1466"/>
    </bk>
    <bk>
      <rc t="2" v="1467"/>
    </bk>
    <bk>
      <rc t="2" v="1468"/>
    </bk>
    <bk>
      <rc t="2" v="1469"/>
    </bk>
    <bk>
      <rc t="2" v="1470"/>
    </bk>
    <bk>
      <rc t="2" v="1471"/>
    </bk>
    <bk>
      <rc t="2" v="1472"/>
    </bk>
    <bk>
      <rc t="2" v="1473"/>
    </bk>
    <bk>
      <rc t="2" v="1474"/>
    </bk>
    <bk>
      <rc t="2" v="1475"/>
    </bk>
    <bk>
      <rc t="2" v="1476"/>
    </bk>
    <bk>
      <rc t="2" v="1477"/>
    </bk>
    <bk>
      <rc t="2" v="1478"/>
    </bk>
    <bk>
      <rc t="2" v="1479"/>
    </bk>
    <bk>
      <rc t="2" v="1480"/>
    </bk>
    <bk>
      <rc t="2" v="1481"/>
    </bk>
    <bk>
      <rc t="2" v="1482"/>
    </bk>
    <bk>
      <rc t="2" v="1483"/>
    </bk>
    <bk>
      <rc t="2" v="1484"/>
    </bk>
    <bk>
      <rc t="2" v="1485"/>
    </bk>
    <bk>
      <rc t="2" v="1486"/>
    </bk>
    <bk>
      <rc t="2" v="1487"/>
    </bk>
    <bk>
      <rc t="2" v="1488"/>
    </bk>
    <bk>
      <rc t="2" v="1489"/>
    </bk>
    <bk>
      <rc t="2" v="1490"/>
    </bk>
    <bk>
      <rc t="2" v="1491"/>
    </bk>
    <bk>
      <rc t="2" v="1492"/>
    </bk>
    <bk>
      <rc t="2" v="1493"/>
    </bk>
    <bk>
      <rc t="2" v="1494"/>
    </bk>
    <bk>
      <rc t="2" v="1495"/>
    </bk>
    <bk>
      <rc t="2" v="1496"/>
    </bk>
    <bk>
      <rc t="2" v="1497"/>
    </bk>
    <bk>
      <rc t="2" v="1498"/>
    </bk>
    <bk>
      <rc t="2" v="1499"/>
    </bk>
    <bk>
      <rc t="2" v="1500"/>
    </bk>
    <bk>
      <rc t="2" v="1501"/>
    </bk>
    <bk>
      <rc t="2" v="1502"/>
    </bk>
    <bk>
      <rc t="2" v="1503"/>
    </bk>
    <bk>
      <rc t="2" v="1504"/>
    </bk>
    <bk>
      <rc t="2" v="1505"/>
    </bk>
    <bk>
      <rc t="2" v="1506"/>
    </bk>
    <bk>
      <rc t="2" v="1507"/>
    </bk>
    <bk>
      <rc t="2" v="1508"/>
    </bk>
    <bk>
      <rc t="2" v="1509"/>
    </bk>
    <bk>
      <rc t="2" v="1510"/>
    </bk>
    <bk>
      <rc t="2" v="1511"/>
    </bk>
    <bk>
      <rc t="2" v="1512"/>
    </bk>
    <bk>
      <rc t="2" v="1513"/>
    </bk>
    <bk>
      <rc t="2" v="1514"/>
    </bk>
    <bk>
      <rc t="2" v="1515"/>
    </bk>
    <bk>
      <rc t="2" v="1516"/>
    </bk>
    <bk>
      <rc t="2" v="1517"/>
    </bk>
    <bk>
      <rc t="2" v="1518"/>
    </bk>
    <bk>
      <rc t="2" v="1519"/>
    </bk>
    <bk>
      <rc t="2" v="1520"/>
    </bk>
    <bk>
      <rc t="2" v="1521"/>
    </bk>
    <bk>
      <rc t="2" v="1522"/>
    </bk>
    <bk>
      <rc t="2" v="1523"/>
    </bk>
    <bk>
      <rc t="2" v="1524"/>
    </bk>
    <bk>
      <rc t="2" v="1525"/>
    </bk>
    <bk>
      <rc t="2" v="1526"/>
    </bk>
    <bk>
      <rc t="2" v="1527"/>
    </bk>
    <bk>
      <rc t="2" v="1528"/>
    </bk>
    <bk>
      <rc t="2" v="1529"/>
    </bk>
  </valueMetadata>
</metadata>
</file>

<file path=xl/sharedStrings.xml><?xml version="1.0" encoding="utf-8"?>
<sst xmlns="http://schemas.openxmlformats.org/spreadsheetml/2006/main" count="58" uniqueCount="51">
  <si>
    <t>Pr x Vol</t>
  </si>
  <si>
    <t>VWAP</t>
  </si>
  <si>
    <t>StdDev</t>
  </si>
  <si>
    <t>Plus 1 Sd</t>
  </si>
  <si>
    <t>Minus 1 Sd</t>
  </si>
  <si>
    <t>Lower</t>
  </si>
  <si>
    <t>Upper</t>
  </si>
  <si>
    <t>20d SMA</t>
  </si>
  <si>
    <t>21d Sd</t>
  </si>
  <si>
    <t>Change</t>
  </si>
  <si>
    <t>Gain</t>
  </si>
  <si>
    <t>Loss</t>
  </si>
  <si>
    <t>AvgGain</t>
  </si>
  <si>
    <t>AvgLoss</t>
  </si>
  <si>
    <t>RS</t>
  </si>
  <si>
    <t>RSI</t>
  </si>
  <si>
    <t>RSI 70</t>
  </si>
  <si>
    <t>RSI 30</t>
  </si>
  <si>
    <t>EMA 12</t>
  </si>
  <si>
    <t>EMA 26</t>
  </si>
  <si>
    <t>MACD</t>
  </si>
  <si>
    <t>Signal</t>
  </si>
  <si>
    <t>Histogram</t>
  </si>
  <si>
    <t>100d SMA</t>
  </si>
  <si>
    <t>Chart</t>
  </si>
  <si>
    <t>Columns</t>
  </si>
  <si>
    <t>Stock Data</t>
  </si>
  <si>
    <t>A,B,C</t>
  </si>
  <si>
    <t>A,B,E,G,H</t>
  </si>
  <si>
    <t>Bollinger Bands</t>
  </si>
  <si>
    <t>A,B,I,k,L</t>
  </si>
  <si>
    <t>S,T,U</t>
  </si>
  <si>
    <t>X,Y,Z</t>
  </si>
  <si>
    <t>AA</t>
  </si>
  <si>
    <t>Weekly</t>
  </si>
  <si>
    <t>Weekly Average</t>
  </si>
  <si>
    <t>Forecast</t>
  </si>
  <si>
    <t>1 Qt 2026</t>
  </si>
  <si>
    <t>Stats</t>
  </si>
  <si>
    <t>Min</t>
  </si>
  <si>
    <t>Max</t>
  </si>
  <si>
    <t>Median</t>
  </si>
  <si>
    <t>Mean</t>
  </si>
  <si>
    <t>Close</t>
  </si>
  <si>
    <t>Volume</t>
  </si>
  <si>
    <t>Week</t>
  </si>
  <si>
    <t>Average</t>
  </si>
  <si>
    <t>XL Forecast</t>
  </si>
  <si>
    <t>Calc Forecast</t>
  </si>
  <si>
    <t>Date</t>
  </si>
  <si>
    <t>Dividends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</si>
</sst>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yyyy\-mm\-dd;@"/>
    <numFmt numFmtId="165" formatCode="yyyy\-mm\-dd"/>
  </numFmts>
  <fonts count="9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2060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43" fontId="5" fillId="0" borderId="0" applyFont="0" applyFill="0" applyBorder="0" applyAlignment="0" applyProtection="0"/>
    <xf numFmtId="44" fontId="5" fillId="0" borderId="0" applyFont="0" applyFill="0" applyBorder="0" applyAlignment="0" applyProtection="0"/>
  </cellStyleXfs>
  <cellXfs count="29">
    <xf numFmtId="0" fontId="0" fillId="0" borderId="0" xfId="0"/>
    <xf numFmtId="0" fontId="2" fillId="5" borderId="0" xfId="0" applyFont="1" applyFill="1"/>
    <xf numFmtId="0" fontId="0" fillId="5" borderId="0" xfId="0" applyFill="1"/>
    <xf numFmtId="0" fontId="2" fillId="5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6" borderId="0" xfId="0" applyFill="1"/>
    <xf numFmtId="0" fontId="2" fillId="6" borderId="0" xfId="0" applyFont="1" applyFill="1" applyAlignment="1">
      <alignment horizontal="center"/>
    </xf>
    <xf numFmtId="0" fontId="2" fillId="7" borderId="0" xfId="0" applyFont="1" applyFill="1"/>
    <xf numFmtId="0" fontId="4" fillId="2" borderId="0" xfId="0" applyFont="1" applyFill="1"/>
    <xf numFmtId="0" fontId="0" fillId="3" borderId="0" xfId="0" applyFill="1"/>
    <xf numFmtId="0" fontId="0" fillId="4" borderId="0" xfId="0" applyFill="1"/>
    <xf numFmtId="0" fontId="0" fillId="8" borderId="0" xfId="0" applyFill="1"/>
    <xf numFmtId="0" fontId="0" fillId="9" borderId="0" xfId="0" applyFill="1"/>
    <xf numFmtId="43" fontId="2" fillId="4" borderId="0" xfId="1" applyFont="1" applyFill="1" applyAlignment="1">
      <alignment horizontal="center"/>
    </xf>
    <xf numFmtId="43" fontId="0" fillId="0" borderId="0" xfId="1" applyFont="1"/>
    <xf numFmtId="164" fontId="1" fillId="2" borderId="0" xfId="0" applyNumberFormat="1" applyFont="1" applyFill="1" applyAlignment="1">
      <alignment horizontal="center"/>
    </xf>
    <xf numFmtId="164" fontId="0" fillId="0" borderId="0" xfId="0" applyNumberFormat="1"/>
    <xf numFmtId="0" fontId="0" fillId="10" borderId="0" xfId="0" applyFill="1"/>
    <xf numFmtId="165" fontId="0" fillId="0" borderId="0" xfId="0" applyNumberFormat="1"/>
    <xf numFmtId="44" fontId="0" fillId="0" borderId="0" xfId="2" applyFont="1"/>
    <xf numFmtId="0" fontId="6" fillId="0" borderId="1" xfId="0" applyFont="1" applyBorder="1" applyAlignment="1">
      <alignment horizontal="center" wrapText="1"/>
    </xf>
    <xf numFmtId="14" fontId="0" fillId="0" borderId="0" xfId="0" applyNumberFormat="1"/>
    <xf numFmtId="14" fontId="7" fillId="0" borderId="1" xfId="0" applyNumberFormat="1" applyFont="1" applyBorder="1" applyAlignment="1">
      <alignment horizontal="right" wrapText="1"/>
    </xf>
    <xf numFmtId="8" fontId="7" fillId="0" borderId="1" xfId="0" applyNumberFormat="1" applyFont="1" applyBorder="1" applyAlignment="1">
      <alignment horizontal="right" wrapText="1"/>
    </xf>
    <xf numFmtId="0" fontId="8" fillId="0" borderId="1" xfId="0" applyFont="1" applyBorder="1" applyAlignment="1">
      <alignment wrapText="1"/>
    </xf>
  </cellXfs>
  <cellStyles count="3">
    <cellStyle name="Comma" xfId="1" builtinId="3"/>
    <cellStyle name="Currency" xfId="2" builtinId="4"/>
    <cellStyle name="Normal" xfId="0" builtinId="0"/>
  </cellStyles>
  <dxfs count="2">
    <dxf>
      <numFmt numFmtId="164" formatCode="yyyy\-mm\-dd;@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haredStrings" Target="sharedStrings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Array" Target="richData/rdarray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VWAP + StdDev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149.47999999999999</c:v>
                </c:pt>
                <c:pt idx="1">
                  <c:v>152.33000000000001</c:v>
                </c:pt>
                <c:pt idx="2">
                  <c:v>150.66</c:v>
                </c:pt>
                <c:pt idx="3">
                  <c:v>150.4</c:v>
                </c:pt>
                <c:pt idx="4">
                  <c:v>149.5</c:v>
                </c:pt>
                <c:pt idx="5">
                  <c:v>145.69999999999999</c:v>
                </c:pt>
                <c:pt idx="6">
                  <c:v>144.5</c:v>
                </c:pt>
                <c:pt idx="7">
                  <c:v>145.28</c:v>
                </c:pt>
                <c:pt idx="8">
                  <c:v>147.27000000000001</c:v>
                </c:pt>
                <c:pt idx="9">
                  <c:v>143.69</c:v>
                </c:pt>
                <c:pt idx="10">
                  <c:v>143.12</c:v>
                </c:pt>
                <c:pt idx="11">
                  <c:v>141.82</c:v>
                </c:pt>
                <c:pt idx="12">
                  <c:v>142.24</c:v>
                </c:pt>
                <c:pt idx="13">
                  <c:v>142.49</c:v>
                </c:pt>
                <c:pt idx="14">
                  <c:v>142.09</c:v>
                </c:pt>
                <c:pt idx="15">
                  <c:v>144.91999999999999</c:v>
                </c:pt>
                <c:pt idx="16">
                  <c:v>148.57</c:v>
                </c:pt>
                <c:pt idx="17">
                  <c:v>149.13999999999999</c:v>
                </c:pt>
                <c:pt idx="18">
                  <c:v>149.08000000000001</c:v>
                </c:pt>
                <c:pt idx="19">
                  <c:v>150.12</c:v>
                </c:pt>
                <c:pt idx="20">
                  <c:v>147.43</c:v>
                </c:pt>
                <c:pt idx="21">
                  <c:v>147.88999999999999</c:v>
                </c:pt>
                <c:pt idx="22">
                  <c:v>152.24</c:v>
                </c:pt>
                <c:pt idx="23">
                  <c:v>152.33000000000001</c:v>
                </c:pt>
                <c:pt idx="24">
                  <c:v>152.35</c:v>
                </c:pt>
                <c:pt idx="25">
                  <c:v>152.13</c:v>
                </c:pt>
                <c:pt idx="26">
                  <c:v>154.06</c:v>
                </c:pt>
                <c:pt idx="27">
                  <c:v>151.04</c:v>
                </c:pt>
                <c:pt idx="28">
                  <c:v>152.08000000000001</c:v>
                </c:pt>
                <c:pt idx="29">
                  <c:v>150.6</c:v>
                </c:pt>
                <c:pt idx="30">
                  <c:v>151.01</c:v>
                </c:pt>
                <c:pt idx="31">
                  <c:v>154.46</c:v>
                </c:pt>
                <c:pt idx="32">
                  <c:v>154.63</c:v>
                </c:pt>
                <c:pt idx="33">
                  <c:v>154</c:v>
                </c:pt>
                <c:pt idx="34">
                  <c:v>155.44</c:v>
                </c:pt>
                <c:pt idx="35">
                  <c:v>155.43</c:v>
                </c:pt>
                <c:pt idx="36">
                  <c:v>154.66</c:v>
                </c:pt>
                <c:pt idx="37">
                  <c:v>154.44999999999999</c:v>
                </c:pt>
                <c:pt idx="38">
                  <c:v>152.16</c:v>
                </c:pt>
                <c:pt idx="39">
                  <c:v>152.34</c:v>
                </c:pt>
                <c:pt idx="40">
                  <c:v>152.01</c:v>
                </c:pt>
                <c:pt idx="41">
                  <c:v>152.81</c:v>
                </c:pt>
                <c:pt idx="42">
                  <c:v>148.88</c:v>
                </c:pt>
                <c:pt idx="43">
                  <c:v>149.59</c:v>
                </c:pt>
                <c:pt idx="44">
                  <c:v>148.33000000000001</c:v>
                </c:pt>
                <c:pt idx="45">
                  <c:v>149.37</c:v>
                </c:pt>
                <c:pt idx="46">
                  <c:v>149.88</c:v>
                </c:pt>
                <c:pt idx="47">
                  <c:v>152</c:v>
                </c:pt>
                <c:pt idx="48">
                  <c:v>151.88999999999999</c:v>
                </c:pt>
                <c:pt idx="49">
                  <c:v>153.88999999999999</c:v>
                </c:pt>
                <c:pt idx="50">
                  <c:v>155.69999999999999</c:v>
                </c:pt>
                <c:pt idx="51">
                  <c:v>155.55000000000001</c:v>
                </c:pt>
                <c:pt idx="52">
                  <c:v>155.41</c:v>
                </c:pt>
                <c:pt idx="53">
                  <c:v>156.62</c:v>
                </c:pt>
                <c:pt idx="54">
                  <c:v>154.55000000000001</c:v>
                </c:pt>
                <c:pt idx="55">
                  <c:v>154.86000000000001</c:v>
                </c:pt>
                <c:pt idx="56">
                  <c:v>154.66</c:v>
                </c:pt>
                <c:pt idx="57">
                  <c:v>156.47</c:v>
                </c:pt>
                <c:pt idx="58">
                  <c:v>155.27000000000001</c:v>
                </c:pt>
                <c:pt idx="59">
                  <c:v>156.35</c:v>
                </c:pt>
                <c:pt idx="60">
                  <c:v>157.74</c:v>
                </c:pt>
                <c:pt idx="61">
                  <c:v>159.08000000000001</c:v>
                </c:pt>
                <c:pt idx="62">
                  <c:v>159.78</c:v>
                </c:pt>
                <c:pt idx="63">
                  <c:v>160.44</c:v>
                </c:pt>
                <c:pt idx="64">
                  <c:v>160.69</c:v>
                </c:pt>
                <c:pt idx="65">
                  <c:v>161.6</c:v>
                </c:pt>
                <c:pt idx="66">
                  <c:v>161.27000000000001</c:v>
                </c:pt>
                <c:pt idx="67">
                  <c:v>162</c:v>
                </c:pt>
                <c:pt idx="68">
                  <c:v>162.66999999999999</c:v>
                </c:pt>
                <c:pt idx="69">
                  <c:v>161.88999999999999</c:v>
                </c:pt>
                <c:pt idx="70">
                  <c:v>158.96</c:v>
                </c:pt>
                <c:pt idx="71">
                  <c:v>157.59</c:v>
                </c:pt>
                <c:pt idx="72">
                  <c:v>156.28</c:v>
                </c:pt>
                <c:pt idx="73">
                  <c:v>156.4</c:v>
                </c:pt>
                <c:pt idx="74">
                  <c:v>157.57</c:v>
                </c:pt>
                <c:pt idx="75">
                  <c:v>160</c:v>
                </c:pt>
                <c:pt idx="76">
                  <c:v>161.91999999999999</c:v>
                </c:pt>
                <c:pt idx="77">
                  <c:v>162.85</c:v>
                </c:pt>
                <c:pt idx="78">
                  <c:v>163.57</c:v>
                </c:pt>
                <c:pt idx="79">
                  <c:v>165.28</c:v>
                </c:pt>
                <c:pt idx="80">
                  <c:v>165.89</c:v>
                </c:pt>
                <c:pt idx="81">
                  <c:v>166.33</c:v>
                </c:pt>
                <c:pt idx="82">
                  <c:v>161.27000000000001</c:v>
                </c:pt>
                <c:pt idx="83">
                  <c:v>159.63</c:v>
                </c:pt>
                <c:pt idx="84">
                  <c:v>160.72999999999999</c:v>
                </c:pt>
                <c:pt idx="85">
                  <c:v>160.25</c:v>
                </c:pt>
                <c:pt idx="86">
                  <c:v>162.30000000000001</c:v>
                </c:pt>
                <c:pt idx="87">
                  <c:v>162.66999999999999</c:v>
                </c:pt>
                <c:pt idx="88">
                  <c:v>162.54</c:v>
                </c:pt>
                <c:pt idx="89">
                  <c:v>165.45</c:v>
                </c:pt>
                <c:pt idx="90">
                  <c:v>165.82</c:v>
                </c:pt>
                <c:pt idx="91">
                  <c:v>164.53</c:v>
                </c:pt>
                <c:pt idx="92">
                  <c:v>163.61000000000001</c:v>
                </c:pt>
                <c:pt idx="93">
                  <c:v>163.05000000000001</c:v>
                </c:pt>
                <c:pt idx="94">
                  <c:v>161.09</c:v>
                </c:pt>
                <c:pt idx="95">
                  <c:v>162.66999999999999</c:v>
                </c:pt>
                <c:pt idx="96">
                  <c:v>161.13999999999999</c:v>
                </c:pt>
                <c:pt idx="97">
                  <c:v>159.97</c:v>
                </c:pt>
                <c:pt idx="98">
                  <c:v>157.57</c:v>
                </c:pt>
                <c:pt idx="99">
                  <c:v>156.94</c:v>
                </c:pt>
                <c:pt idx="100">
                  <c:v>157.75</c:v>
                </c:pt>
                <c:pt idx="101">
                  <c:v>159.04</c:v>
                </c:pt>
                <c:pt idx="102">
                  <c:v>156.9</c:v>
                </c:pt>
                <c:pt idx="103">
                  <c:v>158.26</c:v>
                </c:pt>
                <c:pt idx="104">
                  <c:v>162.30000000000001</c:v>
                </c:pt>
                <c:pt idx="105">
                  <c:v>157.46</c:v>
                </c:pt>
                <c:pt idx="106">
                  <c:v>156.13</c:v>
                </c:pt>
                <c:pt idx="107">
                  <c:v>154.97999999999999</c:v>
                </c:pt>
                <c:pt idx="108">
                  <c:v>155.93</c:v>
                </c:pt>
                <c:pt idx="109">
                  <c:v>156.08000000000001</c:v>
                </c:pt>
                <c:pt idx="110">
                  <c:v>156.74</c:v>
                </c:pt>
                <c:pt idx="111">
                  <c:v>156.49</c:v>
                </c:pt>
                <c:pt idx="112">
                  <c:v>154.22</c:v>
                </c:pt>
                <c:pt idx="113">
                  <c:v>152.84</c:v>
                </c:pt>
                <c:pt idx="114">
                  <c:v>152.57</c:v>
                </c:pt>
                <c:pt idx="115">
                  <c:v>153.19</c:v>
                </c:pt>
                <c:pt idx="116">
                  <c:v>153.33000000000001</c:v>
                </c:pt>
                <c:pt idx="117">
                  <c:v>156.63999999999999</c:v>
                </c:pt>
                <c:pt idx="118">
                  <c:v>155.28</c:v>
                </c:pt>
                <c:pt idx="119">
                  <c:v>159.31</c:v>
                </c:pt>
                <c:pt idx="120">
                  <c:v>158.46</c:v>
                </c:pt>
                <c:pt idx="121">
                  <c:v>155.94999999999999</c:v>
                </c:pt>
                <c:pt idx="122">
                  <c:v>156.32</c:v>
                </c:pt>
                <c:pt idx="123">
                  <c:v>156.41999999999999</c:v>
                </c:pt>
                <c:pt idx="124">
                  <c:v>156.52000000000001</c:v>
                </c:pt>
                <c:pt idx="125">
                  <c:v>156.75</c:v>
                </c:pt>
                <c:pt idx="126">
                  <c:v>156.71</c:v>
                </c:pt>
                <c:pt idx="127">
                  <c:v>154.31</c:v>
                </c:pt>
                <c:pt idx="128">
                  <c:v>154.33000000000001</c:v>
                </c:pt>
                <c:pt idx="129">
                  <c:v>152.97999999999999</c:v>
                </c:pt>
                <c:pt idx="130">
                  <c:v>155.13</c:v>
                </c:pt>
                <c:pt idx="131">
                  <c:v>155.26</c:v>
                </c:pt>
                <c:pt idx="132">
                  <c:v>155.59</c:v>
                </c:pt>
                <c:pt idx="133">
                  <c:v>158.04</c:v>
                </c:pt>
                <c:pt idx="134">
                  <c:v>157.77000000000001</c:v>
                </c:pt>
                <c:pt idx="135">
                  <c:v>161.22999999999999</c:v>
                </c:pt>
                <c:pt idx="136">
                  <c:v>161.97</c:v>
                </c:pt>
                <c:pt idx="137">
                  <c:v>159.15</c:v>
                </c:pt>
                <c:pt idx="138">
                  <c:v>156.99</c:v>
                </c:pt>
                <c:pt idx="139">
                  <c:v>154.09</c:v>
                </c:pt>
                <c:pt idx="140">
                  <c:v>155.07</c:v>
                </c:pt>
                <c:pt idx="141">
                  <c:v>157.54</c:v>
                </c:pt>
                <c:pt idx="142">
                  <c:v>157.84</c:v>
                </c:pt>
                <c:pt idx="143">
                  <c:v>156.6</c:v>
                </c:pt>
                <c:pt idx="144">
                  <c:v>159.57</c:v>
                </c:pt>
                <c:pt idx="145">
                  <c:v>160.47</c:v>
                </c:pt>
                <c:pt idx="146">
                  <c:v>152.62</c:v>
                </c:pt>
                <c:pt idx="147">
                  <c:v>148.55000000000001</c:v>
                </c:pt>
                <c:pt idx="148">
                  <c:v>144.66</c:v>
                </c:pt>
                <c:pt idx="149">
                  <c:v>143.22999999999999</c:v>
                </c:pt>
                <c:pt idx="150">
                  <c:v>142.41</c:v>
                </c:pt>
                <c:pt idx="151">
                  <c:v>144.49</c:v>
                </c:pt>
                <c:pt idx="152">
                  <c:v>144.99</c:v>
                </c:pt>
                <c:pt idx="153">
                  <c:v>145.02000000000001</c:v>
                </c:pt>
                <c:pt idx="154">
                  <c:v>144.15</c:v>
                </c:pt>
                <c:pt idx="155">
                  <c:v>144.66999999999999</c:v>
                </c:pt>
                <c:pt idx="156">
                  <c:v>146.80000000000001</c:v>
                </c:pt>
                <c:pt idx="157">
                  <c:v>147.27000000000001</c:v>
                </c:pt>
                <c:pt idx="158">
                  <c:v>146.83000000000001</c:v>
                </c:pt>
                <c:pt idx="159">
                  <c:v>144.69</c:v>
                </c:pt>
                <c:pt idx="160">
                  <c:v>145.32</c:v>
                </c:pt>
                <c:pt idx="161">
                  <c:v>145.72999999999999</c:v>
                </c:pt>
                <c:pt idx="162">
                  <c:v>147.62</c:v>
                </c:pt>
                <c:pt idx="163">
                  <c:v>148.5</c:v>
                </c:pt>
                <c:pt idx="164">
                  <c:v>146.94999999999999</c:v>
                </c:pt>
                <c:pt idx="165">
                  <c:v>146</c:v>
                </c:pt>
                <c:pt idx="166">
                  <c:v>147.41999999999999</c:v>
                </c:pt>
                <c:pt idx="167">
                  <c:v>147.94999999999999</c:v>
                </c:pt>
                <c:pt idx="168">
                  <c:v>144.66</c:v>
                </c:pt>
                <c:pt idx="169">
                  <c:v>142.07</c:v>
                </c:pt>
                <c:pt idx="170">
                  <c:v>140.93</c:v>
                </c:pt>
                <c:pt idx="171">
                  <c:v>138.56</c:v>
                </c:pt>
                <c:pt idx="172">
                  <c:v>140.30000000000001</c:v>
                </c:pt>
                <c:pt idx="173">
                  <c:v>138.22999999999999</c:v>
                </c:pt>
                <c:pt idx="174">
                  <c:v>137.88</c:v>
                </c:pt>
                <c:pt idx="175">
                  <c:v>139.21</c:v>
                </c:pt>
                <c:pt idx="176">
                  <c:v>140.61000000000001</c:v>
                </c:pt>
                <c:pt idx="177">
                  <c:v>142.09</c:v>
                </c:pt>
                <c:pt idx="178">
                  <c:v>143.41</c:v>
                </c:pt>
                <c:pt idx="179">
                  <c:v>143.96</c:v>
                </c:pt>
                <c:pt idx="180">
                  <c:v>144.99</c:v>
                </c:pt>
                <c:pt idx="181">
                  <c:v>145.68</c:v>
                </c:pt>
                <c:pt idx="182">
                  <c:v>147.54</c:v>
                </c:pt>
                <c:pt idx="183">
                  <c:v>147.44999999999999</c:v>
                </c:pt>
                <c:pt idx="184">
                  <c:v>143.97</c:v>
                </c:pt>
                <c:pt idx="185">
                  <c:v>141.99</c:v>
                </c:pt>
                <c:pt idx="186">
                  <c:v>145.49</c:v>
                </c:pt>
                <c:pt idx="187">
                  <c:v>147.27000000000001</c:v>
                </c:pt>
                <c:pt idx="188">
                  <c:v>149.69999999999999</c:v>
                </c:pt>
                <c:pt idx="189">
                  <c:v>150.94999999999999</c:v>
                </c:pt>
                <c:pt idx="190">
                  <c:v>151.25</c:v>
                </c:pt>
                <c:pt idx="191">
                  <c:v>150.74</c:v>
                </c:pt>
                <c:pt idx="192">
                  <c:v>151.12</c:v>
                </c:pt>
                <c:pt idx="193">
                  <c:v>148.75</c:v>
                </c:pt>
                <c:pt idx="194">
                  <c:v>149.65</c:v>
                </c:pt>
                <c:pt idx="195">
                  <c:v>150.62</c:v>
                </c:pt>
                <c:pt idx="196">
                  <c:v>151.41999999999999</c:v>
                </c:pt>
                <c:pt idx="197">
                  <c:v>151.78</c:v>
                </c:pt>
                <c:pt idx="198">
                  <c:v>147.72999999999999</c:v>
                </c:pt>
                <c:pt idx="199">
                  <c:v>148.72999999999999</c:v>
                </c:pt>
                <c:pt idx="200">
                  <c:v>151.19999999999999</c:v>
                </c:pt>
                <c:pt idx="201">
                  <c:v>150.75</c:v>
                </c:pt>
                <c:pt idx="202">
                  <c:v>150.88</c:v>
                </c:pt>
                <c:pt idx="203">
                  <c:v>150.91999999999999</c:v>
                </c:pt>
                <c:pt idx="204">
                  <c:v>150.47999999999999</c:v>
                </c:pt>
                <c:pt idx="205">
                  <c:v>150.44999999999999</c:v>
                </c:pt>
                <c:pt idx="206">
                  <c:v>150.81</c:v>
                </c:pt>
                <c:pt idx="207">
                  <c:v>150.54</c:v>
                </c:pt>
                <c:pt idx="208">
                  <c:v>148.52000000000001</c:v>
                </c:pt>
                <c:pt idx="209">
                  <c:v>148.05000000000001</c:v>
                </c:pt>
                <c:pt idx="210">
                  <c:v>148.82</c:v>
                </c:pt>
                <c:pt idx="211">
                  <c:v>153.07</c:v>
                </c:pt>
                <c:pt idx="212">
                  <c:v>153.97</c:v>
                </c:pt>
                <c:pt idx="213">
                  <c:v>153.41</c:v>
                </c:pt>
                <c:pt idx="214">
                  <c:v>157.72</c:v>
                </c:pt>
                <c:pt idx="215">
                  <c:v>156.77000000000001</c:v>
                </c:pt>
                <c:pt idx="216">
                  <c:v>156.93</c:v>
                </c:pt>
                <c:pt idx="217">
                  <c:v>156.5</c:v>
                </c:pt>
                <c:pt idx="218">
                  <c:v>155.29</c:v>
                </c:pt>
                <c:pt idx="219">
                  <c:v>158.72</c:v>
                </c:pt>
                <c:pt idx="220">
                  <c:v>161.80000000000001</c:v>
                </c:pt>
                <c:pt idx="221">
                  <c:v>161.41999999999999</c:v>
                </c:pt>
                <c:pt idx="222">
                  <c:v>160.76</c:v>
                </c:pt>
                <c:pt idx="223">
                  <c:v>159.6</c:v>
                </c:pt>
                <c:pt idx="224">
                  <c:v>161.33000000000001</c:v>
                </c:pt>
                <c:pt idx="225">
                  <c:v>161.63</c:v>
                </c:pt>
                <c:pt idx="226">
                  <c:v>162.36000000000001</c:v>
                </c:pt>
                <c:pt idx="227">
                  <c:v>160.36000000000001</c:v>
                </c:pt>
                <c:pt idx="228">
                  <c:v>162.53</c:v>
                </c:pt>
                <c:pt idx="229">
                  <c:v>162.11000000000001</c:v>
                </c:pt>
                <c:pt idx="230">
                  <c:v>161.93</c:v>
                </c:pt>
                <c:pt idx="231">
                  <c:v>162.21</c:v>
                </c:pt>
                <c:pt idx="232">
                  <c:v>161.91999999999999</c:v>
                </c:pt>
                <c:pt idx="233">
                  <c:v>158.32</c:v>
                </c:pt>
                <c:pt idx="234">
                  <c:v>159.33000000000001</c:v>
                </c:pt>
                <c:pt idx="235">
                  <c:v>155.24</c:v>
                </c:pt>
                <c:pt idx="236">
                  <c:v>157.08000000000001</c:v>
                </c:pt>
                <c:pt idx="237">
                  <c:v>157</c:v>
                </c:pt>
                <c:pt idx="238">
                  <c:v>156.21</c:v>
                </c:pt>
                <c:pt idx="239">
                  <c:v>154.71</c:v>
                </c:pt>
                <c:pt idx="240">
                  <c:v>153.87</c:v>
                </c:pt>
                <c:pt idx="241">
                  <c:v>149.36000000000001</c:v>
                </c:pt>
                <c:pt idx="242">
                  <c:v>148.11000000000001</c:v>
                </c:pt>
                <c:pt idx="243">
                  <c:v>144.08000000000001</c:v>
                </c:pt>
                <c:pt idx="244">
                  <c:v>141.15</c:v>
                </c:pt>
                <c:pt idx="245">
                  <c:v>142.85</c:v>
                </c:pt>
                <c:pt idx="246">
                  <c:v>142.97</c:v>
                </c:pt>
                <c:pt idx="247">
                  <c:v>143.84</c:v>
                </c:pt>
                <c:pt idx="248">
                  <c:v>143.97999999999999</c:v>
                </c:pt>
                <c:pt idx="249">
                  <c:v>144</c:v>
                </c:pt>
                <c:pt idx="250">
                  <c:v>143.07</c:v>
                </c:pt>
                <c:pt idx="251">
                  <c:v>144.84</c:v>
                </c:pt>
                <c:pt idx="252">
                  <c:v>146.71</c:v>
                </c:pt>
                <c:pt idx="253">
                  <c:v>147.85</c:v>
                </c:pt>
                <c:pt idx="254">
                  <c:v>147.26</c:v>
                </c:pt>
                <c:pt idx="255">
                  <c:v>149.59</c:v>
                </c:pt>
                <c:pt idx="256">
                  <c:v>150.30000000000001</c:v>
                </c:pt>
                <c:pt idx="257">
                  <c:v>153.13999999999999</c:v>
                </c:pt>
                <c:pt idx="258">
                  <c:v>155.35</c:v>
                </c:pt>
                <c:pt idx="259">
                  <c:v>156.9</c:v>
                </c:pt>
                <c:pt idx="260">
                  <c:v>158.33000000000001</c:v>
                </c:pt>
                <c:pt idx="261">
                  <c:v>159.38</c:v>
                </c:pt>
                <c:pt idx="262">
                  <c:v>161.47</c:v>
                </c:pt>
                <c:pt idx="263">
                  <c:v>158.24</c:v>
                </c:pt>
                <c:pt idx="264">
                  <c:v>156.41</c:v>
                </c:pt>
                <c:pt idx="265">
                  <c:v>156.01</c:v>
                </c:pt>
                <c:pt idx="266">
                  <c:v>155.65</c:v>
                </c:pt>
                <c:pt idx="267">
                  <c:v>157.22999999999999</c:v>
                </c:pt>
                <c:pt idx="268">
                  <c:v>156.21</c:v>
                </c:pt>
                <c:pt idx="269">
                  <c:v>155.69</c:v>
                </c:pt>
                <c:pt idx="270">
                  <c:v>156.32</c:v>
                </c:pt>
                <c:pt idx="271">
                  <c:v>149.19</c:v>
                </c:pt>
                <c:pt idx="272">
                  <c:v>149.34</c:v>
                </c:pt>
                <c:pt idx="273">
                  <c:v>153.22</c:v>
                </c:pt>
                <c:pt idx="274">
                  <c:v>152.99</c:v>
                </c:pt>
                <c:pt idx="275">
                  <c:v>151.9</c:v>
                </c:pt>
                <c:pt idx="276">
                  <c:v>152.62</c:v>
                </c:pt>
                <c:pt idx="277">
                  <c:v>155.77000000000001</c:v>
                </c:pt>
                <c:pt idx="278">
                  <c:v>157.44</c:v>
                </c:pt>
                <c:pt idx="279">
                  <c:v>154.9</c:v>
                </c:pt>
                <c:pt idx="280">
                  <c:v>155.88</c:v>
                </c:pt>
                <c:pt idx="281">
                  <c:v>155.34</c:v>
                </c:pt>
                <c:pt idx="282">
                  <c:v>156.16</c:v>
                </c:pt>
                <c:pt idx="283">
                  <c:v>157.22999999999999</c:v>
                </c:pt>
                <c:pt idx="284">
                  <c:v>158.79</c:v>
                </c:pt>
                <c:pt idx="285">
                  <c:v>156.91999999999999</c:v>
                </c:pt>
                <c:pt idx="286">
                  <c:v>157.88999999999999</c:v>
                </c:pt>
                <c:pt idx="287">
                  <c:v>156.41999999999999</c:v>
                </c:pt>
                <c:pt idx="288">
                  <c:v>155.13999999999999</c:v>
                </c:pt>
                <c:pt idx="289">
                  <c:v>156.66999999999999</c:v>
                </c:pt>
                <c:pt idx="290">
                  <c:v>158.62</c:v>
                </c:pt>
                <c:pt idx="291">
                  <c:v>153.09</c:v>
                </c:pt>
                <c:pt idx="292">
                  <c:v>152</c:v>
                </c:pt>
                <c:pt idx="293">
                  <c:v>150.81</c:v>
                </c:pt>
                <c:pt idx="294">
                  <c:v>152.94999999999999</c:v>
                </c:pt>
                <c:pt idx="295">
                  <c:v>156.34</c:v>
                </c:pt>
                <c:pt idx="296">
                  <c:v>157.57</c:v>
                </c:pt>
                <c:pt idx="297">
                  <c:v>154.08000000000001</c:v>
                </c:pt>
                <c:pt idx="298">
                  <c:v>152.66999999999999</c:v>
                </c:pt>
                <c:pt idx="299">
                  <c:v>153.61000000000001</c:v>
                </c:pt>
                <c:pt idx="300">
                  <c:v>157.02000000000001</c:v>
                </c:pt>
                <c:pt idx="301">
                  <c:v>158.72</c:v>
                </c:pt>
                <c:pt idx="302">
                  <c:v>160.81</c:v>
                </c:pt>
                <c:pt idx="303">
                  <c:v>164.05</c:v>
                </c:pt>
                <c:pt idx="304">
                  <c:v>164.77</c:v>
                </c:pt>
                <c:pt idx="305">
                  <c:v>164.75</c:v>
                </c:pt>
                <c:pt idx="306">
                  <c:v>165.02</c:v>
                </c:pt>
                <c:pt idx="307">
                  <c:v>165.94</c:v>
                </c:pt>
                <c:pt idx="308">
                  <c:v>167.97</c:v>
                </c:pt>
                <c:pt idx="309">
                  <c:v>166.65</c:v>
                </c:pt>
                <c:pt idx="310">
                  <c:v>166.09</c:v>
                </c:pt>
                <c:pt idx="311">
                  <c:v>167.29</c:v>
                </c:pt>
                <c:pt idx="312">
                  <c:v>168.51</c:v>
                </c:pt>
                <c:pt idx="313">
                  <c:v>166.47</c:v>
                </c:pt>
                <c:pt idx="314">
                  <c:v>156.12</c:v>
                </c:pt>
                <c:pt idx="315">
                  <c:v>143.28</c:v>
                </c:pt>
                <c:pt idx="316">
                  <c:v>140.15</c:v>
                </c:pt>
                <c:pt idx="317">
                  <c:v>136.93</c:v>
                </c:pt>
                <c:pt idx="318">
                  <c:v>146.03</c:v>
                </c:pt>
                <c:pt idx="319">
                  <c:v>134.97999999999999</c:v>
                </c:pt>
                <c:pt idx="320">
                  <c:v>135.63</c:v>
                </c:pt>
                <c:pt idx="321">
                  <c:v>135.32</c:v>
                </c:pt>
                <c:pt idx="322">
                  <c:v>134.54</c:v>
                </c:pt>
                <c:pt idx="323">
                  <c:v>135.36000000000001</c:v>
                </c:pt>
                <c:pt idx="324">
                  <c:v>137.87</c:v>
                </c:pt>
                <c:pt idx="325">
                  <c:v>133.72999999999999</c:v>
                </c:pt>
                <c:pt idx="326">
                  <c:v>137.30000000000001</c:v>
                </c:pt>
                <c:pt idx="327">
                  <c:v>136.68</c:v>
                </c:pt>
                <c:pt idx="328">
                  <c:v>139.07</c:v>
                </c:pt>
                <c:pt idx="329">
                  <c:v>138.72999999999999</c:v>
                </c:pt>
                <c:pt idx="330">
                  <c:v>140.1</c:v>
                </c:pt>
                <c:pt idx="331">
                  <c:v>139.30000000000001</c:v>
                </c:pt>
                <c:pt idx="332">
                  <c:v>136.06</c:v>
                </c:pt>
                <c:pt idx="333">
                  <c:v>136.26</c:v>
                </c:pt>
                <c:pt idx="334">
                  <c:v>138.5</c:v>
                </c:pt>
                <c:pt idx="335">
                  <c:v>135.5</c:v>
                </c:pt>
                <c:pt idx="336">
                  <c:v>135.6</c:v>
                </c:pt>
                <c:pt idx="337">
                  <c:v>135.79</c:v>
                </c:pt>
                <c:pt idx="338">
                  <c:v>137.04</c:v>
                </c:pt>
                <c:pt idx="339">
                  <c:v>138.49</c:v>
                </c:pt>
                <c:pt idx="340">
                  <c:v>141.62</c:v>
                </c:pt>
                <c:pt idx="341">
                  <c:v>142.35</c:v>
                </c:pt>
                <c:pt idx="342">
                  <c:v>141.66999999999999</c:v>
                </c:pt>
                <c:pt idx="343">
                  <c:v>142.26</c:v>
                </c:pt>
                <c:pt idx="344">
                  <c:v>142.1</c:v>
                </c:pt>
                <c:pt idx="345">
                  <c:v>138.49</c:v>
                </c:pt>
                <c:pt idx="346">
                  <c:v>137.27000000000001</c:v>
                </c:pt>
                <c:pt idx="347">
                  <c:v>135.56</c:v>
                </c:pt>
                <c:pt idx="348">
                  <c:v>135.29</c:v>
                </c:pt>
                <c:pt idx="349">
                  <c:v>136.54</c:v>
                </c:pt>
                <c:pt idx="350">
                  <c:v>137.83000000000001</c:v>
                </c:pt>
                <c:pt idx="351">
                  <c:v>136.02000000000001</c:v>
                </c:pt>
                <c:pt idx="352">
                  <c:v>137.91</c:v>
                </c:pt>
                <c:pt idx="353">
                  <c:v>136.69999999999999</c:v>
                </c:pt>
                <c:pt idx="354">
                  <c:v>137.84</c:v>
                </c:pt>
                <c:pt idx="355">
                  <c:v>139.55000000000001</c:v>
                </c:pt>
                <c:pt idx="356">
                  <c:v>137.37</c:v>
                </c:pt>
                <c:pt idx="357">
                  <c:v>136.9</c:v>
                </c:pt>
                <c:pt idx="358">
                  <c:v>140.21</c:v>
                </c:pt>
                <c:pt idx="359">
                  <c:v>140.76</c:v>
                </c:pt>
                <c:pt idx="360">
                  <c:v>143.35</c:v>
                </c:pt>
                <c:pt idx="361">
                  <c:v>144.78</c:v>
                </c:pt>
                <c:pt idx="362">
                  <c:v>144.97</c:v>
                </c:pt>
                <c:pt idx="363">
                  <c:v>145.91</c:v>
                </c:pt>
                <c:pt idx="364">
                  <c:v>146.03</c:v>
                </c:pt>
                <c:pt idx="365">
                  <c:v>148.85</c:v>
                </c:pt>
                <c:pt idx="366">
                  <c:v>148.19</c:v>
                </c:pt>
                <c:pt idx="367">
                  <c:v>149.55000000000001</c:v>
                </c:pt>
                <c:pt idx="368">
                  <c:v>146.86000000000001</c:v>
                </c:pt>
                <c:pt idx="369">
                  <c:v>143.55000000000001</c:v>
                </c:pt>
                <c:pt idx="370">
                  <c:v>143.22999999999999</c:v>
                </c:pt>
                <c:pt idx="371">
                  <c:v>144.44</c:v>
                </c:pt>
                <c:pt idx="372">
                  <c:v>143.79</c:v>
                </c:pt>
                <c:pt idx="373">
                  <c:v>143.19</c:v>
                </c:pt>
                <c:pt idx="374">
                  <c:v>145.57</c:v>
                </c:pt>
                <c:pt idx="375">
                  <c:v>147.97999999999999</c:v>
                </c:pt>
                <c:pt idx="376">
                  <c:v>148.37</c:v>
                </c:pt>
                <c:pt idx="377">
                  <c:v>147.4</c:v>
                </c:pt>
                <c:pt idx="378">
                  <c:v>153.24</c:v>
                </c:pt>
                <c:pt idx="379">
                  <c:v>153.02000000000001</c:v>
                </c:pt>
                <c:pt idx="380">
                  <c:v>154.16999999999999</c:v>
                </c:pt>
                <c:pt idx="381">
                  <c:v>155.31</c:v>
                </c:pt>
                <c:pt idx="382">
                  <c:v>151.65</c:v>
                </c:pt>
                <c:pt idx="383">
                  <c:v>150.69</c:v>
                </c:pt>
                <c:pt idx="384">
                  <c:v>149.91999999999999</c:v>
                </c:pt>
                <c:pt idx="385">
                  <c:v>151.38</c:v>
                </c:pt>
                <c:pt idx="386">
                  <c:v>150.04</c:v>
                </c:pt>
                <c:pt idx="387">
                  <c:v>149.68</c:v>
                </c:pt>
                <c:pt idx="388">
                  <c:v>150.04</c:v>
                </c:pt>
                <c:pt idx="389">
                  <c:v>153.12</c:v>
                </c:pt>
                <c:pt idx="390">
                  <c:v>155.83000000000001</c:v>
                </c:pt>
                <c:pt idx="391">
                  <c:v>154.84</c:v>
                </c:pt>
                <c:pt idx="392">
                  <c:v>156.28</c:v>
                </c:pt>
                <c:pt idx="393">
                  <c:v>157.03</c:v>
                </c:pt>
                <c:pt idx="394">
                  <c:v>153.56</c:v>
                </c:pt>
                <c:pt idx="395">
                  <c:v>151.63999999999999</c:v>
                </c:pt>
                <c:pt idx="396">
                  <c:v>151.4</c:v>
                </c:pt>
                <c:pt idx="397">
                  <c:v>151.04</c:v>
                </c:pt>
                <c:pt idx="398">
                  <c:v>153.04</c:v>
                </c:pt>
                <c:pt idx="399">
                  <c:v>152.78</c:v>
                </c:pt>
                <c:pt idx="400">
                  <c:v>153.16</c:v>
                </c:pt>
                <c:pt idx="401">
                  <c:v>155.01</c:v>
                </c:pt>
                <c:pt idx="402">
                  <c:v>153.44999999999999</c:v>
                </c:pt>
                <c:pt idx="403">
                  <c:v>154.44</c:v>
                </c:pt>
                <c:pt idx="404">
                  <c:v>155.87</c:v>
                </c:pt>
                <c:pt idx="405">
                  <c:v>155.16</c:v>
                </c:pt>
                <c:pt idx="406">
                  <c:v>156.55000000000001</c:v>
                </c:pt>
                <c:pt idx="407">
                  <c:v>155.32</c:v>
                </c:pt>
                <c:pt idx="408">
                  <c:v>152</c:v>
                </c:pt>
                <c:pt idx="409">
                  <c:v>153.22</c:v>
                </c:pt>
                <c:pt idx="410">
                  <c:v>155.55000000000001</c:v>
                </c:pt>
                <c:pt idx="411">
                  <c:v>158.18</c:v>
                </c:pt>
                <c:pt idx="412">
                  <c:v>158.19999999999999</c:v>
                </c:pt>
                <c:pt idx="413">
                  <c:v>157.36000000000001</c:v>
                </c:pt>
                <c:pt idx="414">
                  <c:v>159.24</c:v>
                </c:pt>
                <c:pt idx="415">
                  <c:v>159.32</c:v>
                </c:pt>
                <c:pt idx="416">
                  <c:v>160.6</c:v>
                </c:pt>
                <c:pt idx="417">
                  <c:v>161.83000000000001</c:v>
                </c:pt>
                <c:pt idx="418">
                  <c:v>158.06</c:v>
                </c:pt>
                <c:pt idx="419">
                  <c:v>157.69</c:v>
                </c:pt>
                <c:pt idx="420">
                  <c:v>153.66</c:v>
                </c:pt>
                <c:pt idx="421">
                  <c:v>154</c:v>
                </c:pt>
                <c:pt idx="422">
                  <c:v>154.85</c:v>
                </c:pt>
                <c:pt idx="423">
                  <c:v>157.79</c:v>
                </c:pt>
                <c:pt idx="424">
                  <c:v>158.25</c:v>
                </c:pt>
                <c:pt idx="425">
                  <c:v>157.11000000000001</c:v>
                </c:pt>
                <c:pt idx="426">
                  <c:v>157.31</c:v>
                </c:pt>
                <c:pt idx="427">
                  <c:v>159.54</c:v>
                </c:pt>
                <c:pt idx="428">
                  <c:v>160.09</c:v>
                </c:pt>
                <c:pt idx="429">
                  <c:v>158.84</c:v>
                </c:pt>
                <c:pt idx="430">
                  <c:v>156.21</c:v>
                </c:pt>
                <c:pt idx="431">
                  <c:v>156.05000000000001</c:v>
                </c:pt>
                <c:pt idx="432">
                  <c:v>157.41999999999999</c:v>
                </c:pt>
                <c:pt idx="433">
                  <c:v>159.18</c:v>
                </c:pt>
                <c:pt idx="434">
                  <c:v>160.72</c:v>
                </c:pt>
                <c:pt idx="435">
                  <c:v>160.16</c:v>
                </c:pt>
                <c:pt idx="436">
                  <c:v>156.1</c:v>
                </c:pt>
                <c:pt idx="437">
                  <c:v>155.29</c:v>
                </c:pt>
                <c:pt idx="438">
                  <c:v>154.58000000000001</c:v>
                </c:pt>
                <c:pt idx="439">
                  <c:v>153.37</c:v>
                </c:pt>
                <c:pt idx="440">
                  <c:v>153.55000000000001</c:v>
                </c:pt>
                <c:pt idx="441">
                  <c:v>154.02000000000001</c:v>
                </c:pt>
                <c:pt idx="442">
                  <c:v>154.91</c:v>
                </c:pt>
                <c:pt idx="443">
                  <c:v>153.74</c:v>
                </c:pt>
                <c:pt idx="444">
                  <c:v>151.63999999999999</c:v>
                </c:pt>
                <c:pt idx="445">
                  <c:v>148.9</c:v>
                </c:pt>
                <c:pt idx="446">
                  <c:v>151.94</c:v>
                </c:pt>
                <c:pt idx="447">
                  <c:v>152.38999999999999</c:v>
                </c:pt>
                <c:pt idx="448">
                  <c:v>152.11000000000001</c:v>
                </c:pt>
                <c:pt idx="449">
                  <c:v>151.71</c:v>
                </c:pt>
                <c:pt idx="450">
                  <c:v>153.08000000000001</c:v>
                </c:pt>
                <c:pt idx="451">
                  <c:v>154.47999999999999</c:v>
                </c:pt>
                <c:pt idx="452">
                  <c:v>153.79</c:v>
                </c:pt>
                <c:pt idx="453">
                  <c:v>155.57</c:v>
                </c:pt>
                <c:pt idx="454">
                  <c:v>156.56</c:v>
                </c:pt>
                <c:pt idx="455">
                  <c:v>155.56</c:v>
                </c:pt>
                <c:pt idx="456">
                  <c:v>155.28</c:v>
                </c:pt>
                <c:pt idx="457">
                  <c:v>154.13</c:v>
                </c:pt>
                <c:pt idx="458">
                  <c:v>155.1</c:v>
                </c:pt>
                <c:pt idx="459">
                  <c:v>153.52000000000001</c:v>
                </c:pt>
                <c:pt idx="460">
                  <c:v>157.72</c:v>
                </c:pt>
                <c:pt idx="461">
                  <c:v>154.04</c:v>
                </c:pt>
                <c:pt idx="462">
                  <c:v>153.38999999999999</c:v>
                </c:pt>
                <c:pt idx="463">
                  <c:v>152.66</c:v>
                </c:pt>
                <c:pt idx="464">
                  <c:v>152.94</c:v>
                </c:pt>
                <c:pt idx="465">
                  <c:v>155.02000000000001</c:v>
                </c:pt>
                <c:pt idx="466">
                  <c:v>155.65</c:v>
                </c:pt>
                <c:pt idx="467">
                  <c:v>156.24</c:v>
                </c:pt>
                <c:pt idx="468">
                  <c:v>153.32</c:v>
                </c:pt>
                <c:pt idx="469">
                  <c:v>155.58000000000001</c:v>
                </c:pt>
                <c:pt idx="470">
                  <c:v>157.62</c:v>
                </c:pt>
                <c:pt idx="471">
                  <c:v>154.82</c:v>
                </c:pt>
                <c:pt idx="472">
                  <c:v>153.62</c:v>
                </c:pt>
                <c:pt idx="473">
                  <c:v>151.69999999999999</c:v>
                </c:pt>
                <c:pt idx="474">
                  <c:v>150.31</c:v>
                </c:pt>
                <c:pt idx="475">
                  <c:v>149.97999999999999</c:v>
                </c:pt>
                <c:pt idx="476">
                  <c:v>149.75</c:v>
                </c:pt>
                <c:pt idx="477">
                  <c:v>148.53</c:v>
                </c:pt>
                <c:pt idx="478">
                  <c:v>149.51</c:v>
                </c:pt>
                <c:pt idx="479">
                  <c:v>151.13</c:v>
                </c:pt>
                <c:pt idx="480">
                  <c:v>152.54</c:v>
                </c:pt>
                <c:pt idx="481">
                  <c:v>150.25</c:v>
                </c:pt>
                <c:pt idx="482">
                  <c:v>151.59</c:v>
                </c:pt>
                <c:pt idx="483">
                  <c:v>152.26</c:v>
                </c:pt>
                <c:pt idx="484">
                  <c:v>150</c:v>
                </c:pt>
                <c:pt idx="485">
                  <c:v>148.71</c:v>
                </c:pt>
                <c:pt idx="486">
                  <c:v>148.49</c:v>
                </c:pt>
                <c:pt idx="487">
                  <c:v>151.41</c:v>
                </c:pt>
                <c:pt idx="488">
                  <c:v>150.72</c:v>
                </c:pt>
                <c:pt idx="489">
                  <c:v>149.99</c:v>
                </c:pt>
                <c:pt idx="490">
                  <c:v>149.80000000000001</c:v>
                </c:pt>
                <c:pt idx="491">
                  <c:v>146.75</c:v>
                </c:pt>
                <c:pt idx="492">
                  <c:v>149.52000000000001</c:v>
                </c:pt>
                <c:pt idx="493">
                  <c:v>147.69</c:v>
                </c:pt>
                <c:pt idx="494">
                  <c:v>147.75</c:v>
                </c:pt>
                <c:pt idx="495">
                  <c:v>149.80000000000001</c:v>
                </c:pt>
                <c:pt idx="496">
                  <c:v>150.51</c:v>
                </c:pt>
                <c:pt idx="497">
                  <c:v>150.5</c:v>
                </c:pt>
                <c:pt idx="498">
                  <c:v>150.02000000000001</c:v>
                </c:pt>
                <c:pt idx="499">
                  <c:v>150.99</c:v>
                </c:pt>
                <c:pt idx="500">
                  <c:v>152.31</c:v>
                </c:pt>
                <c:pt idx="501">
                  <c:v>152.41</c:v>
                </c:pt>
                <c:pt idx="502">
                  <c:v>155.9</c:v>
                </c:pt>
                <c:pt idx="503">
                  <c:v>163.85</c:v>
                </c:pt>
                <c:pt idx="504">
                  <c:v>156.54</c:v>
                </c:pt>
                <c:pt idx="505">
                  <c:v>155.19999999999999</c:v>
                </c:pt>
                <c:pt idx="506">
                  <c:v>159.25</c:v>
                </c:pt>
                <c:pt idx="507">
                  <c:v>162.11000000000001</c:v>
                </c:pt>
                <c:pt idx="508">
                  <c:v>162.34</c:v>
                </c:pt>
                <c:pt idx="509">
                  <c:v>163.87</c:v>
                </c:pt>
                <c:pt idx="510">
                  <c:v>167.24</c:v>
                </c:pt>
                <c:pt idx="511">
                  <c:v>166.16</c:v>
                </c:pt>
                <c:pt idx="512">
                  <c:v>166.26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BE-4453-82D7-D0DFD8977D3B}"/>
            </c:ext>
          </c:extLst>
        </c:ser>
        <c:ser>
          <c:idx val="1"/>
          <c:order val="1"/>
          <c:tx>
            <c:strRef>
              <c:f>Data!$F$1</c:f>
              <c:strCache>
                <c:ptCount val="1"/>
                <c:pt idx="0">
                  <c:v>VWAP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Data!$F$2:$F$514</c:f>
              <c:numCache>
                <c:formatCode>General</c:formatCode>
                <c:ptCount val="513"/>
                <c:pt idx="0">
                  <c:v>149.47999999999999</c:v>
                </c:pt>
                <c:pt idx="1">
                  <c:v>151.00743966470631</c:v>
                </c:pt>
                <c:pt idx="2">
                  <c:v>150.90303375883826</c:v>
                </c:pt>
                <c:pt idx="3">
                  <c:v>150.79529868291058</c:v>
                </c:pt>
                <c:pt idx="4">
                  <c:v>150.50538162004415</c:v>
                </c:pt>
                <c:pt idx="5">
                  <c:v>149.50544721318158</c:v>
                </c:pt>
                <c:pt idx="6">
                  <c:v>148.85287204981122</c:v>
                </c:pt>
                <c:pt idx="7">
                  <c:v>148.43555699154044</c:v>
                </c:pt>
                <c:pt idx="8">
                  <c:v>148.30393345547623</c:v>
                </c:pt>
                <c:pt idx="9">
                  <c:v>147.83605700217336</c:v>
                </c:pt>
                <c:pt idx="10">
                  <c:v>147.45346273760302</c:v>
                </c:pt>
                <c:pt idx="11">
                  <c:v>146.89001668088443</c:v>
                </c:pt>
                <c:pt idx="12">
                  <c:v>146.46706097364148</c:v>
                </c:pt>
                <c:pt idx="13">
                  <c:v>146.19082825423209</c:v>
                </c:pt>
                <c:pt idx="14">
                  <c:v>145.99118457899186</c:v>
                </c:pt>
                <c:pt idx="15">
                  <c:v>145.93220129243034</c:v>
                </c:pt>
                <c:pt idx="16">
                  <c:v>146.09653977305291</c:v>
                </c:pt>
                <c:pt idx="17">
                  <c:v>146.26430285256961</c:v>
                </c:pt>
                <c:pt idx="18">
                  <c:v>146.43170424953732</c:v>
                </c:pt>
                <c:pt idx="19">
                  <c:v>146.62762509433094</c:v>
                </c:pt>
                <c:pt idx="20">
                  <c:v>146.67012939241289</c:v>
                </c:pt>
                <c:pt idx="21">
                  <c:v>146.71856098227684</c:v>
                </c:pt>
                <c:pt idx="22">
                  <c:v>147.04399606824123</c:v>
                </c:pt>
                <c:pt idx="23">
                  <c:v>147.23751445659832</c:v>
                </c:pt>
                <c:pt idx="24">
                  <c:v>147.37393434361249</c:v>
                </c:pt>
                <c:pt idx="25">
                  <c:v>147.49857830378042</c:v>
                </c:pt>
                <c:pt idx="26">
                  <c:v>147.74316376458086</c:v>
                </c:pt>
                <c:pt idx="27">
                  <c:v>147.86111544625487</c:v>
                </c:pt>
                <c:pt idx="28">
                  <c:v>147.96851348256317</c:v>
                </c:pt>
                <c:pt idx="29">
                  <c:v>148.0364370050672</c:v>
                </c:pt>
                <c:pt idx="30">
                  <c:v>148.10086613003597</c:v>
                </c:pt>
                <c:pt idx="31">
                  <c:v>148.30012646160407</c:v>
                </c:pt>
                <c:pt idx="32">
                  <c:v>148.46355520561681</c:v>
                </c:pt>
                <c:pt idx="33">
                  <c:v>148.59225233766821</c:v>
                </c:pt>
                <c:pt idx="34">
                  <c:v>148.74022770492653</c:v>
                </c:pt>
                <c:pt idx="35">
                  <c:v>148.92829553549643</c:v>
                </c:pt>
                <c:pt idx="36">
                  <c:v>149.04500327281039</c:v>
                </c:pt>
                <c:pt idx="37">
                  <c:v>149.15832084532215</c:v>
                </c:pt>
                <c:pt idx="38">
                  <c:v>149.28993174120899</c:v>
                </c:pt>
                <c:pt idx="39">
                  <c:v>149.34829647801496</c:v>
                </c:pt>
                <c:pt idx="40">
                  <c:v>149.41725485013205</c:v>
                </c:pt>
                <c:pt idx="41">
                  <c:v>149.48606861869882</c:v>
                </c:pt>
                <c:pt idx="42">
                  <c:v>149.46614071097002</c:v>
                </c:pt>
                <c:pt idx="43">
                  <c:v>149.46837501170802</c:v>
                </c:pt>
                <c:pt idx="44">
                  <c:v>149.42676359600929</c:v>
                </c:pt>
                <c:pt idx="45">
                  <c:v>149.42555564463629</c:v>
                </c:pt>
                <c:pt idx="46">
                  <c:v>149.43373639988422</c:v>
                </c:pt>
                <c:pt idx="47">
                  <c:v>149.47940475169719</c:v>
                </c:pt>
                <c:pt idx="48">
                  <c:v>149.51528320950308</c:v>
                </c:pt>
                <c:pt idx="49">
                  <c:v>149.59542520187674</c:v>
                </c:pt>
                <c:pt idx="50">
                  <c:v>149.71834080543906</c:v>
                </c:pt>
                <c:pt idx="51">
                  <c:v>149.97145401136342</c:v>
                </c:pt>
                <c:pt idx="52">
                  <c:v>150.05403964617415</c:v>
                </c:pt>
                <c:pt idx="53">
                  <c:v>150.15884601852522</c:v>
                </c:pt>
                <c:pt idx="54">
                  <c:v>150.23408076423848</c:v>
                </c:pt>
                <c:pt idx="55">
                  <c:v>150.30700980063361</c:v>
                </c:pt>
                <c:pt idx="56">
                  <c:v>150.3583059295679</c:v>
                </c:pt>
                <c:pt idx="57">
                  <c:v>150.43047695000209</c:v>
                </c:pt>
                <c:pt idx="58">
                  <c:v>150.4926564776147</c:v>
                </c:pt>
                <c:pt idx="59">
                  <c:v>150.57506464700757</c:v>
                </c:pt>
                <c:pt idx="60">
                  <c:v>150.68654052429687</c:v>
                </c:pt>
                <c:pt idx="61">
                  <c:v>150.78391980658682</c:v>
                </c:pt>
                <c:pt idx="62">
                  <c:v>150.92795021899522</c:v>
                </c:pt>
                <c:pt idx="63">
                  <c:v>151.06114979925141</c:v>
                </c:pt>
                <c:pt idx="64">
                  <c:v>151.21837696845949</c:v>
                </c:pt>
                <c:pt idx="65">
                  <c:v>151.35254700169781</c:v>
                </c:pt>
                <c:pt idx="66">
                  <c:v>151.47606325917411</c:v>
                </c:pt>
                <c:pt idx="67">
                  <c:v>151.59359414688439</c:v>
                </c:pt>
                <c:pt idx="68">
                  <c:v>151.73334561733236</c:v>
                </c:pt>
                <c:pt idx="69">
                  <c:v>151.86249691361746</c:v>
                </c:pt>
                <c:pt idx="70">
                  <c:v>151.99021512782593</c:v>
                </c:pt>
                <c:pt idx="71">
                  <c:v>152.05531816989301</c:v>
                </c:pt>
                <c:pt idx="72">
                  <c:v>152.09259876345536</c:v>
                </c:pt>
                <c:pt idx="73">
                  <c:v>152.1382948726723</c:v>
                </c:pt>
                <c:pt idx="74">
                  <c:v>152.1805714930895</c:v>
                </c:pt>
                <c:pt idx="75">
                  <c:v>152.27398327395454</c:v>
                </c:pt>
                <c:pt idx="76">
                  <c:v>152.37393491541991</c:v>
                </c:pt>
                <c:pt idx="77">
                  <c:v>152.46280662302374</c:v>
                </c:pt>
                <c:pt idx="78">
                  <c:v>152.5894521744859</c:v>
                </c:pt>
                <c:pt idx="79">
                  <c:v>152.77128892852551</c:v>
                </c:pt>
                <c:pt idx="80">
                  <c:v>152.95724115381904</c:v>
                </c:pt>
                <c:pt idx="81">
                  <c:v>153.08005463905843</c:v>
                </c:pt>
                <c:pt idx="82">
                  <c:v>153.17876343409293</c:v>
                </c:pt>
                <c:pt idx="83">
                  <c:v>153.24892010584574</c:v>
                </c:pt>
                <c:pt idx="84">
                  <c:v>153.33849336586803</c:v>
                </c:pt>
                <c:pt idx="85">
                  <c:v>153.44897787696434</c:v>
                </c:pt>
                <c:pt idx="86">
                  <c:v>153.55006803520681</c:v>
                </c:pt>
                <c:pt idx="87">
                  <c:v>153.63416788272829</c:v>
                </c:pt>
                <c:pt idx="88">
                  <c:v>153.71362258081939</c:v>
                </c:pt>
                <c:pt idx="89">
                  <c:v>153.81705097363638</c:v>
                </c:pt>
                <c:pt idx="90">
                  <c:v>153.90333209073464</c:v>
                </c:pt>
                <c:pt idx="91">
                  <c:v>153.99775657866331</c:v>
                </c:pt>
                <c:pt idx="92">
                  <c:v>154.05877749801004</c:v>
                </c:pt>
                <c:pt idx="93">
                  <c:v>154.14605649548056</c:v>
                </c:pt>
                <c:pt idx="94">
                  <c:v>154.2024186713291</c:v>
                </c:pt>
                <c:pt idx="95">
                  <c:v>154.26096604516445</c:v>
                </c:pt>
                <c:pt idx="96">
                  <c:v>154.30321547396343</c:v>
                </c:pt>
                <c:pt idx="97">
                  <c:v>154.3368936478785</c:v>
                </c:pt>
                <c:pt idx="98">
                  <c:v>154.36184820972525</c:v>
                </c:pt>
                <c:pt idx="99">
                  <c:v>154.38302747115429</c:v>
                </c:pt>
                <c:pt idx="100">
                  <c:v>154.40136171755231</c:v>
                </c:pt>
                <c:pt idx="101">
                  <c:v>154.44011779608488</c:v>
                </c:pt>
                <c:pt idx="102">
                  <c:v>154.45752437550587</c:v>
                </c:pt>
                <c:pt idx="103">
                  <c:v>154.48631351431618</c:v>
                </c:pt>
                <c:pt idx="104">
                  <c:v>154.58110540227574</c:v>
                </c:pt>
                <c:pt idx="105">
                  <c:v>154.6112365202261</c:v>
                </c:pt>
                <c:pt idx="106">
                  <c:v>154.62237574744384</c:v>
                </c:pt>
                <c:pt idx="107">
                  <c:v>154.62526303491873</c:v>
                </c:pt>
                <c:pt idx="108">
                  <c:v>154.63299974474739</c:v>
                </c:pt>
                <c:pt idx="109">
                  <c:v>154.64262207810836</c:v>
                </c:pt>
                <c:pt idx="110">
                  <c:v>154.65925136692707</c:v>
                </c:pt>
                <c:pt idx="111">
                  <c:v>154.66971876066489</c:v>
                </c:pt>
                <c:pt idx="112">
                  <c:v>154.66475513151201</c:v>
                </c:pt>
                <c:pt idx="113">
                  <c:v>154.65244787801143</c:v>
                </c:pt>
                <c:pt idx="114">
                  <c:v>154.63850540148619</c:v>
                </c:pt>
                <c:pt idx="115">
                  <c:v>154.62861977532472</c:v>
                </c:pt>
                <c:pt idx="116">
                  <c:v>154.61895814639985</c:v>
                </c:pt>
                <c:pt idx="117">
                  <c:v>154.63685187897144</c:v>
                </c:pt>
                <c:pt idx="118">
                  <c:v>154.65107463363256</c:v>
                </c:pt>
                <c:pt idx="119">
                  <c:v>154.68933118779594</c:v>
                </c:pt>
                <c:pt idx="120">
                  <c:v>154.71271027934554</c:v>
                </c:pt>
                <c:pt idx="121">
                  <c:v>154.72355507501175</c:v>
                </c:pt>
                <c:pt idx="122">
                  <c:v>154.73252548298044</c:v>
                </c:pt>
                <c:pt idx="123">
                  <c:v>154.75152147936353</c:v>
                </c:pt>
                <c:pt idx="124">
                  <c:v>154.76131923717858</c:v>
                </c:pt>
                <c:pt idx="125">
                  <c:v>154.7754571006422</c:v>
                </c:pt>
                <c:pt idx="126">
                  <c:v>154.78165770947493</c:v>
                </c:pt>
                <c:pt idx="127">
                  <c:v>154.77881140673094</c:v>
                </c:pt>
                <c:pt idx="128">
                  <c:v>154.77663586062928</c:v>
                </c:pt>
                <c:pt idx="129">
                  <c:v>154.7674292087961</c:v>
                </c:pt>
                <c:pt idx="130">
                  <c:v>154.76931703227484</c:v>
                </c:pt>
                <c:pt idx="131">
                  <c:v>154.77321168595506</c:v>
                </c:pt>
                <c:pt idx="132">
                  <c:v>154.77820215002092</c:v>
                </c:pt>
                <c:pt idx="133">
                  <c:v>154.79561055585143</c:v>
                </c:pt>
                <c:pt idx="134">
                  <c:v>154.81490075110875</c:v>
                </c:pt>
                <c:pt idx="135">
                  <c:v>154.85844564582513</c:v>
                </c:pt>
                <c:pt idx="136">
                  <c:v>154.90169698128258</c:v>
                </c:pt>
                <c:pt idx="137">
                  <c:v>154.92679629375783</c:v>
                </c:pt>
                <c:pt idx="138">
                  <c:v>154.9373191474761</c:v>
                </c:pt>
                <c:pt idx="139">
                  <c:v>154.93251252031666</c:v>
                </c:pt>
                <c:pt idx="140">
                  <c:v>154.9332550424582</c:v>
                </c:pt>
                <c:pt idx="141">
                  <c:v>154.94599850005932</c:v>
                </c:pt>
                <c:pt idx="142">
                  <c:v>154.95956247491623</c:v>
                </c:pt>
                <c:pt idx="143">
                  <c:v>154.96698149817846</c:v>
                </c:pt>
                <c:pt idx="144">
                  <c:v>154.99042438474447</c:v>
                </c:pt>
                <c:pt idx="145">
                  <c:v>155.02044283004409</c:v>
                </c:pt>
                <c:pt idx="146">
                  <c:v>154.98560882109834</c:v>
                </c:pt>
                <c:pt idx="147">
                  <c:v>154.91215501398545</c:v>
                </c:pt>
                <c:pt idx="148">
                  <c:v>154.79854116879983</c:v>
                </c:pt>
                <c:pt idx="149">
                  <c:v>154.70400671199818</c:v>
                </c:pt>
                <c:pt idx="150">
                  <c:v>154.61277493583339</c:v>
                </c:pt>
                <c:pt idx="151">
                  <c:v>154.54937862018159</c:v>
                </c:pt>
                <c:pt idx="152">
                  <c:v>154.48892607912671</c:v>
                </c:pt>
                <c:pt idx="153">
                  <c:v>154.42332875923157</c:v>
                </c:pt>
                <c:pt idx="154">
                  <c:v>154.35803389220007</c:v>
                </c:pt>
                <c:pt idx="155">
                  <c:v>154.31185193257238</c:v>
                </c:pt>
                <c:pt idx="156">
                  <c:v>154.27361792037428</c:v>
                </c:pt>
                <c:pt idx="157">
                  <c:v>154.23496118463584</c:v>
                </c:pt>
                <c:pt idx="158">
                  <c:v>154.19965104503623</c:v>
                </c:pt>
                <c:pt idx="159">
                  <c:v>154.14301615311902</c:v>
                </c:pt>
                <c:pt idx="160">
                  <c:v>154.10126986639654</c:v>
                </c:pt>
                <c:pt idx="161">
                  <c:v>154.07470366485018</c:v>
                </c:pt>
                <c:pt idx="162">
                  <c:v>154.05025813609606</c:v>
                </c:pt>
                <c:pt idx="163">
                  <c:v>154.02518519975749</c:v>
                </c:pt>
                <c:pt idx="164">
                  <c:v>153.99709730683793</c:v>
                </c:pt>
                <c:pt idx="165">
                  <c:v>153.96229900984454</c:v>
                </c:pt>
                <c:pt idx="166">
                  <c:v>153.93972873002872</c:v>
                </c:pt>
                <c:pt idx="167">
                  <c:v>153.91019889742873</c:v>
                </c:pt>
                <c:pt idx="168">
                  <c:v>153.85406039816746</c:v>
                </c:pt>
                <c:pt idx="169">
                  <c:v>153.7663152974626</c:v>
                </c:pt>
                <c:pt idx="170">
                  <c:v>153.67575496417729</c:v>
                </c:pt>
                <c:pt idx="171">
                  <c:v>153.58710086841836</c:v>
                </c:pt>
                <c:pt idx="172">
                  <c:v>153.4894489708216</c:v>
                </c:pt>
                <c:pt idx="173">
                  <c:v>153.39702244630129</c:v>
                </c:pt>
                <c:pt idx="174">
                  <c:v>153.28854242719453</c:v>
                </c:pt>
                <c:pt idx="175">
                  <c:v>153.22080314539812</c:v>
                </c:pt>
                <c:pt idx="176">
                  <c:v>153.16673334520709</c:v>
                </c:pt>
                <c:pt idx="177">
                  <c:v>153.1117601910816</c:v>
                </c:pt>
                <c:pt idx="178">
                  <c:v>153.06055422982755</c:v>
                </c:pt>
                <c:pt idx="179">
                  <c:v>153.02028308722919</c:v>
                </c:pt>
                <c:pt idx="180">
                  <c:v>152.97882720668028</c:v>
                </c:pt>
                <c:pt idx="181">
                  <c:v>152.8603566653793</c:v>
                </c:pt>
                <c:pt idx="182">
                  <c:v>152.83453158468157</c:v>
                </c:pt>
                <c:pt idx="183">
                  <c:v>152.81204308035242</c:v>
                </c:pt>
                <c:pt idx="184">
                  <c:v>152.76386987093574</c:v>
                </c:pt>
                <c:pt idx="185">
                  <c:v>152.70432890992291</c:v>
                </c:pt>
                <c:pt idx="186">
                  <c:v>152.66466397805507</c:v>
                </c:pt>
                <c:pt idx="187">
                  <c:v>152.63718780783191</c:v>
                </c:pt>
                <c:pt idx="188">
                  <c:v>152.61836826987667</c:v>
                </c:pt>
                <c:pt idx="189">
                  <c:v>152.60928696449022</c:v>
                </c:pt>
                <c:pt idx="190">
                  <c:v>152.6033311143884</c:v>
                </c:pt>
                <c:pt idx="191">
                  <c:v>152.59354647014027</c:v>
                </c:pt>
                <c:pt idx="192">
                  <c:v>152.58779077319392</c:v>
                </c:pt>
                <c:pt idx="193">
                  <c:v>152.572866477509</c:v>
                </c:pt>
                <c:pt idx="194">
                  <c:v>152.56330468599347</c:v>
                </c:pt>
                <c:pt idx="195">
                  <c:v>152.55767010117376</c:v>
                </c:pt>
                <c:pt idx="196">
                  <c:v>152.55391349639822</c:v>
                </c:pt>
                <c:pt idx="197">
                  <c:v>152.55178711506781</c:v>
                </c:pt>
                <c:pt idx="198">
                  <c:v>152.5308041234951</c:v>
                </c:pt>
                <c:pt idx="199">
                  <c:v>152.52021657034629</c:v>
                </c:pt>
                <c:pt idx="200">
                  <c:v>152.51460657854548</c:v>
                </c:pt>
                <c:pt idx="201">
                  <c:v>152.50870313559375</c:v>
                </c:pt>
                <c:pt idx="202">
                  <c:v>152.50341200127721</c:v>
                </c:pt>
                <c:pt idx="203">
                  <c:v>152.49894728983912</c:v>
                </c:pt>
                <c:pt idx="204">
                  <c:v>152.49220408097219</c:v>
                </c:pt>
                <c:pt idx="205">
                  <c:v>152.48511497557882</c:v>
                </c:pt>
                <c:pt idx="206">
                  <c:v>152.47788092659414</c:v>
                </c:pt>
                <c:pt idx="207">
                  <c:v>152.46706199195239</c:v>
                </c:pt>
                <c:pt idx="208">
                  <c:v>152.45221271555815</c:v>
                </c:pt>
                <c:pt idx="209">
                  <c:v>152.43634366763843</c:v>
                </c:pt>
                <c:pt idx="210">
                  <c:v>152.41750821675615</c:v>
                </c:pt>
                <c:pt idx="211">
                  <c:v>152.42221836497163</c:v>
                </c:pt>
                <c:pt idx="212">
                  <c:v>152.42803629219549</c:v>
                </c:pt>
                <c:pt idx="213">
                  <c:v>152.43162326490452</c:v>
                </c:pt>
                <c:pt idx="214">
                  <c:v>152.47049140000973</c:v>
                </c:pt>
                <c:pt idx="215">
                  <c:v>152.49162067606264</c:v>
                </c:pt>
                <c:pt idx="216">
                  <c:v>152.50774397347504</c:v>
                </c:pt>
                <c:pt idx="217">
                  <c:v>152.52631333212159</c:v>
                </c:pt>
                <c:pt idx="218">
                  <c:v>152.53567964502599</c:v>
                </c:pt>
                <c:pt idx="219">
                  <c:v>152.5680589073209</c:v>
                </c:pt>
                <c:pt idx="220">
                  <c:v>152.62311536499308</c:v>
                </c:pt>
                <c:pt idx="221">
                  <c:v>152.66968190703318</c:v>
                </c:pt>
                <c:pt idx="222">
                  <c:v>152.69849514659234</c:v>
                </c:pt>
                <c:pt idx="223">
                  <c:v>152.71723490001975</c:v>
                </c:pt>
                <c:pt idx="224">
                  <c:v>152.74920831298181</c:v>
                </c:pt>
                <c:pt idx="225">
                  <c:v>152.79000598199184</c:v>
                </c:pt>
                <c:pt idx="226">
                  <c:v>152.82861644259896</c:v>
                </c:pt>
                <c:pt idx="227">
                  <c:v>152.8747473988806</c:v>
                </c:pt>
                <c:pt idx="228">
                  <c:v>152.91530166683819</c:v>
                </c:pt>
                <c:pt idx="229">
                  <c:v>152.95534216517558</c:v>
                </c:pt>
                <c:pt idx="230">
                  <c:v>152.98112229415395</c:v>
                </c:pt>
                <c:pt idx="231">
                  <c:v>153.01353719850522</c:v>
                </c:pt>
                <c:pt idx="232">
                  <c:v>153.04306667842104</c:v>
                </c:pt>
                <c:pt idx="233">
                  <c:v>153.06627981679418</c:v>
                </c:pt>
                <c:pt idx="234">
                  <c:v>153.08848294363474</c:v>
                </c:pt>
                <c:pt idx="235">
                  <c:v>153.10005702650159</c:v>
                </c:pt>
                <c:pt idx="236">
                  <c:v>153.12070353918307</c:v>
                </c:pt>
                <c:pt idx="237">
                  <c:v>153.14013455666969</c:v>
                </c:pt>
                <c:pt idx="238">
                  <c:v>153.16315286116037</c:v>
                </c:pt>
                <c:pt idx="239">
                  <c:v>153.1695483785806</c:v>
                </c:pt>
                <c:pt idx="240">
                  <c:v>153.17175147975979</c:v>
                </c:pt>
                <c:pt idx="241">
                  <c:v>153.14725417223741</c:v>
                </c:pt>
                <c:pt idx="242">
                  <c:v>153.11522619712991</c:v>
                </c:pt>
                <c:pt idx="243">
                  <c:v>153.06641186882868</c:v>
                </c:pt>
                <c:pt idx="244">
                  <c:v>152.9626371678923</c:v>
                </c:pt>
                <c:pt idx="245">
                  <c:v>152.79404409008666</c:v>
                </c:pt>
                <c:pt idx="246">
                  <c:v>152.75274332167413</c:v>
                </c:pt>
                <c:pt idx="247">
                  <c:v>152.73643709197808</c:v>
                </c:pt>
                <c:pt idx="248">
                  <c:v>152.7162362754745</c:v>
                </c:pt>
                <c:pt idx="249">
                  <c:v>152.69260228887978</c:v>
                </c:pt>
                <c:pt idx="250">
                  <c:v>152.66218394899323</c:v>
                </c:pt>
                <c:pt idx="251">
                  <c:v>152.63776095394726</c:v>
                </c:pt>
                <c:pt idx="252">
                  <c:v>152.6162182934217</c:v>
                </c:pt>
                <c:pt idx="253">
                  <c:v>152.60221467857932</c:v>
                </c:pt>
                <c:pt idx="254">
                  <c:v>152.58636397251937</c:v>
                </c:pt>
                <c:pt idx="255">
                  <c:v>152.57473003015619</c:v>
                </c:pt>
                <c:pt idx="256">
                  <c:v>152.56603988039728</c:v>
                </c:pt>
                <c:pt idx="257">
                  <c:v>152.56920048327459</c:v>
                </c:pt>
                <c:pt idx="258">
                  <c:v>152.58538563963762</c:v>
                </c:pt>
                <c:pt idx="259">
                  <c:v>152.59990452323444</c:v>
                </c:pt>
                <c:pt idx="260">
                  <c:v>152.62212013922556</c:v>
                </c:pt>
                <c:pt idx="261">
                  <c:v>152.64057204984962</c:v>
                </c:pt>
                <c:pt idx="262">
                  <c:v>152.6804086153019</c:v>
                </c:pt>
                <c:pt idx="263">
                  <c:v>152.70771668086252</c:v>
                </c:pt>
                <c:pt idx="264">
                  <c:v>152.72065272199814</c:v>
                </c:pt>
                <c:pt idx="265">
                  <c:v>152.73012825807803</c:v>
                </c:pt>
                <c:pt idx="266">
                  <c:v>152.74134313076436</c:v>
                </c:pt>
                <c:pt idx="267">
                  <c:v>152.75667251526332</c:v>
                </c:pt>
                <c:pt idx="268">
                  <c:v>152.76725169728201</c:v>
                </c:pt>
                <c:pt idx="269">
                  <c:v>152.77507691184167</c:v>
                </c:pt>
                <c:pt idx="270">
                  <c:v>152.78672310811302</c:v>
                </c:pt>
                <c:pt idx="271">
                  <c:v>152.75842627292792</c:v>
                </c:pt>
                <c:pt idx="272">
                  <c:v>152.74624573240177</c:v>
                </c:pt>
                <c:pt idx="273">
                  <c:v>152.74811576893933</c:v>
                </c:pt>
                <c:pt idx="274">
                  <c:v>152.7488510762266</c:v>
                </c:pt>
                <c:pt idx="275">
                  <c:v>152.74632288407616</c:v>
                </c:pt>
                <c:pt idx="276">
                  <c:v>152.74604661253295</c:v>
                </c:pt>
                <c:pt idx="277">
                  <c:v>152.75393949011828</c:v>
                </c:pt>
                <c:pt idx="278">
                  <c:v>152.76690930881855</c:v>
                </c:pt>
                <c:pt idx="279">
                  <c:v>152.77346234054127</c:v>
                </c:pt>
                <c:pt idx="280">
                  <c:v>152.78459538972464</c:v>
                </c:pt>
                <c:pt idx="281">
                  <c:v>152.79138908526522</c:v>
                </c:pt>
                <c:pt idx="282">
                  <c:v>152.80055431085484</c:v>
                </c:pt>
                <c:pt idx="283">
                  <c:v>152.81049679249679</c:v>
                </c:pt>
                <c:pt idx="284">
                  <c:v>152.82742647848124</c:v>
                </c:pt>
                <c:pt idx="285">
                  <c:v>152.83977952587571</c:v>
                </c:pt>
                <c:pt idx="286">
                  <c:v>152.85324452026907</c:v>
                </c:pt>
                <c:pt idx="287">
                  <c:v>152.86414329942281</c:v>
                </c:pt>
                <c:pt idx="288">
                  <c:v>152.87025808483151</c:v>
                </c:pt>
                <c:pt idx="289">
                  <c:v>152.88299489425219</c:v>
                </c:pt>
                <c:pt idx="290">
                  <c:v>152.90549147044959</c:v>
                </c:pt>
                <c:pt idx="291">
                  <c:v>152.90623096261837</c:v>
                </c:pt>
                <c:pt idx="292">
                  <c:v>152.90270623839371</c:v>
                </c:pt>
                <c:pt idx="293">
                  <c:v>152.8941754917482</c:v>
                </c:pt>
                <c:pt idx="294">
                  <c:v>152.89435412411103</c:v>
                </c:pt>
                <c:pt idx="295">
                  <c:v>152.90721272783841</c:v>
                </c:pt>
                <c:pt idx="296">
                  <c:v>152.93096974837761</c:v>
                </c:pt>
                <c:pt idx="297">
                  <c:v>152.93616079881366</c:v>
                </c:pt>
                <c:pt idx="298">
                  <c:v>152.93504986637276</c:v>
                </c:pt>
                <c:pt idx="299">
                  <c:v>152.93765748597392</c:v>
                </c:pt>
                <c:pt idx="300">
                  <c:v>152.94928616793592</c:v>
                </c:pt>
                <c:pt idx="301">
                  <c:v>152.96798837073015</c:v>
                </c:pt>
                <c:pt idx="302">
                  <c:v>152.99886923087442</c:v>
                </c:pt>
                <c:pt idx="303">
                  <c:v>153.05249932559977</c:v>
                </c:pt>
                <c:pt idx="304">
                  <c:v>153.09949567926185</c:v>
                </c:pt>
                <c:pt idx="305">
                  <c:v>153.20440033942293</c:v>
                </c:pt>
                <c:pt idx="306">
                  <c:v>153.24395976526975</c:v>
                </c:pt>
                <c:pt idx="307">
                  <c:v>153.2852843906326</c:v>
                </c:pt>
                <c:pt idx="308">
                  <c:v>153.34624305720277</c:v>
                </c:pt>
                <c:pt idx="309">
                  <c:v>153.38374454820209</c:v>
                </c:pt>
                <c:pt idx="310">
                  <c:v>153.40938655985104</c:v>
                </c:pt>
                <c:pt idx="311">
                  <c:v>153.46986663551448</c:v>
                </c:pt>
                <c:pt idx="312">
                  <c:v>153.50891951564819</c:v>
                </c:pt>
                <c:pt idx="313">
                  <c:v>153.54598309318638</c:v>
                </c:pt>
                <c:pt idx="314">
                  <c:v>153.56207768396084</c:v>
                </c:pt>
                <c:pt idx="315">
                  <c:v>153.47826169389816</c:v>
                </c:pt>
                <c:pt idx="316">
                  <c:v>153.38392588200981</c:v>
                </c:pt>
                <c:pt idx="317">
                  <c:v>153.30000749573034</c:v>
                </c:pt>
                <c:pt idx="318">
                  <c:v>153.2519213307832</c:v>
                </c:pt>
                <c:pt idx="319">
                  <c:v>153.10256483437453</c:v>
                </c:pt>
                <c:pt idx="320">
                  <c:v>152.98615223612208</c:v>
                </c:pt>
                <c:pt idx="321">
                  <c:v>152.92060270778933</c:v>
                </c:pt>
                <c:pt idx="322">
                  <c:v>152.85471702392667</c:v>
                </c:pt>
                <c:pt idx="323">
                  <c:v>152.79688505003071</c:v>
                </c:pt>
                <c:pt idx="324">
                  <c:v>152.74885505198776</c:v>
                </c:pt>
                <c:pt idx="325">
                  <c:v>152.67680916456681</c:v>
                </c:pt>
                <c:pt idx="326">
                  <c:v>152.63028840767444</c:v>
                </c:pt>
                <c:pt idx="327">
                  <c:v>152.57006928636616</c:v>
                </c:pt>
                <c:pt idx="328">
                  <c:v>152.53071304532816</c:v>
                </c:pt>
                <c:pt idx="329">
                  <c:v>152.49507741866378</c:v>
                </c:pt>
                <c:pt idx="330">
                  <c:v>152.46390816900538</c:v>
                </c:pt>
                <c:pt idx="331">
                  <c:v>152.42780789777649</c:v>
                </c:pt>
                <c:pt idx="332">
                  <c:v>152.34354153009926</c:v>
                </c:pt>
                <c:pt idx="333">
                  <c:v>152.28282669470701</c:v>
                </c:pt>
                <c:pt idx="334">
                  <c:v>152.21989710015481</c:v>
                </c:pt>
                <c:pt idx="335">
                  <c:v>152.16057413143767</c:v>
                </c:pt>
                <c:pt idx="336">
                  <c:v>152.10050758072515</c:v>
                </c:pt>
                <c:pt idx="337">
                  <c:v>152.05040807068372</c:v>
                </c:pt>
                <c:pt idx="338">
                  <c:v>152.00310599158058</c:v>
                </c:pt>
                <c:pt idx="339">
                  <c:v>151.97386575024157</c:v>
                </c:pt>
                <c:pt idx="340">
                  <c:v>151.94380356125217</c:v>
                </c:pt>
                <c:pt idx="341">
                  <c:v>151.9142746875103</c:v>
                </c:pt>
                <c:pt idx="342">
                  <c:v>151.890493345625</c:v>
                </c:pt>
                <c:pt idx="343">
                  <c:v>151.86442545965596</c:v>
                </c:pt>
                <c:pt idx="344">
                  <c:v>151.83578607612503</c:v>
                </c:pt>
                <c:pt idx="345">
                  <c:v>151.79906614730913</c:v>
                </c:pt>
                <c:pt idx="346">
                  <c:v>151.76543748866408</c:v>
                </c:pt>
                <c:pt idx="347">
                  <c:v>151.71327990356684</c:v>
                </c:pt>
                <c:pt idx="348">
                  <c:v>151.6617232305951</c:v>
                </c:pt>
                <c:pt idx="349">
                  <c:v>151.62424674315781</c:v>
                </c:pt>
                <c:pt idx="350">
                  <c:v>151.58374238684868</c:v>
                </c:pt>
                <c:pt idx="351">
                  <c:v>151.5461937338643</c:v>
                </c:pt>
                <c:pt idx="352">
                  <c:v>151.51013808182773</c:v>
                </c:pt>
                <c:pt idx="353">
                  <c:v>151.44379605193134</c:v>
                </c:pt>
                <c:pt idx="354">
                  <c:v>151.40091739787206</c:v>
                </c:pt>
                <c:pt idx="355">
                  <c:v>151.36398920828626</c:v>
                </c:pt>
                <c:pt idx="356">
                  <c:v>151.32179776085582</c:v>
                </c:pt>
                <c:pt idx="357">
                  <c:v>151.29025734140006</c:v>
                </c:pt>
                <c:pt idx="358">
                  <c:v>151.2652686021932</c:v>
                </c:pt>
                <c:pt idx="359">
                  <c:v>151.23948884332722</c:v>
                </c:pt>
                <c:pt idx="360">
                  <c:v>151.21296482008387</c:v>
                </c:pt>
                <c:pt idx="361">
                  <c:v>151.19268693241818</c:v>
                </c:pt>
                <c:pt idx="362">
                  <c:v>151.17789035564388</c:v>
                </c:pt>
                <c:pt idx="363">
                  <c:v>151.15269194000587</c:v>
                </c:pt>
                <c:pt idx="364">
                  <c:v>151.13524989455738</c:v>
                </c:pt>
                <c:pt idx="365">
                  <c:v>151.1265587139161</c:v>
                </c:pt>
                <c:pt idx="366">
                  <c:v>151.11688950288263</c:v>
                </c:pt>
                <c:pt idx="367">
                  <c:v>151.10456027342778</c:v>
                </c:pt>
                <c:pt idx="368">
                  <c:v>151.08976158129889</c:v>
                </c:pt>
                <c:pt idx="369">
                  <c:v>151.06297673692399</c:v>
                </c:pt>
                <c:pt idx="370">
                  <c:v>151.04395437237926</c:v>
                </c:pt>
                <c:pt idx="371">
                  <c:v>151.02789152261715</c:v>
                </c:pt>
                <c:pt idx="372">
                  <c:v>151.00608470008498</c:v>
                </c:pt>
                <c:pt idx="373">
                  <c:v>150.9882843129125</c:v>
                </c:pt>
                <c:pt idx="374">
                  <c:v>150.97328546256972</c:v>
                </c:pt>
                <c:pt idx="375">
                  <c:v>150.96529304171202</c:v>
                </c:pt>
                <c:pt idx="376">
                  <c:v>150.96094367258911</c:v>
                </c:pt>
                <c:pt idx="377">
                  <c:v>150.95006339195459</c:v>
                </c:pt>
                <c:pt idx="378">
                  <c:v>150.96043061866573</c:v>
                </c:pt>
                <c:pt idx="379">
                  <c:v>150.96669907274361</c:v>
                </c:pt>
                <c:pt idx="380">
                  <c:v>150.97529902325397</c:v>
                </c:pt>
                <c:pt idx="381">
                  <c:v>150.98681489506242</c:v>
                </c:pt>
                <c:pt idx="382">
                  <c:v>150.98907079850233</c:v>
                </c:pt>
                <c:pt idx="383">
                  <c:v>150.98837436731625</c:v>
                </c:pt>
                <c:pt idx="384">
                  <c:v>150.98569778905079</c:v>
                </c:pt>
                <c:pt idx="385">
                  <c:v>150.9867372579952</c:v>
                </c:pt>
                <c:pt idx="386">
                  <c:v>150.97326309173141</c:v>
                </c:pt>
                <c:pt idx="387">
                  <c:v>150.96607388755618</c:v>
                </c:pt>
                <c:pt idx="388">
                  <c:v>150.95863451134446</c:v>
                </c:pt>
                <c:pt idx="389">
                  <c:v>150.96732362243989</c:v>
                </c:pt>
                <c:pt idx="390">
                  <c:v>150.99053089091151</c:v>
                </c:pt>
                <c:pt idx="391">
                  <c:v>150.99972397321909</c:v>
                </c:pt>
                <c:pt idx="392">
                  <c:v>151.01370580228388</c:v>
                </c:pt>
                <c:pt idx="393">
                  <c:v>151.0254117577625</c:v>
                </c:pt>
                <c:pt idx="394">
                  <c:v>151.03242442272395</c:v>
                </c:pt>
                <c:pt idx="395">
                  <c:v>151.03429089987463</c:v>
                </c:pt>
                <c:pt idx="396">
                  <c:v>151.03546211161662</c:v>
                </c:pt>
                <c:pt idx="397">
                  <c:v>151.03547580244864</c:v>
                </c:pt>
                <c:pt idx="398">
                  <c:v>151.04060610378275</c:v>
                </c:pt>
                <c:pt idx="399">
                  <c:v>151.04465354049586</c:v>
                </c:pt>
                <c:pt idx="400">
                  <c:v>151.04873282797774</c:v>
                </c:pt>
                <c:pt idx="401">
                  <c:v>151.05614923654758</c:v>
                </c:pt>
                <c:pt idx="402">
                  <c:v>151.06050770660926</c:v>
                </c:pt>
                <c:pt idx="403">
                  <c:v>151.06712212710087</c:v>
                </c:pt>
                <c:pt idx="404">
                  <c:v>151.07641504043204</c:v>
                </c:pt>
                <c:pt idx="405">
                  <c:v>151.0852036376881</c:v>
                </c:pt>
                <c:pt idx="406">
                  <c:v>151.1037618675706</c:v>
                </c:pt>
                <c:pt idx="407">
                  <c:v>151.11381276708553</c:v>
                </c:pt>
                <c:pt idx="408">
                  <c:v>151.11602140708882</c:v>
                </c:pt>
                <c:pt idx="409">
                  <c:v>151.1209529124018</c:v>
                </c:pt>
                <c:pt idx="410">
                  <c:v>151.13061549457149</c:v>
                </c:pt>
                <c:pt idx="411">
                  <c:v>151.14911170142372</c:v>
                </c:pt>
                <c:pt idx="412">
                  <c:v>151.16339913112779</c:v>
                </c:pt>
                <c:pt idx="413">
                  <c:v>151.1816884871985</c:v>
                </c:pt>
                <c:pt idx="414">
                  <c:v>151.19898098919836</c:v>
                </c:pt>
                <c:pt idx="415">
                  <c:v>151.21409635141998</c:v>
                </c:pt>
                <c:pt idx="416">
                  <c:v>151.23269076617069</c:v>
                </c:pt>
                <c:pt idx="417">
                  <c:v>151.25970850734058</c:v>
                </c:pt>
                <c:pt idx="418">
                  <c:v>151.27817520808932</c:v>
                </c:pt>
                <c:pt idx="419">
                  <c:v>151.29134521418473</c:v>
                </c:pt>
                <c:pt idx="420">
                  <c:v>151.29871895983311</c:v>
                </c:pt>
                <c:pt idx="421">
                  <c:v>151.3059254606739</c:v>
                </c:pt>
                <c:pt idx="422">
                  <c:v>151.31367187498705</c:v>
                </c:pt>
                <c:pt idx="423">
                  <c:v>151.3272008156797</c:v>
                </c:pt>
                <c:pt idx="424">
                  <c:v>151.33965095785069</c:v>
                </c:pt>
                <c:pt idx="425">
                  <c:v>151.34860597546367</c:v>
                </c:pt>
                <c:pt idx="426">
                  <c:v>151.35698518728105</c:v>
                </c:pt>
                <c:pt idx="427">
                  <c:v>151.37526106838246</c:v>
                </c:pt>
                <c:pt idx="428">
                  <c:v>151.38917676123066</c:v>
                </c:pt>
                <c:pt idx="429">
                  <c:v>151.40210416132004</c:v>
                </c:pt>
                <c:pt idx="430">
                  <c:v>151.42435611502404</c:v>
                </c:pt>
                <c:pt idx="431">
                  <c:v>151.43105528753611</c:v>
                </c:pt>
                <c:pt idx="432">
                  <c:v>151.4429097568202</c:v>
                </c:pt>
                <c:pt idx="433">
                  <c:v>151.45629020642227</c:v>
                </c:pt>
                <c:pt idx="434">
                  <c:v>151.47234868462854</c:v>
                </c:pt>
                <c:pt idx="435">
                  <c:v>151.48905662584409</c:v>
                </c:pt>
                <c:pt idx="436">
                  <c:v>151.49954358237417</c:v>
                </c:pt>
                <c:pt idx="437">
                  <c:v>151.50756750433732</c:v>
                </c:pt>
                <c:pt idx="438">
                  <c:v>151.51323299326756</c:v>
                </c:pt>
                <c:pt idx="439">
                  <c:v>151.51705065699463</c:v>
                </c:pt>
                <c:pt idx="440">
                  <c:v>151.52104959640783</c:v>
                </c:pt>
                <c:pt idx="441">
                  <c:v>151.52428588835355</c:v>
                </c:pt>
                <c:pt idx="442">
                  <c:v>151.52930600831954</c:v>
                </c:pt>
                <c:pt idx="443">
                  <c:v>151.53269737632823</c:v>
                </c:pt>
                <c:pt idx="444">
                  <c:v>151.53287619994686</c:v>
                </c:pt>
                <c:pt idx="445">
                  <c:v>151.5273509884735</c:v>
                </c:pt>
                <c:pt idx="446">
                  <c:v>151.52801397588706</c:v>
                </c:pt>
                <c:pt idx="447">
                  <c:v>151.52949839472637</c:v>
                </c:pt>
                <c:pt idx="448">
                  <c:v>151.53040408827991</c:v>
                </c:pt>
                <c:pt idx="449">
                  <c:v>151.53065756598835</c:v>
                </c:pt>
                <c:pt idx="450">
                  <c:v>151.53385653274157</c:v>
                </c:pt>
                <c:pt idx="451">
                  <c:v>151.5383136436887</c:v>
                </c:pt>
                <c:pt idx="452">
                  <c:v>151.54209090166705</c:v>
                </c:pt>
                <c:pt idx="453">
                  <c:v>151.54855000159785</c:v>
                </c:pt>
                <c:pt idx="454">
                  <c:v>151.56157668943649</c:v>
                </c:pt>
                <c:pt idx="455">
                  <c:v>151.56684537579437</c:v>
                </c:pt>
                <c:pt idx="456">
                  <c:v>151.5716381363207</c:v>
                </c:pt>
                <c:pt idx="457">
                  <c:v>151.57505883843865</c:v>
                </c:pt>
                <c:pt idx="458">
                  <c:v>151.5818777729227</c:v>
                </c:pt>
                <c:pt idx="459">
                  <c:v>151.58644670158094</c:v>
                </c:pt>
                <c:pt idx="460">
                  <c:v>151.60434278622805</c:v>
                </c:pt>
                <c:pt idx="461">
                  <c:v>151.60976283687452</c:v>
                </c:pt>
                <c:pt idx="462">
                  <c:v>151.6130039187953</c:v>
                </c:pt>
                <c:pt idx="463">
                  <c:v>151.61461194933511</c:v>
                </c:pt>
                <c:pt idx="464">
                  <c:v>151.616841159047</c:v>
                </c:pt>
                <c:pt idx="465">
                  <c:v>151.62552561935343</c:v>
                </c:pt>
                <c:pt idx="466">
                  <c:v>151.63431548859137</c:v>
                </c:pt>
                <c:pt idx="467">
                  <c:v>151.64188782133877</c:v>
                </c:pt>
                <c:pt idx="468">
                  <c:v>151.64693443526767</c:v>
                </c:pt>
                <c:pt idx="469">
                  <c:v>151.6550241194721</c:v>
                </c:pt>
                <c:pt idx="470">
                  <c:v>151.66801035254443</c:v>
                </c:pt>
                <c:pt idx="471">
                  <c:v>151.67506706605616</c:v>
                </c:pt>
                <c:pt idx="472">
                  <c:v>151.68043644137029</c:v>
                </c:pt>
                <c:pt idx="473">
                  <c:v>151.68047402829538</c:v>
                </c:pt>
                <c:pt idx="474">
                  <c:v>151.67781696135853</c:v>
                </c:pt>
                <c:pt idx="475">
                  <c:v>151.67383295942227</c:v>
                </c:pt>
                <c:pt idx="476">
                  <c:v>151.66693567138887</c:v>
                </c:pt>
                <c:pt idx="477">
                  <c:v>151.6578829730376</c:v>
                </c:pt>
                <c:pt idx="478">
                  <c:v>151.65378720789556</c:v>
                </c:pt>
                <c:pt idx="479">
                  <c:v>151.6532805091849</c:v>
                </c:pt>
                <c:pt idx="480">
                  <c:v>151.65510640323654</c:v>
                </c:pt>
                <c:pt idx="481">
                  <c:v>151.65187253201998</c:v>
                </c:pt>
                <c:pt idx="482">
                  <c:v>151.65174797533209</c:v>
                </c:pt>
                <c:pt idx="483">
                  <c:v>151.65284810263299</c:v>
                </c:pt>
                <c:pt idx="484">
                  <c:v>151.64764780250559</c:v>
                </c:pt>
                <c:pt idx="485">
                  <c:v>151.64019284243696</c:v>
                </c:pt>
                <c:pt idx="486">
                  <c:v>151.63324498060473</c:v>
                </c:pt>
                <c:pt idx="487">
                  <c:v>151.63264052073816</c:v>
                </c:pt>
                <c:pt idx="488">
                  <c:v>151.63075018028113</c:v>
                </c:pt>
                <c:pt idx="489">
                  <c:v>151.62839155855536</c:v>
                </c:pt>
                <c:pt idx="490">
                  <c:v>151.62502562271692</c:v>
                </c:pt>
                <c:pt idx="491">
                  <c:v>151.61155788613144</c:v>
                </c:pt>
                <c:pt idx="492">
                  <c:v>151.60706132126944</c:v>
                </c:pt>
                <c:pt idx="493">
                  <c:v>151.60037921278922</c:v>
                </c:pt>
                <c:pt idx="494">
                  <c:v>151.58011976021999</c:v>
                </c:pt>
                <c:pt idx="495">
                  <c:v>151.57661187234453</c:v>
                </c:pt>
                <c:pt idx="496">
                  <c:v>151.57540954418647</c:v>
                </c:pt>
                <c:pt idx="497">
                  <c:v>151.57483082439524</c:v>
                </c:pt>
                <c:pt idx="498">
                  <c:v>151.57343971105581</c:v>
                </c:pt>
                <c:pt idx="499">
                  <c:v>151.57265371257287</c:v>
                </c:pt>
                <c:pt idx="500">
                  <c:v>151.57356796163648</c:v>
                </c:pt>
                <c:pt idx="501">
                  <c:v>151.57456413183323</c:v>
                </c:pt>
                <c:pt idx="502">
                  <c:v>151.58168930871588</c:v>
                </c:pt>
                <c:pt idx="503">
                  <c:v>151.68418225162372</c:v>
                </c:pt>
                <c:pt idx="504">
                  <c:v>151.70783786966069</c:v>
                </c:pt>
                <c:pt idx="505">
                  <c:v>151.71900133182038</c:v>
                </c:pt>
                <c:pt idx="506">
                  <c:v>151.7419241997396</c:v>
                </c:pt>
                <c:pt idx="507">
                  <c:v>151.77246486454146</c:v>
                </c:pt>
                <c:pt idx="508">
                  <c:v>151.79670911496967</c:v>
                </c:pt>
                <c:pt idx="509">
                  <c:v>151.83073499656462</c:v>
                </c:pt>
                <c:pt idx="510">
                  <c:v>151.88957664053746</c:v>
                </c:pt>
                <c:pt idx="511">
                  <c:v>151.91640719168524</c:v>
                </c:pt>
                <c:pt idx="512">
                  <c:v>151.94879179452488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BE-4453-82D7-D0DFD8977D3B}"/>
            </c:ext>
          </c:extLst>
        </c:ser>
        <c:ser>
          <c:idx val="2"/>
          <c:order val="2"/>
          <c:tx>
            <c:strRef>
              <c:f>Data!$H$1</c:f>
              <c:strCache>
                <c:ptCount val="1"/>
                <c:pt idx="0">
                  <c:v>Plus 1 Sd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Data!$H$2:$H$514</c:f>
              <c:numCache>
                <c:formatCode>General</c:formatCode>
                <c:ptCount val="513"/>
                <c:pt idx="0">
                  <c:v>149.47999999999999</c:v>
                </c:pt>
                <c:pt idx="1">
                  <c:v>152.43243966470632</c:v>
                </c:pt>
                <c:pt idx="2">
                  <c:v>152.07225952355989</c:v>
                </c:pt>
                <c:pt idx="3">
                  <c:v>151.82433646161456</c:v>
                </c:pt>
                <c:pt idx="4">
                  <c:v>151.54668080855819</c:v>
                </c:pt>
                <c:pt idx="5">
                  <c:v>151.52262689999407</c:v>
                </c:pt>
                <c:pt idx="6">
                  <c:v>151.45502735741644</c:v>
                </c:pt>
                <c:pt idx="7">
                  <c:v>151.15379372470036</c:v>
                </c:pt>
                <c:pt idx="8">
                  <c:v>150.89482776697048</c:v>
                </c:pt>
                <c:pt idx="9">
                  <c:v>150.66325862215027</c:v>
                </c:pt>
                <c:pt idx="10">
                  <c:v>150.4766633840637</c:v>
                </c:pt>
                <c:pt idx="11">
                  <c:v>150.17602098787424</c:v>
                </c:pt>
                <c:pt idx="12">
                  <c:v>149.86735420847288</c:v>
                </c:pt>
                <c:pt idx="13">
                  <c:v>149.6353186789124</c:v>
                </c:pt>
                <c:pt idx="14">
                  <c:v>149.48215617249798</c:v>
                </c:pt>
                <c:pt idx="15">
                  <c:v>149.32313630129957</c:v>
                </c:pt>
                <c:pt idx="16">
                  <c:v>149.44271033646513</c:v>
                </c:pt>
                <c:pt idx="17">
                  <c:v>149.58890456453599</c:v>
                </c:pt>
                <c:pt idx="18">
                  <c:v>149.72710665414746</c:v>
                </c:pt>
                <c:pt idx="19">
                  <c:v>149.93843013238438</c:v>
                </c:pt>
                <c:pt idx="20">
                  <c:v>149.90574560032414</c:v>
                </c:pt>
                <c:pt idx="21">
                  <c:v>149.89017474884702</c:v>
                </c:pt>
                <c:pt idx="22">
                  <c:v>150.34422118515465</c:v>
                </c:pt>
                <c:pt idx="23">
                  <c:v>150.64212690701027</c:v>
                </c:pt>
                <c:pt idx="24">
                  <c:v>150.86028152081673</c:v>
                </c:pt>
                <c:pt idx="25">
                  <c:v>151.0368797424662</c:v>
                </c:pt>
                <c:pt idx="26">
                  <c:v>151.42541921642285</c:v>
                </c:pt>
                <c:pt idx="27">
                  <c:v>151.52640956745415</c:v>
                </c:pt>
                <c:pt idx="28">
                  <c:v>151.64903059067655</c:v>
                </c:pt>
                <c:pt idx="29">
                  <c:v>151.68354095508317</c:v>
                </c:pt>
                <c:pt idx="30">
                  <c:v>151.72403323276782</c:v>
                </c:pt>
                <c:pt idx="31">
                  <c:v>152.02663742822887</c:v>
                </c:pt>
                <c:pt idx="32">
                  <c:v>152.28358934024379</c:v>
                </c:pt>
                <c:pt idx="33">
                  <c:v>152.46368163346938</c:v>
                </c:pt>
                <c:pt idx="34">
                  <c:v>152.71381780529097</c:v>
                </c:pt>
                <c:pt idx="35">
                  <c:v>152.98741352945632</c:v>
                </c:pt>
                <c:pt idx="36">
                  <c:v>153.14726246259715</c:v>
                </c:pt>
                <c:pt idx="37">
                  <c:v>153.28926468688678</c:v>
                </c:pt>
                <c:pt idx="38">
                  <c:v>153.39021235571403</c:v>
                </c:pt>
                <c:pt idx="39">
                  <c:v>153.42107985520309</c:v>
                </c:pt>
                <c:pt idx="40">
                  <c:v>153.45751491208762</c:v>
                </c:pt>
                <c:pt idx="41">
                  <c:v>153.5071336802248</c:v>
                </c:pt>
                <c:pt idx="42">
                  <c:v>153.44215719545682</c:v>
                </c:pt>
                <c:pt idx="43">
                  <c:v>153.39898021083511</c:v>
                </c:pt>
                <c:pt idx="44">
                  <c:v>153.31862702984844</c:v>
                </c:pt>
                <c:pt idx="45">
                  <c:v>153.27511786657362</c:v>
                </c:pt>
                <c:pt idx="46">
                  <c:v>153.24226432091953</c:v>
                </c:pt>
                <c:pt idx="47">
                  <c:v>153.26284748139309</c:v>
                </c:pt>
                <c:pt idx="48">
                  <c:v>153.27260422646313</c:v>
                </c:pt>
                <c:pt idx="49">
                  <c:v>153.35980890176705</c:v>
                </c:pt>
                <c:pt idx="50">
                  <c:v>153.5332909692051</c:v>
                </c:pt>
                <c:pt idx="51">
                  <c:v>153.82701080102223</c:v>
                </c:pt>
                <c:pt idx="52">
                  <c:v>153.94184634659487</c:v>
                </c:pt>
                <c:pt idx="53">
                  <c:v>154.1077453807323</c:v>
                </c:pt>
                <c:pt idx="54">
                  <c:v>154.18831036081977</c:v>
                </c:pt>
                <c:pt idx="55">
                  <c:v>154.27089854765018</c:v>
                </c:pt>
                <c:pt idx="56">
                  <c:v>154.32619532575674</c:v>
                </c:pt>
                <c:pt idx="57">
                  <c:v>154.43976178931084</c:v>
                </c:pt>
                <c:pt idx="58">
                  <c:v>154.51299874759934</c:v>
                </c:pt>
                <c:pt idx="59">
                  <c:v>154.62701368419943</c:v>
                </c:pt>
                <c:pt idx="60">
                  <c:v>154.80098756397962</c:v>
                </c:pt>
                <c:pt idx="61">
                  <c:v>154.99310039771134</c:v>
                </c:pt>
                <c:pt idx="62">
                  <c:v>155.24433411842378</c:v>
                </c:pt>
                <c:pt idx="63">
                  <c:v>155.49525421092167</c:v>
                </c:pt>
                <c:pt idx="64">
                  <c:v>155.7669721218912</c:v>
                </c:pt>
                <c:pt idx="65">
                  <c:v>156.03338807115733</c:v>
                </c:pt>
                <c:pt idx="66">
                  <c:v>156.26709538358202</c:v>
                </c:pt>
                <c:pt idx="67">
                  <c:v>156.50645683677189</c:v>
                </c:pt>
                <c:pt idx="68">
                  <c:v>156.77718433925043</c:v>
                </c:pt>
                <c:pt idx="69">
                  <c:v>157.00410802457543</c:v>
                </c:pt>
                <c:pt idx="70">
                  <c:v>157.15716477889544</c:v>
                </c:pt>
                <c:pt idx="71">
                  <c:v>157.22346679061738</c:v>
                </c:pt>
                <c:pt idx="72">
                  <c:v>157.24526844809108</c:v>
                </c:pt>
                <c:pt idx="73">
                  <c:v>157.27654253713521</c:v>
                </c:pt>
                <c:pt idx="74">
                  <c:v>157.31771471303404</c:v>
                </c:pt>
                <c:pt idx="75">
                  <c:v>157.44736398063833</c:v>
                </c:pt>
                <c:pt idx="76">
                  <c:v>157.61974193759303</c:v>
                </c:pt>
                <c:pt idx="77">
                  <c:v>157.79687311756416</c:v>
                </c:pt>
                <c:pt idx="78">
                  <c:v>158.02230117786735</c:v>
                </c:pt>
                <c:pt idx="79">
                  <c:v>158.33893295450275</c:v>
                </c:pt>
                <c:pt idx="80">
                  <c:v>158.66549489451555</c:v>
                </c:pt>
                <c:pt idx="81">
                  <c:v>158.92974901831923</c:v>
                </c:pt>
                <c:pt idx="82">
                  <c:v>159.05458028708796</c:v>
                </c:pt>
                <c:pt idx="83">
                  <c:v>159.12623206952159</c:v>
                </c:pt>
                <c:pt idx="84">
                  <c:v>159.23057367596419</c:v>
                </c:pt>
                <c:pt idx="85">
                  <c:v>159.34801772880525</c:v>
                </c:pt>
                <c:pt idx="86">
                  <c:v>159.48428162006005</c:v>
                </c:pt>
                <c:pt idx="87">
                  <c:v>159.60698144474333</c:v>
                </c:pt>
                <c:pt idx="88">
                  <c:v>159.7202760835807</c:v>
                </c:pt>
                <c:pt idx="89">
                  <c:v>159.9072256189053</c:v>
                </c:pt>
                <c:pt idx="90">
                  <c:v>160.07903519071709</c:v>
                </c:pt>
                <c:pt idx="91">
                  <c:v>160.22949378570877</c:v>
                </c:pt>
                <c:pt idx="92">
                  <c:v>160.32803106367092</c:v>
                </c:pt>
                <c:pt idx="93">
                  <c:v>160.44214492256495</c:v>
                </c:pt>
                <c:pt idx="94">
                  <c:v>160.49947394231668</c:v>
                </c:pt>
                <c:pt idx="95">
                  <c:v>160.57671357253025</c:v>
                </c:pt>
                <c:pt idx="96">
                  <c:v>160.61868034736085</c:v>
                </c:pt>
                <c:pt idx="97">
                  <c:v>160.64080847181569</c:v>
                </c:pt>
                <c:pt idx="98">
                  <c:v>160.63937165793249</c:v>
                </c:pt>
                <c:pt idx="99">
                  <c:v>160.63218203397318</c:v>
                </c:pt>
                <c:pt idx="100">
                  <c:v>160.62553727551463</c:v>
                </c:pt>
                <c:pt idx="101">
                  <c:v>160.6464230692869</c:v>
                </c:pt>
                <c:pt idx="102">
                  <c:v>160.63629353077513</c:v>
                </c:pt>
                <c:pt idx="103">
                  <c:v>160.64319304314768</c:v>
                </c:pt>
                <c:pt idx="104">
                  <c:v>160.74839154876662</c:v>
                </c:pt>
                <c:pt idx="105">
                  <c:v>160.75336501118349</c:v>
                </c:pt>
                <c:pt idx="106">
                  <c:v>160.73640680055465</c:v>
                </c:pt>
                <c:pt idx="107">
                  <c:v>160.71095808566568</c:v>
                </c:pt>
                <c:pt idx="108">
                  <c:v>160.69111965250477</c:v>
                </c:pt>
                <c:pt idx="109">
                  <c:v>160.67371816148676</c:v>
                </c:pt>
                <c:pt idx="110">
                  <c:v>160.66485952567197</c:v>
                </c:pt>
                <c:pt idx="111">
                  <c:v>160.64964276214323</c:v>
                </c:pt>
                <c:pt idx="112">
                  <c:v>160.61891923357368</c:v>
                </c:pt>
                <c:pt idx="113">
                  <c:v>160.58461313608734</c:v>
                </c:pt>
                <c:pt idx="114">
                  <c:v>160.54988683286254</c:v>
                </c:pt>
                <c:pt idx="115">
                  <c:v>160.51734636556793</c:v>
                </c:pt>
                <c:pt idx="116">
                  <c:v>160.48489766337673</c:v>
                </c:pt>
                <c:pt idx="117">
                  <c:v>160.47948115550187</c:v>
                </c:pt>
                <c:pt idx="118">
                  <c:v>160.46911325067006</c:v>
                </c:pt>
                <c:pt idx="119">
                  <c:v>160.49533002460737</c:v>
                </c:pt>
                <c:pt idx="120">
                  <c:v>160.50220716617275</c:v>
                </c:pt>
                <c:pt idx="121">
                  <c:v>160.48964687506145</c:v>
                </c:pt>
                <c:pt idx="122">
                  <c:v>160.47596367502595</c:v>
                </c:pt>
                <c:pt idx="123">
                  <c:v>160.47272862805983</c:v>
                </c:pt>
                <c:pt idx="124">
                  <c:v>160.46072092030286</c:v>
                </c:pt>
                <c:pt idx="125">
                  <c:v>160.45373877938351</c:v>
                </c:pt>
                <c:pt idx="126">
                  <c:v>160.43897021499993</c:v>
                </c:pt>
                <c:pt idx="127">
                  <c:v>160.41463152903148</c:v>
                </c:pt>
                <c:pt idx="128">
                  <c:v>160.39118026134378</c:v>
                </c:pt>
                <c:pt idx="129">
                  <c:v>160.36390596606711</c:v>
                </c:pt>
                <c:pt idx="130">
                  <c:v>160.34440197851555</c:v>
                </c:pt>
                <c:pt idx="131">
                  <c:v>160.32713882579958</c:v>
                </c:pt>
                <c:pt idx="132">
                  <c:v>160.31128901414257</c:v>
                </c:pt>
                <c:pt idx="133">
                  <c:v>160.31323537940304</c:v>
                </c:pt>
                <c:pt idx="134">
                  <c:v>160.3162231191383</c:v>
                </c:pt>
                <c:pt idx="135">
                  <c:v>160.36294322298778</c:v>
                </c:pt>
                <c:pt idx="136">
                  <c:v>160.41507996962386</c:v>
                </c:pt>
                <c:pt idx="137">
                  <c:v>160.42945204256267</c:v>
                </c:pt>
                <c:pt idx="138">
                  <c:v>160.42177123299288</c:v>
                </c:pt>
                <c:pt idx="139">
                  <c:v>160.39849218492185</c:v>
                </c:pt>
                <c:pt idx="140">
                  <c:v>160.37989285930189</c:v>
                </c:pt>
                <c:pt idx="141">
                  <c:v>160.37634755696033</c:v>
                </c:pt>
                <c:pt idx="142">
                  <c:v>160.37463354906927</c:v>
                </c:pt>
                <c:pt idx="143">
                  <c:v>160.36407526586055</c:v>
                </c:pt>
                <c:pt idx="144">
                  <c:v>160.37967543231551</c:v>
                </c:pt>
                <c:pt idx="145">
                  <c:v>160.40696541021228</c:v>
                </c:pt>
                <c:pt idx="146">
                  <c:v>160.35903930772369</c:v>
                </c:pt>
                <c:pt idx="147">
                  <c:v>160.29751559796034</c:v>
                </c:pt>
                <c:pt idx="148">
                  <c:v>160.23756024053344</c:v>
                </c:pt>
                <c:pt idx="149">
                  <c:v>160.21419500843797</c:v>
                </c:pt>
                <c:pt idx="150">
                  <c:v>160.20319656332012</c:v>
                </c:pt>
                <c:pt idx="151">
                  <c:v>160.1883339186879</c:v>
                </c:pt>
                <c:pt idx="152">
                  <c:v>160.16857769514934</c:v>
                </c:pt>
                <c:pt idx="153">
                  <c:v>160.14176955671527</c:v>
                </c:pt>
                <c:pt idx="154">
                  <c:v>160.12386811015398</c:v>
                </c:pt>
                <c:pt idx="155">
                  <c:v>160.11726408048236</c:v>
                </c:pt>
                <c:pt idx="156">
                  <c:v>160.09600497046753</c:v>
                </c:pt>
                <c:pt idx="157">
                  <c:v>160.06967478611176</c:v>
                </c:pt>
                <c:pt idx="158">
                  <c:v>160.04975752685868</c:v>
                </c:pt>
                <c:pt idx="159">
                  <c:v>160.02813654237985</c:v>
                </c:pt>
                <c:pt idx="160">
                  <c:v>160.0137695008159</c:v>
                </c:pt>
                <c:pt idx="161">
                  <c:v>160.00972047518377</c:v>
                </c:pt>
                <c:pt idx="162">
                  <c:v>159.99169464406597</c:v>
                </c:pt>
                <c:pt idx="163">
                  <c:v>159.96687918207735</c:v>
                </c:pt>
                <c:pt idx="164">
                  <c:v>159.94940670579393</c:v>
                </c:pt>
                <c:pt idx="165">
                  <c:v>159.93231047574926</c:v>
                </c:pt>
                <c:pt idx="166">
                  <c:v>159.91593466436299</c:v>
                </c:pt>
                <c:pt idx="167">
                  <c:v>159.88875180626769</c:v>
                </c:pt>
                <c:pt idx="168">
                  <c:v>159.86047546249682</c:v>
                </c:pt>
                <c:pt idx="169">
                  <c:v>159.82682933489571</c:v>
                </c:pt>
                <c:pt idx="170">
                  <c:v>159.8021544079501</c:v>
                </c:pt>
                <c:pt idx="171">
                  <c:v>159.80863229992008</c:v>
                </c:pt>
                <c:pt idx="172">
                  <c:v>159.77922569573718</c:v>
                </c:pt>
                <c:pt idx="173">
                  <c:v>159.77977613256402</c:v>
                </c:pt>
                <c:pt idx="174">
                  <c:v>159.76550740049075</c:v>
                </c:pt>
                <c:pt idx="175">
                  <c:v>159.77093897828246</c:v>
                </c:pt>
                <c:pt idx="176">
                  <c:v>159.77106462958008</c:v>
                </c:pt>
                <c:pt idx="177">
                  <c:v>159.75323914034476</c:v>
                </c:pt>
                <c:pt idx="178">
                  <c:v>159.72611995313903</c:v>
                </c:pt>
                <c:pt idx="179">
                  <c:v>159.70467433327747</c:v>
                </c:pt>
                <c:pt idx="180">
                  <c:v>159.67383323575697</c:v>
                </c:pt>
                <c:pt idx="181">
                  <c:v>159.56101534103186</c:v>
                </c:pt>
                <c:pt idx="182">
                  <c:v>159.53040203290951</c:v>
                </c:pt>
                <c:pt idx="183">
                  <c:v>159.50344838207943</c:v>
                </c:pt>
                <c:pt idx="184">
                  <c:v>159.47177342292719</c:v>
                </c:pt>
                <c:pt idx="185">
                  <c:v>159.44422067820065</c:v>
                </c:pt>
                <c:pt idx="186">
                  <c:v>159.40962873924337</c:v>
                </c:pt>
                <c:pt idx="187">
                  <c:v>159.37754150126054</c:v>
                </c:pt>
                <c:pt idx="188">
                  <c:v>159.34530734617613</c:v>
                </c:pt>
                <c:pt idx="189">
                  <c:v>159.32022202820249</c:v>
                </c:pt>
                <c:pt idx="190">
                  <c:v>159.29792139995345</c:v>
                </c:pt>
                <c:pt idx="191">
                  <c:v>159.27271521441338</c:v>
                </c:pt>
                <c:pt idx="192">
                  <c:v>159.25102772550136</c:v>
                </c:pt>
                <c:pt idx="193">
                  <c:v>159.22590116553687</c:v>
                </c:pt>
                <c:pt idx="194">
                  <c:v>159.20353690589766</c:v>
                </c:pt>
                <c:pt idx="195">
                  <c:v>159.18305640987967</c:v>
                </c:pt>
                <c:pt idx="196">
                  <c:v>159.16336603824575</c:v>
                </c:pt>
                <c:pt idx="197">
                  <c:v>159.14504948008235</c:v>
                </c:pt>
                <c:pt idx="198">
                  <c:v>159.11780500298107</c:v>
                </c:pt>
                <c:pt idx="199">
                  <c:v>159.09736511188768</c:v>
                </c:pt>
                <c:pt idx="200">
                  <c:v>159.07645971174421</c:v>
                </c:pt>
                <c:pt idx="201">
                  <c:v>159.05601418234772</c:v>
                </c:pt>
                <c:pt idx="202">
                  <c:v>159.03607423107928</c:v>
                </c:pt>
                <c:pt idx="203">
                  <c:v>159.01699833129967</c:v>
                </c:pt>
                <c:pt idx="204">
                  <c:v>158.99644911514827</c:v>
                </c:pt>
                <c:pt idx="205">
                  <c:v>158.97569184496186</c:v>
                </c:pt>
                <c:pt idx="206">
                  <c:v>158.95428341197177</c:v>
                </c:pt>
                <c:pt idx="207">
                  <c:v>158.9298109849868</c:v>
                </c:pt>
                <c:pt idx="208">
                  <c:v>158.90628858137359</c:v>
                </c:pt>
                <c:pt idx="209">
                  <c:v>158.88331091418192</c:v>
                </c:pt>
                <c:pt idx="210">
                  <c:v>158.85490234913308</c:v>
                </c:pt>
                <c:pt idx="211">
                  <c:v>158.8444488714095</c:v>
                </c:pt>
                <c:pt idx="212">
                  <c:v>158.83571261473534</c:v>
                </c:pt>
                <c:pt idx="213">
                  <c:v>158.82446470094396</c:v>
                </c:pt>
                <c:pt idx="214">
                  <c:v>158.85736116079752</c:v>
                </c:pt>
                <c:pt idx="215">
                  <c:v>158.86942625558623</c:v>
                </c:pt>
                <c:pt idx="216">
                  <c:v>158.87696971910387</c:v>
                </c:pt>
                <c:pt idx="217">
                  <c:v>158.88576905221299</c:v>
                </c:pt>
                <c:pt idx="218">
                  <c:v>158.88274895111502</c:v>
                </c:pt>
                <c:pt idx="219">
                  <c:v>158.91297941672534</c:v>
                </c:pt>
                <c:pt idx="220">
                  <c:v>158.98192166484355</c:v>
                </c:pt>
                <c:pt idx="221">
                  <c:v>159.03964208278103</c:v>
                </c:pt>
                <c:pt idx="222">
                  <c:v>159.07550641600355</c:v>
                </c:pt>
                <c:pt idx="223">
                  <c:v>159.09522951214052</c:v>
                </c:pt>
                <c:pt idx="224">
                  <c:v>159.13696929771069</c:v>
                </c:pt>
                <c:pt idx="225">
                  <c:v>159.18896145394493</c:v>
                </c:pt>
                <c:pt idx="226">
                  <c:v>159.24287051435331</c:v>
                </c:pt>
                <c:pt idx="227">
                  <c:v>159.29269398894968</c:v>
                </c:pt>
                <c:pt idx="228">
                  <c:v>159.34890083533654</c:v>
                </c:pt>
                <c:pt idx="229">
                  <c:v>159.40159541451595</c:v>
                </c:pt>
                <c:pt idx="230">
                  <c:v>159.43861288873833</c:v>
                </c:pt>
                <c:pt idx="231">
                  <c:v>159.48356518234712</c:v>
                </c:pt>
                <c:pt idx="232">
                  <c:v>159.52360382332881</c:v>
                </c:pt>
                <c:pt idx="233">
                  <c:v>159.54104080583619</c:v>
                </c:pt>
                <c:pt idx="234">
                  <c:v>159.56104303391024</c:v>
                </c:pt>
                <c:pt idx="235">
                  <c:v>159.55998627938916</c:v>
                </c:pt>
                <c:pt idx="236">
                  <c:v>159.57136522573447</c:v>
                </c:pt>
                <c:pt idx="237">
                  <c:v>159.58136918066785</c:v>
                </c:pt>
                <c:pt idx="238">
                  <c:v>159.59337411109308</c:v>
                </c:pt>
                <c:pt idx="239">
                  <c:v>159.58686671129041</c:v>
                </c:pt>
                <c:pt idx="240">
                  <c:v>159.57579560763585</c:v>
                </c:pt>
                <c:pt idx="241">
                  <c:v>159.54347401565232</c:v>
                </c:pt>
                <c:pt idx="242">
                  <c:v>159.50740984278067</c:v>
                </c:pt>
                <c:pt idx="243">
                  <c:v>159.47336216625405</c:v>
                </c:pt>
                <c:pt idx="244">
                  <c:v>159.40392336373287</c:v>
                </c:pt>
                <c:pt idx="245">
                  <c:v>159.25676447004264</c:v>
                </c:pt>
                <c:pt idx="246">
                  <c:v>159.23560242180483</c:v>
                </c:pt>
                <c:pt idx="247">
                  <c:v>159.23365199385753</c:v>
                </c:pt>
                <c:pt idx="248">
                  <c:v>159.22664154161635</c:v>
                </c:pt>
                <c:pt idx="249">
                  <c:v>159.21574549552489</c:v>
                </c:pt>
                <c:pt idx="250">
                  <c:v>159.20315719154866</c:v>
                </c:pt>
                <c:pt idx="251">
                  <c:v>159.18636910819453</c:v>
                </c:pt>
                <c:pt idx="252">
                  <c:v>159.16403551035461</c:v>
                </c:pt>
                <c:pt idx="253">
                  <c:v>159.14521550192632</c:v>
                </c:pt>
                <c:pt idx="254">
                  <c:v>159.12644641664875</c:v>
                </c:pt>
                <c:pt idx="255">
                  <c:v>159.10549079689093</c:v>
                </c:pt>
                <c:pt idx="256">
                  <c:v>159.08622791687813</c:v>
                </c:pt>
                <c:pt idx="257">
                  <c:v>159.07674820793082</c:v>
                </c:pt>
                <c:pt idx="258">
                  <c:v>159.08202596910252</c:v>
                </c:pt>
                <c:pt idx="259">
                  <c:v>159.08856416135757</c:v>
                </c:pt>
                <c:pt idx="260">
                  <c:v>159.10670075463131</c:v>
                </c:pt>
                <c:pt idx="261">
                  <c:v>159.12463156283252</c:v>
                </c:pt>
                <c:pt idx="262">
                  <c:v>159.17286549691775</c:v>
                </c:pt>
                <c:pt idx="263">
                  <c:v>159.19562058086063</c:v>
                </c:pt>
                <c:pt idx="264">
                  <c:v>159.19948867680503</c:v>
                </c:pt>
                <c:pt idx="265">
                  <c:v>159.19921005319114</c:v>
                </c:pt>
                <c:pt idx="266">
                  <c:v>159.20014759104799</c:v>
                </c:pt>
                <c:pt idx="267">
                  <c:v>159.2082605056313</c:v>
                </c:pt>
                <c:pt idx="268">
                  <c:v>159.20953712016203</c:v>
                </c:pt>
                <c:pt idx="269">
                  <c:v>159.20726219757998</c:v>
                </c:pt>
                <c:pt idx="270">
                  <c:v>159.20987730951734</c:v>
                </c:pt>
                <c:pt idx="271">
                  <c:v>159.17430328397484</c:v>
                </c:pt>
                <c:pt idx="272">
                  <c:v>159.15452453315697</c:v>
                </c:pt>
                <c:pt idx="273">
                  <c:v>159.14469137203832</c:v>
                </c:pt>
                <c:pt idx="274">
                  <c:v>159.13379315029871</c:v>
                </c:pt>
                <c:pt idx="275">
                  <c:v>159.12012914475645</c:v>
                </c:pt>
                <c:pt idx="276">
                  <c:v>159.10841508409044</c:v>
                </c:pt>
                <c:pt idx="277">
                  <c:v>159.10680261746955</c:v>
                </c:pt>
                <c:pt idx="278">
                  <c:v>159.1135531898241</c:v>
                </c:pt>
                <c:pt idx="279">
                  <c:v>159.10960611232264</c:v>
                </c:pt>
                <c:pt idx="280">
                  <c:v>159.1115082068111</c:v>
                </c:pt>
                <c:pt idx="281">
                  <c:v>159.1083754721806</c:v>
                </c:pt>
                <c:pt idx="282">
                  <c:v>159.10883132369727</c:v>
                </c:pt>
                <c:pt idx="283">
                  <c:v>159.11217845869186</c:v>
                </c:pt>
                <c:pt idx="284">
                  <c:v>159.12667369552116</c:v>
                </c:pt>
                <c:pt idx="285">
                  <c:v>159.13176572176459</c:v>
                </c:pt>
                <c:pt idx="286">
                  <c:v>159.14021335313794</c:v>
                </c:pt>
                <c:pt idx="287">
                  <c:v>159.14293304547692</c:v>
                </c:pt>
                <c:pt idx="288">
                  <c:v>159.1391322850545</c:v>
                </c:pt>
                <c:pt idx="289">
                  <c:v>159.14420335147733</c:v>
                </c:pt>
                <c:pt idx="290">
                  <c:v>159.16370161162138</c:v>
                </c:pt>
                <c:pt idx="291">
                  <c:v>159.15372917761061</c:v>
                </c:pt>
                <c:pt idx="292">
                  <c:v>159.14000240216814</c:v>
                </c:pt>
                <c:pt idx="293">
                  <c:v>159.12255064848927</c:v>
                </c:pt>
                <c:pt idx="294">
                  <c:v>159.11219657273307</c:v>
                </c:pt>
                <c:pt idx="295">
                  <c:v>159.11705500164527</c:v>
                </c:pt>
                <c:pt idx="296">
                  <c:v>159.13526617881493</c:v>
                </c:pt>
                <c:pt idx="297">
                  <c:v>159.13019409844637</c:v>
                </c:pt>
                <c:pt idx="298">
                  <c:v>159.11883171028418</c:v>
                </c:pt>
                <c:pt idx="299">
                  <c:v>159.11114683416446</c:v>
                </c:pt>
                <c:pt idx="300">
                  <c:v>159.11618373014372</c:v>
                </c:pt>
                <c:pt idx="301">
                  <c:v>159.13243574110945</c:v>
                </c:pt>
                <c:pt idx="302">
                  <c:v>159.16798084436874</c:v>
                </c:pt>
                <c:pt idx="303">
                  <c:v>159.24170135715059</c:v>
                </c:pt>
                <c:pt idx="304">
                  <c:v>159.31256176462855</c:v>
                </c:pt>
                <c:pt idx="305">
                  <c:v>159.44074575656114</c:v>
                </c:pt>
                <c:pt idx="306">
                  <c:v>159.50472756609463</c:v>
                </c:pt>
                <c:pt idx="307">
                  <c:v>159.57566111841484</c:v>
                </c:pt>
                <c:pt idx="308">
                  <c:v>159.67950565195616</c:v>
                </c:pt>
                <c:pt idx="309">
                  <c:v>159.74986627960681</c:v>
                </c:pt>
                <c:pt idx="310">
                  <c:v>159.80414678360373</c:v>
                </c:pt>
                <c:pt idx="311">
                  <c:v>159.90046204699178</c:v>
                </c:pt>
                <c:pt idx="312">
                  <c:v>159.98313889843718</c:v>
                </c:pt>
                <c:pt idx="313">
                  <c:v>160.04928607571324</c:v>
                </c:pt>
                <c:pt idx="314">
                  <c:v>160.05633414161383</c:v>
                </c:pt>
                <c:pt idx="315">
                  <c:v>159.98926023774186</c:v>
                </c:pt>
                <c:pt idx="316">
                  <c:v>159.92954370578488</c:v>
                </c:pt>
                <c:pt idx="317">
                  <c:v>159.9028679325219</c:v>
                </c:pt>
                <c:pt idx="318">
                  <c:v>159.85836003393626</c:v>
                </c:pt>
                <c:pt idx="319">
                  <c:v>159.78072133026421</c:v>
                </c:pt>
                <c:pt idx="320">
                  <c:v>159.72884273374885</c:v>
                </c:pt>
                <c:pt idx="321">
                  <c:v>159.72891337922019</c:v>
                </c:pt>
                <c:pt idx="322">
                  <c:v>159.73366244076416</c:v>
                </c:pt>
                <c:pt idx="323">
                  <c:v>159.73810553809005</c:v>
                </c:pt>
                <c:pt idx="324">
                  <c:v>159.73250551030995</c:v>
                </c:pt>
                <c:pt idx="325">
                  <c:v>159.73360048674189</c:v>
                </c:pt>
                <c:pt idx="326">
                  <c:v>159.73134279200676</c:v>
                </c:pt>
                <c:pt idx="327">
                  <c:v>159.71879751192998</c:v>
                </c:pt>
                <c:pt idx="328">
                  <c:v>159.71073512423655</c:v>
                </c:pt>
                <c:pt idx="329">
                  <c:v>159.7078446999501</c:v>
                </c:pt>
                <c:pt idx="330">
                  <c:v>159.70101740473646</c:v>
                </c:pt>
                <c:pt idx="331">
                  <c:v>159.69323979269143</c:v>
                </c:pt>
                <c:pt idx="332">
                  <c:v>159.65715539913163</c:v>
                </c:pt>
                <c:pt idx="333">
                  <c:v>159.64230908509006</c:v>
                </c:pt>
                <c:pt idx="334">
                  <c:v>159.61035590700894</c:v>
                </c:pt>
                <c:pt idx="335">
                  <c:v>159.60046710042502</c:v>
                </c:pt>
                <c:pt idx="336">
                  <c:v>159.58818162543551</c:v>
                </c:pt>
                <c:pt idx="337">
                  <c:v>159.58366628857806</c:v>
                </c:pt>
                <c:pt idx="338">
                  <c:v>159.57316274271932</c:v>
                </c:pt>
                <c:pt idx="339">
                  <c:v>159.57170974709481</c:v>
                </c:pt>
                <c:pt idx="340">
                  <c:v>159.55383399152061</c:v>
                </c:pt>
                <c:pt idx="341">
                  <c:v>159.53330064272762</c:v>
                </c:pt>
                <c:pt idx="342">
                  <c:v>159.52107133396984</c:v>
                </c:pt>
                <c:pt idx="343">
                  <c:v>159.50397342116605</c:v>
                </c:pt>
                <c:pt idx="344">
                  <c:v>159.48475032536274</c:v>
                </c:pt>
                <c:pt idx="345">
                  <c:v>159.47379611168324</c:v>
                </c:pt>
                <c:pt idx="346">
                  <c:v>159.47211403321771</c:v>
                </c:pt>
                <c:pt idx="347">
                  <c:v>159.461455340057</c:v>
                </c:pt>
                <c:pt idx="348">
                  <c:v>159.45231839074293</c:v>
                </c:pt>
                <c:pt idx="349">
                  <c:v>159.44903677442827</c:v>
                </c:pt>
                <c:pt idx="350">
                  <c:v>159.43509949170127</c:v>
                </c:pt>
                <c:pt idx="351">
                  <c:v>159.43360909014865</c:v>
                </c:pt>
                <c:pt idx="352">
                  <c:v>159.42273040629973</c:v>
                </c:pt>
                <c:pt idx="353">
                  <c:v>159.38750149835099</c:v>
                </c:pt>
                <c:pt idx="354">
                  <c:v>159.36925431471946</c:v>
                </c:pt>
                <c:pt idx="355">
                  <c:v>159.34854208916701</c:v>
                </c:pt>
                <c:pt idx="356">
                  <c:v>159.33259406913885</c:v>
                </c:pt>
                <c:pt idx="357">
                  <c:v>159.32927357870213</c:v>
                </c:pt>
                <c:pt idx="358">
                  <c:v>159.3167810247196</c:v>
                </c:pt>
                <c:pt idx="359">
                  <c:v>159.3011227680515</c:v>
                </c:pt>
                <c:pt idx="360">
                  <c:v>159.27583887033038</c:v>
                </c:pt>
                <c:pt idx="361">
                  <c:v>159.25292873399846</c:v>
                </c:pt>
                <c:pt idx="362">
                  <c:v>159.23501712536446</c:v>
                </c:pt>
                <c:pt idx="363">
                  <c:v>159.20464269993562</c:v>
                </c:pt>
                <c:pt idx="364">
                  <c:v>159.1817806761934</c:v>
                </c:pt>
                <c:pt idx="365">
                  <c:v>159.16353048596517</c:v>
                </c:pt>
                <c:pt idx="366">
                  <c:v>159.14505851584124</c:v>
                </c:pt>
                <c:pt idx="367">
                  <c:v>159.12263037888167</c:v>
                </c:pt>
                <c:pt idx="368">
                  <c:v>159.10098081379505</c:v>
                </c:pt>
                <c:pt idx="369">
                  <c:v>159.07462261878271</c:v>
                </c:pt>
                <c:pt idx="370">
                  <c:v>159.05685694176086</c:v>
                </c:pt>
                <c:pt idx="371">
                  <c:v>159.03880159973164</c:v>
                </c:pt>
                <c:pt idx="372">
                  <c:v>159.01660354784079</c:v>
                </c:pt>
                <c:pt idx="373">
                  <c:v>158.9999872024876</c:v>
                </c:pt>
                <c:pt idx="374">
                  <c:v>158.9803809850728</c:v>
                </c:pt>
                <c:pt idx="375">
                  <c:v>158.96391209935604</c:v>
                </c:pt>
                <c:pt idx="376">
                  <c:v>158.95066919067267</c:v>
                </c:pt>
                <c:pt idx="377">
                  <c:v>158.93211031876785</c:v>
                </c:pt>
                <c:pt idx="378">
                  <c:v>158.93239771293642</c:v>
                </c:pt>
                <c:pt idx="379">
                  <c:v>158.92851187109619</c:v>
                </c:pt>
                <c:pt idx="380">
                  <c:v>158.9277577623638</c:v>
                </c:pt>
                <c:pt idx="381">
                  <c:v>158.93113213419204</c:v>
                </c:pt>
                <c:pt idx="382">
                  <c:v>158.92301050148563</c:v>
                </c:pt>
                <c:pt idx="383">
                  <c:v>158.91211238772286</c:v>
                </c:pt>
                <c:pt idx="384">
                  <c:v>158.8995991813961</c:v>
                </c:pt>
                <c:pt idx="385">
                  <c:v>158.89038826464261</c:v>
                </c:pt>
                <c:pt idx="386">
                  <c:v>158.86708960938768</c:v>
                </c:pt>
                <c:pt idx="387">
                  <c:v>158.8503152914335</c:v>
                </c:pt>
                <c:pt idx="388">
                  <c:v>158.83312339985349</c:v>
                </c:pt>
                <c:pt idx="389">
                  <c:v>158.8320962784654</c:v>
                </c:pt>
                <c:pt idx="390">
                  <c:v>158.8481673278516</c:v>
                </c:pt>
                <c:pt idx="391">
                  <c:v>158.84903893047382</c:v>
                </c:pt>
                <c:pt idx="392">
                  <c:v>158.85656845878367</c:v>
                </c:pt>
                <c:pt idx="393">
                  <c:v>158.86305279128084</c:v>
                </c:pt>
                <c:pt idx="394">
                  <c:v>158.86073986008114</c:v>
                </c:pt>
                <c:pt idx="395">
                  <c:v>158.85271585971586</c:v>
                </c:pt>
                <c:pt idx="396">
                  <c:v>158.84404274302867</c:v>
                </c:pt>
                <c:pt idx="397">
                  <c:v>158.83429695428299</c:v>
                </c:pt>
                <c:pt idx="398">
                  <c:v>158.82996662016424</c:v>
                </c:pt>
                <c:pt idx="399">
                  <c:v>158.82448144411944</c:v>
                </c:pt>
                <c:pt idx="400">
                  <c:v>158.81922508271353</c:v>
                </c:pt>
                <c:pt idx="401">
                  <c:v>158.81878443397963</c:v>
                </c:pt>
                <c:pt idx="402">
                  <c:v>158.81402311850741</c:v>
                </c:pt>
                <c:pt idx="403">
                  <c:v>158.81227266689859</c:v>
                </c:pt>
                <c:pt idx="404">
                  <c:v>158.8148172943261</c:v>
                </c:pt>
                <c:pt idx="405">
                  <c:v>158.81600392637552</c:v>
                </c:pt>
                <c:pt idx="406">
                  <c:v>158.82882197703645</c:v>
                </c:pt>
                <c:pt idx="407">
                  <c:v>158.83148508416718</c:v>
                </c:pt>
                <c:pt idx="408">
                  <c:v>158.82426727941137</c:v>
                </c:pt>
                <c:pt idx="409">
                  <c:v>158.82015694830295</c:v>
                </c:pt>
                <c:pt idx="410">
                  <c:v>158.82277959095828</c:v>
                </c:pt>
                <c:pt idx="411">
                  <c:v>158.83851860780143</c:v>
                </c:pt>
                <c:pt idx="412">
                  <c:v>158.85007001123856</c:v>
                </c:pt>
                <c:pt idx="413">
                  <c:v>158.86401431639749</c:v>
                </c:pt>
                <c:pt idx="414">
                  <c:v>158.88080505480201</c:v>
                </c:pt>
                <c:pt idx="415">
                  <c:v>158.89556641216817</c:v>
                </c:pt>
                <c:pt idx="416">
                  <c:v>158.91702006151499</c:v>
                </c:pt>
                <c:pt idx="417">
                  <c:v>158.95041276668911</c:v>
                </c:pt>
                <c:pt idx="418">
                  <c:v>158.96568812392135</c:v>
                </c:pt>
                <c:pt idx="419">
                  <c:v>158.97496376139443</c:v>
                </c:pt>
                <c:pt idx="420">
                  <c:v>158.97370143847212</c:v>
                </c:pt>
                <c:pt idx="421">
                  <c:v>158.97250587290469</c:v>
                </c:pt>
                <c:pt idx="422">
                  <c:v>158.97254393899252</c:v>
                </c:pt>
                <c:pt idx="423">
                  <c:v>158.98239456064977</c:v>
                </c:pt>
                <c:pt idx="424">
                  <c:v>158.99202040591635</c:v>
                </c:pt>
                <c:pt idx="425">
                  <c:v>158.99612202691836</c:v>
                </c:pt>
                <c:pt idx="426">
                  <c:v>158.99997119078961</c:v>
                </c:pt>
                <c:pt idx="427">
                  <c:v>159.01812694270072</c:v>
                </c:pt>
                <c:pt idx="428">
                  <c:v>159.03319699423042</c:v>
                </c:pt>
                <c:pt idx="429">
                  <c:v>159.04438517853112</c:v>
                </c:pt>
                <c:pt idx="430">
                  <c:v>159.060462852218</c:v>
                </c:pt>
                <c:pt idx="431">
                  <c:v>159.06079899422863</c:v>
                </c:pt>
                <c:pt idx="432">
                  <c:v>159.06825872884463</c:v>
                </c:pt>
                <c:pt idx="433">
                  <c:v>159.0805730204859</c:v>
                </c:pt>
                <c:pt idx="434">
                  <c:v>159.09919853351889</c:v>
                </c:pt>
                <c:pt idx="435">
                  <c:v>159.11700146468067</c:v>
                </c:pt>
                <c:pt idx="436">
                  <c:v>159.12117777266263</c:v>
                </c:pt>
                <c:pt idx="437">
                  <c:v>159.12202971252225</c:v>
                </c:pt>
                <c:pt idx="438">
                  <c:v>159.11993989118966</c:v>
                </c:pt>
                <c:pt idx="439">
                  <c:v>159.11534885975001</c:v>
                </c:pt>
                <c:pt idx="440">
                  <c:v>159.11103964792719</c:v>
                </c:pt>
                <c:pt idx="441">
                  <c:v>159.10622968292898</c:v>
                </c:pt>
                <c:pt idx="442">
                  <c:v>159.10385171379215</c:v>
                </c:pt>
                <c:pt idx="443">
                  <c:v>159.09909905141805</c:v>
                </c:pt>
                <c:pt idx="444">
                  <c:v>159.09080593493749</c:v>
                </c:pt>
                <c:pt idx="445">
                  <c:v>159.07833960721291</c:v>
                </c:pt>
                <c:pt idx="446">
                  <c:v>159.07055601780726</c:v>
                </c:pt>
                <c:pt idx="447">
                  <c:v>159.06362905927261</c:v>
                </c:pt>
                <c:pt idx="448">
                  <c:v>159.05614017759328</c:v>
                </c:pt>
                <c:pt idx="449">
                  <c:v>159.04805109957201</c:v>
                </c:pt>
                <c:pt idx="450">
                  <c:v>159.04304913501156</c:v>
                </c:pt>
                <c:pt idx="451">
                  <c:v>159.04001811025313</c:v>
                </c:pt>
                <c:pt idx="452">
                  <c:v>159.03592059969992</c:v>
                </c:pt>
                <c:pt idx="453">
                  <c:v>159.03586531792078</c:v>
                </c:pt>
                <c:pt idx="454">
                  <c:v>159.04353448260733</c:v>
                </c:pt>
                <c:pt idx="455">
                  <c:v>159.0423057121676</c:v>
                </c:pt>
                <c:pt idx="456">
                  <c:v>159.04034858322498</c:v>
                </c:pt>
                <c:pt idx="457">
                  <c:v>159.03618046782634</c:v>
                </c:pt>
                <c:pt idx="458">
                  <c:v>159.03612807772004</c:v>
                </c:pt>
                <c:pt idx="459">
                  <c:v>159.03285711993823</c:v>
                </c:pt>
                <c:pt idx="460">
                  <c:v>159.04715417786207</c:v>
                </c:pt>
                <c:pt idx="461">
                  <c:v>159.04501674831502</c:v>
                </c:pt>
                <c:pt idx="462">
                  <c:v>159.04043466222637</c:v>
                </c:pt>
                <c:pt idx="463">
                  <c:v>159.03406699661272</c:v>
                </c:pt>
                <c:pt idx="464">
                  <c:v>159.02839569863309</c:v>
                </c:pt>
                <c:pt idx="465">
                  <c:v>159.03028134502887</c:v>
                </c:pt>
                <c:pt idx="466">
                  <c:v>159.03286142548279</c:v>
                </c:pt>
                <c:pt idx="467">
                  <c:v>159.03487459025595</c:v>
                </c:pt>
                <c:pt idx="468">
                  <c:v>159.03221203289471</c:v>
                </c:pt>
                <c:pt idx="469">
                  <c:v>159.0340701541927</c:v>
                </c:pt>
                <c:pt idx="470">
                  <c:v>159.04340510459755</c:v>
                </c:pt>
                <c:pt idx="471">
                  <c:v>159.04360456659523</c:v>
                </c:pt>
                <c:pt idx="472">
                  <c:v>159.04145398888505</c:v>
                </c:pt>
                <c:pt idx="473">
                  <c:v>159.03376472389056</c:v>
                </c:pt>
                <c:pt idx="474">
                  <c:v>159.023896323049</c:v>
                </c:pt>
                <c:pt idx="475">
                  <c:v>159.01291918323261</c:v>
                </c:pt>
                <c:pt idx="476">
                  <c:v>158.99920373268267</c:v>
                </c:pt>
                <c:pt idx="477">
                  <c:v>158.98442455443299</c:v>
                </c:pt>
                <c:pt idx="478">
                  <c:v>158.97372144781093</c:v>
                </c:pt>
                <c:pt idx="479">
                  <c:v>158.96575267959727</c:v>
                </c:pt>
                <c:pt idx="480">
                  <c:v>158.95998865946646</c:v>
                </c:pt>
                <c:pt idx="481">
                  <c:v>158.94971910574588</c:v>
                </c:pt>
                <c:pt idx="482">
                  <c:v>158.94208999452223</c:v>
                </c:pt>
                <c:pt idx="483">
                  <c:v>158.93565528898813</c:v>
                </c:pt>
                <c:pt idx="484">
                  <c:v>158.92363152808062</c:v>
                </c:pt>
                <c:pt idx="485">
                  <c:v>158.91040934560451</c:v>
                </c:pt>
                <c:pt idx="486">
                  <c:v>158.89792941491959</c:v>
                </c:pt>
                <c:pt idx="487">
                  <c:v>158.88996291507735</c:v>
                </c:pt>
                <c:pt idx="488">
                  <c:v>158.88095051622503</c:v>
                </c:pt>
                <c:pt idx="489">
                  <c:v>158.87186584511898</c:v>
                </c:pt>
                <c:pt idx="490">
                  <c:v>158.86191412785448</c:v>
                </c:pt>
                <c:pt idx="491">
                  <c:v>158.84521296810647</c:v>
                </c:pt>
                <c:pt idx="492">
                  <c:v>158.83435410327598</c:v>
                </c:pt>
                <c:pt idx="493">
                  <c:v>158.82314418593486</c:v>
                </c:pt>
                <c:pt idx="494">
                  <c:v>158.79828693217672</c:v>
                </c:pt>
                <c:pt idx="495">
                  <c:v>158.78826221420175</c:v>
                </c:pt>
                <c:pt idx="496">
                  <c:v>158.78016870471154</c:v>
                </c:pt>
                <c:pt idx="497">
                  <c:v>158.77272297323074</c:v>
                </c:pt>
                <c:pt idx="498">
                  <c:v>158.7647337033703</c:v>
                </c:pt>
                <c:pt idx="499">
                  <c:v>158.75693129014459</c:v>
                </c:pt>
                <c:pt idx="500">
                  <c:v>158.75067696581038</c:v>
                </c:pt>
                <c:pt idx="501">
                  <c:v>158.74453258893473</c:v>
                </c:pt>
                <c:pt idx="502">
                  <c:v>158.74650342565076</c:v>
                </c:pt>
                <c:pt idx="503">
                  <c:v>158.86086097979577</c:v>
                </c:pt>
                <c:pt idx="504">
                  <c:v>158.88005956841408</c:v>
                </c:pt>
                <c:pt idx="505">
                  <c:v>158.88540286791795</c:v>
                </c:pt>
                <c:pt idx="506">
                  <c:v>158.90814735090521</c:v>
                </c:pt>
                <c:pt idx="507">
                  <c:v>158.94514371729892</c:v>
                </c:pt>
                <c:pt idx="508">
                  <c:v>158.9763892971842</c:v>
                </c:pt>
                <c:pt idx="509">
                  <c:v>159.02186048254345</c:v>
                </c:pt>
                <c:pt idx="510">
                  <c:v>159.10416674575984</c:v>
                </c:pt>
                <c:pt idx="511">
                  <c:v>159.14997880332544</c:v>
                </c:pt>
                <c:pt idx="512">
                  <c:v>159.20149381205098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BE-4453-82D7-D0DFD8977D3B}"/>
            </c:ext>
          </c:extLst>
        </c:ser>
        <c:ser>
          <c:idx val="3"/>
          <c:order val="3"/>
          <c:tx>
            <c:strRef>
              <c:f>Data!$I$1</c:f>
              <c:strCache>
                <c:ptCount val="1"/>
                <c:pt idx="0">
                  <c:v>Minus 1 Sd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Data!$I$2:$I$514</c:f>
              <c:numCache>
                <c:formatCode>General</c:formatCode>
                <c:ptCount val="513"/>
                <c:pt idx="0">
                  <c:v>149.47999999999999</c:v>
                </c:pt>
                <c:pt idx="1">
                  <c:v>149.5824396647063</c:v>
                </c:pt>
                <c:pt idx="2">
                  <c:v>149.73380799411663</c:v>
                </c:pt>
                <c:pt idx="3">
                  <c:v>149.7662609042066</c:v>
                </c:pt>
                <c:pt idx="4">
                  <c:v>149.4640824315301</c:v>
                </c:pt>
                <c:pt idx="5">
                  <c:v>147.4882675263691</c:v>
                </c:pt>
                <c:pt idx="6">
                  <c:v>146.25071674220601</c:v>
                </c:pt>
                <c:pt idx="7">
                  <c:v>145.71732025838051</c:v>
                </c:pt>
                <c:pt idx="8">
                  <c:v>145.71303914398197</c:v>
                </c:pt>
                <c:pt idx="9">
                  <c:v>145.00885538219646</c:v>
                </c:pt>
                <c:pt idx="10">
                  <c:v>144.43026209114234</c:v>
                </c:pt>
                <c:pt idx="11">
                  <c:v>143.60401237389462</c:v>
                </c:pt>
                <c:pt idx="12">
                  <c:v>143.06676773881009</c:v>
                </c:pt>
                <c:pt idx="13">
                  <c:v>142.74633782955178</c:v>
                </c:pt>
                <c:pt idx="14">
                  <c:v>142.50021298548575</c:v>
                </c:pt>
                <c:pt idx="15">
                  <c:v>142.5412662835611</c:v>
                </c:pt>
                <c:pt idx="16">
                  <c:v>142.7503692096407</c:v>
                </c:pt>
                <c:pt idx="17">
                  <c:v>142.93970114060323</c:v>
                </c:pt>
                <c:pt idx="18">
                  <c:v>143.13630184492717</c:v>
                </c:pt>
                <c:pt idx="19">
                  <c:v>143.31682005627749</c:v>
                </c:pt>
                <c:pt idx="20">
                  <c:v>143.43451318450164</c:v>
                </c:pt>
                <c:pt idx="21">
                  <c:v>143.54694721570667</c:v>
                </c:pt>
                <c:pt idx="22">
                  <c:v>143.7437709513278</c:v>
                </c:pt>
                <c:pt idx="23">
                  <c:v>143.83290200618637</c:v>
                </c:pt>
                <c:pt idx="24">
                  <c:v>143.88758716640825</c:v>
                </c:pt>
                <c:pt idx="25">
                  <c:v>143.96027686509464</c:v>
                </c:pt>
                <c:pt idx="26">
                  <c:v>144.06090831273886</c:v>
                </c:pt>
                <c:pt idx="27">
                  <c:v>144.19582132505559</c:v>
                </c:pt>
                <c:pt idx="28">
                  <c:v>144.28799637444979</c:v>
                </c:pt>
                <c:pt idx="29">
                  <c:v>144.38933305505122</c:v>
                </c:pt>
                <c:pt idx="30">
                  <c:v>144.47769902730411</c:v>
                </c:pt>
                <c:pt idx="31">
                  <c:v>144.57361549497926</c:v>
                </c:pt>
                <c:pt idx="32">
                  <c:v>144.64352107098983</c:v>
                </c:pt>
                <c:pt idx="33">
                  <c:v>144.72082304186705</c:v>
                </c:pt>
                <c:pt idx="34">
                  <c:v>144.76663760456208</c:v>
                </c:pt>
                <c:pt idx="35">
                  <c:v>144.86917754153654</c:v>
                </c:pt>
                <c:pt idx="36">
                  <c:v>144.94274408302363</c:v>
                </c:pt>
                <c:pt idx="37">
                  <c:v>145.02737700375752</c:v>
                </c:pt>
                <c:pt idx="38">
                  <c:v>145.18965112670395</c:v>
                </c:pt>
                <c:pt idx="39">
                  <c:v>145.27551310082683</c:v>
                </c:pt>
                <c:pt idx="40">
                  <c:v>145.37699478817649</c:v>
                </c:pt>
                <c:pt idx="41">
                  <c:v>145.46500355717285</c:v>
                </c:pt>
                <c:pt idx="42">
                  <c:v>145.49012422648323</c:v>
                </c:pt>
                <c:pt idx="43">
                  <c:v>145.53776981258093</c:v>
                </c:pt>
                <c:pt idx="44">
                  <c:v>145.53490016217015</c:v>
                </c:pt>
                <c:pt idx="45">
                  <c:v>145.57599342269896</c:v>
                </c:pt>
                <c:pt idx="46">
                  <c:v>145.62520847884892</c:v>
                </c:pt>
                <c:pt idx="47">
                  <c:v>145.69596202200128</c:v>
                </c:pt>
                <c:pt idx="48">
                  <c:v>145.75796219254303</c:v>
                </c:pt>
                <c:pt idx="49">
                  <c:v>145.83104150198642</c:v>
                </c:pt>
                <c:pt idx="50">
                  <c:v>145.90339064167301</c:v>
                </c:pt>
                <c:pt idx="51">
                  <c:v>146.11589722170461</c:v>
                </c:pt>
                <c:pt idx="52">
                  <c:v>146.16623294575342</c:v>
                </c:pt>
                <c:pt idx="53">
                  <c:v>146.20994665631815</c:v>
                </c:pt>
                <c:pt idx="54">
                  <c:v>146.2798511676572</c:v>
                </c:pt>
                <c:pt idx="55">
                  <c:v>146.34312105361704</c:v>
                </c:pt>
                <c:pt idx="56">
                  <c:v>146.39041653337907</c:v>
                </c:pt>
                <c:pt idx="57">
                  <c:v>146.42119211069334</c:v>
                </c:pt>
                <c:pt idx="58">
                  <c:v>146.47231420763006</c:v>
                </c:pt>
                <c:pt idx="59">
                  <c:v>146.5231156098157</c:v>
                </c:pt>
                <c:pt idx="60">
                  <c:v>146.57209348461413</c:v>
                </c:pt>
                <c:pt idx="61">
                  <c:v>146.5747392154623</c:v>
                </c:pt>
                <c:pt idx="62">
                  <c:v>146.61156631956666</c:v>
                </c:pt>
                <c:pt idx="63">
                  <c:v>146.62704538758115</c:v>
                </c:pt>
                <c:pt idx="64">
                  <c:v>146.66978181502779</c:v>
                </c:pt>
                <c:pt idx="65">
                  <c:v>146.6717059322383</c:v>
                </c:pt>
                <c:pt idx="66">
                  <c:v>146.68503113476621</c:v>
                </c:pt>
                <c:pt idx="67">
                  <c:v>146.68073145699688</c:v>
                </c:pt>
                <c:pt idx="68">
                  <c:v>146.6895068954143</c:v>
                </c:pt>
                <c:pt idx="69">
                  <c:v>146.7208858026595</c:v>
                </c:pt>
                <c:pt idx="70">
                  <c:v>146.82326547675643</c:v>
                </c:pt>
                <c:pt idx="71">
                  <c:v>146.88716954916865</c:v>
                </c:pt>
                <c:pt idx="72">
                  <c:v>146.93992907881963</c:v>
                </c:pt>
                <c:pt idx="73">
                  <c:v>147.00004720820939</c:v>
                </c:pt>
                <c:pt idx="74">
                  <c:v>147.04342827314497</c:v>
                </c:pt>
                <c:pt idx="75">
                  <c:v>147.10060256727076</c:v>
                </c:pt>
                <c:pt idx="76">
                  <c:v>147.12812789324678</c:v>
                </c:pt>
                <c:pt idx="77">
                  <c:v>147.12874012848332</c:v>
                </c:pt>
                <c:pt idx="78">
                  <c:v>147.15660317110445</c:v>
                </c:pt>
                <c:pt idx="79">
                  <c:v>147.20364490254826</c:v>
                </c:pt>
                <c:pt idx="80">
                  <c:v>147.24898741312253</c:v>
                </c:pt>
                <c:pt idx="81">
                  <c:v>147.23036025979764</c:v>
                </c:pt>
                <c:pt idx="82">
                  <c:v>147.3029465810979</c:v>
                </c:pt>
                <c:pt idx="83">
                  <c:v>147.37160814216989</c:v>
                </c:pt>
                <c:pt idx="84">
                  <c:v>147.44641305577187</c:v>
                </c:pt>
                <c:pt idx="85">
                  <c:v>147.54993802512342</c:v>
                </c:pt>
                <c:pt idx="86">
                  <c:v>147.61585445035357</c:v>
                </c:pt>
                <c:pt idx="87">
                  <c:v>147.66135432071326</c:v>
                </c:pt>
                <c:pt idx="88">
                  <c:v>147.70696907805808</c:v>
                </c:pt>
                <c:pt idx="89">
                  <c:v>147.72687632836747</c:v>
                </c:pt>
                <c:pt idx="90">
                  <c:v>147.72762899075218</c:v>
                </c:pt>
                <c:pt idx="91">
                  <c:v>147.76601937161786</c:v>
                </c:pt>
                <c:pt idx="92">
                  <c:v>147.78952393234917</c:v>
                </c:pt>
                <c:pt idx="93">
                  <c:v>147.84996806839618</c:v>
                </c:pt>
                <c:pt idx="94">
                  <c:v>147.90536340034151</c:v>
                </c:pt>
                <c:pt idx="95">
                  <c:v>147.94521851779865</c:v>
                </c:pt>
                <c:pt idx="96">
                  <c:v>147.98775060056602</c:v>
                </c:pt>
                <c:pt idx="97">
                  <c:v>148.03297882394131</c:v>
                </c:pt>
                <c:pt idx="98">
                  <c:v>148.08432476151802</c:v>
                </c:pt>
                <c:pt idx="99">
                  <c:v>148.13387290833541</c:v>
                </c:pt>
                <c:pt idx="100">
                  <c:v>148.17718615958998</c:v>
                </c:pt>
                <c:pt idx="101">
                  <c:v>148.23381252288286</c:v>
                </c:pt>
                <c:pt idx="102">
                  <c:v>148.2787552202366</c:v>
                </c:pt>
                <c:pt idx="103">
                  <c:v>148.32943398548468</c:v>
                </c:pt>
                <c:pt idx="104">
                  <c:v>148.41381925578486</c:v>
                </c:pt>
                <c:pt idx="105">
                  <c:v>148.46910802926871</c:v>
                </c:pt>
                <c:pt idx="106">
                  <c:v>148.50834469433303</c:v>
                </c:pt>
                <c:pt idx="107">
                  <c:v>148.53956798417178</c:v>
                </c:pt>
                <c:pt idx="108">
                  <c:v>148.57487983699002</c:v>
                </c:pt>
                <c:pt idx="109">
                  <c:v>148.61152599472996</c:v>
                </c:pt>
                <c:pt idx="110">
                  <c:v>148.65364320818216</c:v>
                </c:pt>
                <c:pt idx="111">
                  <c:v>148.68979475918655</c:v>
                </c:pt>
                <c:pt idx="112">
                  <c:v>148.71059102945034</c:v>
                </c:pt>
                <c:pt idx="113">
                  <c:v>148.72028261993552</c:v>
                </c:pt>
                <c:pt idx="114">
                  <c:v>148.72712397010983</c:v>
                </c:pt>
                <c:pt idx="115">
                  <c:v>148.73989318508151</c:v>
                </c:pt>
                <c:pt idx="116">
                  <c:v>148.75301862942297</c:v>
                </c:pt>
                <c:pt idx="117">
                  <c:v>148.79422260244101</c:v>
                </c:pt>
                <c:pt idx="118">
                  <c:v>148.83303601659506</c:v>
                </c:pt>
                <c:pt idx="119">
                  <c:v>148.88333235098452</c:v>
                </c:pt>
                <c:pt idx="120">
                  <c:v>148.92321339251833</c:v>
                </c:pt>
                <c:pt idx="121">
                  <c:v>148.95746327496204</c:v>
                </c:pt>
                <c:pt idx="122">
                  <c:v>148.98908729093492</c:v>
                </c:pt>
                <c:pt idx="123">
                  <c:v>149.03031433066724</c:v>
                </c:pt>
                <c:pt idx="124">
                  <c:v>149.0619175540543</c:v>
                </c:pt>
                <c:pt idx="125">
                  <c:v>149.09717542190089</c:v>
                </c:pt>
                <c:pt idx="126">
                  <c:v>149.12434520394993</c:v>
                </c:pt>
                <c:pt idx="127">
                  <c:v>149.14299128443039</c:v>
                </c:pt>
                <c:pt idx="128">
                  <c:v>149.16209145991479</c:v>
                </c:pt>
                <c:pt idx="129">
                  <c:v>149.1709524515251</c:v>
                </c:pt>
                <c:pt idx="130">
                  <c:v>149.19423208603413</c:v>
                </c:pt>
                <c:pt idx="131">
                  <c:v>149.21928454611054</c:v>
                </c:pt>
                <c:pt idx="132">
                  <c:v>149.24511528589926</c:v>
                </c:pt>
                <c:pt idx="133">
                  <c:v>149.27798573229981</c:v>
                </c:pt>
                <c:pt idx="134">
                  <c:v>149.3135783830792</c:v>
                </c:pt>
                <c:pt idx="135">
                  <c:v>149.35394806866248</c:v>
                </c:pt>
                <c:pt idx="136">
                  <c:v>149.38831399294131</c:v>
                </c:pt>
                <c:pt idx="137">
                  <c:v>149.42414054495299</c:v>
                </c:pt>
                <c:pt idx="138">
                  <c:v>149.45286706195932</c:v>
                </c:pt>
                <c:pt idx="139">
                  <c:v>149.46653285571148</c:v>
                </c:pt>
                <c:pt idx="140">
                  <c:v>149.48661722561451</c:v>
                </c:pt>
                <c:pt idx="141">
                  <c:v>149.51564944315831</c:v>
                </c:pt>
                <c:pt idx="142">
                  <c:v>149.54449140076318</c:v>
                </c:pt>
                <c:pt idx="143">
                  <c:v>149.56988773049636</c:v>
                </c:pt>
                <c:pt idx="144">
                  <c:v>149.60117333717344</c:v>
                </c:pt>
                <c:pt idx="145">
                  <c:v>149.6339202498759</c:v>
                </c:pt>
                <c:pt idx="146">
                  <c:v>149.61217833447299</c:v>
                </c:pt>
                <c:pt idx="147">
                  <c:v>149.52679443001057</c:v>
                </c:pt>
                <c:pt idx="148">
                  <c:v>149.35952209706622</c:v>
                </c:pt>
                <c:pt idx="149">
                  <c:v>149.19381841555838</c:v>
                </c:pt>
                <c:pt idx="150">
                  <c:v>149.02235330834665</c:v>
                </c:pt>
                <c:pt idx="151">
                  <c:v>148.91042332167527</c:v>
                </c:pt>
                <c:pt idx="152">
                  <c:v>148.80927446310409</c:v>
                </c:pt>
                <c:pt idx="153">
                  <c:v>148.70488796174786</c:v>
                </c:pt>
                <c:pt idx="154">
                  <c:v>148.59219967424616</c:v>
                </c:pt>
                <c:pt idx="155">
                  <c:v>148.5064397846624</c:v>
                </c:pt>
                <c:pt idx="156">
                  <c:v>148.45123087028102</c:v>
                </c:pt>
                <c:pt idx="157">
                  <c:v>148.40024758315991</c:v>
                </c:pt>
                <c:pt idx="158">
                  <c:v>148.34954456321378</c:v>
                </c:pt>
                <c:pt idx="159">
                  <c:v>148.25789576385819</c:v>
                </c:pt>
                <c:pt idx="160">
                  <c:v>148.18877023197717</c:v>
                </c:pt>
                <c:pt idx="161">
                  <c:v>148.13968685451658</c:v>
                </c:pt>
                <c:pt idx="162">
                  <c:v>148.10882162812615</c:v>
                </c:pt>
                <c:pt idx="163">
                  <c:v>148.08349121743763</c:v>
                </c:pt>
                <c:pt idx="164">
                  <c:v>148.04478790788193</c:v>
                </c:pt>
                <c:pt idx="165">
                  <c:v>147.99228754393982</c:v>
                </c:pt>
                <c:pt idx="166">
                  <c:v>147.96352279569444</c:v>
                </c:pt>
                <c:pt idx="167">
                  <c:v>147.93164598858976</c:v>
                </c:pt>
                <c:pt idx="168">
                  <c:v>147.8476453338381</c:v>
                </c:pt>
                <c:pt idx="169">
                  <c:v>147.70580126002949</c:v>
                </c:pt>
                <c:pt idx="170">
                  <c:v>147.54935552040448</c:v>
                </c:pt>
                <c:pt idx="171">
                  <c:v>147.36556943691664</c:v>
                </c:pt>
                <c:pt idx="172">
                  <c:v>147.19967224590602</c:v>
                </c:pt>
                <c:pt idx="173">
                  <c:v>147.01426876003856</c:v>
                </c:pt>
                <c:pt idx="174">
                  <c:v>146.81157745389831</c:v>
                </c:pt>
                <c:pt idx="175">
                  <c:v>146.67066731251379</c:v>
                </c:pt>
                <c:pt idx="176">
                  <c:v>146.5624020608341</c:v>
                </c:pt>
                <c:pt idx="177">
                  <c:v>146.47028124181844</c:v>
                </c:pt>
                <c:pt idx="178">
                  <c:v>146.39498850651606</c:v>
                </c:pt>
                <c:pt idx="179">
                  <c:v>146.33589184118091</c:v>
                </c:pt>
                <c:pt idx="180">
                  <c:v>146.28382117760358</c:v>
                </c:pt>
                <c:pt idx="181">
                  <c:v>146.15969798972674</c:v>
                </c:pt>
                <c:pt idx="182">
                  <c:v>146.13866113645363</c:v>
                </c:pt>
                <c:pt idx="183">
                  <c:v>146.12063777862542</c:v>
                </c:pt>
                <c:pt idx="184">
                  <c:v>146.05596631894429</c:v>
                </c:pt>
                <c:pt idx="185">
                  <c:v>145.96443714164516</c:v>
                </c:pt>
                <c:pt idx="186">
                  <c:v>145.91969921686677</c:v>
                </c:pt>
                <c:pt idx="187">
                  <c:v>145.89683411440328</c:v>
                </c:pt>
                <c:pt idx="188">
                  <c:v>145.89142919357721</c:v>
                </c:pt>
                <c:pt idx="189">
                  <c:v>145.89835190077795</c:v>
                </c:pt>
                <c:pt idx="190">
                  <c:v>145.90874082882334</c:v>
                </c:pt>
                <c:pt idx="191">
                  <c:v>145.91437772586715</c:v>
                </c:pt>
                <c:pt idx="192">
                  <c:v>145.92455382088647</c:v>
                </c:pt>
                <c:pt idx="193">
                  <c:v>145.91983178948112</c:v>
                </c:pt>
                <c:pt idx="194">
                  <c:v>145.92307246608928</c:v>
                </c:pt>
                <c:pt idx="195">
                  <c:v>145.93228379246784</c:v>
                </c:pt>
                <c:pt idx="196">
                  <c:v>145.94446095455069</c:v>
                </c:pt>
                <c:pt idx="197">
                  <c:v>145.95852475005327</c:v>
                </c:pt>
                <c:pt idx="198">
                  <c:v>145.94380324400913</c:v>
                </c:pt>
                <c:pt idx="199">
                  <c:v>145.9430680288049</c:v>
                </c:pt>
                <c:pt idx="200">
                  <c:v>145.95275344534676</c:v>
                </c:pt>
                <c:pt idx="201">
                  <c:v>145.96139208883977</c:v>
                </c:pt>
                <c:pt idx="202">
                  <c:v>145.97074977147514</c:v>
                </c:pt>
                <c:pt idx="203">
                  <c:v>145.98089624837857</c:v>
                </c:pt>
                <c:pt idx="204">
                  <c:v>145.98795904679611</c:v>
                </c:pt>
                <c:pt idx="205">
                  <c:v>145.99453810619579</c:v>
                </c:pt>
                <c:pt idx="206">
                  <c:v>146.00147844121651</c:v>
                </c:pt>
                <c:pt idx="207">
                  <c:v>146.00431299891798</c:v>
                </c:pt>
                <c:pt idx="208">
                  <c:v>145.99813684974271</c:v>
                </c:pt>
                <c:pt idx="209">
                  <c:v>145.98937642109493</c:v>
                </c:pt>
                <c:pt idx="210">
                  <c:v>145.98011408437921</c:v>
                </c:pt>
                <c:pt idx="211">
                  <c:v>145.99998785853376</c:v>
                </c:pt>
                <c:pt idx="212">
                  <c:v>146.02035996965563</c:v>
                </c:pt>
                <c:pt idx="213">
                  <c:v>146.03878182886507</c:v>
                </c:pt>
                <c:pt idx="214">
                  <c:v>146.08362163922195</c:v>
                </c:pt>
                <c:pt idx="215">
                  <c:v>146.11381509653904</c:v>
                </c:pt>
                <c:pt idx="216">
                  <c:v>146.13851822784622</c:v>
                </c:pt>
                <c:pt idx="217">
                  <c:v>146.16685761203019</c:v>
                </c:pt>
                <c:pt idx="218">
                  <c:v>146.18861033893697</c:v>
                </c:pt>
                <c:pt idx="219">
                  <c:v>146.22313839791647</c:v>
                </c:pt>
                <c:pt idx="220">
                  <c:v>146.26430906514261</c:v>
                </c:pt>
                <c:pt idx="221">
                  <c:v>146.29972173128533</c:v>
                </c:pt>
                <c:pt idx="222">
                  <c:v>146.32148387718112</c:v>
                </c:pt>
                <c:pt idx="223">
                  <c:v>146.33924028789897</c:v>
                </c:pt>
                <c:pt idx="224">
                  <c:v>146.36144732825292</c:v>
                </c:pt>
                <c:pt idx="225">
                  <c:v>146.39105051003875</c:v>
                </c:pt>
                <c:pt idx="226">
                  <c:v>146.4143623708446</c:v>
                </c:pt>
                <c:pt idx="227">
                  <c:v>146.45680080881152</c:v>
                </c:pt>
                <c:pt idx="228">
                  <c:v>146.48170249833984</c:v>
                </c:pt>
                <c:pt idx="229">
                  <c:v>146.50908891583521</c:v>
                </c:pt>
                <c:pt idx="230">
                  <c:v>146.52363169956956</c:v>
                </c:pt>
                <c:pt idx="231">
                  <c:v>146.54350921466332</c:v>
                </c:pt>
                <c:pt idx="232">
                  <c:v>146.56252953351327</c:v>
                </c:pt>
                <c:pt idx="233">
                  <c:v>146.59151882775217</c:v>
                </c:pt>
                <c:pt idx="234">
                  <c:v>146.61592285335925</c:v>
                </c:pt>
                <c:pt idx="235">
                  <c:v>146.64012777361401</c:v>
                </c:pt>
                <c:pt idx="236">
                  <c:v>146.67004185263167</c:v>
                </c:pt>
                <c:pt idx="237">
                  <c:v>146.69889993267154</c:v>
                </c:pt>
                <c:pt idx="238">
                  <c:v>146.73293161122766</c:v>
                </c:pt>
                <c:pt idx="239">
                  <c:v>146.75223004587079</c:v>
                </c:pt>
                <c:pt idx="240">
                  <c:v>146.76770735188373</c:v>
                </c:pt>
                <c:pt idx="241">
                  <c:v>146.7510343288225</c:v>
                </c:pt>
                <c:pt idx="242">
                  <c:v>146.72304255147915</c:v>
                </c:pt>
                <c:pt idx="243">
                  <c:v>146.65946157140331</c:v>
                </c:pt>
                <c:pt idx="244">
                  <c:v>146.52135097205172</c:v>
                </c:pt>
                <c:pt idx="245">
                  <c:v>146.33132371013068</c:v>
                </c:pt>
                <c:pt idx="246">
                  <c:v>146.26988422154344</c:v>
                </c:pt>
                <c:pt idx="247">
                  <c:v>146.23922219009862</c:v>
                </c:pt>
                <c:pt idx="248">
                  <c:v>146.20583100933266</c:v>
                </c:pt>
                <c:pt idx="249">
                  <c:v>146.16945908223468</c:v>
                </c:pt>
                <c:pt idx="250">
                  <c:v>146.12121070643781</c:v>
                </c:pt>
                <c:pt idx="251">
                  <c:v>146.0891527997</c:v>
                </c:pt>
                <c:pt idx="252">
                  <c:v>146.06840107648878</c:v>
                </c:pt>
                <c:pt idx="253">
                  <c:v>146.05921385523231</c:v>
                </c:pt>
                <c:pt idx="254">
                  <c:v>146.04628152838998</c:v>
                </c:pt>
                <c:pt idx="255">
                  <c:v>146.04396926342145</c:v>
                </c:pt>
                <c:pt idx="256">
                  <c:v>146.04585184391644</c:v>
                </c:pt>
                <c:pt idx="257">
                  <c:v>146.06165275861835</c:v>
                </c:pt>
                <c:pt idx="258">
                  <c:v>146.08874531017273</c:v>
                </c:pt>
                <c:pt idx="259">
                  <c:v>146.11124488511132</c:v>
                </c:pt>
                <c:pt idx="260">
                  <c:v>146.13753952381981</c:v>
                </c:pt>
                <c:pt idx="261">
                  <c:v>146.15651253686673</c:v>
                </c:pt>
                <c:pt idx="262">
                  <c:v>146.18795173368605</c:v>
                </c:pt>
                <c:pt idx="263">
                  <c:v>146.2198127808644</c:v>
                </c:pt>
                <c:pt idx="264">
                  <c:v>146.24181676719124</c:v>
                </c:pt>
                <c:pt idx="265">
                  <c:v>146.26104646296491</c:v>
                </c:pt>
                <c:pt idx="266">
                  <c:v>146.28253867048073</c:v>
                </c:pt>
                <c:pt idx="267">
                  <c:v>146.30508452489534</c:v>
                </c:pt>
                <c:pt idx="268">
                  <c:v>146.32496627440199</c:v>
                </c:pt>
                <c:pt idx="269">
                  <c:v>146.34289162610335</c:v>
                </c:pt>
                <c:pt idx="270">
                  <c:v>146.36356890670871</c:v>
                </c:pt>
                <c:pt idx="271">
                  <c:v>146.342549261881</c:v>
                </c:pt>
                <c:pt idx="272">
                  <c:v>146.33796693164658</c:v>
                </c:pt>
                <c:pt idx="273">
                  <c:v>146.35154016584033</c:v>
                </c:pt>
                <c:pt idx="274">
                  <c:v>146.36390900215449</c:v>
                </c:pt>
                <c:pt idx="275">
                  <c:v>146.37251662339588</c:v>
                </c:pt>
                <c:pt idx="276">
                  <c:v>146.38367814097546</c:v>
                </c:pt>
                <c:pt idx="277">
                  <c:v>146.40107636276701</c:v>
                </c:pt>
                <c:pt idx="278">
                  <c:v>146.42026542781301</c:v>
                </c:pt>
                <c:pt idx="279">
                  <c:v>146.43731856875991</c:v>
                </c:pt>
                <c:pt idx="280">
                  <c:v>146.45768257263819</c:v>
                </c:pt>
                <c:pt idx="281">
                  <c:v>146.47440269834985</c:v>
                </c:pt>
                <c:pt idx="282">
                  <c:v>146.4922772980124</c:v>
                </c:pt>
                <c:pt idx="283">
                  <c:v>146.50881512630173</c:v>
                </c:pt>
                <c:pt idx="284">
                  <c:v>146.52817926144132</c:v>
                </c:pt>
                <c:pt idx="285">
                  <c:v>146.54779332998683</c:v>
                </c:pt>
                <c:pt idx="286">
                  <c:v>146.56627568740021</c:v>
                </c:pt>
                <c:pt idx="287">
                  <c:v>146.58535355336869</c:v>
                </c:pt>
                <c:pt idx="288">
                  <c:v>146.60138388460851</c:v>
                </c:pt>
                <c:pt idx="289">
                  <c:v>146.62178643702705</c:v>
                </c:pt>
                <c:pt idx="290">
                  <c:v>146.6472813292778</c:v>
                </c:pt>
                <c:pt idx="291">
                  <c:v>146.65873274762612</c:v>
                </c:pt>
                <c:pt idx="292">
                  <c:v>146.66541007461927</c:v>
                </c:pt>
                <c:pt idx="293">
                  <c:v>146.66580033500713</c:v>
                </c:pt>
                <c:pt idx="294">
                  <c:v>146.676511675489</c:v>
                </c:pt>
                <c:pt idx="295">
                  <c:v>146.69737045403156</c:v>
                </c:pt>
                <c:pt idx="296">
                  <c:v>146.72667331794028</c:v>
                </c:pt>
                <c:pt idx="297">
                  <c:v>146.74212749918095</c:v>
                </c:pt>
                <c:pt idx="298">
                  <c:v>146.75126802246135</c:v>
                </c:pt>
                <c:pt idx="299">
                  <c:v>146.76416813778337</c:v>
                </c:pt>
                <c:pt idx="300">
                  <c:v>146.78238860572813</c:v>
                </c:pt>
                <c:pt idx="301">
                  <c:v>146.80354100035086</c:v>
                </c:pt>
                <c:pt idx="302">
                  <c:v>146.8297576173801</c:v>
                </c:pt>
                <c:pt idx="303">
                  <c:v>146.86329729404895</c:v>
                </c:pt>
                <c:pt idx="304">
                  <c:v>146.88642959389514</c:v>
                </c:pt>
                <c:pt idx="305">
                  <c:v>146.96805492228472</c:v>
                </c:pt>
                <c:pt idx="306">
                  <c:v>146.98319196444487</c:v>
                </c:pt>
                <c:pt idx="307">
                  <c:v>146.99490766285035</c:v>
                </c:pt>
                <c:pt idx="308">
                  <c:v>147.01298046244938</c:v>
                </c:pt>
                <c:pt idx="309">
                  <c:v>147.01762281679737</c:v>
                </c:pt>
                <c:pt idx="310">
                  <c:v>147.01462633609836</c:v>
                </c:pt>
                <c:pt idx="311">
                  <c:v>147.03927122403718</c:v>
                </c:pt>
                <c:pt idx="312">
                  <c:v>147.0347001328592</c:v>
                </c:pt>
                <c:pt idx="313">
                  <c:v>147.04268011065952</c:v>
                </c:pt>
                <c:pt idx="314">
                  <c:v>147.06782122630784</c:v>
                </c:pt>
                <c:pt idx="315">
                  <c:v>146.96726315005446</c:v>
                </c:pt>
                <c:pt idx="316">
                  <c:v>146.83830805823473</c:v>
                </c:pt>
                <c:pt idx="317">
                  <c:v>146.69714705893878</c:v>
                </c:pt>
                <c:pt idx="318">
                  <c:v>146.64548262763014</c:v>
                </c:pt>
                <c:pt idx="319">
                  <c:v>146.42440833848485</c:v>
                </c:pt>
                <c:pt idx="320">
                  <c:v>146.24346173849531</c:v>
                </c:pt>
                <c:pt idx="321">
                  <c:v>146.11229203635847</c:v>
                </c:pt>
                <c:pt idx="322">
                  <c:v>145.97577160708917</c:v>
                </c:pt>
                <c:pt idx="323">
                  <c:v>145.85566456197137</c:v>
                </c:pt>
                <c:pt idx="324">
                  <c:v>145.76520459366557</c:v>
                </c:pt>
                <c:pt idx="325">
                  <c:v>145.62001784239172</c:v>
                </c:pt>
                <c:pt idx="326">
                  <c:v>145.52923402334213</c:v>
                </c:pt>
                <c:pt idx="327">
                  <c:v>145.42134106080235</c:v>
                </c:pt>
                <c:pt idx="328">
                  <c:v>145.35069096641976</c:v>
                </c:pt>
                <c:pt idx="329">
                  <c:v>145.28231013737746</c:v>
                </c:pt>
                <c:pt idx="330">
                  <c:v>145.2267989332743</c:v>
                </c:pt>
                <c:pt idx="331">
                  <c:v>145.16237600286155</c:v>
                </c:pt>
                <c:pt idx="332">
                  <c:v>145.02992766106689</c:v>
                </c:pt>
                <c:pt idx="333">
                  <c:v>144.92334430432396</c:v>
                </c:pt>
                <c:pt idx="334">
                  <c:v>144.82943829330068</c:v>
                </c:pt>
                <c:pt idx="335">
                  <c:v>144.72068116245032</c:v>
                </c:pt>
                <c:pt idx="336">
                  <c:v>144.61283353601479</c:v>
                </c:pt>
                <c:pt idx="337">
                  <c:v>144.51714985278937</c:v>
                </c:pt>
                <c:pt idx="338">
                  <c:v>144.43304924044185</c:v>
                </c:pt>
                <c:pt idx="339">
                  <c:v>144.37602175338833</c:v>
                </c:pt>
                <c:pt idx="340">
                  <c:v>144.33377313098373</c:v>
                </c:pt>
                <c:pt idx="341">
                  <c:v>144.29524873229298</c:v>
                </c:pt>
                <c:pt idx="342">
                  <c:v>144.25991535728016</c:v>
                </c:pt>
                <c:pt idx="343">
                  <c:v>144.22487749814587</c:v>
                </c:pt>
                <c:pt idx="344">
                  <c:v>144.18682182688732</c:v>
                </c:pt>
                <c:pt idx="345">
                  <c:v>144.12433618293502</c:v>
                </c:pt>
                <c:pt idx="346">
                  <c:v>144.05876094411045</c:v>
                </c:pt>
                <c:pt idx="347">
                  <c:v>143.96510446707669</c:v>
                </c:pt>
                <c:pt idx="348">
                  <c:v>143.87112807044727</c:v>
                </c:pt>
                <c:pt idx="349">
                  <c:v>143.79945671188736</c:v>
                </c:pt>
                <c:pt idx="350">
                  <c:v>143.7323852819961</c:v>
                </c:pt>
                <c:pt idx="351">
                  <c:v>143.65877837757995</c:v>
                </c:pt>
                <c:pt idx="352">
                  <c:v>143.59754575735573</c:v>
                </c:pt>
                <c:pt idx="353">
                  <c:v>143.5000906055117</c:v>
                </c:pt>
                <c:pt idx="354">
                  <c:v>143.43258048102467</c:v>
                </c:pt>
                <c:pt idx="355">
                  <c:v>143.3794363274055</c:v>
                </c:pt>
                <c:pt idx="356">
                  <c:v>143.31100145257278</c:v>
                </c:pt>
                <c:pt idx="357">
                  <c:v>143.251241104098</c:v>
                </c:pt>
                <c:pt idx="358">
                  <c:v>143.2137561796668</c:v>
                </c:pt>
                <c:pt idx="359">
                  <c:v>143.17785491860295</c:v>
                </c:pt>
                <c:pt idx="360">
                  <c:v>143.15009076983736</c:v>
                </c:pt>
                <c:pt idx="361">
                  <c:v>143.13244513083791</c:v>
                </c:pt>
                <c:pt idx="362">
                  <c:v>143.1207635859233</c:v>
                </c:pt>
                <c:pt idx="363">
                  <c:v>143.10074118007611</c:v>
                </c:pt>
                <c:pt idx="364">
                  <c:v>143.08871911292135</c:v>
                </c:pt>
                <c:pt idx="365">
                  <c:v>143.08958694186703</c:v>
                </c:pt>
                <c:pt idx="366">
                  <c:v>143.08872048992401</c:v>
                </c:pt>
                <c:pt idx="367">
                  <c:v>143.08649016797389</c:v>
                </c:pt>
                <c:pt idx="368">
                  <c:v>143.07854234880273</c:v>
                </c:pt>
                <c:pt idx="369">
                  <c:v>143.05133085506526</c:v>
                </c:pt>
                <c:pt idx="370">
                  <c:v>143.03105180299767</c:v>
                </c:pt>
                <c:pt idx="371">
                  <c:v>143.01698144550267</c:v>
                </c:pt>
                <c:pt idx="372">
                  <c:v>142.99556585232918</c:v>
                </c:pt>
                <c:pt idx="373">
                  <c:v>142.97658142333739</c:v>
                </c:pt>
                <c:pt idx="374">
                  <c:v>142.96618994006664</c:v>
                </c:pt>
                <c:pt idx="375">
                  <c:v>142.966673984068</c:v>
                </c:pt>
                <c:pt idx="376">
                  <c:v>142.97121815450555</c:v>
                </c:pt>
                <c:pt idx="377">
                  <c:v>142.96801646514132</c:v>
                </c:pt>
                <c:pt idx="378">
                  <c:v>142.98846352439503</c:v>
                </c:pt>
                <c:pt idx="379">
                  <c:v>143.00488627439103</c:v>
                </c:pt>
                <c:pt idx="380">
                  <c:v>143.02284028414414</c:v>
                </c:pt>
                <c:pt idx="381">
                  <c:v>143.04249765593281</c:v>
                </c:pt>
                <c:pt idx="382">
                  <c:v>143.05513109551902</c:v>
                </c:pt>
                <c:pt idx="383">
                  <c:v>143.06463634690965</c:v>
                </c:pt>
                <c:pt idx="384">
                  <c:v>143.07179639670548</c:v>
                </c:pt>
                <c:pt idx="385">
                  <c:v>143.08308625134779</c:v>
                </c:pt>
                <c:pt idx="386">
                  <c:v>143.07943657407515</c:v>
                </c:pt>
                <c:pt idx="387">
                  <c:v>143.08183248367885</c:v>
                </c:pt>
                <c:pt idx="388">
                  <c:v>143.08414562283542</c:v>
                </c:pt>
                <c:pt idx="389">
                  <c:v>143.10255096641438</c:v>
                </c:pt>
                <c:pt idx="390">
                  <c:v>143.13289445397143</c:v>
                </c:pt>
                <c:pt idx="391">
                  <c:v>143.15040901596436</c:v>
                </c:pt>
                <c:pt idx="392">
                  <c:v>143.17084314578409</c:v>
                </c:pt>
                <c:pt idx="393">
                  <c:v>143.18777072424416</c:v>
                </c:pt>
                <c:pt idx="394">
                  <c:v>143.20410898536676</c:v>
                </c:pt>
                <c:pt idx="395">
                  <c:v>143.21586594003341</c:v>
                </c:pt>
                <c:pt idx="396">
                  <c:v>143.22688148020458</c:v>
                </c:pt>
                <c:pt idx="397">
                  <c:v>143.2366546506143</c:v>
                </c:pt>
                <c:pt idx="398">
                  <c:v>143.25124558740126</c:v>
                </c:pt>
                <c:pt idx="399">
                  <c:v>143.26482563687227</c:v>
                </c:pt>
                <c:pt idx="400">
                  <c:v>143.27824057324196</c:v>
                </c:pt>
                <c:pt idx="401">
                  <c:v>143.29351403911554</c:v>
                </c:pt>
                <c:pt idx="402">
                  <c:v>143.30699229471111</c:v>
                </c:pt>
                <c:pt idx="403">
                  <c:v>143.32197158730315</c:v>
                </c:pt>
                <c:pt idx="404">
                  <c:v>143.33801278653797</c:v>
                </c:pt>
                <c:pt idx="405">
                  <c:v>143.35440334900068</c:v>
                </c:pt>
                <c:pt idx="406">
                  <c:v>143.37870175810474</c:v>
                </c:pt>
                <c:pt idx="407">
                  <c:v>143.39614045000388</c:v>
                </c:pt>
                <c:pt idx="408">
                  <c:v>143.40777553476627</c:v>
                </c:pt>
                <c:pt idx="409">
                  <c:v>143.42174887650066</c:v>
                </c:pt>
                <c:pt idx="410">
                  <c:v>143.4384513981847</c:v>
                </c:pt>
                <c:pt idx="411">
                  <c:v>143.45970479504601</c:v>
                </c:pt>
                <c:pt idx="412">
                  <c:v>143.47672825101702</c:v>
                </c:pt>
                <c:pt idx="413">
                  <c:v>143.49936265799951</c:v>
                </c:pt>
                <c:pt idx="414">
                  <c:v>143.51715692359471</c:v>
                </c:pt>
                <c:pt idx="415">
                  <c:v>143.5326262906718</c:v>
                </c:pt>
                <c:pt idx="416">
                  <c:v>143.54836147082639</c:v>
                </c:pt>
                <c:pt idx="417">
                  <c:v>143.56900424799204</c:v>
                </c:pt>
                <c:pt idx="418">
                  <c:v>143.59066229225729</c:v>
                </c:pt>
                <c:pt idx="419">
                  <c:v>143.60772666697503</c:v>
                </c:pt>
                <c:pt idx="420">
                  <c:v>143.6237364811941</c:v>
                </c:pt>
                <c:pt idx="421">
                  <c:v>143.63934504844312</c:v>
                </c:pt>
                <c:pt idx="422">
                  <c:v>143.65479981098159</c:v>
                </c:pt>
                <c:pt idx="423">
                  <c:v>143.67200707070964</c:v>
                </c:pt>
                <c:pt idx="424">
                  <c:v>143.68728150978504</c:v>
                </c:pt>
                <c:pt idx="425">
                  <c:v>143.70108992400898</c:v>
                </c:pt>
                <c:pt idx="426">
                  <c:v>143.7139991837725</c:v>
                </c:pt>
                <c:pt idx="427">
                  <c:v>143.7323951940642</c:v>
                </c:pt>
                <c:pt idx="428">
                  <c:v>143.74515652823089</c:v>
                </c:pt>
                <c:pt idx="429">
                  <c:v>143.75982314410896</c:v>
                </c:pt>
                <c:pt idx="430">
                  <c:v>143.78824937783008</c:v>
                </c:pt>
                <c:pt idx="431">
                  <c:v>143.80131158084359</c:v>
                </c:pt>
                <c:pt idx="432">
                  <c:v>143.81756078479577</c:v>
                </c:pt>
                <c:pt idx="433">
                  <c:v>143.83200739235863</c:v>
                </c:pt>
                <c:pt idx="434">
                  <c:v>143.8454988357382</c:v>
                </c:pt>
                <c:pt idx="435">
                  <c:v>143.8611117870075</c:v>
                </c:pt>
                <c:pt idx="436">
                  <c:v>143.87790939208571</c:v>
                </c:pt>
                <c:pt idx="437">
                  <c:v>143.89310529615238</c:v>
                </c:pt>
                <c:pt idx="438">
                  <c:v>143.90652609534547</c:v>
                </c:pt>
                <c:pt idx="439">
                  <c:v>143.91875245423924</c:v>
                </c:pt>
                <c:pt idx="440">
                  <c:v>143.93105954488848</c:v>
                </c:pt>
                <c:pt idx="441">
                  <c:v>143.94234209377811</c:v>
                </c:pt>
                <c:pt idx="442">
                  <c:v>143.95476030284692</c:v>
                </c:pt>
                <c:pt idx="443">
                  <c:v>143.96629570123841</c:v>
                </c:pt>
                <c:pt idx="444">
                  <c:v>143.97494646495622</c:v>
                </c:pt>
                <c:pt idx="445">
                  <c:v>143.97636236973409</c:v>
                </c:pt>
                <c:pt idx="446">
                  <c:v>143.98547193396686</c:v>
                </c:pt>
                <c:pt idx="447">
                  <c:v>143.99536773018013</c:v>
                </c:pt>
                <c:pt idx="448">
                  <c:v>144.00466799896654</c:v>
                </c:pt>
                <c:pt idx="449">
                  <c:v>144.01326403240469</c:v>
                </c:pt>
                <c:pt idx="450">
                  <c:v>144.02466393047158</c:v>
                </c:pt>
                <c:pt idx="451">
                  <c:v>144.03660917712426</c:v>
                </c:pt>
                <c:pt idx="452">
                  <c:v>144.04826120363418</c:v>
                </c:pt>
                <c:pt idx="453">
                  <c:v>144.06123468527491</c:v>
                </c:pt>
                <c:pt idx="454">
                  <c:v>144.07961889626566</c:v>
                </c:pt>
                <c:pt idx="455">
                  <c:v>144.09138503942114</c:v>
                </c:pt>
                <c:pt idx="456">
                  <c:v>144.10292768941642</c:v>
                </c:pt>
                <c:pt idx="457">
                  <c:v>144.11393720905096</c:v>
                </c:pt>
                <c:pt idx="458">
                  <c:v>144.12762746812535</c:v>
                </c:pt>
                <c:pt idx="459">
                  <c:v>144.14003628322365</c:v>
                </c:pt>
                <c:pt idx="460">
                  <c:v>144.16153139459402</c:v>
                </c:pt>
                <c:pt idx="461">
                  <c:v>144.17450892543403</c:v>
                </c:pt>
                <c:pt idx="462">
                  <c:v>144.18557317536423</c:v>
                </c:pt>
                <c:pt idx="463">
                  <c:v>144.19515690205751</c:v>
                </c:pt>
                <c:pt idx="464">
                  <c:v>144.20528661946091</c:v>
                </c:pt>
                <c:pt idx="465">
                  <c:v>144.22076989367798</c:v>
                </c:pt>
                <c:pt idx="466">
                  <c:v>144.23576955169995</c:v>
                </c:pt>
                <c:pt idx="467">
                  <c:v>144.24890105242159</c:v>
                </c:pt>
                <c:pt idx="468">
                  <c:v>144.26165683764063</c:v>
                </c:pt>
                <c:pt idx="469">
                  <c:v>144.2759780847515</c:v>
                </c:pt>
                <c:pt idx="470">
                  <c:v>144.2926156004913</c:v>
                </c:pt>
                <c:pt idx="471">
                  <c:v>144.30652956551708</c:v>
                </c:pt>
                <c:pt idx="472">
                  <c:v>144.31941889385553</c:v>
                </c:pt>
                <c:pt idx="473">
                  <c:v>144.3271833327002</c:v>
                </c:pt>
                <c:pt idx="474">
                  <c:v>144.33173759966806</c:v>
                </c:pt>
                <c:pt idx="475">
                  <c:v>144.33474673561193</c:v>
                </c:pt>
                <c:pt idx="476">
                  <c:v>144.33466761009507</c:v>
                </c:pt>
                <c:pt idx="477">
                  <c:v>144.33134139164221</c:v>
                </c:pt>
                <c:pt idx="478">
                  <c:v>144.33385296798019</c:v>
                </c:pt>
                <c:pt idx="479">
                  <c:v>144.34080833877252</c:v>
                </c:pt>
                <c:pt idx="480">
                  <c:v>144.35022414700663</c:v>
                </c:pt>
                <c:pt idx="481">
                  <c:v>144.35402595829407</c:v>
                </c:pt>
                <c:pt idx="482">
                  <c:v>144.36140595614194</c:v>
                </c:pt>
                <c:pt idx="483">
                  <c:v>144.37004091627784</c:v>
                </c:pt>
                <c:pt idx="484">
                  <c:v>144.37166407693056</c:v>
                </c:pt>
                <c:pt idx="485">
                  <c:v>144.36997633926941</c:v>
                </c:pt>
                <c:pt idx="486">
                  <c:v>144.36856054628987</c:v>
                </c:pt>
                <c:pt idx="487">
                  <c:v>144.37531812639898</c:v>
                </c:pt>
                <c:pt idx="488">
                  <c:v>144.38054984433722</c:v>
                </c:pt>
                <c:pt idx="489">
                  <c:v>144.38491727199175</c:v>
                </c:pt>
                <c:pt idx="490">
                  <c:v>144.38813711757936</c:v>
                </c:pt>
                <c:pt idx="491">
                  <c:v>144.37790280415641</c:v>
                </c:pt>
                <c:pt idx="492">
                  <c:v>144.3797685392629</c:v>
                </c:pt>
                <c:pt idx="493">
                  <c:v>144.37761423964358</c:v>
                </c:pt>
                <c:pt idx="494">
                  <c:v>144.36195258826325</c:v>
                </c:pt>
                <c:pt idx="495">
                  <c:v>144.36496153048731</c:v>
                </c:pt>
                <c:pt idx="496">
                  <c:v>144.3706503836614</c:v>
                </c:pt>
                <c:pt idx="497">
                  <c:v>144.37693867555973</c:v>
                </c:pt>
                <c:pt idx="498">
                  <c:v>144.38214571874133</c:v>
                </c:pt>
                <c:pt idx="499">
                  <c:v>144.38837613500115</c:v>
                </c:pt>
                <c:pt idx="500">
                  <c:v>144.39645895746258</c:v>
                </c:pt>
                <c:pt idx="501">
                  <c:v>144.40459567473172</c:v>
                </c:pt>
                <c:pt idx="502">
                  <c:v>144.416875191781</c:v>
                </c:pt>
                <c:pt idx="503">
                  <c:v>144.50750352345167</c:v>
                </c:pt>
                <c:pt idx="504">
                  <c:v>144.5356161709073</c:v>
                </c:pt>
                <c:pt idx="505">
                  <c:v>144.55259979572281</c:v>
                </c:pt>
                <c:pt idx="506">
                  <c:v>144.57570104857399</c:v>
                </c:pt>
                <c:pt idx="507">
                  <c:v>144.599786011784</c:v>
                </c:pt>
                <c:pt idx="508">
                  <c:v>144.61702893275515</c:v>
                </c:pt>
                <c:pt idx="509">
                  <c:v>144.63960951058579</c:v>
                </c:pt>
                <c:pt idx="510">
                  <c:v>144.67498653531507</c:v>
                </c:pt>
                <c:pt idx="511">
                  <c:v>144.68283558004504</c:v>
                </c:pt>
                <c:pt idx="512">
                  <c:v>144.69608977699878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BE-4453-82D7-D0DFD8977D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32768"/>
        <c:axId val="1656352448"/>
      </c:lineChart>
      <c:dateAx>
        <c:axId val="1656332768"/>
        <c:scaling>
          <c:orientation val="minMax"/>
          <c:max val="46069"/>
          <c:min val="45658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52448"/>
        <c:crosses val="autoZero"/>
        <c:auto val="1"/>
        <c:lblOffset val="100"/>
        <c:baseTimeUnit val="days"/>
      </c:dateAx>
      <c:valAx>
        <c:axId val="1656352448"/>
        <c:scaling>
          <c:orientation val="minMax"/>
          <c:max val="177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32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Bollinger Bands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Data!$C$2:$C$514</c:f>
              <c:numCache>
                <c:formatCode>_([$$-409]* #,##0.00_);_([$$-409]* \(#,##0.00\);_([$$-409]* "-"??_);_(@_)</c:formatCode>
                <c:ptCount val="513"/>
                <c:pt idx="0">
                  <c:v>149.47999999999999</c:v>
                </c:pt>
                <c:pt idx="1">
                  <c:v>152.33000000000001</c:v>
                </c:pt>
                <c:pt idx="2">
                  <c:v>150.66</c:v>
                </c:pt>
                <c:pt idx="3">
                  <c:v>150.4</c:v>
                </c:pt>
                <c:pt idx="4">
                  <c:v>149.5</c:v>
                </c:pt>
                <c:pt idx="5">
                  <c:v>145.69999999999999</c:v>
                </c:pt>
                <c:pt idx="6">
                  <c:v>144.5</c:v>
                </c:pt>
                <c:pt idx="7">
                  <c:v>145.28</c:v>
                </c:pt>
                <c:pt idx="8">
                  <c:v>147.27000000000001</c:v>
                </c:pt>
                <c:pt idx="9">
                  <c:v>143.69</c:v>
                </c:pt>
                <c:pt idx="10">
                  <c:v>143.12</c:v>
                </c:pt>
                <c:pt idx="11">
                  <c:v>141.82</c:v>
                </c:pt>
                <c:pt idx="12">
                  <c:v>142.24</c:v>
                </c:pt>
                <c:pt idx="13">
                  <c:v>142.49</c:v>
                </c:pt>
                <c:pt idx="14">
                  <c:v>142.09</c:v>
                </c:pt>
                <c:pt idx="15">
                  <c:v>144.91999999999999</c:v>
                </c:pt>
                <c:pt idx="16">
                  <c:v>148.57</c:v>
                </c:pt>
                <c:pt idx="17">
                  <c:v>149.13999999999999</c:v>
                </c:pt>
                <c:pt idx="18">
                  <c:v>149.08000000000001</c:v>
                </c:pt>
                <c:pt idx="19">
                  <c:v>150.12</c:v>
                </c:pt>
                <c:pt idx="20">
                  <c:v>147.43</c:v>
                </c:pt>
                <c:pt idx="21">
                  <c:v>147.88999999999999</c:v>
                </c:pt>
                <c:pt idx="22">
                  <c:v>152.24</c:v>
                </c:pt>
                <c:pt idx="23">
                  <c:v>152.33000000000001</c:v>
                </c:pt>
                <c:pt idx="24">
                  <c:v>152.35</c:v>
                </c:pt>
                <c:pt idx="25">
                  <c:v>152.13</c:v>
                </c:pt>
                <c:pt idx="26">
                  <c:v>154.06</c:v>
                </c:pt>
                <c:pt idx="27">
                  <c:v>151.04</c:v>
                </c:pt>
                <c:pt idx="28">
                  <c:v>152.08000000000001</c:v>
                </c:pt>
                <c:pt idx="29">
                  <c:v>150.6</c:v>
                </c:pt>
                <c:pt idx="30">
                  <c:v>151.01</c:v>
                </c:pt>
                <c:pt idx="31">
                  <c:v>154.46</c:v>
                </c:pt>
                <c:pt idx="32">
                  <c:v>154.63</c:v>
                </c:pt>
                <c:pt idx="33">
                  <c:v>154</c:v>
                </c:pt>
                <c:pt idx="34">
                  <c:v>155.44</c:v>
                </c:pt>
                <c:pt idx="35">
                  <c:v>155.43</c:v>
                </c:pt>
                <c:pt idx="36">
                  <c:v>154.66</c:v>
                </c:pt>
                <c:pt idx="37">
                  <c:v>154.44999999999999</c:v>
                </c:pt>
                <c:pt idx="38">
                  <c:v>152.16</c:v>
                </c:pt>
                <c:pt idx="39">
                  <c:v>152.34</c:v>
                </c:pt>
                <c:pt idx="40">
                  <c:v>152.01</c:v>
                </c:pt>
                <c:pt idx="41">
                  <c:v>152.81</c:v>
                </c:pt>
                <c:pt idx="42">
                  <c:v>148.88</c:v>
                </c:pt>
                <c:pt idx="43">
                  <c:v>149.59</c:v>
                </c:pt>
                <c:pt idx="44">
                  <c:v>148.33000000000001</c:v>
                </c:pt>
                <c:pt idx="45">
                  <c:v>149.37</c:v>
                </c:pt>
                <c:pt idx="46">
                  <c:v>149.88</c:v>
                </c:pt>
                <c:pt idx="47">
                  <c:v>152</c:v>
                </c:pt>
                <c:pt idx="48">
                  <c:v>151.88999999999999</c:v>
                </c:pt>
                <c:pt idx="49">
                  <c:v>153.88999999999999</c:v>
                </c:pt>
                <c:pt idx="50">
                  <c:v>155.69999999999999</c:v>
                </c:pt>
                <c:pt idx="51">
                  <c:v>155.55000000000001</c:v>
                </c:pt>
                <c:pt idx="52">
                  <c:v>155.41</c:v>
                </c:pt>
                <c:pt idx="53">
                  <c:v>156.62</c:v>
                </c:pt>
                <c:pt idx="54">
                  <c:v>154.55000000000001</c:v>
                </c:pt>
                <c:pt idx="55">
                  <c:v>154.86000000000001</c:v>
                </c:pt>
                <c:pt idx="56">
                  <c:v>154.66</c:v>
                </c:pt>
                <c:pt idx="57">
                  <c:v>156.47</c:v>
                </c:pt>
                <c:pt idx="58">
                  <c:v>155.27000000000001</c:v>
                </c:pt>
                <c:pt idx="59">
                  <c:v>156.35</c:v>
                </c:pt>
                <c:pt idx="60">
                  <c:v>157.74</c:v>
                </c:pt>
                <c:pt idx="61">
                  <c:v>159.08000000000001</c:v>
                </c:pt>
                <c:pt idx="62">
                  <c:v>159.78</c:v>
                </c:pt>
                <c:pt idx="63">
                  <c:v>160.44</c:v>
                </c:pt>
                <c:pt idx="64">
                  <c:v>160.69</c:v>
                </c:pt>
                <c:pt idx="65">
                  <c:v>161.6</c:v>
                </c:pt>
                <c:pt idx="66">
                  <c:v>161.27000000000001</c:v>
                </c:pt>
                <c:pt idx="67">
                  <c:v>162</c:v>
                </c:pt>
                <c:pt idx="68">
                  <c:v>162.66999999999999</c:v>
                </c:pt>
                <c:pt idx="69">
                  <c:v>161.88999999999999</c:v>
                </c:pt>
                <c:pt idx="70">
                  <c:v>158.96</c:v>
                </c:pt>
                <c:pt idx="71">
                  <c:v>157.59</c:v>
                </c:pt>
                <c:pt idx="72">
                  <c:v>156.28</c:v>
                </c:pt>
                <c:pt idx="73">
                  <c:v>156.4</c:v>
                </c:pt>
                <c:pt idx="74">
                  <c:v>157.57</c:v>
                </c:pt>
                <c:pt idx="75">
                  <c:v>160</c:v>
                </c:pt>
                <c:pt idx="76">
                  <c:v>161.91999999999999</c:v>
                </c:pt>
                <c:pt idx="77">
                  <c:v>162.85</c:v>
                </c:pt>
                <c:pt idx="78">
                  <c:v>163.57</c:v>
                </c:pt>
                <c:pt idx="79">
                  <c:v>165.28</c:v>
                </c:pt>
                <c:pt idx="80">
                  <c:v>165.89</c:v>
                </c:pt>
                <c:pt idx="81">
                  <c:v>166.33</c:v>
                </c:pt>
                <c:pt idx="82">
                  <c:v>161.27000000000001</c:v>
                </c:pt>
                <c:pt idx="83">
                  <c:v>159.63</c:v>
                </c:pt>
                <c:pt idx="84">
                  <c:v>160.72999999999999</c:v>
                </c:pt>
                <c:pt idx="85">
                  <c:v>160.25</c:v>
                </c:pt>
                <c:pt idx="86">
                  <c:v>162.30000000000001</c:v>
                </c:pt>
                <c:pt idx="87">
                  <c:v>162.66999999999999</c:v>
                </c:pt>
                <c:pt idx="88">
                  <c:v>162.54</c:v>
                </c:pt>
                <c:pt idx="89">
                  <c:v>165.45</c:v>
                </c:pt>
                <c:pt idx="90">
                  <c:v>165.82</c:v>
                </c:pt>
                <c:pt idx="91">
                  <c:v>164.53</c:v>
                </c:pt>
                <c:pt idx="92">
                  <c:v>163.61000000000001</c:v>
                </c:pt>
                <c:pt idx="93">
                  <c:v>163.05000000000001</c:v>
                </c:pt>
                <c:pt idx="94">
                  <c:v>161.09</c:v>
                </c:pt>
                <c:pt idx="95">
                  <c:v>162.66999999999999</c:v>
                </c:pt>
                <c:pt idx="96">
                  <c:v>161.13999999999999</c:v>
                </c:pt>
                <c:pt idx="97">
                  <c:v>159.97</c:v>
                </c:pt>
                <c:pt idx="98">
                  <c:v>157.57</c:v>
                </c:pt>
                <c:pt idx="99">
                  <c:v>156.94</c:v>
                </c:pt>
                <c:pt idx="100">
                  <c:v>157.75</c:v>
                </c:pt>
                <c:pt idx="101">
                  <c:v>159.04</c:v>
                </c:pt>
                <c:pt idx="102">
                  <c:v>156.9</c:v>
                </c:pt>
                <c:pt idx="103">
                  <c:v>158.26</c:v>
                </c:pt>
                <c:pt idx="104">
                  <c:v>162.30000000000001</c:v>
                </c:pt>
                <c:pt idx="105">
                  <c:v>157.46</c:v>
                </c:pt>
                <c:pt idx="106">
                  <c:v>156.13</c:v>
                </c:pt>
                <c:pt idx="107">
                  <c:v>154.97999999999999</c:v>
                </c:pt>
                <c:pt idx="108">
                  <c:v>155.93</c:v>
                </c:pt>
                <c:pt idx="109">
                  <c:v>156.08000000000001</c:v>
                </c:pt>
                <c:pt idx="110">
                  <c:v>156.74</c:v>
                </c:pt>
                <c:pt idx="111">
                  <c:v>156.49</c:v>
                </c:pt>
                <c:pt idx="112">
                  <c:v>154.22</c:v>
                </c:pt>
                <c:pt idx="113">
                  <c:v>152.84</c:v>
                </c:pt>
                <c:pt idx="114">
                  <c:v>152.57</c:v>
                </c:pt>
                <c:pt idx="115">
                  <c:v>153.19</c:v>
                </c:pt>
                <c:pt idx="116">
                  <c:v>153.33000000000001</c:v>
                </c:pt>
                <c:pt idx="117">
                  <c:v>156.63999999999999</c:v>
                </c:pt>
                <c:pt idx="118">
                  <c:v>155.28</c:v>
                </c:pt>
                <c:pt idx="119">
                  <c:v>159.31</c:v>
                </c:pt>
                <c:pt idx="120">
                  <c:v>158.46</c:v>
                </c:pt>
                <c:pt idx="121">
                  <c:v>155.94999999999999</c:v>
                </c:pt>
                <c:pt idx="122">
                  <c:v>156.32</c:v>
                </c:pt>
                <c:pt idx="123">
                  <c:v>156.41999999999999</c:v>
                </c:pt>
                <c:pt idx="124">
                  <c:v>156.52000000000001</c:v>
                </c:pt>
                <c:pt idx="125">
                  <c:v>156.75</c:v>
                </c:pt>
                <c:pt idx="126">
                  <c:v>156.71</c:v>
                </c:pt>
                <c:pt idx="127">
                  <c:v>154.31</c:v>
                </c:pt>
                <c:pt idx="128">
                  <c:v>154.33000000000001</c:v>
                </c:pt>
                <c:pt idx="129">
                  <c:v>152.97999999999999</c:v>
                </c:pt>
                <c:pt idx="130">
                  <c:v>155.13</c:v>
                </c:pt>
                <c:pt idx="131">
                  <c:v>155.26</c:v>
                </c:pt>
                <c:pt idx="132">
                  <c:v>155.59</c:v>
                </c:pt>
                <c:pt idx="133">
                  <c:v>158.04</c:v>
                </c:pt>
                <c:pt idx="134">
                  <c:v>157.77000000000001</c:v>
                </c:pt>
                <c:pt idx="135">
                  <c:v>161.22999999999999</c:v>
                </c:pt>
                <c:pt idx="136">
                  <c:v>161.97</c:v>
                </c:pt>
                <c:pt idx="137">
                  <c:v>159.15</c:v>
                </c:pt>
                <c:pt idx="138">
                  <c:v>156.99</c:v>
                </c:pt>
                <c:pt idx="139">
                  <c:v>154.09</c:v>
                </c:pt>
                <c:pt idx="140">
                  <c:v>155.07</c:v>
                </c:pt>
                <c:pt idx="141">
                  <c:v>157.54</c:v>
                </c:pt>
                <c:pt idx="142">
                  <c:v>157.84</c:v>
                </c:pt>
                <c:pt idx="143">
                  <c:v>156.6</c:v>
                </c:pt>
                <c:pt idx="144">
                  <c:v>159.57</c:v>
                </c:pt>
                <c:pt idx="145">
                  <c:v>160.47</c:v>
                </c:pt>
                <c:pt idx="146">
                  <c:v>152.62</c:v>
                </c:pt>
                <c:pt idx="147">
                  <c:v>148.55000000000001</c:v>
                </c:pt>
                <c:pt idx="148">
                  <c:v>144.66</c:v>
                </c:pt>
                <c:pt idx="149">
                  <c:v>143.22999999999999</c:v>
                </c:pt>
                <c:pt idx="150">
                  <c:v>142.41</c:v>
                </c:pt>
                <c:pt idx="151">
                  <c:v>144.49</c:v>
                </c:pt>
                <c:pt idx="152">
                  <c:v>144.99</c:v>
                </c:pt>
                <c:pt idx="153">
                  <c:v>145.02000000000001</c:v>
                </c:pt>
                <c:pt idx="154">
                  <c:v>144.15</c:v>
                </c:pt>
                <c:pt idx="155">
                  <c:v>144.66999999999999</c:v>
                </c:pt>
                <c:pt idx="156">
                  <c:v>146.80000000000001</c:v>
                </c:pt>
                <c:pt idx="157">
                  <c:v>147.27000000000001</c:v>
                </c:pt>
                <c:pt idx="158">
                  <c:v>146.83000000000001</c:v>
                </c:pt>
                <c:pt idx="159">
                  <c:v>144.69</c:v>
                </c:pt>
                <c:pt idx="160">
                  <c:v>145.32</c:v>
                </c:pt>
                <c:pt idx="161">
                  <c:v>145.72999999999999</c:v>
                </c:pt>
                <c:pt idx="162">
                  <c:v>147.62</c:v>
                </c:pt>
                <c:pt idx="163">
                  <c:v>148.5</c:v>
                </c:pt>
                <c:pt idx="164">
                  <c:v>146.94999999999999</c:v>
                </c:pt>
                <c:pt idx="165">
                  <c:v>146</c:v>
                </c:pt>
                <c:pt idx="166">
                  <c:v>147.41999999999999</c:v>
                </c:pt>
                <c:pt idx="167">
                  <c:v>147.94999999999999</c:v>
                </c:pt>
                <c:pt idx="168">
                  <c:v>144.66</c:v>
                </c:pt>
                <c:pt idx="169">
                  <c:v>142.07</c:v>
                </c:pt>
                <c:pt idx="170">
                  <c:v>140.93</c:v>
                </c:pt>
                <c:pt idx="171">
                  <c:v>138.56</c:v>
                </c:pt>
                <c:pt idx="172">
                  <c:v>140.30000000000001</c:v>
                </c:pt>
                <c:pt idx="173">
                  <c:v>138.22999999999999</c:v>
                </c:pt>
                <c:pt idx="174">
                  <c:v>137.88</c:v>
                </c:pt>
                <c:pt idx="175">
                  <c:v>139.21</c:v>
                </c:pt>
                <c:pt idx="176">
                  <c:v>140.61000000000001</c:v>
                </c:pt>
                <c:pt idx="177">
                  <c:v>142.09</c:v>
                </c:pt>
                <c:pt idx="178">
                  <c:v>143.41</c:v>
                </c:pt>
                <c:pt idx="179">
                  <c:v>143.96</c:v>
                </c:pt>
                <c:pt idx="180">
                  <c:v>144.99</c:v>
                </c:pt>
                <c:pt idx="181">
                  <c:v>145.68</c:v>
                </c:pt>
                <c:pt idx="182">
                  <c:v>147.54</c:v>
                </c:pt>
                <c:pt idx="183">
                  <c:v>147.44999999999999</c:v>
                </c:pt>
                <c:pt idx="184">
                  <c:v>143.97</c:v>
                </c:pt>
                <c:pt idx="185">
                  <c:v>141.99</c:v>
                </c:pt>
                <c:pt idx="186">
                  <c:v>145.49</c:v>
                </c:pt>
                <c:pt idx="187">
                  <c:v>147.27000000000001</c:v>
                </c:pt>
                <c:pt idx="188">
                  <c:v>149.69999999999999</c:v>
                </c:pt>
                <c:pt idx="189">
                  <c:v>150.94999999999999</c:v>
                </c:pt>
                <c:pt idx="190">
                  <c:v>151.25</c:v>
                </c:pt>
                <c:pt idx="191">
                  <c:v>150.74</c:v>
                </c:pt>
                <c:pt idx="192">
                  <c:v>151.12</c:v>
                </c:pt>
                <c:pt idx="193">
                  <c:v>148.75</c:v>
                </c:pt>
                <c:pt idx="194">
                  <c:v>149.65</c:v>
                </c:pt>
                <c:pt idx="195">
                  <c:v>150.62</c:v>
                </c:pt>
                <c:pt idx="196">
                  <c:v>151.41999999999999</c:v>
                </c:pt>
                <c:pt idx="197">
                  <c:v>151.78</c:v>
                </c:pt>
                <c:pt idx="198">
                  <c:v>147.72999999999999</c:v>
                </c:pt>
                <c:pt idx="199">
                  <c:v>148.72999999999999</c:v>
                </c:pt>
                <c:pt idx="200">
                  <c:v>151.19999999999999</c:v>
                </c:pt>
                <c:pt idx="201">
                  <c:v>150.75</c:v>
                </c:pt>
                <c:pt idx="202">
                  <c:v>150.88</c:v>
                </c:pt>
                <c:pt idx="203">
                  <c:v>150.91999999999999</c:v>
                </c:pt>
                <c:pt idx="204">
                  <c:v>150.47999999999999</c:v>
                </c:pt>
                <c:pt idx="205">
                  <c:v>150.44999999999999</c:v>
                </c:pt>
                <c:pt idx="206">
                  <c:v>150.81</c:v>
                </c:pt>
                <c:pt idx="207">
                  <c:v>150.54</c:v>
                </c:pt>
                <c:pt idx="208">
                  <c:v>148.52000000000001</c:v>
                </c:pt>
                <c:pt idx="209">
                  <c:v>148.05000000000001</c:v>
                </c:pt>
                <c:pt idx="210">
                  <c:v>148.82</c:v>
                </c:pt>
                <c:pt idx="211">
                  <c:v>153.07</c:v>
                </c:pt>
                <c:pt idx="212">
                  <c:v>153.97</c:v>
                </c:pt>
                <c:pt idx="213">
                  <c:v>153.41</c:v>
                </c:pt>
                <c:pt idx="214">
                  <c:v>157.72</c:v>
                </c:pt>
                <c:pt idx="215">
                  <c:v>156.77000000000001</c:v>
                </c:pt>
                <c:pt idx="216">
                  <c:v>156.93</c:v>
                </c:pt>
                <c:pt idx="217">
                  <c:v>156.5</c:v>
                </c:pt>
                <c:pt idx="218">
                  <c:v>155.29</c:v>
                </c:pt>
                <c:pt idx="219">
                  <c:v>158.72</c:v>
                </c:pt>
                <c:pt idx="220">
                  <c:v>161.80000000000001</c:v>
                </c:pt>
                <c:pt idx="221">
                  <c:v>161.41999999999999</c:v>
                </c:pt>
                <c:pt idx="222">
                  <c:v>160.76</c:v>
                </c:pt>
                <c:pt idx="223">
                  <c:v>159.6</c:v>
                </c:pt>
                <c:pt idx="224">
                  <c:v>161.33000000000001</c:v>
                </c:pt>
                <c:pt idx="225">
                  <c:v>161.63</c:v>
                </c:pt>
                <c:pt idx="226">
                  <c:v>162.36000000000001</c:v>
                </c:pt>
                <c:pt idx="227">
                  <c:v>160.36000000000001</c:v>
                </c:pt>
                <c:pt idx="228">
                  <c:v>162.53</c:v>
                </c:pt>
                <c:pt idx="229">
                  <c:v>162.11000000000001</c:v>
                </c:pt>
                <c:pt idx="230">
                  <c:v>161.93</c:v>
                </c:pt>
                <c:pt idx="231">
                  <c:v>162.21</c:v>
                </c:pt>
                <c:pt idx="232">
                  <c:v>161.91999999999999</c:v>
                </c:pt>
                <c:pt idx="233">
                  <c:v>158.32</c:v>
                </c:pt>
                <c:pt idx="234">
                  <c:v>159.33000000000001</c:v>
                </c:pt>
                <c:pt idx="235">
                  <c:v>155.24</c:v>
                </c:pt>
                <c:pt idx="236">
                  <c:v>157.08000000000001</c:v>
                </c:pt>
                <c:pt idx="237">
                  <c:v>157</c:v>
                </c:pt>
                <c:pt idx="238">
                  <c:v>156.21</c:v>
                </c:pt>
                <c:pt idx="239">
                  <c:v>154.71</c:v>
                </c:pt>
                <c:pt idx="240">
                  <c:v>153.87</c:v>
                </c:pt>
                <c:pt idx="241">
                  <c:v>149.36000000000001</c:v>
                </c:pt>
                <c:pt idx="242">
                  <c:v>148.11000000000001</c:v>
                </c:pt>
                <c:pt idx="243">
                  <c:v>144.08000000000001</c:v>
                </c:pt>
                <c:pt idx="244">
                  <c:v>141.15</c:v>
                </c:pt>
                <c:pt idx="245">
                  <c:v>142.85</c:v>
                </c:pt>
                <c:pt idx="246">
                  <c:v>142.97</c:v>
                </c:pt>
                <c:pt idx="247">
                  <c:v>143.84</c:v>
                </c:pt>
                <c:pt idx="248">
                  <c:v>143.97999999999999</c:v>
                </c:pt>
                <c:pt idx="249">
                  <c:v>144</c:v>
                </c:pt>
                <c:pt idx="250">
                  <c:v>143.07</c:v>
                </c:pt>
                <c:pt idx="251">
                  <c:v>144.84</c:v>
                </c:pt>
                <c:pt idx="252">
                  <c:v>146.71</c:v>
                </c:pt>
                <c:pt idx="253">
                  <c:v>147.85</c:v>
                </c:pt>
                <c:pt idx="254">
                  <c:v>147.26</c:v>
                </c:pt>
                <c:pt idx="255">
                  <c:v>149.59</c:v>
                </c:pt>
                <c:pt idx="256">
                  <c:v>150.30000000000001</c:v>
                </c:pt>
                <c:pt idx="257">
                  <c:v>153.13999999999999</c:v>
                </c:pt>
                <c:pt idx="258">
                  <c:v>155.35</c:v>
                </c:pt>
                <c:pt idx="259">
                  <c:v>156.9</c:v>
                </c:pt>
                <c:pt idx="260">
                  <c:v>158.33000000000001</c:v>
                </c:pt>
                <c:pt idx="261">
                  <c:v>159.38</c:v>
                </c:pt>
                <c:pt idx="262">
                  <c:v>161.47</c:v>
                </c:pt>
                <c:pt idx="263">
                  <c:v>158.24</c:v>
                </c:pt>
                <c:pt idx="264">
                  <c:v>156.41</c:v>
                </c:pt>
                <c:pt idx="265">
                  <c:v>156.01</c:v>
                </c:pt>
                <c:pt idx="266">
                  <c:v>155.65</c:v>
                </c:pt>
                <c:pt idx="267">
                  <c:v>157.22999999999999</c:v>
                </c:pt>
                <c:pt idx="268">
                  <c:v>156.21</c:v>
                </c:pt>
                <c:pt idx="269">
                  <c:v>155.69</c:v>
                </c:pt>
                <c:pt idx="270">
                  <c:v>156.32</c:v>
                </c:pt>
                <c:pt idx="271">
                  <c:v>149.19</c:v>
                </c:pt>
                <c:pt idx="272">
                  <c:v>149.34</c:v>
                </c:pt>
                <c:pt idx="273">
                  <c:v>153.22</c:v>
                </c:pt>
                <c:pt idx="274">
                  <c:v>152.99</c:v>
                </c:pt>
                <c:pt idx="275">
                  <c:v>151.9</c:v>
                </c:pt>
                <c:pt idx="276">
                  <c:v>152.62</c:v>
                </c:pt>
                <c:pt idx="277">
                  <c:v>155.77000000000001</c:v>
                </c:pt>
                <c:pt idx="278">
                  <c:v>157.44</c:v>
                </c:pt>
                <c:pt idx="279">
                  <c:v>154.9</c:v>
                </c:pt>
                <c:pt idx="280">
                  <c:v>155.88</c:v>
                </c:pt>
                <c:pt idx="281">
                  <c:v>155.34</c:v>
                </c:pt>
                <c:pt idx="282">
                  <c:v>156.16</c:v>
                </c:pt>
                <c:pt idx="283">
                  <c:v>157.22999999999999</c:v>
                </c:pt>
                <c:pt idx="284">
                  <c:v>158.79</c:v>
                </c:pt>
                <c:pt idx="285">
                  <c:v>156.91999999999999</c:v>
                </c:pt>
                <c:pt idx="286">
                  <c:v>157.88999999999999</c:v>
                </c:pt>
                <c:pt idx="287">
                  <c:v>156.41999999999999</c:v>
                </c:pt>
                <c:pt idx="288">
                  <c:v>155.13999999999999</c:v>
                </c:pt>
                <c:pt idx="289">
                  <c:v>156.66999999999999</c:v>
                </c:pt>
                <c:pt idx="290">
                  <c:v>158.62</c:v>
                </c:pt>
                <c:pt idx="291">
                  <c:v>153.09</c:v>
                </c:pt>
                <c:pt idx="292">
                  <c:v>152</c:v>
                </c:pt>
                <c:pt idx="293">
                  <c:v>150.81</c:v>
                </c:pt>
                <c:pt idx="294">
                  <c:v>152.94999999999999</c:v>
                </c:pt>
                <c:pt idx="295">
                  <c:v>156.34</c:v>
                </c:pt>
                <c:pt idx="296">
                  <c:v>157.57</c:v>
                </c:pt>
                <c:pt idx="297">
                  <c:v>154.08000000000001</c:v>
                </c:pt>
                <c:pt idx="298">
                  <c:v>152.66999999999999</c:v>
                </c:pt>
                <c:pt idx="299">
                  <c:v>153.61000000000001</c:v>
                </c:pt>
                <c:pt idx="300">
                  <c:v>157.02000000000001</c:v>
                </c:pt>
                <c:pt idx="301">
                  <c:v>158.72</c:v>
                </c:pt>
                <c:pt idx="302">
                  <c:v>160.81</c:v>
                </c:pt>
                <c:pt idx="303">
                  <c:v>164.05</c:v>
                </c:pt>
                <c:pt idx="304">
                  <c:v>164.77</c:v>
                </c:pt>
                <c:pt idx="305">
                  <c:v>164.75</c:v>
                </c:pt>
                <c:pt idx="306">
                  <c:v>165.02</c:v>
                </c:pt>
                <c:pt idx="307">
                  <c:v>165.94</c:v>
                </c:pt>
                <c:pt idx="308">
                  <c:v>167.97</c:v>
                </c:pt>
                <c:pt idx="309">
                  <c:v>166.65</c:v>
                </c:pt>
                <c:pt idx="310">
                  <c:v>166.09</c:v>
                </c:pt>
                <c:pt idx="311">
                  <c:v>167.29</c:v>
                </c:pt>
                <c:pt idx="312">
                  <c:v>168.51</c:v>
                </c:pt>
                <c:pt idx="313">
                  <c:v>166.47</c:v>
                </c:pt>
                <c:pt idx="314">
                  <c:v>156.12</c:v>
                </c:pt>
                <c:pt idx="315">
                  <c:v>143.28</c:v>
                </c:pt>
                <c:pt idx="316">
                  <c:v>140.15</c:v>
                </c:pt>
                <c:pt idx="317">
                  <c:v>136.93</c:v>
                </c:pt>
                <c:pt idx="318">
                  <c:v>146.03</c:v>
                </c:pt>
                <c:pt idx="319">
                  <c:v>134.97999999999999</c:v>
                </c:pt>
                <c:pt idx="320">
                  <c:v>135.63</c:v>
                </c:pt>
                <c:pt idx="321">
                  <c:v>135.32</c:v>
                </c:pt>
                <c:pt idx="322">
                  <c:v>134.54</c:v>
                </c:pt>
                <c:pt idx="323">
                  <c:v>135.36000000000001</c:v>
                </c:pt>
                <c:pt idx="324">
                  <c:v>137.87</c:v>
                </c:pt>
                <c:pt idx="325">
                  <c:v>133.72999999999999</c:v>
                </c:pt>
                <c:pt idx="326">
                  <c:v>137.30000000000001</c:v>
                </c:pt>
                <c:pt idx="327">
                  <c:v>136.68</c:v>
                </c:pt>
                <c:pt idx="328">
                  <c:v>139.07</c:v>
                </c:pt>
                <c:pt idx="329">
                  <c:v>138.72999999999999</c:v>
                </c:pt>
                <c:pt idx="330">
                  <c:v>140.1</c:v>
                </c:pt>
                <c:pt idx="331">
                  <c:v>139.30000000000001</c:v>
                </c:pt>
                <c:pt idx="332">
                  <c:v>136.06</c:v>
                </c:pt>
                <c:pt idx="333">
                  <c:v>136.26</c:v>
                </c:pt>
                <c:pt idx="334">
                  <c:v>138.5</c:v>
                </c:pt>
                <c:pt idx="335">
                  <c:v>135.5</c:v>
                </c:pt>
                <c:pt idx="336">
                  <c:v>135.6</c:v>
                </c:pt>
                <c:pt idx="337">
                  <c:v>135.79</c:v>
                </c:pt>
                <c:pt idx="338">
                  <c:v>137.04</c:v>
                </c:pt>
                <c:pt idx="339">
                  <c:v>138.49</c:v>
                </c:pt>
                <c:pt idx="340">
                  <c:v>141.62</c:v>
                </c:pt>
                <c:pt idx="341">
                  <c:v>142.35</c:v>
                </c:pt>
                <c:pt idx="342">
                  <c:v>141.66999999999999</c:v>
                </c:pt>
                <c:pt idx="343">
                  <c:v>142.26</c:v>
                </c:pt>
                <c:pt idx="344">
                  <c:v>142.1</c:v>
                </c:pt>
                <c:pt idx="345">
                  <c:v>138.49</c:v>
                </c:pt>
                <c:pt idx="346">
                  <c:v>137.27000000000001</c:v>
                </c:pt>
                <c:pt idx="347">
                  <c:v>135.56</c:v>
                </c:pt>
                <c:pt idx="348">
                  <c:v>135.29</c:v>
                </c:pt>
                <c:pt idx="349">
                  <c:v>136.54</c:v>
                </c:pt>
                <c:pt idx="350">
                  <c:v>137.83000000000001</c:v>
                </c:pt>
                <c:pt idx="351">
                  <c:v>136.02000000000001</c:v>
                </c:pt>
                <c:pt idx="352">
                  <c:v>137.91</c:v>
                </c:pt>
                <c:pt idx="353">
                  <c:v>136.69999999999999</c:v>
                </c:pt>
                <c:pt idx="354">
                  <c:v>137.84</c:v>
                </c:pt>
                <c:pt idx="355">
                  <c:v>139.55000000000001</c:v>
                </c:pt>
                <c:pt idx="356">
                  <c:v>137.37</c:v>
                </c:pt>
                <c:pt idx="357">
                  <c:v>136.9</c:v>
                </c:pt>
                <c:pt idx="358">
                  <c:v>140.21</c:v>
                </c:pt>
                <c:pt idx="359">
                  <c:v>140.76</c:v>
                </c:pt>
                <c:pt idx="360">
                  <c:v>143.35</c:v>
                </c:pt>
                <c:pt idx="361">
                  <c:v>144.78</c:v>
                </c:pt>
                <c:pt idx="362">
                  <c:v>144.97</c:v>
                </c:pt>
                <c:pt idx="363">
                  <c:v>145.91</c:v>
                </c:pt>
                <c:pt idx="364">
                  <c:v>146.03</c:v>
                </c:pt>
                <c:pt idx="365">
                  <c:v>148.85</c:v>
                </c:pt>
                <c:pt idx="366">
                  <c:v>148.19</c:v>
                </c:pt>
                <c:pt idx="367">
                  <c:v>149.55000000000001</c:v>
                </c:pt>
                <c:pt idx="368">
                  <c:v>146.86000000000001</c:v>
                </c:pt>
                <c:pt idx="369">
                  <c:v>143.55000000000001</c:v>
                </c:pt>
                <c:pt idx="370">
                  <c:v>143.22999999999999</c:v>
                </c:pt>
                <c:pt idx="371">
                  <c:v>144.44</c:v>
                </c:pt>
                <c:pt idx="372">
                  <c:v>143.79</c:v>
                </c:pt>
                <c:pt idx="373">
                  <c:v>143.19</c:v>
                </c:pt>
                <c:pt idx="374">
                  <c:v>145.57</c:v>
                </c:pt>
                <c:pt idx="375">
                  <c:v>147.97999999999999</c:v>
                </c:pt>
                <c:pt idx="376">
                  <c:v>148.37</c:v>
                </c:pt>
                <c:pt idx="377">
                  <c:v>147.4</c:v>
                </c:pt>
                <c:pt idx="378">
                  <c:v>153.24</c:v>
                </c:pt>
                <c:pt idx="379">
                  <c:v>153.02000000000001</c:v>
                </c:pt>
                <c:pt idx="380">
                  <c:v>154.16999999999999</c:v>
                </c:pt>
                <c:pt idx="381">
                  <c:v>155.31</c:v>
                </c:pt>
                <c:pt idx="382">
                  <c:v>151.65</c:v>
                </c:pt>
                <c:pt idx="383">
                  <c:v>150.69</c:v>
                </c:pt>
                <c:pt idx="384">
                  <c:v>149.91999999999999</c:v>
                </c:pt>
                <c:pt idx="385">
                  <c:v>151.38</c:v>
                </c:pt>
                <c:pt idx="386">
                  <c:v>150.04</c:v>
                </c:pt>
                <c:pt idx="387">
                  <c:v>149.68</c:v>
                </c:pt>
                <c:pt idx="388">
                  <c:v>150.04</c:v>
                </c:pt>
                <c:pt idx="389">
                  <c:v>153.12</c:v>
                </c:pt>
                <c:pt idx="390">
                  <c:v>155.83000000000001</c:v>
                </c:pt>
                <c:pt idx="391">
                  <c:v>154.84</c:v>
                </c:pt>
                <c:pt idx="392">
                  <c:v>156.28</c:v>
                </c:pt>
                <c:pt idx="393">
                  <c:v>157.03</c:v>
                </c:pt>
                <c:pt idx="394">
                  <c:v>153.56</c:v>
                </c:pt>
                <c:pt idx="395">
                  <c:v>151.63999999999999</c:v>
                </c:pt>
                <c:pt idx="396">
                  <c:v>151.4</c:v>
                </c:pt>
                <c:pt idx="397">
                  <c:v>151.04</c:v>
                </c:pt>
                <c:pt idx="398">
                  <c:v>153.04</c:v>
                </c:pt>
                <c:pt idx="399">
                  <c:v>152.78</c:v>
                </c:pt>
                <c:pt idx="400">
                  <c:v>153.16</c:v>
                </c:pt>
                <c:pt idx="401">
                  <c:v>155.01</c:v>
                </c:pt>
                <c:pt idx="402">
                  <c:v>153.44999999999999</c:v>
                </c:pt>
                <c:pt idx="403">
                  <c:v>154.44</c:v>
                </c:pt>
                <c:pt idx="404">
                  <c:v>155.87</c:v>
                </c:pt>
                <c:pt idx="405">
                  <c:v>155.16</c:v>
                </c:pt>
                <c:pt idx="406">
                  <c:v>156.55000000000001</c:v>
                </c:pt>
                <c:pt idx="407">
                  <c:v>155.32</c:v>
                </c:pt>
                <c:pt idx="408">
                  <c:v>152</c:v>
                </c:pt>
                <c:pt idx="409">
                  <c:v>153.22</c:v>
                </c:pt>
                <c:pt idx="410">
                  <c:v>155.55000000000001</c:v>
                </c:pt>
                <c:pt idx="411">
                  <c:v>158.18</c:v>
                </c:pt>
                <c:pt idx="412">
                  <c:v>158.19999999999999</c:v>
                </c:pt>
                <c:pt idx="413">
                  <c:v>157.36000000000001</c:v>
                </c:pt>
                <c:pt idx="414">
                  <c:v>159.24</c:v>
                </c:pt>
                <c:pt idx="415">
                  <c:v>159.32</c:v>
                </c:pt>
                <c:pt idx="416">
                  <c:v>160.6</c:v>
                </c:pt>
                <c:pt idx="417">
                  <c:v>161.83000000000001</c:v>
                </c:pt>
                <c:pt idx="418">
                  <c:v>158.06</c:v>
                </c:pt>
                <c:pt idx="419">
                  <c:v>157.69</c:v>
                </c:pt>
                <c:pt idx="420">
                  <c:v>153.66</c:v>
                </c:pt>
                <c:pt idx="421">
                  <c:v>154</c:v>
                </c:pt>
                <c:pt idx="422">
                  <c:v>154.85</c:v>
                </c:pt>
                <c:pt idx="423">
                  <c:v>157.79</c:v>
                </c:pt>
                <c:pt idx="424">
                  <c:v>158.25</c:v>
                </c:pt>
                <c:pt idx="425">
                  <c:v>157.11000000000001</c:v>
                </c:pt>
                <c:pt idx="426">
                  <c:v>157.31</c:v>
                </c:pt>
                <c:pt idx="427">
                  <c:v>159.54</c:v>
                </c:pt>
                <c:pt idx="428">
                  <c:v>160.09</c:v>
                </c:pt>
                <c:pt idx="429">
                  <c:v>158.84</c:v>
                </c:pt>
                <c:pt idx="430">
                  <c:v>156.21</c:v>
                </c:pt>
                <c:pt idx="431">
                  <c:v>156.05000000000001</c:v>
                </c:pt>
                <c:pt idx="432">
                  <c:v>157.41999999999999</c:v>
                </c:pt>
                <c:pt idx="433">
                  <c:v>159.18</c:v>
                </c:pt>
                <c:pt idx="434">
                  <c:v>160.72</c:v>
                </c:pt>
                <c:pt idx="435">
                  <c:v>160.16</c:v>
                </c:pt>
                <c:pt idx="436">
                  <c:v>156.1</c:v>
                </c:pt>
                <c:pt idx="437">
                  <c:v>155.29</c:v>
                </c:pt>
                <c:pt idx="438">
                  <c:v>154.58000000000001</c:v>
                </c:pt>
                <c:pt idx="439">
                  <c:v>153.37</c:v>
                </c:pt>
                <c:pt idx="440">
                  <c:v>153.55000000000001</c:v>
                </c:pt>
                <c:pt idx="441">
                  <c:v>154.02000000000001</c:v>
                </c:pt>
                <c:pt idx="442">
                  <c:v>154.91</c:v>
                </c:pt>
                <c:pt idx="443">
                  <c:v>153.74</c:v>
                </c:pt>
                <c:pt idx="444">
                  <c:v>151.63999999999999</c:v>
                </c:pt>
                <c:pt idx="445">
                  <c:v>148.9</c:v>
                </c:pt>
                <c:pt idx="446">
                  <c:v>151.94</c:v>
                </c:pt>
                <c:pt idx="447">
                  <c:v>152.38999999999999</c:v>
                </c:pt>
                <c:pt idx="448">
                  <c:v>152.11000000000001</c:v>
                </c:pt>
                <c:pt idx="449">
                  <c:v>151.71</c:v>
                </c:pt>
                <c:pt idx="450">
                  <c:v>153.08000000000001</c:v>
                </c:pt>
                <c:pt idx="451">
                  <c:v>154.47999999999999</c:v>
                </c:pt>
                <c:pt idx="452">
                  <c:v>153.79</c:v>
                </c:pt>
                <c:pt idx="453">
                  <c:v>155.57</c:v>
                </c:pt>
                <c:pt idx="454">
                  <c:v>156.56</c:v>
                </c:pt>
                <c:pt idx="455">
                  <c:v>155.56</c:v>
                </c:pt>
                <c:pt idx="456">
                  <c:v>155.28</c:v>
                </c:pt>
                <c:pt idx="457">
                  <c:v>154.13</c:v>
                </c:pt>
                <c:pt idx="458">
                  <c:v>155.1</c:v>
                </c:pt>
                <c:pt idx="459">
                  <c:v>153.52000000000001</c:v>
                </c:pt>
                <c:pt idx="460">
                  <c:v>157.72</c:v>
                </c:pt>
                <c:pt idx="461">
                  <c:v>154.04</c:v>
                </c:pt>
                <c:pt idx="462">
                  <c:v>153.38999999999999</c:v>
                </c:pt>
                <c:pt idx="463">
                  <c:v>152.66</c:v>
                </c:pt>
                <c:pt idx="464">
                  <c:v>152.94</c:v>
                </c:pt>
                <c:pt idx="465">
                  <c:v>155.02000000000001</c:v>
                </c:pt>
                <c:pt idx="466">
                  <c:v>155.65</c:v>
                </c:pt>
                <c:pt idx="467">
                  <c:v>156.24</c:v>
                </c:pt>
                <c:pt idx="468">
                  <c:v>153.32</c:v>
                </c:pt>
                <c:pt idx="469">
                  <c:v>155.58000000000001</c:v>
                </c:pt>
                <c:pt idx="470">
                  <c:v>157.62</c:v>
                </c:pt>
                <c:pt idx="471">
                  <c:v>154.82</c:v>
                </c:pt>
                <c:pt idx="472">
                  <c:v>153.62</c:v>
                </c:pt>
                <c:pt idx="473">
                  <c:v>151.69999999999999</c:v>
                </c:pt>
                <c:pt idx="474">
                  <c:v>150.31</c:v>
                </c:pt>
                <c:pt idx="475">
                  <c:v>149.97999999999999</c:v>
                </c:pt>
                <c:pt idx="476">
                  <c:v>149.75</c:v>
                </c:pt>
                <c:pt idx="477">
                  <c:v>148.53</c:v>
                </c:pt>
                <c:pt idx="478">
                  <c:v>149.51</c:v>
                </c:pt>
                <c:pt idx="479">
                  <c:v>151.13</c:v>
                </c:pt>
                <c:pt idx="480">
                  <c:v>152.54</c:v>
                </c:pt>
                <c:pt idx="481">
                  <c:v>150.25</c:v>
                </c:pt>
                <c:pt idx="482">
                  <c:v>151.59</c:v>
                </c:pt>
                <c:pt idx="483">
                  <c:v>152.26</c:v>
                </c:pt>
                <c:pt idx="484">
                  <c:v>150</c:v>
                </c:pt>
                <c:pt idx="485">
                  <c:v>148.71</c:v>
                </c:pt>
                <c:pt idx="486">
                  <c:v>148.49</c:v>
                </c:pt>
                <c:pt idx="487">
                  <c:v>151.41</c:v>
                </c:pt>
                <c:pt idx="488">
                  <c:v>150.72</c:v>
                </c:pt>
                <c:pt idx="489">
                  <c:v>149.99</c:v>
                </c:pt>
                <c:pt idx="490">
                  <c:v>149.80000000000001</c:v>
                </c:pt>
                <c:pt idx="491">
                  <c:v>146.75</c:v>
                </c:pt>
                <c:pt idx="492">
                  <c:v>149.52000000000001</c:v>
                </c:pt>
                <c:pt idx="493">
                  <c:v>147.69</c:v>
                </c:pt>
                <c:pt idx="494">
                  <c:v>147.75</c:v>
                </c:pt>
                <c:pt idx="495">
                  <c:v>149.80000000000001</c:v>
                </c:pt>
                <c:pt idx="496">
                  <c:v>150.51</c:v>
                </c:pt>
                <c:pt idx="497">
                  <c:v>150.5</c:v>
                </c:pt>
                <c:pt idx="498">
                  <c:v>150.02000000000001</c:v>
                </c:pt>
                <c:pt idx="499">
                  <c:v>150.99</c:v>
                </c:pt>
                <c:pt idx="500">
                  <c:v>152.31</c:v>
                </c:pt>
                <c:pt idx="501">
                  <c:v>152.41</c:v>
                </c:pt>
                <c:pt idx="502">
                  <c:v>155.9</c:v>
                </c:pt>
                <c:pt idx="503">
                  <c:v>163.85</c:v>
                </c:pt>
                <c:pt idx="504">
                  <c:v>156.54</c:v>
                </c:pt>
                <c:pt idx="505">
                  <c:v>155.19999999999999</c:v>
                </c:pt>
                <c:pt idx="506">
                  <c:v>159.25</c:v>
                </c:pt>
                <c:pt idx="507">
                  <c:v>162.11000000000001</c:v>
                </c:pt>
                <c:pt idx="508">
                  <c:v>162.34</c:v>
                </c:pt>
                <c:pt idx="509">
                  <c:v>163.87</c:v>
                </c:pt>
                <c:pt idx="510">
                  <c:v>167.24</c:v>
                </c:pt>
                <c:pt idx="511">
                  <c:v>166.16</c:v>
                </c:pt>
                <c:pt idx="512">
                  <c:v>166.26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92-4057-AC0F-B85F75168E7F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Data!$J$2:$J$514</c:f>
              <c:numCache>
                <c:formatCode>General</c:formatCode>
                <c:ptCount val="513"/>
                <c:pt idx="19">
                  <c:v>146.61999999999998</c:v>
                </c:pt>
                <c:pt idx="20">
                  <c:v>146.51749999999998</c:v>
                </c:pt>
                <c:pt idx="21">
                  <c:v>146.29549999999998</c:v>
                </c:pt>
                <c:pt idx="22">
                  <c:v>146.37449999999998</c:v>
                </c:pt>
                <c:pt idx="23">
                  <c:v>146.47099999999995</c:v>
                </c:pt>
                <c:pt idx="24">
                  <c:v>146.61349999999996</c:v>
                </c:pt>
                <c:pt idx="25">
                  <c:v>146.93499999999997</c:v>
                </c:pt>
                <c:pt idx="26">
                  <c:v>147.41300000000001</c:v>
                </c:pt>
                <c:pt idx="27">
                  <c:v>147.70099999999996</c:v>
                </c:pt>
                <c:pt idx="28">
                  <c:v>147.94149999999999</c:v>
                </c:pt>
                <c:pt idx="29">
                  <c:v>148.28699999999998</c:v>
                </c:pt>
                <c:pt idx="30">
                  <c:v>148.6815</c:v>
                </c:pt>
                <c:pt idx="31">
                  <c:v>149.31349999999998</c:v>
                </c:pt>
                <c:pt idx="32">
                  <c:v>149.93299999999999</c:v>
                </c:pt>
                <c:pt idx="33">
                  <c:v>150.5085</c:v>
                </c:pt>
                <c:pt idx="34">
                  <c:v>151.17599999999999</c:v>
                </c:pt>
                <c:pt idx="35">
                  <c:v>151.70149999999998</c:v>
                </c:pt>
                <c:pt idx="36">
                  <c:v>152.006</c:v>
                </c:pt>
                <c:pt idx="37">
                  <c:v>152.27149999999997</c:v>
                </c:pt>
                <c:pt idx="38">
                  <c:v>152.42549999999997</c:v>
                </c:pt>
                <c:pt idx="39">
                  <c:v>152.53649999999999</c:v>
                </c:pt>
                <c:pt idx="40">
                  <c:v>152.76549999999997</c:v>
                </c:pt>
                <c:pt idx="41">
                  <c:v>153.01149999999996</c:v>
                </c:pt>
                <c:pt idx="42">
                  <c:v>152.84350000000001</c:v>
                </c:pt>
                <c:pt idx="43">
                  <c:v>152.70650000000003</c:v>
                </c:pt>
                <c:pt idx="44">
                  <c:v>152.50550000000004</c:v>
                </c:pt>
                <c:pt idx="45">
                  <c:v>152.36750000000004</c:v>
                </c:pt>
                <c:pt idx="46">
                  <c:v>152.15850000000003</c:v>
                </c:pt>
                <c:pt idx="47">
                  <c:v>152.20650000000003</c:v>
                </c:pt>
                <c:pt idx="48">
                  <c:v>152.197</c:v>
                </c:pt>
                <c:pt idx="49">
                  <c:v>152.36150000000001</c:v>
                </c:pt>
                <c:pt idx="50">
                  <c:v>152.59599999999998</c:v>
                </c:pt>
                <c:pt idx="51">
                  <c:v>152.65049999999999</c:v>
                </c:pt>
                <c:pt idx="52">
                  <c:v>152.68949999999998</c:v>
                </c:pt>
                <c:pt idx="53">
                  <c:v>152.82049999999998</c:v>
                </c:pt>
                <c:pt idx="54">
                  <c:v>152.77600000000001</c:v>
                </c:pt>
                <c:pt idx="55">
                  <c:v>152.7475</c:v>
                </c:pt>
                <c:pt idx="56">
                  <c:v>152.7475</c:v>
                </c:pt>
                <c:pt idx="57">
                  <c:v>152.84849999999997</c:v>
                </c:pt>
                <c:pt idx="58">
                  <c:v>153.00399999999996</c:v>
                </c:pt>
                <c:pt idx="59">
                  <c:v>153.2045</c:v>
                </c:pt>
                <c:pt idx="60">
                  <c:v>153.49099999999999</c:v>
                </c:pt>
                <c:pt idx="61">
                  <c:v>153.80449999999996</c:v>
                </c:pt>
                <c:pt idx="62">
                  <c:v>154.34949999999998</c:v>
                </c:pt>
                <c:pt idx="63">
                  <c:v>154.892</c:v>
                </c:pt>
                <c:pt idx="64">
                  <c:v>155.51000000000002</c:v>
                </c:pt>
                <c:pt idx="65">
                  <c:v>156.12150000000003</c:v>
                </c:pt>
                <c:pt idx="66">
                  <c:v>156.691</c:v>
                </c:pt>
                <c:pt idx="67">
                  <c:v>157.191</c:v>
                </c:pt>
                <c:pt idx="68">
                  <c:v>157.72999999999999</c:v>
                </c:pt>
                <c:pt idx="69">
                  <c:v>158.12999999999997</c:v>
                </c:pt>
                <c:pt idx="70">
                  <c:v>158.29299999999998</c:v>
                </c:pt>
                <c:pt idx="71">
                  <c:v>158.39500000000001</c:v>
                </c:pt>
                <c:pt idx="72">
                  <c:v>158.43850000000003</c:v>
                </c:pt>
                <c:pt idx="73">
                  <c:v>158.42750000000004</c:v>
                </c:pt>
                <c:pt idx="74">
                  <c:v>158.57850000000002</c:v>
                </c:pt>
                <c:pt idx="75">
                  <c:v>158.83550000000002</c:v>
                </c:pt>
                <c:pt idx="76">
                  <c:v>159.19850000000002</c:v>
                </c:pt>
                <c:pt idx="77">
                  <c:v>159.51750000000004</c:v>
                </c:pt>
                <c:pt idx="78">
                  <c:v>159.93250000000006</c:v>
                </c:pt>
                <c:pt idx="79">
                  <c:v>160.37900000000005</c:v>
                </c:pt>
                <c:pt idx="80">
                  <c:v>160.78650000000002</c:v>
                </c:pt>
                <c:pt idx="81">
                  <c:v>161.14900000000003</c:v>
                </c:pt>
                <c:pt idx="82">
                  <c:v>161.2235</c:v>
                </c:pt>
                <c:pt idx="83">
                  <c:v>161.18299999999999</c:v>
                </c:pt>
                <c:pt idx="84">
                  <c:v>161.185</c:v>
                </c:pt>
                <c:pt idx="85">
                  <c:v>161.11750000000001</c:v>
                </c:pt>
                <c:pt idx="86">
                  <c:v>161.16900000000001</c:v>
                </c:pt>
                <c:pt idx="87">
                  <c:v>161.20250000000001</c:v>
                </c:pt>
                <c:pt idx="88">
                  <c:v>161.196</c:v>
                </c:pt>
                <c:pt idx="89">
                  <c:v>161.374</c:v>
                </c:pt>
                <c:pt idx="90">
                  <c:v>161.71700000000001</c:v>
                </c:pt>
                <c:pt idx="91">
                  <c:v>162.06400000000002</c:v>
                </c:pt>
                <c:pt idx="92">
                  <c:v>162.43050000000002</c:v>
                </c:pt>
                <c:pt idx="93">
                  <c:v>162.76300000000003</c:v>
                </c:pt>
                <c:pt idx="94">
                  <c:v>162.93900000000002</c:v>
                </c:pt>
                <c:pt idx="95">
                  <c:v>163.07250000000005</c:v>
                </c:pt>
                <c:pt idx="96">
                  <c:v>163.03350000000003</c:v>
                </c:pt>
                <c:pt idx="97">
                  <c:v>162.88950000000003</c:v>
                </c:pt>
                <c:pt idx="98">
                  <c:v>162.58950000000002</c:v>
                </c:pt>
                <c:pt idx="99">
                  <c:v>162.17250000000001</c:v>
                </c:pt>
                <c:pt idx="100">
                  <c:v>161.76550000000003</c:v>
                </c:pt>
                <c:pt idx="101">
                  <c:v>161.40100000000001</c:v>
                </c:pt>
                <c:pt idx="102">
                  <c:v>161.18249999999998</c:v>
                </c:pt>
                <c:pt idx="103">
                  <c:v>161.11399999999998</c:v>
                </c:pt>
                <c:pt idx="104">
                  <c:v>161.19250000000002</c:v>
                </c:pt>
                <c:pt idx="105">
                  <c:v>161.05300000000003</c:v>
                </c:pt>
                <c:pt idx="106">
                  <c:v>160.74450000000002</c:v>
                </c:pt>
                <c:pt idx="107">
                  <c:v>160.36000000000001</c:v>
                </c:pt>
                <c:pt idx="108">
                  <c:v>160.02950000000001</c:v>
                </c:pt>
                <c:pt idx="109">
                  <c:v>159.56100000000001</c:v>
                </c:pt>
                <c:pt idx="110">
                  <c:v>159.10700000000003</c:v>
                </c:pt>
                <c:pt idx="111">
                  <c:v>158.70499999999998</c:v>
                </c:pt>
                <c:pt idx="112">
                  <c:v>158.23549999999997</c:v>
                </c:pt>
                <c:pt idx="113">
                  <c:v>157.72499999999997</c:v>
                </c:pt>
                <c:pt idx="114">
                  <c:v>157.29899999999998</c:v>
                </c:pt>
                <c:pt idx="115">
                  <c:v>156.82499999999999</c:v>
                </c:pt>
                <c:pt idx="116">
                  <c:v>156.43450000000001</c:v>
                </c:pt>
                <c:pt idx="117">
                  <c:v>156.26799999999997</c:v>
                </c:pt>
                <c:pt idx="118">
                  <c:v>156.15350000000004</c:v>
                </c:pt>
                <c:pt idx="119">
                  <c:v>156.27200000000002</c:v>
                </c:pt>
                <c:pt idx="120">
                  <c:v>156.3075</c:v>
                </c:pt>
                <c:pt idx="121">
                  <c:v>156.15299999999996</c:v>
                </c:pt>
                <c:pt idx="122">
                  <c:v>156.124</c:v>
                </c:pt>
                <c:pt idx="123">
                  <c:v>156.03199999999998</c:v>
                </c:pt>
                <c:pt idx="124">
                  <c:v>155.74299999999999</c:v>
                </c:pt>
                <c:pt idx="125">
                  <c:v>155.70750000000001</c:v>
                </c:pt>
                <c:pt idx="126">
                  <c:v>155.73649999999998</c:v>
                </c:pt>
                <c:pt idx="127">
                  <c:v>155.70300000000003</c:v>
                </c:pt>
                <c:pt idx="128">
                  <c:v>155.62299999999999</c:v>
                </c:pt>
                <c:pt idx="129">
                  <c:v>155.46799999999999</c:v>
                </c:pt>
                <c:pt idx="130">
                  <c:v>155.38750000000002</c:v>
                </c:pt>
                <c:pt idx="131">
                  <c:v>155.32600000000002</c:v>
                </c:pt>
                <c:pt idx="132">
                  <c:v>155.39450000000002</c:v>
                </c:pt>
                <c:pt idx="133">
                  <c:v>155.65450000000001</c:v>
                </c:pt>
                <c:pt idx="134">
                  <c:v>155.91450000000003</c:v>
                </c:pt>
                <c:pt idx="135">
                  <c:v>156.31649999999999</c:v>
                </c:pt>
                <c:pt idx="136">
                  <c:v>156.74849999999998</c:v>
                </c:pt>
                <c:pt idx="137">
                  <c:v>156.87399999999997</c:v>
                </c:pt>
                <c:pt idx="138">
                  <c:v>156.95949999999999</c:v>
                </c:pt>
                <c:pt idx="139">
                  <c:v>156.69849999999997</c:v>
                </c:pt>
                <c:pt idx="140">
                  <c:v>156.52900000000002</c:v>
                </c:pt>
                <c:pt idx="141">
                  <c:v>156.60849999999999</c:v>
                </c:pt>
                <c:pt idx="142">
                  <c:v>156.68450000000001</c:v>
                </c:pt>
                <c:pt idx="143">
                  <c:v>156.6935</c:v>
                </c:pt>
                <c:pt idx="144">
                  <c:v>156.84600000000003</c:v>
                </c:pt>
                <c:pt idx="145">
                  <c:v>157.03200000000001</c:v>
                </c:pt>
                <c:pt idx="146">
                  <c:v>156.82750000000001</c:v>
                </c:pt>
                <c:pt idx="147">
                  <c:v>156.53950000000003</c:v>
                </c:pt>
                <c:pt idx="148">
                  <c:v>156.05599999999998</c:v>
                </c:pt>
                <c:pt idx="149">
                  <c:v>155.5685</c:v>
                </c:pt>
                <c:pt idx="150">
                  <c:v>154.93249999999995</c:v>
                </c:pt>
                <c:pt idx="151">
                  <c:v>154.39399999999995</c:v>
                </c:pt>
                <c:pt idx="152">
                  <c:v>153.86399999999995</c:v>
                </c:pt>
                <c:pt idx="153">
                  <c:v>153.21299999999999</c:v>
                </c:pt>
                <c:pt idx="154">
                  <c:v>152.53199999999998</c:v>
                </c:pt>
                <c:pt idx="155">
                  <c:v>151.70400000000001</c:v>
                </c:pt>
                <c:pt idx="156">
                  <c:v>150.94549999999998</c:v>
                </c:pt>
                <c:pt idx="157">
                  <c:v>150.35150000000002</c:v>
                </c:pt>
                <c:pt idx="158">
                  <c:v>149.84350000000001</c:v>
                </c:pt>
                <c:pt idx="159">
                  <c:v>149.37350000000004</c:v>
                </c:pt>
                <c:pt idx="160">
                  <c:v>148.88600000000002</c:v>
                </c:pt>
                <c:pt idx="161">
                  <c:v>148.29550000000003</c:v>
                </c:pt>
                <c:pt idx="162">
                  <c:v>147.78450000000001</c:v>
                </c:pt>
                <c:pt idx="163">
                  <c:v>147.37950000000001</c:v>
                </c:pt>
                <c:pt idx="164">
                  <c:v>146.74850000000001</c:v>
                </c:pt>
                <c:pt idx="165">
                  <c:v>146.02500000000001</c:v>
                </c:pt>
                <c:pt idx="166">
                  <c:v>145.76499999999999</c:v>
                </c:pt>
                <c:pt idx="167">
                  <c:v>145.73499999999996</c:v>
                </c:pt>
                <c:pt idx="168">
                  <c:v>145.73499999999996</c:v>
                </c:pt>
                <c:pt idx="169">
                  <c:v>145.67699999999996</c:v>
                </c:pt>
                <c:pt idx="170">
                  <c:v>145.60299999999998</c:v>
                </c:pt>
                <c:pt idx="171">
                  <c:v>145.30649999999997</c:v>
                </c:pt>
                <c:pt idx="172">
                  <c:v>145.072</c:v>
                </c:pt>
                <c:pt idx="173">
                  <c:v>144.73250000000002</c:v>
                </c:pt>
                <c:pt idx="174">
                  <c:v>144.41900000000001</c:v>
                </c:pt>
                <c:pt idx="175">
                  <c:v>144.14600000000002</c:v>
                </c:pt>
                <c:pt idx="176">
                  <c:v>143.83650000000006</c:v>
                </c:pt>
                <c:pt idx="177">
                  <c:v>143.57750000000004</c:v>
                </c:pt>
                <c:pt idx="178">
                  <c:v>143.40649999999999</c:v>
                </c:pt>
                <c:pt idx="179">
                  <c:v>143.37</c:v>
                </c:pt>
                <c:pt idx="180">
                  <c:v>143.3535</c:v>
                </c:pt>
                <c:pt idx="181">
                  <c:v>143.351</c:v>
                </c:pt>
                <c:pt idx="182">
                  <c:v>143.34700000000001</c:v>
                </c:pt>
                <c:pt idx="183">
                  <c:v>143.2945</c:v>
                </c:pt>
                <c:pt idx="184">
                  <c:v>143.1455</c:v>
                </c:pt>
                <c:pt idx="185">
                  <c:v>142.94499999999999</c:v>
                </c:pt>
                <c:pt idx="186">
                  <c:v>142.84849999999997</c:v>
                </c:pt>
                <c:pt idx="187">
                  <c:v>142.81449999999998</c:v>
                </c:pt>
                <c:pt idx="188">
                  <c:v>143.06649999999996</c:v>
                </c:pt>
                <c:pt idx="189">
                  <c:v>143.51049999999998</c:v>
                </c:pt>
                <c:pt idx="190">
                  <c:v>144.0265</c:v>
                </c:pt>
                <c:pt idx="191">
                  <c:v>144.63550000000001</c:v>
                </c:pt>
                <c:pt idx="192">
                  <c:v>145.17649999999998</c:v>
                </c:pt>
                <c:pt idx="193">
                  <c:v>145.70250000000001</c:v>
                </c:pt>
                <c:pt idx="194">
                  <c:v>146.291</c:v>
                </c:pt>
                <c:pt idx="195">
                  <c:v>146.86150000000001</c:v>
                </c:pt>
                <c:pt idx="196">
                  <c:v>147.40200000000002</c:v>
                </c:pt>
                <c:pt idx="197">
                  <c:v>147.88650000000001</c:v>
                </c:pt>
                <c:pt idx="198">
                  <c:v>148.10250000000002</c:v>
                </c:pt>
                <c:pt idx="199">
                  <c:v>148.34100000000004</c:v>
                </c:pt>
                <c:pt idx="200">
                  <c:v>148.6515</c:v>
                </c:pt>
                <c:pt idx="201">
                  <c:v>148.90500000000003</c:v>
                </c:pt>
                <c:pt idx="202">
                  <c:v>149.072</c:v>
                </c:pt>
                <c:pt idx="203">
                  <c:v>149.24550000000002</c:v>
                </c:pt>
                <c:pt idx="204">
                  <c:v>149.571</c:v>
                </c:pt>
                <c:pt idx="205">
                  <c:v>149.99399999999997</c:v>
                </c:pt>
                <c:pt idx="206">
                  <c:v>150.26000000000002</c:v>
                </c:pt>
                <c:pt idx="207">
                  <c:v>150.42350000000002</c:v>
                </c:pt>
                <c:pt idx="208">
                  <c:v>150.36449999999999</c:v>
                </c:pt>
                <c:pt idx="209">
                  <c:v>150.21949999999998</c:v>
                </c:pt>
                <c:pt idx="210">
                  <c:v>150.09800000000001</c:v>
                </c:pt>
                <c:pt idx="211">
                  <c:v>150.21450000000002</c:v>
                </c:pt>
                <c:pt idx="212">
                  <c:v>150.35700000000003</c:v>
                </c:pt>
                <c:pt idx="213">
                  <c:v>150.59</c:v>
                </c:pt>
                <c:pt idx="214">
                  <c:v>150.99350000000001</c:v>
                </c:pt>
                <c:pt idx="215">
                  <c:v>151.30099999999999</c:v>
                </c:pt>
                <c:pt idx="216">
                  <c:v>151.57649999999995</c:v>
                </c:pt>
                <c:pt idx="217">
                  <c:v>151.81249999999994</c:v>
                </c:pt>
                <c:pt idx="218">
                  <c:v>152.19049999999996</c:v>
                </c:pt>
                <c:pt idx="219">
                  <c:v>152.68999999999997</c:v>
                </c:pt>
                <c:pt idx="220">
                  <c:v>153.21999999999997</c:v>
                </c:pt>
                <c:pt idx="221">
                  <c:v>153.75349999999997</c:v>
                </c:pt>
                <c:pt idx="222">
                  <c:v>154.2475</c:v>
                </c:pt>
                <c:pt idx="223">
                  <c:v>154.68149999999997</c:v>
                </c:pt>
                <c:pt idx="224">
                  <c:v>155.22399999999999</c:v>
                </c:pt>
                <c:pt idx="225">
                  <c:v>155.78300000000002</c:v>
                </c:pt>
                <c:pt idx="226">
                  <c:v>156.3605</c:v>
                </c:pt>
                <c:pt idx="227">
                  <c:v>156.85150000000002</c:v>
                </c:pt>
                <c:pt idx="228">
                  <c:v>157.55200000000002</c:v>
                </c:pt>
                <c:pt idx="229">
                  <c:v>158.25500000000005</c:v>
                </c:pt>
                <c:pt idx="230">
                  <c:v>158.91050000000001</c:v>
                </c:pt>
                <c:pt idx="231">
                  <c:v>159.36750000000001</c:v>
                </c:pt>
                <c:pt idx="232">
                  <c:v>159.76500000000001</c:v>
                </c:pt>
                <c:pt idx="233">
                  <c:v>160.01050000000004</c:v>
                </c:pt>
                <c:pt idx="234">
                  <c:v>160.09100000000004</c:v>
                </c:pt>
                <c:pt idx="235">
                  <c:v>160.01450000000006</c:v>
                </c:pt>
                <c:pt idx="236">
                  <c:v>160.02199999999999</c:v>
                </c:pt>
                <c:pt idx="237">
                  <c:v>160.04700000000003</c:v>
                </c:pt>
                <c:pt idx="238">
                  <c:v>160.09299999999999</c:v>
                </c:pt>
                <c:pt idx="239">
                  <c:v>159.89250000000001</c:v>
                </c:pt>
                <c:pt idx="240">
                  <c:v>159.49600000000001</c:v>
                </c:pt>
                <c:pt idx="241">
                  <c:v>158.893</c:v>
                </c:pt>
                <c:pt idx="242">
                  <c:v>158.26050000000001</c:v>
                </c:pt>
                <c:pt idx="243">
                  <c:v>157.4845</c:v>
                </c:pt>
                <c:pt idx="244">
                  <c:v>156.47550000000001</c:v>
                </c:pt>
                <c:pt idx="245">
                  <c:v>155.53649999999999</c:v>
                </c:pt>
                <c:pt idx="246">
                  <c:v>154.56699999999998</c:v>
                </c:pt>
                <c:pt idx="247">
                  <c:v>153.74100000000001</c:v>
                </c:pt>
                <c:pt idx="248">
                  <c:v>152.8135</c:v>
                </c:pt>
                <c:pt idx="249">
                  <c:v>151.90800000000002</c:v>
                </c:pt>
                <c:pt idx="250">
                  <c:v>150.965</c:v>
                </c:pt>
                <c:pt idx="251">
                  <c:v>150.09650000000005</c:v>
                </c:pt>
                <c:pt idx="252">
                  <c:v>149.33600000000004</c:v>
                </c:pt>
                <c:pt idx="253">
                  <c:v>148.81250000000003</c:v>
                </c:pt>
                <c:pt idx="254">
                  <c:v>148.209</c:v>
                </c:pt>
                <c:pt idx="255">
                  <c:v>147.92650000000003</c:v>
                </c:pt>
                <c:pt idx="256">
                  <c:v>147.58750000000003</c:v>
                </c:pt>
                <c:pt idx="257">
                  <c:v>147.39449999999999</c:v>
                </c:pt>
                <c:pt idx="258">
                  <c:v>147.35149999999999</c:v>
                </c:pt>
                <c:pt idx="259">
                  <c:v>147.46099999999998</c:v>
                </c:pt>
                <c:pt idx="260">
                  <c:v>147.684</c:v>
                </c:pt>
                <c:pt idx="261">
                  <c:v>148.185</c:v>
                </c:pt>
                <c:pt idx="262">
                  <c:v>148.85299999999998</c:v>
                </c:pt>
                <c:pt idx="263">
                  <c:v>149.56099999999998</c:v>
                </c:pt>
                <c:pt idx="264">
                  <c:v>150.32399999999998</c:v>
                </c:pt>
                <c:pt idx="265">
                  <c:v>150.98199999999997</c:v>
                </c:pt>
                <c:pt idx="266">
                  <c:v>151.61600000000001</c:v>
                </c:pt>
                <c:pt idx="267">
                  <c:v>152.28550000000001</c:v>
                </c:pt>
                <c:pt idx="268">
                  <c:v>152.89700000000002</c:v>
                </c:pt>
                <c:pt idx="269">
                  <c:v>153.48150000000004</c:v>
                </c:pt>
                <c:pt idx="270">
                  <c:v>154.14400000000001</c:v>
                </c:pt>
                <c:pt idx="271">
                  <c:v>154.36150000000004</c:v>
                </c:pt>
                <c:pt idx="272">
                  <c:v>154.49300000000002</c:v>
                </c:pt>
                <c:pt idx="273">
                  <c:v>154.76150000000001</c:v>
                </c:pt>
                <c:pt idx="274">
                  <c:v>155.048</c:v>
                </c:pt>
                <c:pt idx="275">
                  <c:v>155.1635</c:v>
                </c:pt>
                <c:pt idx="276">
                  <c:v>155.27950000000004</c:v>
                </c:pt>
                <c:pt idx="277">
                  <c:v>155.411</c:v>
                </c:pt>
                <c:pt idx="278">
                  <c:v>155.5155</c:v>
                </c:pt>
                <c:pt idx="279">
                  <c:v>155.41550000000001</c:v>
                </c:pt>
                <c:pt idx="280">
                  <c:v>155.29300000000001</c:v>
                </c:pt>
                <c:pt idx="281">
                  <c:v>155.09100000000001</c:v>
                </c:pt>
                <c:pt idx="282">
                  <c:v>154.82550000000001</c:v>
                </c:pt>
                <c:pt idx="283">
                  <c:v>154.77500000000003</c:v>
                </c:pt>
                <c:pt idx="284">
                  <c:v>154.89400000000001</c:v>
                </c:pt>
                <c:pt idx="285">
                  <c:v>154.93950000000001</c:v>
                </c:pt>
                <c:pt idx="286">
                  <c:v>155.0515</c:v>
                </c:pt>
                <c:pt idx="287">
                  <c:v>155.01100000000002</c:v>
                </c:pt>
                <c:pt idx="288">
                  <c:v>154.95750000000001</c:v>
                </c:pt>
                <c:pt idx="289">
                  <c:v>155.00650000000002</c:v>
                </c:pt>
                <c:pt idx="290">
                  <c:v>155.1215</c:v>
                </c:pt>
                <c:pt idx="291">
                  <c:v>155.31649999999999</c:v>
                </c:pt>
                <c:pt idx="292">
                  <c:v>155.4495</c:v>
                </c:pt>
                <c:pt idx="293">
                  <c:v>155.32900000000001</c:v>
                </c:pt>
                <c:pt idx="294">
                  <c:v>155.327</c:v>
                </c:pt>
                <c:pt idx="295">
                  <c:v>155.54900000000001</c:v>
                </c:pt>
                <c:pt idx="296">
                  <c:v>155.79650000000001</c:v>
                </c:pt>
                <c:pt idx="297">
                  <c:v>155.71200000000002</c:v>
                </c:pt>
                <c:pt idx="298">
                  <c:v>155.4735</c:v>
                </c:pt>
                <c:pt idx="299">
                  <c:v>155.40900000000002</c:v>
                </c:pt>
                <c:pt idx="300">
                  <c:v>155.46600000000001</c:v>
                </c:pt>
                <c:pt idx="301">
                  <c:v>155.63499999999999</c:v>
                </c:pt>
                <c:pt idx="302">
                  <c:v>155.86749999999998</c:v>
                </c:pt>
                <c:pt idx="303">
                  <c:v>156.20849999999999</c:v>
                </c:pt>
                <c:pt idx="304">
                  <c:v>156.50749999999999</c:v>
                </c:pt>
                <c:pt idx="305">
                  <c:v>156.89899999999997</c:v>
                </c:pt>
                <c:pt idx="306">
                  <c:v>157.25549999999998</c:v>
                </c:pt>
                <c:pt idx="307">
                  <c:v>157.73149999999998</c:v>
                </c:pt>
                <c:pt idx="308">
                  <c:v>158.37299999999999</c:v>
                </c:pt>
                <c:pt idx="309">
                  <c:v>158.87200000000001</c:v>
                </c:pt>
                <c:pt idx="310">
                  <c:v>159.24549999999999</c:v>
                </c:pt>
                <c:pt idx="311">
                  <c:v>159.9555</c:v>
                </c:pt>
                <c:pt idx="312">
                  <c:v>160.78100000000001</c:v>
                </c:pt>
                <c:pt idx="313">
                  <c:v>161.56400000000002</c:v>
                </c:pt>
                <c:pt idx="314">
                  <c:v>161.72249999999997</c:v>
                </c:pt>
                <c:pt idx="315">
                  <c:v>161.06950000000001</c:v>
                </c:pt>
                <c:pt idx="316">
                  <c:v>160.1985</c:v>
                </c:pt>
                <c:pt idx="317">
                  <c:v>159.34099999999998</c:v>
                </c:pt>
                <c:pt idx="318">
                  <c:v>159.00899999999999</c:v>
                </c:pt>
                <c:pt idx="319">
                  <c:v>158.07750000000001</c:v>
                </c:pt>
                <c:pt idx="320">
                  <c:v>157.00800000000001</c:v>
                </c:pt>
                <c:pt idx="321">
                  <c:v>155.83800000000002</c:v>
                </c:pt>
                <c:pt idx="322">
                  <c:v>154.52450000000005</c:v>
                </c:pt>
                <c:pt idx="323">
                  <c:v>153.09</c:v>
                </c:pt>
                <c:pt idx="324">
                  <c:v>151.74500000000003</c:v>
                </c:pt>
                <c:pt idx="325">
                  <c:v>150.19400000000002</c:v>
                </c:pt>
                <c:pt idx="326">
                  <c:v>148.80800000000002</c:v>
                </c:pt>
                <c:pt idx="327">
                  <c:v>147.345</c:v>
                </c:pt>
                <c:pt idx="328">
                  <c:v>145.90000000000003</c:v>
                </c:pt>
                <c:pt idx="329">
                  <c:v>144.50399999999999</c:v>
                </c:pt>
                <c:pt idx="330">
                  <c:v>143.2045</c:v>
                </c:pt>
                <c:pt idx="331">
                  <c:v>141.80500000000001</c:v>
                </c:pt>
                <c:pt idx="332">
                  <c:v>140.1825</c:v>
                </c:pt>
                <c:pt idx="333">
                  <c:v>138.67200000000003</c:v>
                </c:pt>
                <c:pt idx="334">
                  <c:v>137.791</c:v>
                </c:pt>
                <c:pt idx="335">
                  <c:v>137.40199999999999</c:v>
                </c:pt>
                <c:pt idx="336">
                  <c:v>137.17450000000002</c:v>
                </c:pt>
                <c:pt idx="337">
                  <c:v>137.11750000000001</c:v>
                </c:pt>
                <c:pt idx="338">
                  <c:v>136.66799999999998</c:v>
                </c:pt>
                <c:pt idx="339">
                  <c:v>136.84350000000001</c:v>
                </c:pt>
                <c:pt idx="340">
                  <c:v>137.14299999999997</c:v>
                </c:pt>
                <c:pt idx="341">
                  <c:v>137.49449999999999</c:v>
                </c:pt>
                <c:pt idx="342">
                  <c:v>137.851</c:v>
                </c:pt>
                <c:pt idx="343">
                  <c:v>138.196</c:v>
                </c:pt>
                <c:pt idx="344">
                  <c:v>138.40749999999997</c:v>
                </c:pt>
                <c:pt idx="345">
                  <c:v>138.6455</c:v>
                </c:pt>
                <c:pt idx="346">
                  <c:v>138.64399999999998</c:v>
                </c:pt>
                <c:pt idx="347">
                  <c:v>138.58800000000002</c:v>
                </c:pt>
                <c:pt idx="348">
                  <c:v>138.39899999999997</c:v>
                </c:pt>
                <c:pt idx="349">
                  <c:v>138.2895</c:v>
                </c:pt>
                <c:pt idx="350">
                  <c:v>138.17599999999999</c:v>
                </c:pt>
                <c:pt idx="351">
                  <c:v>138.01199999999997</c:v>
                </c:pt>
                <c:pt idx="352">
                  <c:v>138.10449999999997</c:v>
                </c:pt>
                <c:pt idx="353">
                  <c:v>138.12649999999996</c:v>
                </c:pt>
                <c:pt idx="354">
                  <c:v>138.09349999999998</c:v>
                </c:pt>
                <c:pt idx="355">
                  <c:v>138.29599999999999</c:v>
                </c:pt>
                <c:pt idx="356">
                  <c:v>138.38449999999997</c:v>
                </c:pt>
                <c:pt idx="357">
                  <c:v>138.44</c:v>
                </c:pt>
                <c:pt idx="358">
                  <c:v>138.5985</c:v>
                </c:pt>
                <c:pt idx="359">
                  <c:v>138.71199999999999</c:v>
                </c:pt>
                <c:pt idx="360">
                  <c:v>138.79849999999999</c:v>
                </c:pt>
                <c:pt idx="361">
                  <c:v>138.91999999999999</c:v>
                </c:pt>
                <c:pt idx="362">
                  <c:v>139.08500000000001</c:v>
                </c:pt>
                <c:pt idx="363">
                  <c:v>139.26749999999998</c:v>
                </c:pt>
                <c:pt idx="364">
                  <c:v>139.464</c:v>
                </c:pt>
                <c:pt idx="365">
                  <c:v>139.982</c:v>
                </c:pt>
                <c:pt idx="366">
                  <c:v>140.52799999999996</c:v>
                </c:pt>
                <c:pt idx="367">
                  <c:v>141.22750000000002</c:v>
                </c:pt>
                <c:pt idx="368">
                  <c:v>141.80600000000004</c:v>
                </c:pt>
                <c:pt idx="369">
                  <c:v>142.15650000000002</c:v>
                </c:pt>
                <c:pt idx="370">
                  <c:v>142.42650000000003</c:v>
                </c:pt>
                <c:pt idx="371">
                  <c:v>142.84750000000003</c:v>
                </c:pt>
                <c:pt idx="372">
                  <c:v>143.14150000000001</c:v>
                </c:pt>
                <c:pt idx="373">
                  <c:v>143.46600000000001</c:v>
                </c:pt>
                <c:pt idx="374">
                  <c:v>143.85250000000002</c:v>
                </c:pt>
                <c:pt idx="375">
                  <c:v>144.274</c:v>
                </c:pt>
                <c:pt idx="376">
                  <c:v>144.82400000000001</c:v>
                </c:pt>
                <c:pt idx="377">
                  <c:v>145.34900000000002</c:v>
                </c:pt>
                <c:pt idx="378">
                  <c:v>146.00050000000002</c:v>
                </c:pt>
                <c:pt idx="379">
                  <c:v>146.61349999999999</c:v>
                </c:pt>
                <c:pt idx="380">
                  <c:v>147.15449999999998</c:v>
                </c:pt>
                <c:pt idx="381">
                  <c:v>147.68099999999998</c:v>
                </c:pt>
                <c:pt idx="382">
                  <c:v>148.01500000000004</c:v>
                </c:pt>
                <c:pt idx="383">
                  <c:v>148.25399999999999</c:v>
                </c:pt>
                <c:pt idx="384">
                  <c:v>148.44850000000002</c:v>
                </c:pt>
                <c:pt idx="385">
                  <c:v>148.57500000000005</c:v>
                </c:pt>
                <c:pt idx="386">
                  <c:v>148.66750000000002</c:v>
                </c:pt>
                <c:pt idx="387">
                  <c:v>148.67400000000004</c:v>
                </c:pt>
                <c:pt idx="388">
                  <c:v>148.833</c:v>
                </c:pt>
                <c:pt idx="389">
                  <c:v>149.31149999999997</c:v>
                </c:pt>
                <c:pt idx="390">
                  <c:v>149.94149999999999</c:v>
                </c:pt>
                <c:pt idx="391">
                  <c:v>150.4615</c:v>
                </c:pt>
                <c:pt idx="392">
                  <c:v>151.08600000000001</c:v>
                </c:pt>
                <c:pt idx="393">
                  <c:v>151.77800000000002</c:v>
                </c:pt>
                <c:pt idx="394">
                  <c:v>152.17750000000004</c:v>
                </c:pt>
                <c:pt idx="395">
                  <c:v>152.36050000000003</c:v>
                </c:pt>
                <c:pt idx="396">
                  <c:v>152.512</c:v>
                </c:pt>
                <c:pt idx="397">
                  <c:v>152.69400000000002</c:v>
                </c:pt>
                <c:pt idx="398">
                  <c:v>152.684</c:v>
                </c:pt>
                <c:pt idx="399">
                  <c:v>152.672</c:v>
                </c:pt>
                <c:pt idx="400">
                  <c:v>152.6215</c:v>
                </c:pt>
                <c:pt idx="401">
                  <c:v>152.60650000000001</c:v>
                </c:pt>
                <c:pt idx="402">
                  <c:v>152.69649999999996</c:v>
                </c:pt>
                <c:pt idx="403">
                  <c:v>152.88399999999999</c:v>
                </c:pt>
                <c:pt idx="404">
                  <c:v>153.18149999999997</c:v>
                </c:pt>
                <c:pt idx="405">
                  <c:v>153.37049999999996</c:v>
                </c:pt>
                <c:pt idx="406">
                  <c:v>153.69599999999997</c:v>
                </c:pt>
                <c:pt idx="407">
                  <c:v>153.97800000000001</c:v>
                </c:pt>
                <c:pt idx="408">
                  <c:v>154.07600000000002</c:v>
                </c:pt>
                <c:pt idx="409">
                  <c:v>154.08099999999999</c:v>
                </c:pt>
                <c:pt idx="410">
                  <c:v>154.06700000000001</c:v>
                </c:pt>
                <c:pt idx="411">
                  <c:v>154.23400000000001</c:v>
                </c:pt>
                <c:pt idx="412">
                  <c:v>154.32999999999998</c:v>
                </c:pt>
                <c:pt idx="413">
                  <c:v>154.34649999999999</c:v>
                </c:pt>
                <c:pt idx="414">
                  <c:v>154.63049999999998</c:v>
                </c:pt>
                <c:pt idx="415">
                  <c:v>155.01450000000003</c:v>
                </c:pt>
                <c:pt idx="416">
                  <c:v>155.47449999999998</c:v>
                </c:pt>
                <c:pt idx="417">
                  <c:v>156.01399999999998</c:v>
                </c:pt>
                <c:pt idx="418">
                  <c:v>156.26499999999999</c:v>
                </c:pt>
                <c:pt idx="419">
                  <c:v>156.51050000000001</c:v>
                </c:pt>
                <c:pt idx="420">
                  <c:v>156.53550000000001</c:v>
                </c:pt>
                <c:pt idx="421">
                  <c:v>156.48499999999999</c:v>
                </c:pt>
                <c:pt idx="422">
                  <c:v>156.55499999999998</c:v>
                </c:pt>
                <c:pt idx="423">
                  <c:v>156.7225</c:v>
                </c:pt>
                <c:pt idx="424">
                  <c:v>156.84149999999997</c:v>
                </c:pt>
                <c:pt idx="425">
                  <c:v>156.93899999999999</c:v>
                </c:pt>
                <c:pt idx="426">
                  <c:v>156.97699999999998</c:v>
                </c:pt>
                <c:pt idx="427">
                  <c:v>157.18799999999999</c:v>
                </c:pt>
                <c:pt idx="428">
                  <c:v>157.5925</c:v>
                </c:pt>
                <c:pt idx="429">
                  <c:v>157.87350000000001</c:v>
                </c:pt>
                <c:pt idx="430">
                  <c:v>157.90650000000002</c:v>
                </c:pt>
                <c:pt idx="431">
                  <c:v>157.80000000000004</c:v>
                </c:pt>
                <c:pt idx="432">
                  <c:v>157.76100000000002</c:v>
                </c:pt>
                <c:pt idx="433">
                  <c:v>157.85200000000003</c:v>
                </c:pt>
                <c:pt idx="434">
                  <c:v>157.92599999999999</c:v>
                </c:pt>
                <c:pt idx="435">
                  <c:v>157.96800000000002</c:v>
                </c:pt>
                <c:pt idx="436">
                  <c:v>157.74299999999999</c:v>
                </c:pt>
                <c:pt idx="437">
                  <c:v>157.41599999999997</c:v>
                </c:pt>
                <c:pt idx="438">
                  <c:v>157.24199999999993</c:v>
                </c:pt>
                <c:pt idx="439">
                  <c:v>157.02599999999995</c:v>
                </c:pt>
                <c:pt idx="440">
                  <c:v>157.02049999999997</c:v>
                </c:pt>
                <c:pt idx="441">
                  <c:v>157.02149999999997</c:v>
                </c:pt>
                <c:pt idx="442">
                  <c:v>157.02449999999999</c:v>
                </c:pt>
                <c:pt idx="443">
                  <c:v>156.82200000000003</c:v>
                </c:pt>
                <c:pt idx="444">
                  <c:v>156.49150000000003</c:v>
                </c:pt>
                <c:pt idx="445">
                  <c:v>156.08099999999999</c:v>
                </c:pt>
                <c:pt idx="446">
                  <c:v>155.81249999999997</c:v>
                </c:pt>
                <c:pt idx="447">
                  <c:v>155.45499999999998</c:v>
                </c:pt>
                <c:pt idx="448">
                  <c:v>155.05600000000001</c:v>
                </c:pt>
                <c:pt idx="449">
                  <c:v>154.6995</c:v>
                </c:pt>
                <c:pt idx="450">
                  <c:v>154.54300000000001</c:v>
                </c:pt>
                <c:pt idx="451">
                  <c:v>154.46450000000002</c:v>
                </c:pt>
                <c:pt idx="452">
                  <c:v>154.28300000000002</c:v>
                </c:pt>
                <c:pt idx="453">
                  <c:v>154.10250000000002</c:v>
                </c:pt>
                <c:pt idx="454">
                  <c:v>153.89450000000002</c:v>
                </c:pt>
                <c:pt idx="455">
                  <c:v>153.66450000000003</c:v>
                </c:pt>
                <c:pt idx="456">
                  <c:v>153.62350000000001</c:v>
                </c:pt>
                <c:pt idx="457">
                  <c:v>153.56550000000001</c:v>
                </c:pt>
                <c:pt idx="458">
                  <c:v>153.59150000000002</c:v>
                </c:pt>
                <c:pt idx="459">
                  <c:v>153.59900000000002</c:v>
                </c:pt>
                <c:pt idx="460">
                  <c:v>153.8075</c:v>
                </c:pt>
                <c:pt idx="461">
                  <c:v>153.80849999999998</c:v>
                </c:pt>
                <c:pt idx="462">
                  <c:v>153.73249999999999</c:v>
                </c:pt>
                <c:pt idx="463">
                  <c:v>153.67849999999996</c:v>
                </c:pt>
                <c:pt idx="464">
                  <c:v>153.74349999999998</c:v>
                </c:pt>
                <c:pt idx="465">
                  <c:v>154.04949999999997</c:v>
                </c:pt>
                <c:pt idx="466">
                  <c:v>154.23499999999996</c:v>
                </c:pt>
                <c:pt idx="467">
                  <c:v>154.42750000000001</c:v>
                </c:pt>
                <c:pt idx="468">
                  <c:v>154.488</c:v>
                </c:pt>
                <c:pt idx="469">
                  <c:v>154.68149999999997</c:v>
                </c:pt>
                <c:pt idx="470">
                  <c:v>154.90849999999998</c:v>
                </c:pt>
                <c:pt idx="471">
                  <c:v>154.9255</c:v>
                </c:pt>
                <c:pt idx="472">
                  <c:v>154.917</c:v>
                </c:pt>
                <c:pt idx="473">
                  <c:v>154.7235</c:v>
                </c:pt>
                <c:pt idx="474">
                  <c:v>154.411</c:v>
                </c:pt>
                <c:pt idx="475">
                  <c:v>154.13200000000001</c:v>
                </c:pt>
                <c:pt idx="476">
                  <c:v>153.85549999999998</c:v>
                </c:pt>
                <c:pt idx="477">
                  <c:v>153.57549999999998</c:v>
                </c:pt>
                <c:pt idx="478">
                  <c:v>153.29599999999999</c:v>
                </c:pt>
                <c:pt idx="479">
                  <c:v>153.17649999999998</c:v>
                </c:pt>
                <c:pt idx="480">
                  <c:v>152.91750000000002</c:v>
                </c:pt>
                <c:pt idx="481">
                  <c:v>152.72800000000001</c:v>
                </c:pt>
                <c:pt idx="482">
                  <c:v>152.63800000000001</c:v>
                </c:pt>
                <c:pt idx="483">
                  <c:v>152.61800000000002</c:v>
                </c:pt>
                <c:pt idx="484">
                  <c:v>152.471</c:v>
                </c:pt>
                <c:pt idx="485">
                  <c:v>152.15549999999999</c:v>
                </c:pt>
                <c:pt idx="486">
                  <c:v>151.79749999999999</c:v>
                </c:pt>
                <c:pt idx="487">
                  <c:v>151.55599999999998</c:v>
                </c:pt>
                <c:pt idx="488">
                  <c:v>151.42599999999999</c:v>
                </c:pt>
                <c:pt idx="489">
                  <c:v>151.14649999999997</c:v>
                </c:pt>
                <c:pt idx="490">
                  <c:v>150.75549999999998</c:v>
                </c:pt>
                <c:pt idx="491">
                  <c:v>150.352</c:v>
                </c:pt>
                <c:pt idx="492">
                  <c:v>150.14699999999999</c:v>
                </c:pt>
                <c:pt idx="493">
                  <c:v>149.94650000000001</c:v>
                </c:pt>
                <c:pt idx="494">
                  <c:v>149.8185</c:v>
                </c:pt>
                <c:pt idx="495">
                  <c:v>149.80950000000001</c:v>
                </c:pt>
                <c:pt idx="496">
                  <c:v>149.84750000000003</c:v>
                </c:pt>
                <c:pt idx="497">
                  <c:v>149.946</c:v>
                </c:pt>
                <c:pt idx="498">
                  <c:v>149.97150000000005</c:v>
                </c:pt>
                <c:pt idx="499">
                  <c:v>149.96450000000004</c:v>
                </c:pt>
                <c:pt idx="500">
                  <c:v>149.95300000000003</c:v>
                </c:pt>
                <c:pt idx="501">
                  <c:v>150.06099999999998</c:v>
                </c:pt>
                <c:pt idx="502">
                  <c:v>150.2765</c:v>
                </c:pt>
                <c:pt idx="503">
                  <c:v>150.85600000000002</c:v>
                </c:pt>
                <c:pt idx="504">
                  <c:v>151.18300000000002</c:v>
                </c:pt>
                <c:pt idx="505">
                  <c:v>151.50749999999999</c:v>
                </c:pt>
                <c:pt idx="506">
                  <c:v>152.0455</c:v>
                </c:pt>
                <c:pt idx="507">
                  <c:v>152.58049999999997</c:v>
                </c:pt>
                <c:pt idx="508">
                  <c:v>153.16149999999999</c:v>
                </c:pt>
                <c:pt idx="509">
                  <c:v>153.85550000000001</c:v>
                </c:pt>
                <c:pt idx="510">
                  <c:v>154.72750000000002</c:v>
                </c:pt>
                <c:pt idx="511">
                  <c:v>155.69800000000001</c:v>
                </c:pt>
                <c:pt idx="512">
                  <c:v>156.53500000000003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92-4057-AC0F-B85F75168E7F}"/>
            </c:ext>
          </c:extLst>
        </c:ser>
        <c:ser>
          <c:idx val="2"/>
          <c:order val="2"/>
          <c:tx>
            <c:strRef>
              <c:f>Data!$L$1</c:f>
              <c:strCache>
                <c:ptCount val="1"/>
                <c:pt idx="0">
                  <c:v>Upper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Data!$L$2:$L$514</c:f>
              <c:numCache>
                <c:formatCode>General</c:formatCode>
                <c:ptCount val="513"/>
                <c:pt idx="19">
                  <c:v>153.41362859403455</c:v>
                </c:pt>
                <c:pt idx="20">
                  <c:v>153.19022492275357</c:v>
                </c:pt>
                <c:pt idx="21">
                  <c:v>152.42751941494504</c:v>
                </c:pt>
                <c:pt idx="22">
                  <c:v>152.77797430368034</c:v>
                </c:pt>
                <c:pt idx="23">
                  <c:v>153.18074750485789</c:v>
                </c:pt>
                <c:pt idx="24">
                  <c:v>153.70433997696654</c:v>
                </c:pt>
                <c:pt idx="25">
                  <c:v>154.42337836425986</c:v>
                </c:pt>
                <c:pt idx="26">
                  <c:v>155.44748907752336</c:v>
                </c:pt>
                <c:pt idx="27">
                  <c:v>155.82598913359593</c:v>
                </c:pt>
                <c:pt idx="28">
                  <c:v>156.29433065792668</c:v>
                </c:pt>
                <c:pt idx="29">
                  <c:v>156.46928407179675</c:v>
                </c:pt>
                <c:pt idx="30">
                  <c:v>156.57040833619214</c:v>
                </c:pt>
                <c:pt idx="31">
                  <c:v>156.90765363774554</c:v>
                </c:pt>
                <c:pt idx="32">
                  <c:v>157.10741682940886</c:v>
                </c:pt>
                <c:pt idx="33">
                  <c:v>156.98130066285472</c:v>
                </c:pt>
                <c:pt idx="34">
                  <c:v>156.67334634547481</c:v>
                </c:pt>
                <c:pt idx="35">
                  <c:v>156.66419992305757</c:v>
                </c:pt>
                <c:pt idx="36">
                  <c:v>156.90663110865916</c:v>
                </c:pt>
                <c:pt idx="37">
                  <c:v>157.09307988957755</c:v>
                </c:pt>
                <c:pt idx="38">
                  <c:v>157.00873478043962</c:v>
                </c:pt>
                <c:pt idx="39">
                  <c:v>156.99033938452632</c:v>
                </c:pt>
                <c:pt idx="40">
                  <c:v>156.53172930235198</c:v>
                </c:pt>
                <c:pt idx="41">
                  <c:v>155.99910439148152</c:v>
                </c:pt>
                <c:pt idx="42">
                  <c:v>156.34709379404694</c:v>
                </c:pt>
                <c:pt idx="43">
                  <c:v>156.49716040628672</c:v>
                </c:pt>
                <c:pt idx="44">
                  <c:v>156.77218600598692</c:v>
                </c:pt>
                <c:pt idx="45">
                  <c:v>156.85798995099648</c:v>
                </c:pt>
                <c:pt idx="46">
                  <c:v>156.70604659129518</c:v>
                </c:pt>
                <c:pt idx="47">
                  <c:v>156.72450736235746</c:v>
                </c:pt>
                <c:pt idx="48">
                  <c:v>156.71692594256984</c:v>
                </c:pt>
                <c:pt idx="49">
                  <c:v>156.87617443600953</c:v>
                </c:pt>
                <c:pt idx="50">
                  <c:v>157.29840878923264</c:v>
                </c:pt>
                <c:pt idx="51">
                  <c:v>157.46773430152504</c:v>
                </c:pt>
                <c:pt idx="52">
                  <c:v>157.586186204922</c:v>
                </c:pt>
                <c:pt idx="53">
                  <c:v>157.99699535984783</c:v>
                </c:pt>
                <c:pt idx="54">
                  <c:v>157.87236155042316</c:v>
                </c:pt>
                <c:pt idx="55">
                  <c:v>157.7874326436602</c:v>
                </c:pt>
                <c:pt idx="56">
                  <c:v>157.7874326436602</c:v>
                </c:pt>
                <c:pt idx="57">
                  <c:v>158.1082549472635</c:v>
                </c:pt>
                <c:pt idx="58">
                  <c:v>158.36103924511326</c:v>
                </c:pt>
                <c:pt idx="59">
                  <c:v>158.75362406553833</c:v>
                </c:pt>
                <c:pt idx="60">
                  <c:v>159.36275182323675</c:v>
                </c:pt>
                <c:pt idx="61">
                  <c:v>160.17177645651449</c:v>
                </c:pt>
                <c:pt idx="62">
                  <c:v>160.80731281207417</c:v>
                </c:pt>
                <c:pt idx="63">
                  <c:v>161.48779004485357</c:v>
                </c:pt>
                <c:pt idx="64">
                  <c:v>161.82730455511728</c:v>
                </c:pt>
                <c:pt idx="65">
                  <c:v>162.30253133959479</c:v>
                </c:pt>
                <c:pt idx="66">
                  <c:v>162.54067079595532</c:v>
                </c:pt>
                <c:pt idx="67">
                  <c:v>163.06186616043018</c:v>
                </c:pt>
                <c:pt idx="68">
                  <c:v>163.5306714674841</c:v>
                </c:pt>
                <c:pt idx="69">
                  <c:v>163.91904591721109</c:v>
                </c:pt>
                <c:pt idx="70">
                  <c:v>163.97657967259514</c:v>
                </c:pt>
                <c:pt idx="71">
                  <c:v>163.9429099905422</c:v>
                </c:pt>
                <c:pt idx="72">
                  <c:v>163.9008468062344</c:v>
                </c:pt>
                <c:pt idx="73">
                  <c:v>163.90612785356836</c:v>
                </c:pt>
                <c:pt idx="74">
                  <c:v>163.76587850840613</c:v>
                </c:pt>
                <c:pt idx="75">
                  <c:v>163.74927644458603</c:v>
                </c:pt>
                <c:pt idx="76">
                  <c:v>163.88068696090215</c:v>
                </c:pt>
                <c:pt idx="77">
                  <c:v>164.28553335823727</c:v>
                </c:pt>
                <c:pt idx="78">
                  <c:v>164.58741647276528</c:v>
                </c:pt>
                <c:pt idx="79">
                  <c:v>165.29296249155621</c:v>
                </c:pt>
                <c:pt idx="80">
                  <c:v>166.11337436742372</c:v>
                </c:pt>
                <c:pt idx="81">
                  <c:v>166.95234168706637</c:v>
                </c:pt>
                <c:pt idx="82">
                  <c:v>166.99098882690041</c:v>
                </c:pt>
                <c:pt idx="83">
                  <c:v>166.98492744743186</c:v>
                </c:pt>
                <c:pt idx="84">
                  <c:v>166.986239431998</c:v>
                </c:pt>
                <c:pt idx="85">
                  <c:v>166.92981315489163</c:v>
                </c:pt>
                <c:pt idx="86">
                  <c:v>167.00520604953525</c:v>
                </c:pt>
                <c:pt idx="87">
                  <c:v>167.06641597196923</c:v>
                </c:pt>
                <c:pt idx="88">
                  <c:v>167.05335129649282</c:v>
                </c:pt>
                <c:pt idx="89">
                  <c:v>167.52896171265186</c:v>
                </c:pt>
                <c:pt idx="90">
                  <c:v>168.06702561122063</c:v>
                </c:pt>
                <c:pt idx="91">
                  <c:v>168.21997407743936</c:v>
                </c:pt>
                <c:pt idx="92">
                  <c:v>167.97942298701196</c:v>
                </c:pt>
                <c:pt idx="93">
                  <c:v>167.53265893076116</c:v>
                </c:pt>
                <c:pt idx="94">
                  <c:v>167.12602205442133</c:v>
                </c:pt>
                <c:pt idx="95">
                  <c:v>167.0288719424959</c:v>
                </c:pt>
                <c:pt idx="96">
                  <c:v>167.05258748480628</c:v>
                </c:pt>
                <c:pt idx="97">
                  <c:v>167.13620014308327</c:v>
                </c:pt>
                <c:pt idx="98">
                  <c:v>167.4387581092912</c:v>
                </c:pt>
                <c:pt idx="99">
                  <c:v>167.46197266300069</c:v>
                </c:pt>
                <c:pt idx="100">
                  <c:v>167.10302741888682</c:v>
                </c:pt>
                <c:pt idx="101">
                  <c:v>166.41172912017697</c:v>
                </c:pt>
                <c:pt idx="102">
                  <c:v>166.5832246102527</c:v>
                </c:pt>
                <c:pt idx="103">
                  <c:v>166.63113274121716</c:v>
                </c:pt>
                <c:pt idx="104">
                  <c:v>166.73126244965286</c:v>
                </c:pt>
                <c:pt idx="105">
                  <c:v>166.82724444818271</c:v>
                </c:pt>
                <c:pt idx="106">
                  <c:v>166.88584384402358</c:v>
                </c:pt>
                <c:pt idx="107">
                  <c:v>166.94093898275443</c:v>
                </c:pt>
                <c:pt idx="108">
                  <c:v>166.81034756385296</c:v>
                </c:pt>
                <c:pt idx="109">
                  <c:v>166.0536092395001</c:v>
                </c:pt>
                <c:pt idx="110">
                  <c:v>164.99886808013252</c:v>
                </c:pt>
                <c:pt idx="111">
                  <c:v>164.11648291768725</c:v>
                </c:pt>
                <c:pt idx="112">
                  <c:v>163.48199848144353</c:v>
                </c:pt>
                <c:pt idx="113">
                  <c:v>162.98592047179255</c:v>
                </c:pt>
                <c:pt idx="114">
                  <c:v>162.78752161093348</c:v>
                </c:pt>
                <c:pt idx="115">
                  <c:v>161.98825274873971</c:v>
                </c:pt>
                <c:pt idx="116">
                  <c:v>161.40127582595221</c:v>
                </c:pt>
                <c:pt idx="117">
                  <c:v>160.95089429171406</c:v>
                </c:pt>
                <c:pt idx="118">
                  <c:v>160.81428500277642</c:v>
                </c:pt>
                <c:pt idx="119">
                  <c:v>161.1331872060878</c:v>
                </c:pt>
                <c:pt idx="120">
                  <c:v>161.22418641090297</c:v>
                </c:pt>
                <c:pt idx="121">
                  <c:v>160.89939852386715</c:v>
                </c:pt>
                <c:pt idx="122">
                  <c:v>160.8582532340603</c:v>
                </c:pt>
                <c:pt idx="123">
                  <c:v>160.66184187521276</c:v>
                </c:pt>
                <c:pt idx="124">
                  <c:v>159.3294722441272</c:v>
                </c:pt>
                <c:pt idx="125">
                  <c:v>159.23599975574831</c:v>
                </c:pt>
                <c:pt idx="126">
                  <c:v>159.28907223342244</c:v>
                </c:pt>
                <c:pt idx="127">
                  <c:v>159.29799125245992</c:v>
                </c:pt>
                <c:pt idx="128">
                  <c:v>159.26758993433742</c:v>
                </c:pt>
                <c:pt idx="129">
                  <c:v>159.29011074228831</c:v>
                </c:pt>
                <c:pt idx="130">
                  <c:v>159.16435959774159</c:v>
                </c:pt>
                <c:pt idx="131">
                  <c:v>159.06715884101229</c:v>
                </c:pt>
                <c:pt idx="132">
                  <c:v>159.10039558747454</c:v>
                </c:pt>
                <c:pt idx="133">
                  <c:v>159.33534930130907</c:v>
                </c:pt>
                <c:pt idx="134">
                  <c:v>159.40781075056316</c:v>
                </c:pt>
                <c:pt idx="135">
                  <c:v>160.30503237749372</c:v>
                </c:pt>
                <c:pt idx="136">
                  <c:v>161.21769879785367</c:v>
                </c:pt>
                <c:pt idx="137">
                  <c:v>161.46955116676068</c:v>
                </c:pt>
                <c:pt idx="138">
                  <c:v>161.49339793955662</c:v>
                </c:pt>
                <c:pt idx="139">
                  <c:v>161.26355848236011</c:v>
                </c:pt>
                <c:pt idx="140">
                  <c:v>161.07035106258968</c:v>
                </c:pt>
                <c:pt idx="141">
                  <c:v>161.16282368310885</c:v>
                </c:pt>
                <c:pt idx="142">
                  <c:v>161.26918147318071</c:v>
                </c:pt>
                <c:pt idx="143">
                  <c:v>161.27670170783884</c:v>
                </c:pt>
                <c:pt idx="144">
                  <c:v>161.60451104531884</c:v>
                </c:pt>
                <c:pt idx="145">
                  <c:v>162.05800647160663</c:v>
                </c:pt>
                <c:pt idx="146">
                  <c:v>162.22758138340234</c:v>
                </c:pt>
                <c:pt idx="147">
                  <c:v>163.01267533729535</c:v>
                </c:pt>
                <c:pt idx="148">
                  <c:v>164.398657408259</c:v>
                </c:pt>
                <c:pt idx="149">
                  <c:v>165.63032001952246</c:v>
                </c:pt>
                <c:pt idx="150">
                  <c:v>166.59219192515275</c:v>
                </c:pt>
                <c:pt idx="151">
                  <c:v>166.95034777607259</c:v>
                </c:pt>
                <c:pt idx="152">
                  <c:v>167.08504128393741</c:v>
                </c:pt>
                <c:pt idx="153">
                  <c:v>166.84409463882602</c:v>
                </c:pt>
                <c:pt idx="154">
                  <c:v>166.55963077868665</c:v>
                </c:pt>
                <c:pt idx="155">
                  <c:v>165.52330518475779</c:v>
                </c:pt>
                <c:pt idx="156">
                  <c:v>164.03848482313896</c:v>
                </c:pt>
                <c:pt idx="157">
                  <c:v>162.94567956626665</c:v>
                </c:pt>
                <c:pt idx="158">
                  <c:v>162.12599464631847</c:v>
                </c:pt>
                <c:pt idx="159">
                  <c:v>161.69114891271232</c:v>
                </c:pt>
                <c:pt idx="160">
                  <c:v>161.02483615335075</c:v>
                </c:pt>
                <c:pt idx="161">
                  <c:v>159.79390899749546</c:v>
                </c:pt>
                <c:pt idx="162">
                  <c:v>158.36899804890948</c:v>
                </c:pt>
                <c:pt idx="163">
                  <c:v>157.13081294803558</c:v>
                </c:pt>
                <c:pt idx="164">
                  <c:v>154.63294778295256</c:v>
                </c:pt>
                <c:pt idx="165">
                  <c:v>150.54613399841003</c:v>
                </c:pt>
                <c:pt idx="166">
                  <c:v>149.14273203262343</c:v>
                </c:pt>
                <c:pt idx="167">
                  <c:v>149.01790949263633</c:v>
                </c:pt>
                <c:pt idx="168">
                  <c:v>149.01790949263633</c:v>
                </c:pt>
                <c:pt idx="169">
                  <c:v>149.17987160393926</c:v>
                </c:pt>
                <c:pt idx="170">
                  <c:v>149.44279769203916</c:v>
                </c:pt>
                <c:pt idx="171">
                  <c:v>150.26190226207189</c:v>
                </c:pt>
                <c:pt idx="172">
                  <c:v>150.51077153311974</c:v>
                </c:pt>
                <c:pt idx="173">
                  <c:v>150.97347116261818</c:v>
                </c:pt>
                <c:pt idx="174">
                  <c:v>151.37242369287475</c:v>
                </c:pt>
                <c:pt idx="175">
                  <c:v>151.47644236476614</c:v>
                </c:pt>
                <c:pt idx="176">
                  <c:v>151.21765459517653</c:v>
                </c:pt>
                <c:pt idx="177">
                  <c:v>150.81347118204386</c:v>
                </c:pt>
                <c:pt idx="178">
                  <c:v>150.47862549007499</c:v>
                </c:pt>
                <c:pt idx="179">
                  <c:v>150.42173961366606</c:v>
                </c:pt>
                <c:pt idx="180">
                  <c:v>150.38755034176799</c:v>
                </c:pt>
                <c:pt idx="181">
                  <c:v>150.38152861679538</c:v>
                </c:pt>
                <c:pt idx="182">
                  <c:v>150.367385654424</c:v>
                </c:pt>
                <c:pt idx="183">
                  <c:v>150.16677373696575</c:v>
                </c:pt>
                <c:pt idx="184">
                  <c:v>149.8101482119819</c:v>
                </c:pt>
                <c:pt idx="185">
                  <c:v>149.48823756979195</c:v>
                </c:pt>
                <c:pt idx="186">
                  <c:v>149.16691843968465</c:v>
                </c:pt>
                <c:pt idx="187">
                  <c:v>149.02370700081315</c:v>
                </c:pt>
                <c:pt idx="188">
                  <c:v>149.96221728264035</c:v>
                </c:pt>
                <c:pt idx="189">
                  <c:v>151.23034039922285</c:v>
                </c:pt>
                <c:pt idx="190">
                  <c:v>152.3741622003125</c:v>
                </c:pt>
                <c:pt idx="191">
                  <c:v>153.08058321606813</c:v>
                </c:pt>
                <c:pt idx="192">
                  <c:v>153.83573121663565</c:v>
                </c:pt>
                <c:pt idx="193">
                  <c:v>153.84786839656684</c:v>
                </c:pt>
                <c:pt idx="194">
                  <c:v>153.72651902410951</c:v>
                </c:pt>
                <c:pt idx="195">
                  <c:v>153.73943198723663</c:v>
                </c:pt>
                <c:pt idx="196">
                  <c:v>153.89992063906439</c:v>
                </c:pt>
                <c:pt idx="197">
                  <c:v>154.15780230746208</c:v>
                </c:pt>
                <c:pt idx="198">
                  <c:v>154.01174654561325</c:v>
                </c:pt>
                <c:pt idx="199">
                  <c:v>153.92220869761346</c:v>
                </c:pt>
                <c:pt idx="200">
                  <c:v>154.13791297829655</c:v>
                </c:pt>
                <c:pt idx="201">
                  <c:v>154.28071733279435</c:v>
                </c:pt>
                <c:pt idx="202">
                  <c:v>154.47661245506777</c:v>
                </c:pt>
                <c:pt idx="203">
                  <c:v>154.65365943006978</c:v>
                </c:pt>
                <c:pt idx="204">
                  <c:v>154.39425463387096</c:v>
                </c:pt>
                <c:pt idx="205">
                  <c:v>153.24573573083018</c:v>
                </c:pt>
                <c:pt idx="206">
                  <c:v>152.73897262251077</c:v>
                </c:pt>
                <c:pt idx="207">
                  <c:v>152.46485429762234</c:v>
                </c:pt>
                <c:pt idx="208">
                  <c:v>152.55654758880343</c:v>
                </c:pt>
                <c:pt idx="209">
                  <c:v>152.62202914983135</c:v>
                </c:pt>
                <c:pt idx="210">
                  <c:v>152.52673673033189</c:v>
                </c:pt>
                <c:pt idx="211">
                  <c:v>152.97391622354021</c:v>
                </c:pt>
                <c:pt idx="212">
                  <c:v>153.57032816480623</c:v>
                </c:pt>
                <c:pt idx="213">
                  <c:v>153.9834487968499</c:v>
                </c:pt>
                <c:pt idx="214">
                  <c:v>155.61372225484993</c:v>
                </c:pt>
                <c:pt idx="215">
                  <c:v>156.58718816002209</c:v>
                </c:pt>
                <c:pt idx="216">
                  <c:v>157.43242736149941</c:v>
                </c:pt>
                <c:pt idx="217">
                  <c:v>158.06965548287249</c:v>
                </c:pt>
                <c:pt idx="218">
                  <c:v>158.3213623073413</c:v>
                </c:pt>
                <c:pt idx="219">
                  <c:v>159.24679318280704</c:v>
                </c:pt>
                <c:pt idx="220">
                  <c:v>160.88899156205997</c:v>
                </c:pt>
                <c:pt idx="221">
                  <c:v>162.14911859418035</c:v>
                </c:pt>
                <c:pt idx="222">
                  <c:v>163.08240416354062</c:v>
                </c:pt>
                <c:pt idx="223">
                  <c:v>163.67943724899445</c:v>
                </c:pt>
                <c:pt idx="224">
                  <c:v>164.46051198690341</c:v>
                </c:pt>
                <c:pt idx="225">
                  <c:v>165.15522795508653</c:v>
                </c:pt>
                <c:pt idx="226">
                  <c:v>165.86495540952131</c:v>
                </c:pt>
                <c:pt idx="227">
                  <c:v>166.1010900904908</c:v>
                </c:pt>
                <c:pt idx="228">
                  <c:v>166.25049738990049</c:v>
                </c:pt>
                <c:pt idx="229">
                  <c:v>165.9328080753628</c:v>
                </c:pt>
                <c:pt idx="230">
                  <c:v>165.33249009981373</c:v>
                </c:pt>
                <c:pt idx="231">
                  <c:v>165.32343600403922</c:v>
                </c:pt>
                <c:pt idx="232">
                  <c:v>165.24644621715649</c:v>
                </c:pt>
                <c:pt idx="233">
                  <c:v>164.67201759792772</c:v>
                </c:pt>
                <c:pt idx="234">
                  <c:v>164.64022503521787</c:v>
                </c:pt>
                <c:pt idx="235">
                  <c:v>164.84182343840226</c:v>
                </c:pt>
                <c:pt idx="236">
                  <c:v>164.82957122179499</c:v>
                </c:pt>
                <c:pt idx="237">
                  <c:v>164.78211006930371</c:v>
                </c:pt>
                <c:pt idx="238">
                  <c:v>164.64797923041078</c:v>
                </c:pt>
                <c:pt idx="239">
                  <c:v>165.01910295856203</c:v>
                </c:pt>
                <c:pt idx="240">
                  <c:v>165.19599963065559</c:v>
                </c:pt>
                <c:pt idx="241">
                  <c:v>166.09083622457399</c:v>
                </c:pt>
                <c:pt idx="242">
                  <c:v>166.85521434876355</c:v>
                </c:pt>
                <c:pt idx="243">
                  <c:v>168.12827351961428</c:v>
                </c:pt>
                <c:pt idx="244">
                  <c:v>169.20584910837297</c:v>
                </c:pt>
                <c:pt idx="245">
                  <c:v>169.38716561197464</c:v>
                </c:pt>
                <c:pt idx="246">
                  <c:v>169.10408593110807</c:v>
                </c:pt>
                <c:pt idx="247">
                  <c:v>168.76145468510754</c:v>
                </c:pt>
                <c:pt idx="248">
                  <c:v>167.8397384899846</c:v>
                </c:pt>
                <c:pt idx="249">
                  <c:v>166.75704051481196</c:v>
                </c:pt>
                <c:pt idx="250">
                  <c:v>165.52689186667865</c:v>
                </c:pt>
                <c:pt idx="251">
                  <c:v>163.88597771996731</c:v>
                </c:pt>
                <c:pt idx="252">
                  <c:v>162.01268460724572</c:v>
                </c:pt>
                <c:pt idx="253">
                  <c:v>160.77148231016074</c:v>
                </c:pt>
                <c:pt idx="254">
                  <c:v>159.10409962274204</c:v>
                </c:pt>
                <c:pt idx="255">
                  <c:v>158.33617419481061</c:v>
                </c:pt>
                <c:pt idx="256">
                  <c:v>157.14909835790519</c:v>
                </c:pt>
                <c:pt idx="257">
                  <c:v>156.28867189423559</c:v>
                </c:pt>
                <c:pt idx="258">
                  <c:v>156.07285739073006</c:v>
                </c:pt>
                <c:pt idx="259">
                  <c:v>156.61559481985898</c:v>
                </c:pt>
                <c:pt idx="260">
                  <c:v>157.67501364648305</c:v>
                </c:pt>
                <c:pt idx="261">
                  <c:v>159.4531582112466</c:v>
                </c:pt>
                <c:pt idx="262">
                  <c:v>161.59063772199704</c:v>
                </c:pt>
                <c:pt idx="263">
                  <c:v>162.74778908285822</c:v>
                </c:pt>
                <c:pt idx="264">
                  <c:v>163.22446657662957</c:v>
                </c:pt>
                <c:pt idx="265">
                  <c:v>163.6170833209091</c:v>
                </c:pt>
                <c:pt idx="266">
                  <c:v>163.82362729651126</c:v>
                </c:pt>
                <c:pt idx="267">
                  <c:v>164.16170792748437</c:v>
                </c:pt>
                <c:pt idx="268">
                  <c:v>164.21909967508819</c:v>
                </c:pt>
                <c:pt idx="269">
                  <c:v>164.05170295577699</c:v>
                </c:pt>
                <c:pt idx="270">
                  <c:v>163.56506575712112</c:v>
                </c:pt>
                <c:pt idx="271">
                  <c:v>163.05057184189917</c:v>
                </c:pt>
                <c:pt idx="272">
                  <c:v>162.76405313729759</c:v>
                </c:pt>
                <c:pt idx="273">
                  <c:v>162.45289307072662</c:v>
                </c:pt>
                <c:pt idx="274">
                  <c:v>161.94914132437145</c:v>
                </c:pt>
                <c:pt idx="275">
                  <c:v>161.75017962034383</c:v>
                </c:pt>
                <c:pt idx="276">
                  <c:v>161.5810836773073</c:v>
                </c:pt>
                <c:pt idx="277">
                  <c:v>161.63387088932939</c:v>
                </c:pt>
                <c:pt idx="278">
                  <c:v>161.80390696084973</c:v>
                </c:pt>
                <c:pt idx="279">
                  <c:v>161.67474654957937</c:v>
                </c:pt>
                <c:pt idx="280">
                  <c:v>161.40627494280406</c:v>
                </c:pt>
                <c:pt idx="281">
                  <c:v>160.89481326552232</c:v>
                </c:pt>
                <c:pt idx="282">
                  <c:v>159.83163297550325</c:v>
                </c:pt>
                <c:pt idx="283">
                  <c:v>159.65488999013192</c:v>
                </c:pt>
                <c:pt idx="284">
                  <c:v>160.05003029675473</c:v>
                </c:pt>
                <c:pt idx="285">
                  <c:v>160.15274012794146</c:v>
                </c:pt>
                <c:pt idx="286">
                  <c:v>160.42285981998873</c:v>
                </c:pt>
                <c:pt idx="287">
                  <c:v>160.32510793622927</c:v>
                </c:pt>
                <c:pt idx="288">
                  <c:v>160.2422461722644</c:v>
                </c:pt>
                <c:pt idx="289">
                  <c:v>160.33781078974414</c:v>
                </c:pt>
                <c:pt idx="290">
                  <c:v>160.66702935160149</c:v>
                </c:pt>
                <c:pt idx="291">
                  <c:v>160.2210640398564</c:v>
                </c:pt>
                <c:pt idx="292">
                  <c:v>159.78264994213822</c:v>
                </c:pt>
                <c:pt idx="293">
                  <c:v>160.0407050215953</c:v>
                </c:pt>
                <c:pt idx="294">
                  <c:v>160.0429175029613</c:v>
                </c:pt>
                <c:pt idx="295">
                  <c:v>159.99601153348488</c:v>
                </c:pt>
                <c:pt idx="296">
                  <c:v>160.10599636818137</c:v>
                </c:pt>
                <c:pt idx="297">
                  <c:v>160.08942341903017</c:v>
                </c:pt>
                <c:pt idx="298">
                  <c:v>159.9725959325765</c:v>
                </c:pt>
                <c:pt idx="299">
                  <c:v>159.97914061743816</c:v>
                </c:pt>
                <c:pt idx="300">
                  <c:v>160.08900608513096</c:v>
                </c:pt>
                <c:pt idx="301">
                  <c:v>160.48038413012023</c:v>
                </c:pt>
                <c:pt idx="302">
                  <c:v>161.23687073643299</c:v>
                </c:pt>
                <c:pt idx="303">
                  <c:v>162.69272303911984</c:v>
                </c:pt>
                <c:pt idx="304">
                  <c:v>163.97055391138309</c:v>
                </c:pt>
                <c:pt idx="305">
                  <c:v>165.22479732233683</c:v>
                </c:pt>
                <c:pt idx="306">
                  <c:v>166.33632415689351</c:v>
                </c:pt>
                <c:pt idx="307">
                  <c:v>167.59245388788261</c:v>
                </c:pt>
                <c:pt idx="308">
                  <c:v>169.15078436365627</c:v>
                </c:pt>
                <c:pt idx="309">
                  <c:v>170.22649384720941</c:v>
                </c:pt>
                <c:pt idx="310">
                  <c:v>171.04770759902681</c:v>
                </c:pt>
                <c:pt idx="311">
                  <c:v>171.90609386324422</c:v>
                </c:pt>
                <c:pt idx="312">
                  <c:v>172.69860996879916</c:v>
                </c:pt>
                <c:pt idx="313">
                  <c:v>172.75912939207331</c:v>
                </c:pt>
                <c:pt idx="314">
                  <c:v>172.48555156298008</c:v>
                </c:pt>
                <c:pt idx="315">
                  <c:v>174.46927922049071</c:v>
                </c:pt>
                <c:pt idx="316">
                  <c:v>176.50534748002636</c:v>
                </c:pt>
                <c:pt idx="317">
                  <c:v>178.54828469261486</c:v>
                </c:pt>
                <c:pt idx="318">
                  <c:v>178.91850569055154</c:v>
                </c:pt>
                <c:pt idx="319">
                  <c:v>180.6197866957566</c:v>
                </c:pt>
                <c:pt idx="320">
                  <c:v>181.68967920586144</c:v>
                </c:pt>
                <c:pt idx="321">
                  <c:v>182.33006641917342</c:v>
                </c:pt>
                <c:pt idx="322">
                  <c:v>182.53979242170581</c:v>
                </c:pt>
                <c:pt idx="323">
                  <c:v>181.97618682820016</c:v>
                </c:pt>
                <c:pt idx="324">
                  <c:v>180.84555705742818</c:v>
                </c:pt>
                <c:pt idx="325">
                  <c:v>179.68012405147459</c:v>
                </c:pt>
                <c:pt idx="326">
                  <c:v>177.96393185108761</c:v>
                </c:pt>
                <c:pt idx="327">
                  <c:v>175.80956818757775</c:v>
                </c:pt>
                <c:pt idx="328">
                  <c:v>172.8499528365958</c:v>
                </c:pt>
                <c:pt idx="329">
                  <c:v>169.76805759801439</c:v>
                </c:pt>
                <c:pt idx="330">
                  <c:v>166.38098851746096</c:v>
                </c:pt>
                <c:pt idx="331">
                  <c:v>162.05305383760441</c:v>
                </c:pt>
                <c:pt idx="332">
                  <c:v>156.17342094382244</c:v>
                </c:pt>
                <c:pt idx="333">
                  <c:v>148.86323999479845</c:v>
                </c:pt>
                <c:pt idx="334">
                  <c:v>143.83322301370683</c:v>
                </c:pt>
                <c:pt idx="335">
                  <c:v>142.93673852375301</c:v>
                </c:pt>
                <c:pt idx="336">
                  <c:v>142.60674088683777</c:v>
                </c:pt>
                <c:pt idx="337">
                  <c:v>142.58435659704293</c:v>
                </c:pt>
                <c:pt idx="338">
                  <c:v>140.17718554053425</c:v>
                </c:pt>
                <c:pt idx="339">
                  <c:v>140.34831338192282</c:v>
                </c:pt>
                <c:pt idx="340">
                  <c:v>141.1925878932631</c:v>
                </c:pt>
                <c:pt idx="341">
                  <c:v>142.06475842871748</c:v>
                </c:pt>
                <c:pt idx="342">
                  <c:v>142.56108727151241</c:v>
                </c:pt>
                <c:pt idx="343">
                  <c:v>143.14270714505594</c:v>
                </c:pt>
                <c:pt idx="344">
                  <c:v>143.64847971958034</c:v>
                </c:pt>
                <c:pt idx="345">
                  <c:v>143.40204219830019</c:v>
                </c:pt>
                <c:pt idx="346">
                  <c:v>143.40234734689304</c:v>
                </c:pt>
                <c:pt idx="347">
                  <c:v>143.4684641711948</c:v>
                </c:pt>
                <c:pt idx="348">
                  <c:v>143.48913452412447</c:v>
                </c:pt>
                <c:pt idx="349">
                  <c:v>143.44347639028149</c:v>
                </c:pt>
                <c:pt idx="350">
                  <c:v>143.26162639106272</c:v>
                </c:pt>
                <c:pt idx="351">
                  <c:v>143.15621739738697</c:v>
                </c:pt>
                <c:pt idx="352">
                  <c:v>143.16680850190116</c:v>
                </c:pt>
                <c:pt idx="353">
                  <c:v>143.15879266574231</c:v>
                </c:pt>
                <c:pt idx="354">
                  <c:v>143.12413572418768</c:v>
                </c:pt>
                <c:pt idx="355">
                  <c:v>143.21181079675301</c:v>
                </c:pt>
                <c:pt idx="356">
                  <c:v>143.15760656866041</c:v>
                </c:pt>
                <c:pt idx="357">
                  <c:v>143.1108006751914</c:v>
                </c:pt>
                <c:pt idx="358">
                  <c:v>143.28438597475665</c:v>
                </c:pt>
                <c:pt idx="359">
                  <c:v>143.49576464832106</c:v>
                </c:pt>
                <c:pt idx="360">
                  <c:v>143.85826606490645</c:v>
                </c:pt>
                <c:pt idx="361">
                  <c:v>144.43506644517876</c:v>
                </c:pt>
                <c:pt idx="362">
                  <c:v>145.1194851086332</c:v>
                </c:pt>
                <c:pt idx="363">
                  <c:v>145.89765717841789</c:v>
                </c:pt>
                <c:pt idx="364">
                  <c:v>146.65670507638046</c:v>
                </c:pt>
                <c:pt idx="365">
                  <c:v>148.28574829757463</c:v>
                </c:pt>
                <c:pt idx="366">
                  <c:v>149.49081346805551</c:v>
                </c:pt>
                <c:pt idx="367">
                  <c:v>150.72549507929523</c:v>
                </c:pt>
                <c:pt idx="368">
                  <c:v>151.1900231524819</c:v>
                </c:pt>
                <c:pt idx="369">
                  <c:v>151.23090883966961</c:v>
                </c:pt>
                <c:pt idx="370">
                  <c:v>151.27747740662758</c:v>
                </c:pt>
                <c:pt idx="371">
                  <c:v>151.20251960689376</c:v>
                </c:pt>
                <c:pt idx="372">
                  <c:v>151.17250380433626</c:v>
                </c:pt>
                <c:pt idx="373">
                  <c:v>150.90366063957435</c:v>
                </c:pt>
                <c:pt idx="374">
                  <c:v>150.84951552919455</c:v>
                </c:pt>
                <c:pt idx="375">
                  <c:v>151.19495338732128</c:v>
                </c:pt>
                <c:pt idx="376">
                  <c:v>151.15828565324</c:v>
                </c:pt>
                <c:pt idx="377">
                  <c:v>150.55867884655194</c:v>
                </c:pt>
                <c:pt idx="378">
                  <c:v>151.73659247154416</c:v>
                </c:pt>
                <c:pt idx="379">
                  <c:v>152.60618422416252</c:v>
                </c:pt>
                <c:pt idx="380">
                  <c:v>153.82225263961988</c:v>
                </c:pt>
                <c:pt idx="381">
                  <c:v>155.17148210099077</c:v>
                </c:pt>
                <c:pt idx="382">
                  <c:v>155.59172474719369</c:v>
                </c:pt>
                <c:pt idx="383">
                  <c:v>155.85267412257247</c:v>
                </c:pt>
                <c:pt idx="384">
                  <c:v>156.00651498584887</c:v>
                </c:pt>
                <c:pt idx="385">
                  <c:v>156.24516777418924</c:v>
                </c:pt>
                <c:pt idx="386">
                  <c:v>156.36269843456742</c:v>
                </c:pt>
                <c:pt idx="387">
                  <c:v>156.3725559821649</c:v>
                </c:pt>
                <c:pt idx="388">
                  <c:v>156.50511793993095</c:v>
                </c:pt>
                <c:pt idx="389">
                  <c:v>156.78750589957806</c:v>
                </c:pt>
                <c:pt idx="390">
                  <c:v>157.38318706112997</c:v>
                </c:pt>
                <c:pt idx="391">
                  <c:v>157.73610839966119</c:v>
                </c:pt>
                <c:pt idx="392">
                  <c:v>158.0884909853566</c:v>
                </c:pt>
                <c:pt idx="393">
                  <c:v>158.20692673370669</c:v>
                </c:pt>
                <c:pt idx="394">
                  <c:v>157.94066753183529</c:v>
                </c:pt>
                <c:pt idx="395">
                  <c:v>157.78494942634254</c:v>
                </c:pt>
                <c:pt idx="396">
                  <c:v>157.62764205982108</c:v>
                </c:pt>
                <c:pt idx="397">
                  <c:v>157.27492796850504</c:v>
                </c:pt>
                <c:pt idx="398">
                  <c:v>157.26078075783221</c:v>
                </c:pt>
                <c:pt idx="399">
                  <c:v>157.24632928646952</c:v>
                </c:pt>
                <c:pt idx="400">
                  <c:v>157.14824985066841</c:v>
                </c:pt>
                <c:pt idx="401">
                  <c:v>157.09758719694091</c:v>
                </c:pt>
                <c:pt idx="402">
                  <c:v>157.17901468427451</c:v>
                </c:pt>
                <c:pt idx="403">
                  <c:v>157.32666586634645</c:v>
                </c:pt>
                <c:pt idx="404">
                  <c:v>157.58515529986167</c:v>
                </c:pt>
                <c:pt idx="405">
                  <c:v>157.77307089963529</c:v>
                </c:pt>
                <c:pt idx="406">
                  <c:v>158.02376787002746</c:v>
                </c:pt>
                <c:pt idx="407">
                  <c:v>157.92192590941406</c:v>
                </c:pt>
                <c:pt idx="408">
                  <c:v>157.69165834436248</c:v>
                </c:pt>
                <c:pt idx="409">
                  <c:v>157.69136461199957</c:v>
                </c:pt>
                <c:pt idx="410">
                  <c:v>157.65088263435652</c:v>
                </c:pt>
                <c:pt idx="411">
                  <c:v>158.25425084318198</c:v>
                </c:pt>
                <c:pt idx="412">
                  <c:v>158.63740366297256</c:v>
                </c:pt>
                <c:pt idx="413">
                  <c:v>158.69973606188847</c:v>
                </c:pt>
                <c:pt idx="414">
                  <c:v>159.48046570796339</c:v>
                </c:pt>
                <c:pt idx="415">
                  <c:v>160.07891652481729</c:v>
                </c:pt>
                <c:pt idx="416">
                  <c:v>160.82004797545534</c:v>
                </c:pt>
                <c:pt idx="417">
                  <c:v>161.64543582700577</c:v>
                </c:pt>
                <c:pt idx="418">
                  <c:v>161.78469678801099</c:v>
                </c:pt>
                <c:pt idx="419">
                  <c:v>161.80992390116234</c:v>
                </c:pt>
                <c:pt idx="420">
                  <c:v>161.77272495823485</c:v>
                </c:pt>
                <c:pt idx="421">
                  <c:v>161.80301506302175</c:v>
                </c:pt>
                <c:pt idx="422">
                  <c:v>161.74000063442111</c:v>
                </c:pt>
                <c:pt idx="423">
                  <c:v>161.8357639694282</c:v>
                </c:pt>
                <c:pt idx="424">
                  <c:v>161.98193321950691</c:v>
                </c:pt>
                <c:pt idx="425">
                  <c:v>162.01875921518044</c:v>
                </c:pt>
                <c:pt idx="426">
                  <c:v>162.05587720704196</c:v>
                </c:pt>
                <c:pt idx="427">
                  <c:v>162.32730406920911</c:v>
                </c:pt>
                <c:pt idx="428">
                  <c:v>162.26476925593977</c:v>
                </c:pt>
                <c:pt idx="429">
                  <c:v>162.09253593377994</c:v>
                </c:pt>
                <c:pt idx="430">
                  <c:v>162.05881210164577</c:v>
                </c:pt>
                <c:pt idx="431">
                  <c:v>162.0312869760493</c:v>
                </c:pt>
                <c:pt idx="432">
                  <c:v>161.99114196601388</c:v>
                </c:pt>
                <c:pt idx="433">
                  <c:v>162.12391858783064</c:v>
                </c:pt>
                <c:pt idx="434">
                  <c:v>162.34779958602232</c:v>
                </c:pt>
                <c:pt idx="435">
                  <c:v>162.46093527311726</c:v>
                </c:pt>
                <c:pt idx="436">
                  <c:v>162.13042749227836</c:v>
                </c:pt>
                <c:pt idx="437">
                  <c:v>161.48411167884791</c:v>
                </c:pt>
                <c:pt idx="438">
                  <c:v>161.48793725317441</c:v>
                </c:pt>
                <c:pt idx="439">
                  <c:v>161.60263355937983</c:v>
                </c:pt>
                <c:pt idx="440">
                  <c:v>161.61439743945272</c:v>
                </c:pt>
                <c:pt idx="441">
                  <c:v>161.61263688477447</c:v>
                </c:pt>
                <c:pt idx="442">
                  <c:v>161.60973706555814</c:v>
                </c:pt>
                <c:pt idx="443">
                  <c:v>161.61778147959228</c:v>
                </c:pt>
                <c:pt idx="444">
                  <c:v>161.76061667419845</c:v>
                </c:pt>
                <c:pt idx="445">
                  <c:v>162.3345073106386</c:v>
                </c:pt>
                <c:pt idx="446">
                  <c:v>162.30055826114406</c:v>
                </c:pt>
                <c:pt idx="447">
                  <c:v>161.86574591275419</c:v>
                </c:pt>
                <c:pt idx="448">
                  <c:v>161.24147840978327</c:v>
                </c:pt>
                <c:pt idx="449">
                  <c:v>160.78781313600945</c:v>
                </c:pt>
                <c:pt idx="450">
                  <c:v>160.62874209460978</c:v>
                </c:pt>
                <c:pt idx="451">
                  <c:v>160.50875599443935</c:v>
                </c:pt>
                <c:pt idx="452">
                  <c:v>160.16952377089086</c:v>
                </c:pt>
                <c:pt idx="453">
                  <c:v>159.56273278855977</c:v>
                </c:pt>
                <c:pt idx="454">
                  <c:v>158.55112843923078</c:v>
                </c:pt>
                <c:pt idx="455">
                  <c:v>157.37676402758837</c:v>
                </c:pt>
                <c:pt idx="456">
                  <c:v>157.23936722508913</c:v>
                </c:pt>
                <c:pt idx="457">
                  <c:v>157.10522627547149</c:v>
                </c:pt>
                <c:pt idx="458">
                  <c:v>157.17002821848962</c:v>
                </c:pt>
                <c:pt idx="459">
                  <c:v>157.17620208219248</c:v>
                </c:pt>
                <c:pt idx="460">
                  <c:v>157.83094641478317</c:v>
                </c:pt>
                <c:pt idx="461">
                  <c:v>157.83217873050467</c:v>
                </c:pt>
                <c:pt idx="462">
                  <c:v>157.72588334327116</c:v>
                </c:pt>
                <c:pt idx="463">
                  <c:v>157.70056166039254</c:v>
                </c:pt>
                <c:pt idx="464">
                  <c:v>157.66767755379189</c:v>
                </c:pt>
                <c:pt idx="465">
                  <c:v>157.2758159697776</c:v>
                </c:pt>
                <c:pt idx="466">
                  <c:v>157.37612618088008</c:v>
                </c:pt>
                <c:pt idx="467">
                  <c:v>157.56443027958025</c:v>
                </c:pt>
                <c:pt idx="468">
                  <c:v>157.48006388898858</c:v>
                </c:pt>
                <c:pt idx="469">
                  <c:v>157.40567848553513</c:v>
                </c:pt>
                <c:pt idx="470">
                  <c:v>157.82090016770394</c:v>
                </c:pt>
                <c:pt idx="471">
                  <c:v>157.83133061773177</c:v>
                </c:pt>
                <c:pt idx="472">
                  <c:v>157.83777206808136</c:v>
                </c:pt>
                <c:pt idx="473">
                  <c:v>157.95803909512543</c:v>
                </c:pt>
                <c:pt idx="474">
                  <c:v>158.07731264638639</c:v>
                </c:pt>
                <c:pt idx="475">
                  <c:v>158.25141539030659</c:v>
                </c:pt>
                <c:pt idx="476">
                  <c:v>158.37354557186774</c:v>
                </c:pt>
                <c:pt idx="477">
                  <c:v>158.67819474730857</c:v>
                </c:pt>
                <c:pt idx="478">
                  <c:v>158.65313749172662</c:v>
                </c:pt>
                <c:pt idx="479">
                  <c:v>158.61855176090975</c:v>
                </c:pt>
                <c:pt idx="480">
                  <c:v>157.92477418231141</c:v>
                </c:pt>
                <c:pt idx="481">
                  <c:v>157.84213150521492</c:v>
                </c:pt>
                <c:pt idx="482">
                  <c:v>157.76641249675203</c:v>
                </c:pt>
                <c:pt idx="483">
                  <c:v>157.74917038049648</c:v>
                </c:pt>
                <c:pt idx="484">
                  <c:v>157.73018504793481</c:v>
                </c:pt>
                <c:pt idx="485">
                  <c:v>157.52671558328328</c:v>
                </c:pt>
                <c:pt idx="486">
                  <c:v>157.14241150042434</c:v>
                </c:pt>
                <c:pt idx="487">
                  <c:v>156.47526995011506</c:v>
                </c:pt>
                <c:pt idx="488">
                  <c:v>156.28605154835125</c:v>
                </c:pt>
                <c:pt idx="489">
                  <c:v>155.62896771790997</c:v>
                </c:pt>
                <c:pt idx="490">
                  <c:v>154.07335266637764</c:v>
                </c:pt>
                <c:pt idx="491">
                  <c:v>153.54924618349835</c:v>
                </c:pt>
                <c:pt idx="492">
                  <c:v>152.96529437034081</c:v>
                </c:pt>
                <c:pt idx="493">
                  <c:v>152.86826064439884</c:v>
                </c:pt>
                <c:pt idx="494">
                  <c:v>152.89349439451777</c:v>
                </c:pt>
                <c:pt idx="495">
                  <c:v>152.88355766476749</c:v>
                </c:pt>
                <c:pt idx="496">
                  <c:v>152.93721042758312</c:v>
                </c:pt>
                <c:pt idx="497">
                  <c:v>152.98403537625362</c:v>
                </c:pt>
                <c:pt idx="498">
                  <c:v>153.00268024607755</c:v>
                </c:pt>
                <c:pt idx="499">
                  <c:v>152.98504352027825</c:v>
                </c:pt>
                <c:pt idx="500">
                  <c:v>152.93374593278085</c:v>
                </c:pt>
                <c:pt idx="501">
                  <c:v>153.23717379877107</c:v>
                </c:pt>
                <c:pt idx="502">
                  <c:v>154.34811302576497</c:v>
                </c:pt>
                <c:pt idx="503">
                  <c:v>158.14456176701407</c:v>
                </c:pt>
                <c:pt idx="504">
                  <c:v>158.88496721282092</c:v>
                </c:pt>
                <c:pt idx="505">
                  <c:v>159.31688672705042</c:v>
                </c:pt>
                <c:pt idx="506">
                  <c:v>160.44021130502634</c:v>
                </c:pt>
                <c:pt idx="507">
                  <c:v>162.0939685135283</c:v>
                </c:pt>
                <c:pt idx="508">
                  <c:v>163.57342691605464</c:v>
                </c:pt>
                <c:pt idx="509">
                  <c:v>165.18705719312456</c:v>
                </c:pt>
                <c:pt idx="510">
                  <c:v>167.35503861918261</c:v>
                </c:pt>
                <c:pt idx="511">
                  <c:v>168.72133226013585</c:v>
                </c:pt>
                <c:pt idx="512">
                  <c:v>170.02972333524247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92-4057-AC0F-B85F75168E7F}"/>
            </c:ext>
          </c:extLst>
        </c:ser>
        <c:ser>
          <c:idx val="3"/>
          <c:order val="3"/>
          <c:tx>
            <c:strRef>
              <c:f>Data!$M$1</c:f>
              <c:strCache>
                <c:ptCount val="1"/>
                <c:pt idx="0">
                  <c:v>Lower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Data!$M$2:$M$514</c:f>
              <c:numCache>
                <c:formatCode>General</c:formatCode>
                <c:ptCount val="513"/>
                <c:pt idx="19">
                  <c:v>139.8263714059654</c:v>
                </c:pt>
                <c:pt idx="20">
                  <c:v>139.8447750772464</c:v>
                </c:pt>
                <c:pt idx="21">
                  <c:v>140.16348058505491</c:v>
                </c:pt>
                <c:pt idx="22">
                  <c:v>139.97102569631963</c:v>
                </c:pt>
                <c:pt idx="23">
                  <c:v>139.761252495142</c:v>
                </c:pt>
                <c:pt idx="24">
                  <c:v>139.52266002303338</c:v>
                </c:pt>
                <c:pt idx="25">
                  <c:v>139.44662163574009</c:v>
                </c:pt>
                <c:pt idx="26">
                  <c:v>139.37851092247666</c:v>
                </c:pt>
                <c:pt idx="27">
                  <c:v>139.576010866404</c:v>
                </c:pt>
                <c:pt idx="28">
                  <c:v>139.5886693420733</c:v>
                </c:pt>
                <c:pt idx="29">
                  <c:v>140.10471592820321</c:v>
                </c:pt>
                <c:pt idx="30">
                  <c:v>140.79259166380785</c:v>
                </c:pt>
                <c:pt idx="31">
                  <c:v>141.71934636225441</c:v>
                </c:pt>
                <c:pt idx="32">
                  <c:v>142.75858317059112</c:v>
                </c:pt>
                <c:pt idx="33">
                  <c:v>144.03569933714527</c:v>
                </c:pt>
                <c:pt idx="34">
                  <c:v>145.67865365452516</c:v>
                </c:pt>
                <c:pt idx="35">
                  <c:v>146.7388000769424</c:v>
                </c:pt>
                <c:pt idx="36">
                  <c:v>147.10536889134085</c:v>
                </c:pt>
                <c:pt idx="37">
                  <c:v>147.4499201104224</c:v>
                </c:pt>
                <c:pt idx="38">
                  <c:v>147.84226521956032</c:v>
                </c:pt>
                <c:pt idx="39">
                  <c:v>148.08266061547366</c:v>
                </c:pt>
                <c:pt idx="40">
                  <c:v>148.99927069764797</c:v>
                </c:pt>
                <c:pt idx="41">
                  <c:v>150.02389560851839</c:v>
                </c:pt>
                <c:pt idx="42">
                  <c:v>149.33990620595307</c:v>
                </c:pt>
                <c:pt idx="43">
                  <c:v>148.91583959371334</c:v>
                </c:pt>
                <c:pt idx="44">
                  <c:v>148.23881399401316</c:v>
                </c:pt>
                <c:pt idx="45">
                  <c:v>147.87701004900359</c:v>
                </c:pt>
                <c:pt idx="46">
                  <c:v>147.61095340870489</c:v>
                </c:pt>
                <c:pt idx="47">
                  <c:v>147.68849263764261</c:v>
                </c:pt>
                <c:pt idx="48">
                  <c:v>147.67707405743016</c:v>
                </c:pt>
                <c:pt idx="49">
                  <c:v>147.84682556399048</c:v>
                </c:pt>
                <c:pt idx="50">
                  <c:v>147.89359121076731</c:v>
                </c:pt>
                <c:pt idx="51">
                  <c:v>147.83326569847495</c:v>
                </c:pt>
                <c:pt idx="52">
                  <c:v>147.79281379507796</c:v>
                </c:pt>
                <c:pt idx="53">
                  <c:v>147.64400464015213</c:v>
                </c:pt>
                <c:pt idx="54">
                  <c:v>147.67963844957686</c:v>
                </c:pt>
                <c:pt idx="55">
                  <c:v>147.70756735633981</c:v>
                </c:pt>
                <c:pt idx="56">
                  <c:v>147.70756735633981</c:v>
                </c:pt>
                <c:pt idx="57">
                  <c:v>147.58874505273644</c:v>
                </c:pt>
                <c:pt idx="58">
                  <c:v>147.64696075488666</c:v>
                </c:pt>
                <c:pt idx="59">
                  <c:v>147.65537593446166</c:v>
                </c:pt>
                <c:pt idx="60">
                  <c:v>147.61924817676322</c:v>
                </c:pt>
                <c:pt idx="61">
                  <c:v>147.43722354348543</c:v>
                </c:pt>
                <c:pt idx="62">
                  <c:v>147.89168718792578</c:v>
                </c:pt>
                <c:pt idx="63">
                  <c:v>148.29620995514642</c:v>
                </c:pt>
                <c:pt idx="64">
                  <c:v>149.19269544488276</c:v>
                </c:pt>
                <c:pt idx="65">
                  <c:v>149.94046866040526</c:v>
                </c:pt>
                <c:pt idx="66">
                  <c:v>150.84132920404468</c:v>
                </c:pt>
                <c:pt idx="67">
                  <c:v>151.32013383956982</c:v>
                </c:pt>
                <c:pt idx="68">
                  <c:v>151.92932853251588</c:v>
                </c:pt>
                <c:pt idx="69">
                  <c:v>152.34095408278884</c:v>
                </c:pt>
                <c:pt idx="70">
                  <c:v>152.60942032740482</c:v>
                </c:pt>
                <c:pt idx="71">
                  <c:v>152.84709000945782</c:v>
                </c:pt>
                <c:pt idx="72">
                  <c:v>152.97615319376567</c:v>
                </c:pt>
                <c:pt idx="73">
                  <c:v>152.94887214643171</c:v>
                </c:pt>
                <c:pt idx="74">
                  <c:v>153.39112149159391</c:v>
                </c:pt>
                <c:pt idx="75">
                  <c:v>153.92172355541402</c:v>
                </c:pt>
                <c:pt idx="76">
                  <c:v>154.51631303909789</c:v>
                </c:pt>
                <c:pt idx="77">
                  <c:v>154.74946664176281</c:v>
                </c:pt>
                <c:pt idx="78">
                  <c:v>155.27758352723484</c:v>
                </c:pt>
                <c:pt idx="79">
                  <c:v>155.46503750844388</c:v>
                </c:pt>
                <c:pt idx="80">
                  <c:v>155.45962563257632</c:v>
                </c:pt>
                <c:pt idx="81">
                  <c:v>155.34565831293369</c:v>
                </c:pt>
                <c:pt idx="82">
                  <c:v>155.4560111730996</c:v>
                </c:pt>
                <c:pt idx="83">
                  <c:v>155.38107255256813</c:v>
                </c:pt>
                <c:pt idx="84">
                  <c:v>155.383760568002</c:v>
                </c:pt>
                <c:pt idx="85">
                  <c:v>155.30518684510838</c:v>
                </c:pt>
                <c:pt idx="86">
                  <c:v>155.33279395046478</c:v>
                </c:pt>
                <c:pt idx="87">
                  <c:v>155.33858402803079</c:v>
                </c:pt>
                <c:pt idx="88">
                  <c:v>155.33864870350718</c:v>
                </c:pt>
                <c:pt idx="89">
                  <c:v>155.21903828734813</c:v>
                </c:pt>
                <c:pt idx="90">
                  <c:v>155.3669743887794</c:v>
                </c:pt>
                <c:pt idx="91">
                  <c:v>155.90802592256068</c:v>
                </c:pt>
                <c:pt idx="92">
                  <c:v>156.88157701298809</c:v>
                </c:pt>
                <c:pt idx="93">
                  <c:v>157.99334106923891</c:v>
                </c:pt>
                <c:pt idx="94">
                  <c:v>158.75197794557872</c:v>
                </c:pt>
                <c:pt idx="95">
                  <c:v>159.1161280575042</c:v>
                </c:pt>
                <c:pt idx="96">
                  <c:v>159.01441251519378</c:v>
                </c:pt>
                <c:pt idx="97">
                  <c:v>158.64279985691678</c:v>
                </c:pt>
                <c:pt idx="98">
                  <c:v>157.74024189070883</c:v>
                </c:pt>
                <c:pt idx="99">
                  <c:v>156.88302733699933</c:v>
                </c:pt>
                <c:pt idx="100">
                  <c:v>156.42797258111324</c:v>
                </c:pt>
                <c:pt idx="101">
                  <c:v>156.39027087982305</c:v>
                </c:pt>
                <c:pt idx="102">
                  <c:v>155.78177538974725</c:v>
                </c:pt>
                <c:pt idx="103">
                  <c:v>155.59686725878279</c:v>
                </c:pt>
                <c:pt idx="104">
                  <c:v>155.65373755034719</c:v>
                </c:pt>
                <c:pt idx="105">
                  <c:v>155.27875555181734</c:v>
                </c:pt>
                <c:pt idx="106">
                  <c:v>154.60315615597645</c:v>
                </c:pt>
                <c:pt idx="107">
                  <c:v>153.7790610172456</c:v>
                </c:pt>
                <c:pt idx="108">
                  <c:v>153.24865243614707</c:v>
                </c:pt>
                <c:pt idx="109">
                  <c:v>153.06839076049991</c:v>
                </c:pt>
                <c:pt idx="110">
                  <c:v>153.21513191986753</c:v>
                </c:pt>
                <c:pt idx="111">
                  <c:v>153.29351708231272</c:v>
                </c:pt>
                <c:pt idx="112">
                  <c:v>152.98900151855642</c:v>
                </c:pt>
                <c:pt idx="113">
                  <c:v>152.46407952820738</c:v>
                </c:pt>
                <c:pt idx="114">
                  <c:v>151.81047838906647</c:v>
                </c:pt>
                <c:pt idx="115">
                  <c:v>151.66174725126027</c:v>
                </c:pt>
                <c:pt idx="116">
                  <c:v>151.46772417404782</c:v>
                </c:pt>
                <c:pt idx="117">
                  <c:v>151.58510570828588</c:v>
                </c:pt>
                <c:pt idx="118">
                  <c:v>151.49271499722366</c:v>
                </c:pt>
                <c:pt idx="119">
                  <c:v>151.41081279391224</c:v>
                </c:pt>
                <c:pt idx="120">
                  <c:v>151.39081358909704</c:v>
                </c:pt>
                <c:pt idx="121">
                  <c:v>151.40660147613278</c:v>
                </c:pt>
                <c:pt idx="122">
                  <c:v>151.38974676593969</c:v>
                </c:pt>
                <c:pt idx="123">
                  <c:v>151.40215812478721</c:v>
                </c:pt>
                <c:pt idx="124">
                  <c:v>152.15652775587279</c:v>
                </c:pt>
                <c:pt idx="125">
                  <c:v>152.17900024425171</c:v>
                </c:pt>
                <c:pt idx="126">
                  <c:v>152.18392776657751</c:v>
                </c:pt>
                <c:pt idx="127">
                  <c:v>152.10800874754014</c:v>
                </c:pt>
                <c:pt idx="128">
                  <c:v>151.97841006566256</c:v>
                </c:pt>
                <c:pt idx="129">
                  <c:v>151.64588925771167</c:v>
                </c:pt>
                <c:pt idx="130">
                  <c:v>151.61064040225844</c:v>
                </c:pt>
                <c:pt idx="131">
                  <c:v>151.58484115898776</c:v>
                </c:pt>
                <c:pt idx="132">
                  <c:v>151.68860441252551</c:v>
                </c:pt>
                <c:pt idx="133">
                  <c:v>151.97365069869096</c:v>
                </c:pt>
                <c:pt idx="134">
                  <c:v>152.42118924943691</c:v>
                </c:pt>
                <c:pt idx="135">
                  <c:v>152.32796762250626</c:v>
                </c:pt>
                <c:pt idx="136">
                  <c:v>152.27930120214629</c:v>
                </c:pt>
                <c:pt idx="137">
                  <c:v>152.27844883323925</c:v>
                </c:pt>
                <c:pt idx="138">
                  <c:v>152.42560206044337</c:v>
                </c:pt>
                <c:pt idx="139">
                  <c:v>152.13344151763982</c:v>
                </c:pt>
                <c:pt idx="140">
                  <c:v>151.98764893741037</c:v>
                </c:pt>
                <c:pt idx="141">
                  <c:v>152.05417631689113</c:v>
                </c:pt>
                <c:pt idx="142">
                  <c:v>152.09981852681932</c:v>
                </c:pt>
                <c:pt idx="143">
                  <c:v>152.11029829216116</c:v>
                </c:pt>
                <c:pt idx="144">
                  <c:v>152.08748895468122</c:v>
                </c:pt>
                <c:pt idx="145">
                  <c:v>152.00599352839339</c:v>
                </c:pt>
                <c:pt idx="146">
                  <c:v>151.42741861659769</c:v>
                </c:pt>
                <c:pt idx="147">
                  <c:v>150.06632466270472</c:v>
                </c:pt>
                <c:pt idx="148">
                  <c:v>147.71334259174097</c:v>
                </c:pt>
                <c:pt idx="149">
                  <c:v>145.50667998047754</c:v>
                </c:pt>
                <c:pt idx="150">
                  <c:v>143.27280807484715</c:v>
                </c:pt>
                <c:pt idx="151">
                  <c:v>141.83765222392731</c:v>
                </c:pt>
                <c:pt idx="152">
                  <c:v>140.64295871606248</c:v>
                </c:pt>
                <c:pt idx="153">
                  <c:v>139.58190536117397</c:v>
                </c:pt>
                <c:pt idx="154">
                  <c:v>138.50436922131331</c:v>
                </c:pt>
                <c:pt idx="155">
                  <c:v>137.88469481524223</c:v>
                </c:pt>
                <c:pt idx="156">
                  <c:v>137.852515176861</c:v>
                </c:pt>
                <c:pt idx="157">
                  <c:v>137.75732043373338</c:v>
                </c:pt>
                <c:pt idx="158">
                  <c:v>137.56100535368154</c:v>
                </c:pt>
                <c:pt idx="159">
                  <c:v>137.05585108728775</c:v>
                </c:pt>
                <c:pt idx="160">
                  <c:v>136.7471638466493</c:v>
                </c:pt>
                <c:pt idx="161">
                  <c:v>136.7970910025046</c:v>
                </c:pt>
                <c:pt idx="162">
                  <c:v>137.20000195109054</c:v>
                </c:pt>
                <c:pt idx="163">
                  <c:v>137.62818705196443</c:v>
                </c:pt>
                <c:pt idx="164">
                  <c:v>138.86405221704746</c:v>
                </c:pt>
                <c:pt idx="165">
                  <c:v>141.50386600158998</c:v>
                </c:pt>
                <c:pt idx="166">
                  <c:v>142.38726796737654</c:v>
                </c:pt>
                <c:pt idx="167">
                  <c:v>142.45209050736358</c:v>
                </c:pt>
                <c:pt idx="168">
                  <c:v>142.45209050736358</c:v>
                </c:pt>
                <c:pt idx="169">
                  <c:v>142.17412839606067</c:v>
                </c:pt>
                <c:pt idx="170">
                  <c:v>141.7632023079608</c:v>
                </c:pt>
                <c:pt idx="171">
                  <c:v>140.35109773792806</c:v>
                </c:pt>
                <c:pt idx="172">
                  <c:v>139.63322846688027</c:v>
                </c:pt>
                <c:pt idx="173">
                  <c:v>138.49152883738185</c:v>
                </c:pt>
                <c:pt idx="174">
                  <c:v>137.46557630712527</c:v>
                </c:pt>
                <c:pt idx="175">
                  <c:v>136.81555763523389</c:v>
                </c:pt>
                <c:pt idx="176">
                  <c:v>136.45534540482359</c:v>
                </c:pt>
                <c:pt idx="177">
                  <c:v>136.34152881795623</c:v>
                </c:pt>
                <c:pt idx="178">
                  <c:v>136.334374509925</c:v>
                </c:pt>
                <c:pt idx="179">
                  <c:v>136.31826038633395</c:v>
                </c:pt>
                <c:pt idx="180">
                  <c:v>136.319449658232</c:v>
                </c:pt>
                <c:pt idx="181">
                  <c:v>136.32047138320462</c:v>
                </c:pt>
                <c:pt idx="182">
                  <c:v>136.32661434557602</c:v>
                </c:pt>
                <c:pt idx="183">
                  <c:v>136.42222626303425</c:v>
                </c:pt>
                <c:pt idx="184">
                  <c:v>136.4808517880181</c:v>
                </c:pt>
                <c:pt idx="185">
                  <c:v>136.40176243020804</c:v>
                </c:pt>
                <c:pt idx="186">
                  <c:v>136.5300815603153</c:v>
                </c:pt>
                <c:pt idx="187">
                  <c:v>136.60529299918682</c:v>
                </c:pt>
                <c:pt idx="188">
                  <c:v>136.17078271735957</c:v>
                </c:pt>
                <c:pt idx="189">
                  <c:v>135.7906596007771</c:v>
                </c:pt>
                <c:pt idx="190">
                  <c:v>135.6788377996875</c:v>
                </c:pt>
                <c:pt idx="191">
                  <c:v>136.19041678393188</c:v>
                </c:pt>
                <c:pt idx="192">
                  <c:v>136.5172687833643</c:v>
                </c:pt>
                <c:pt idx="193">
                  <c:v>137.55713160343319</c:v>
                </c:pt>
                <c:pt idx="194">
                  <c:v>138.85548097589049</c:v>
                </c:pt>
                <c:pt idx="195">
                  <c:v>139.98356801276339</c:v>
                </c:pt>
                <c:pt idx="196">
                  <c:v>140.90407936093564</c:v>
                </c:pt>
                <c:pt idx="197">
                  <c:v>141.61519769253795</c:v>
                </c:pt>
                <c:pt idx="198">
                  <c:v>142.19325345438679</c:v>
                </c:pt>
                <c:pt idx="199">
                  <c:v>142.75979130238662</c:v>
                </c:pt>
                <c:pt idx="200">
                  <c:v>143.16508702170344</c:v>
                </c:pt>
                <c:pt idx="201">
                  <c:v>143.52928266720571</c:v>
                </c:pt>
                <c:pt idx="202">
                  <c:v>143.66738754493224</c:v>
                </c:pt>
                <c:pt idx="203">
                  <c:v>143.83734056993026</c:v>
                </c:pt>
                <c:pt idx="204">
                  <c:v>144.74774536612904</c:v>
                </c:pt>
                <c:pt idx="205">
                  <c:v>146.74226426916977</c:v>
                </c:pt>
                <c:pt idx="206">
                  <c:v>147.78102737748927</c:v>
                </c:pt>
                <c:pt idx="207">
                  <c:v>148.3821457023777</c:v>
                </c:pt>
                <c:pt idx="208">
                  <c:v>148.17245241119656</c:v>
                </c:pt>
                <c:pt idx="209">
                  <c:v>147.81697085016862</c:v>
                </c:pt>
                <c:pt idx="210">
                  <c:v>147.66926326966814</c:v>
                </c:pt>
                <c:pt idx="211">
                  <c:v>147.45508377645982</c:v>
                </c:pt>
                <c:pt idx="212">
                  <c:v>147.14367183519383</c:v>
                </c:pt>
                <c:pt idx="213">
                  <c:v>147.19655120315011</c:v>
                </c:pt>
                <c:pt idx="214">
                  <c:v>146.37327774515009</c:v>
                </c:pt>
                <c:pt idx="215">
                  <c:v>146.01481183997788</c:v>
                </c:pt>
                <c:pt idx="216">
                  <c:v>145.7205726385005</c:v>
                </c:pt>
                <c:pt idx="217">
                  <c:v>145.55534451712739</c:v>
                </c:pt>
                <c:pt idx="218">
                  <c:v>146.05963769265861</c:v>
                </c:pt>
                <c:pt idx="219">
                  <c:v>146.1332068171929</c:v>
                </c:pt>
                <c:pt idx="220">
                  <c:v>145.55100843793997</c:v>
                </c:pt>
                <c:pt idx="221">
                  <c:v>145.3578814058196</c:v>
                </c:pt>
                <c:pt idx="222">
                  <c:v>145.41259583645939</c:v>
                </c:pt>
                <c:pt idx="223">
                  <c:v>145.6835627510055</c:v>
                </c:pt>
                <c:pt idx="224">
                  <c:v>145.98748801309657</c:v>
                </c:pt>
                <c:pt idx="225">
                  <c:v>146.4107720449135</c:v>
                </c:pt>
                <c:pt idx="226">
                  <c:v>146.85604459047869</c:v>
                </c:pt>
                <c:pt idx="227">
                  <c:v>147.60190990950923</c:v>
                </c:pt>
                <c:pt idx="228">
                  <c:v>148.85350261009955</c:v>
                </c:pt>
                <c:pt idx="229">
                  <c:v>150.5771919246373</c:v>
                </c:pt>
                <c:pt idx="230">
                  <c:v>152.4885099001863</c:v>
                </c:pt>
                <c:pt idx="231">
                  <c:v>153.41156399596079</c:v>
                </c:pt>
                <c:pt idx="232">
                  <c:v>154.28355378284354</c:v>
                </c:pt>
                <c:pt idx="233">
                  <c:v>155.34898240207235</c:v>
                </c:pt>
                <c:pt idx="234">
                  <c:v>155.54177496478221</c:v>
                </c:pt>
                <c:pt idx="235">
                  <c:v>155.18717656159785</c:v>
                </c:pt>
                <c:pt idx="236">
                  <c:v>155.21442877820499</c:v>
                </c:pt>
                <c:pt idx="237">
                  <c:v>155.31188993069634</c:v>
                </c:pt>
                <c:pt idx="238">
                  <c:v>155.5380207695892</c:v>
                </c:pt>
                <c:pt idx="239">
                  <c:v>154.765897041438</c:v>
                </c:pt>
                <c:pt idx="240">
                  <c:v>153.79600036934443</c:v>
                </c:pt>
                <c:pt idx="241">
                  <c:v>151.69516377542601</c:v>
                </c:pt>
                <c:pt idx="242">
                  <c:v>149.66578565123646</c:v>
                </c:pt>
                <c:pt idx="243">
                  <c:v>146.84072648038571</c:v>
                </c:pt>
                <c:pt idx="244">
                  <c:v>143.74515089162705</c:v>
                </c:pt>
                <c:pt idx="245">
                  <c:v>141.68583438802534</c:v>
                </c:pt>
                <c:pt idx="246">
                  <c:v>140.02991406889188</c:v>
                </c:pt>
                <c:pt idx="247">
                  <c:v>138.72054531489249</c:v>
                </c:pt>
                <c:pt idx="248">
                  <c:v>137.78726151001541</c:v>
                </c:pt>
                <c:pt idx="249">
                  <c:v>137.05895948518807</c:v>
                </c:pt>
                <c:pt idx="250">
                  <c:v>136.40310813332135</c:v>
                </c:pt>
                <c:pt idx="251">
                  <c:v>136.30702228003278</c:v>
                </c:pt>
                <c:pt idx="252">
                  <c:v>136.65931539275437</c:v>
                </c:pt>
                <c:pt idx="253">
                  <c:v>136.85351768983932</c:v>
                </c:pt>
                <c:pt idx="254">
                  <c:v>137.31390037725797</c:v>
                </c:pt>
                <c:pt idx="255">
                  <c:v>137.51682580518946</c:v>
                </c:pt>
                <c:pt idx="256">
                  <c:v>138.02590164209488</c:v>
                </c:pt>
                <c:pt idx="257">
                  <c:v>138.5003281057644</c:v>
                </c:pt>
                <c:pt idx="258">
                  <c:v>138.63014260926991</c:v>
                </c:pt>
                <c:pt idx="259">
                  <c:v>138.30640518014098</c:v>
                </c:pt>
                <c:pt idx="260">
                  <c:v>137.69298635351694</c:v>
                </c:pt>
                <c:pt idx="261">
                  <c:v>136.9168417887534</c:v>
                </c:pt>
                <c:pt idx="262">
                  <c:v>136.11536227800292</c:v>
                </c:pt>
                <c:pt idx="263">
                  <c:v>136.37421091714174</c:v>
                </c:pt>
                <c:pt idx="264">
                  <c:v>137.4235334233704</c:v>
                </c:pt>
                <c:pt idx="265">
                  <c:v>138.34691667909084</c:v>
                </c:pt>
                <c:pt idx="266">
                  <c:v>139.40837270348877</c:v>
                </c:pt>
                <c:pt idx="267">
                  <c:v>140.40929207251565</c:v>
                </c:pt>
                <c:pt idx="268">
                  <c:v>141.57490032491185</c:v>
                </c:pt>
                <c:pt idx="269">
                  <c:v>142.91129704422309</c:v>
                </c:pt>
                <c:pt idx="270">
                  <c:v>144.72293424287889</c:v>
                </c:pt>
                <c:pt idx="271">
                  <c:v>145.6724281581009</c:v>
                </c:pt>
                <c:pt idx="272">
                  <c:v>146.22194686270245</c:v>
                </c:pt>
                <c:pt idx="273">
                  <c:v>147.07010692927341</c:v>
                </c:pt>
                <c:pt idx="274">
                  <c:v>148.14685867562855</c:v>
                </c:pt>
                <c:pt idx="275">
                  <c:v>148.57682037965617</c:v>
                </c:pt>
                <c:pt idx="276">
                  <c:v>148.97791632269278</c:v>
                </c:pt>
                <c:pt idx="277">
                  <c:v>149.18812911067062</c:v>
                </c:pt>
                <c:pt idx="278">
                  <c:v>149.22709303915028</c:v>
                </c:pt>
                <c:pt idx="279">
                  <c:v>149.15625345042065</c:v>
                </c:pt>
                <c:pt idx="280">
                  <c:v>149.17972505719595</c:v>
                </c:pt>
                <c:pt idx="281">
                  <c:v>149.2871867344777</c:v>
                </c:pt>
                <c:pt idx="282">
                  <c:v>149.81936702449676</c:v>
                </c:pt>
                <c:pt idx="283">
                  <c:v>149.89511000986815</c:v>
                </c:pt>
                <c:pt idx="284">
                  <c:v>149.73796970324528</c:v>
                </c:pt>
                <c:pt idx="285">
                  <c:v>149.72625987205856</c:v>
                </c:pt>
                <c:pt idx="286">
                  <c:v>149.68014018001128</c:v>
                </c:pt>
                <c:pt idx="287">
                  <c:v>149.69689206377078</c:v>
                </c:pt>
                <c:pt idx="288">
                  <c:v>149.67275382773562</c:v>
                </c:pt>
                <c:pt idx="289">
                  <c:v>149.67518921025589</c:v>
                </c:pt>
                <c:pt idx="290">
                  <c:v>149.57597064839851</c:v>
                </c:pt>
                <c:pt idx="291">
                  <c:v>150.41193596014358</c:v>
                </c:pt>
                <c:pt idx="292">
                  <c:v>151.11635005786178</c:v>
                </c:pt>
                <c:pt idx="293">
                  <c:v>150.61729497840471</c:v>
                </c:pt>
                <c:pt idx="294">
                  <c:v>150.61108249703869</c:v>
                </c:pt>
                <c:pt idx="295">
                  <c:v>151.10198846651514</c:v>
                </c:pt>
                <c:pt idx="296">
                  <c:v>151.48700363181865</c:v>
                </c:pt>
                <c:pt idx="297">
                  <c:v>151.33457658096987</c:v>
                </c:pt>
                <c:pt idx="298">
                  <c:v>150.97440406742351</c:v>
                </c:pt>
                <c:pt idx="299">
                  <c:v>150.83885938256188</c:v>
                </c:pt>
                <c:pt idx="300">
                  <c:v>150.84299391486906</c:v>
                </c:pt>
                <c:pt idx="301">
                  <c:v>150.78961586987975</c:v>
                </c:pt>
                <c:pt idx="302">
                  <c:v>150.49812926356697</c:v>
                </c:pt>
                <c:pt idx="303">
                  <c:v>149.72427696088013</c:v>
                </c:pt>
                <c:pt idx="304">
                  <c:v>149.04444608861689</c:v>
                </c:pt>
                <c:pt idx="305">
                  <c:v>148.57320267766312</c:v>
                </c:pt>
                <c:pt idx="306">
                  <c:v>148.17467584310646</c:v>
                </c:pt>
                <c:pt idx="307">
                  <c:v>147.87054611211735</c:v>
                </c:pt>
                <c:pt idx="308">
                  <c:v>147.59521563634371</c:v>
                </c:pt>
                <c:pt idx="309">
                  <c:v>147.51750615279062</c:v>
                </c:pt>
                <c:pt idx="310">
                  <c:v>147.44329240097318</c:v>
                </c:pt>
                <c:pt idx="311">
                  <c:v>148.00490613675578</c:v>
                </c:pt>
                <c:pt idx="312">
                  <c:v>148.86339003120085</c:v>
                </c:pt>
                <c:pt idx="313">
                  <c:v>150.36887060792674</c:v>
                </c:pt>
                <c:pt idx="314">
                  <c:v>150.95944843701986</c:v>
                </c:pt>
                <c:pt idx="315">
                  <c:v>147.6697207795093</c:v>
                </c:pt>
                <c:pt idx="316">
                  <c:v>143.89165251997363</c:v>
                </c:pt>
                <c:pt idx="317">
                  <c:v>140.1337153073851</c:v>
                </c:pt>
                <c:pt idx="318">
                  <c:v>139.09949430944843</c:v>
                </c:pt>
                <c:pt idx="319">
                  <c:v>135.53521330424343</c:v>
                </c:pt>
                <c:pt idx="320">
                  <c:v>132.32632079413858</c:v>
                </c:pt>
                <c:pt idx="321">
                  <c:v>129.34593358082662</c:v>
                </c:pt>
                <c:pt idx="322">
                  <c:v>126.50920757829428</c:v>
                </c:pt>
                <c:pt idx="323">
                  <c:v>124.20381317179985</c:v>
                </c:pt>
                <c:pt idx="324">
                  <c:v>122.64444294257189</c:v>
                </c:pt>
                <c:pt idx="325">
                  <c:v>120.70787594852544</c:v>
                </c:pt>
                <c:pt idx="326">
                  <c:v>119.65206814891243</c:v>
                </c:pt>
                <c:pt idx="327">
                  <c:v>118.88043181242224</c:v>
                </c:pt>
                <c:pt idx="328">
                  <c:v>118.95004716340425</c:v>
                </c:pt>
                <c:pt idx="329">
                  <c:v>119.23994240198559</c:v>
                </c:pt>
                <c:pt idx="330">
                  <c:v>120.02801148253903</c:v>
                </c:pt>
                <c:pt idx="331">
                  <c:v>121.5569461623956</c:v>
                </c:pt>
                <c:pt idx="332">
                  <c:v>124.19157905617757</c:v>
                </c:pt>
                <c:pt idx="333">
                  <c:v>128.4807600052016</c:v>
                </c:pt>
                <c:pt idx="334">
                  <c:v>131.74877698629317</c:v>
                </c:pt>
                <c:pt idx="335">
                  <c:v>131.86726147624697</c:v>
                </c:pt>
                <c:pt idx="336">
                  <c:v>131.74225911316228</c:v>
                </c:pt>
                <c:pt idx="337">
                  <c:v>131.65064340295709</c:v>
                </c:pt>
                <c:pt idx="338">
                  <c:v>133.1588144594657</c:v>
                </c:pt>
                <c:pt idx="339">
                  <c:v>133.33868661807719</c:v>
                </c:pt>
                <c:pt idx="340">
                  <c:v>133.09341210673685</c:v>
                </c:pt>
                <c:pt idx="341">
                  <c:v>132.92424157128249</c:v>
                </c:pt>
                <c:pt idx="342">
                  <c:v>133.14091272848759</c:v>
                </c:pt>
                <c:pt idx="343">
                  <c:v>133.24929285494406</c:v>
                </c:pt>
                <c:pt idx="344">
                  <c:v>133.1665202804196</c:v>
                </c:pt>
                <c:pt idx="345">
                  <c:v>133.8889578016998</c:v>
                </c:pt>
                <c:pt idx="346">
                  <c:v>133.88565265310692</c:v>
                </c:pt>
                <c:pt idx="347">
                  <c:v>133.70753582880525</c:v>
                </c:pt>
                <c:pt idx="348">
                  <c:v>133.30886547587548</c:v>
                </c:pt>
                <c:pt idx="349">
                  <c:v>133.13552360971852</c:v>
                </c:pt>
                <c:pt idx="350">
                  <c:v>133.09037360893726</c:v>
                </c:pt>
                <c:pt idx="351">
                  <c:v>132.86778260261298</c:v>
                </c:pt>
                <c:pt idx="352">
                  <c:v>133.04219149809879</c:v>
                </c:pt>
                <c:pt idx="353">
                  <c:v>133.09420733425762</c:v>
                </c:pt>
                <c:pt idx="354">
                  <c:v>133.06286427581227</c:v>
                </c:pt>
                <c:pt idx="355">
                  <c:v>133.38018920324697</c:v>
                </c:pt>
                <c:pt idx="356">
                  <c:v>133.61139343133954</c:v>
                </c:pt>
                <c:pt idx="357">
                  <c:v>133.7691993248086</c:v>
                </c:pt>
                <c:pt idx="358">
                  <c:v>133.91261402524336</c:v>
                </c:pt>
                <c:pt idx="359">
                  <c:v>133.92823535167892</c:v>
                </c:pt>
                <c:pt idx="360">
                  <c:v>133.73873393509353</c:v>
                </c:pt>
                <c:pt idx="361">
                  <c:v>133.40493355482121</c:v>
                </c:pt>
                <c:pt idx="362">
                  <c:v>133.05051489136682</c:v>
                </c:pt>
                <c:pt idx="363">
                  <c:v>132.63734282158208</c:v>
                </c:pt>
                <c:pt idx="364">
                  <c:v>132.27129492361954</c:v>
                </c:pt>
                <c:pt idx="365">
                  <c:v>131.67825170242537</c:v>
                </c:pt>
                <c:pt idx="366">
                  <c:v>131.56518653194442</c:v>
                </c:pt>
                <c:pt idx="367">
                  <c:v>131.72950492070481</c:v>
                </c:pt>
                <c:pt idx="368">
                  <c:v>132.42197684751818</c:v>
                </c:pt>
                <c:pt idx="369">
                  <c:v>133.08209116033044</c:v>
                </c:pt>
                <c:pt idx="370">
                  <c:v>133.57552259337248</c:v>
                </c:pt>
                <c:pt idx="371">
                  <c:v>134.49248039310629</c:v>
                </c:pt>
                <c:pt idx="372">
                  <c:v>135.11049619566376</c:v>
                </c:pt>
                <c:pt idx="373">
                  <c:v>136.02833936042566</c:v>
                </c:pt>
                <c:pt idx="374">
                  <c:v>136.85548447080549</c:v>
                </c:pt>
                <c:pt idx="375">
                  <c:v>137.35304661267872</c:v>
                </c:pt>
                <c:pt idx="376">
                  <c:v>138.48971434676002</c:v>
                </c:pt>
                <c:pt idx="377">
                  <c:v>140.13932115344809</c:v>
                </c:pt>
                <c:pt idx="378">
                  <c:v>140.26440752845588</c:v>
                </c:pt>
                <c:pt idx="379">
                  <c:v>140.62081577583746</c:v>
                </c:pt>
                <c:pt idx="380">
                  <c:v>140.48674736038009</c:v>
                </c:pt>
                <c:pt idx="381">
                  <c:v>140.19051789900919</c:v>
                </c:pt>
                <c:pt idx="382">
                  <c:v>140.43827525280639</c:v>
                </c:pt>
                <c:pt idx="383">
                  <c:v>140.65532587742752</c:v>
                </c:pt>
                <c:pt idx="384">
                  <c:v>140.89048501415118</c:v>
                </c:pt>
                <c:pt idx="385">
                  <c:v>140.90483222581085</c:v>
                </c:pt>
                <c:pt idx="386">
                  <c:v>140.97230156543262</c:v>
                </c:pt>
                <c:pt idx="387">
                  <c:v>140.97544401783517</c:v>
                </c:pt>
                <c:pt idx="388">
                  <c:v>141.16088206006904</c:v>
                </c:pt>
                <c:pt idx="389">
                  <c:v>141.83549410042187</c:v>
                </c:pt>
                <c:pt idx="390">
                  <c:v>142.49981293887001</c:v>
                </c:pt>
                <c:pt idx="391">
                  <c:v>143.18689160033881</c:v>
                </c:pt>
                <c:pt idx="392">
                  <c:v>144.08350901464343</c:v>
                </c:pt>
                <c:pt idx="393">
                  <c:v>145.34907326629335</c:v>
                </c:pt>
                <c:pt idx="394">
                  <c:v>146.41433246816479</c:v>
                </c:pt>
                <c:pt idx="395">
                  <c:v>146.93605057365752</c:v>
                </c:pt>
                <c:pt idx="396">
                  <c:v>147.39635794017892</c:v>
                </c:pt>
                <c:pt idx="397">
                  <c:v>148.11307203149499</c:v>
                </c:pt>
                <c:pt idx="398">
                  <c:v>148.10721924216779</c:v>
                </c:pt>
                <c:pt idx="399">
                  <c:v>148.09767071353048</c:v>
                </c:pt>
                <c:pt idx="400">
                  <c:v>148.09475014933159</c:v>
                </c:pt>
                <c:pt idx="401">
                  <c:v>148.11541280305912</c:v>
                </c:pt>
                <c:pt idx="402">
                  <c:v>148.21398531572541</c:v>
                </c:pt>
                <c:pt idx="403">
                  <c:v>148.44133413365353</c:v>
                </c:pt>
                <c:pt idx="404">
                  <c:v>148.77784470013827</c:v>
                </c:pt>
                <c:pt idx="405">
                  <c:v>148.96792910036464</c:v>
                </c:pt>
                <c:pt idx="406">
                  <c:v>149.36823212997248</c:v>
                </c:pt>
                <c:pt idx="407">
                  <c:v>150.03407409058596</c:v>
                </c:pt>
                <c:pt idx="408">
                  <c:v>150.46034165563756</c:v>
                </c:pt>
                <c:pt idx="409">
                  <c:v>150.4706353880004</c:v>
                </c:pt>
                <c:pt idx="410">
                  <c:v>150.48311736564349</c:v>
                </c:pt>
                <c:pt idx="411">
                  <c:v>150.21374915681804</c:v>
                </c:pt>
                <c:pt idx="412">
                  <c:v>150.02259633702741</c:v>
                </c:pt>
                <c:pt idx="413">
                  <c:v>149.99326393811151</c:v>
                </c:pt>
                <c:pt idx="414">
                  <c:v>149.78053429203658</c:v>
                </c:pt>
                <c:pt idx="415">
                  <c:v>149.95008347518277</c:v>
                </c:pt>
                <c:pt idx="416">
                  <c:v>150.12895202454462</c:v>
                </c:pt>
                <c:pt idx="417">
                  <c:v>150.38256417299419</c:v>
                </c:pt>
                <c:pt idx="418">
                  <c:v>150.74530321198898</c:v>
                </c:pt>
                <c:pt idx="419">
                  <c:v>151.21107609883768</c:v>
                </c:pt>
                <c:pt idx="420">
                  <c:v>151.29827504176518</c:v>
                </c:pt>
                <c:pt idx="421">
                  <c:v>151.16698493697822</c:v>
                </c:pt>
                <c:pt idx="422">
                  <c:v>151.36999936557885</c:v>
                </c:pt>
                <c:pt idx="423">
                  <c:v>151.60923603057179</c:v>
                </c:pt>
                <c:pt idx="424">
                  <c:v>151.70106678049302</c:v>
                </c:pt>
                <c:pt idx="425">
                  <c:v>151.85924078481955</c:v>
                </c:pt>
                <c:pt idx="426">
                  <c:v>151.89812279295799</c:v>
                </c:pt>
                <c:pt idx="427">
                  <c:v>152.04869593079087</c:v>
                </c:pt>
                <c:pt idx="428">
                  <c:v>152.92023074406023</c:v>
                </c:pt>
                <c:pt idx="429">
                  <c:v>153.65446406622007</c:v>
                </c:pt>
                <c:pt idx="430">
                  <c:v>153.75418789835427</c:v>
                </c:pt>
                <c:pt idx="431">
                  <c:v>153.56871302395078</c:v>
                </c:pt>
                <c:pt idx="432">
                  <c:v>153.53085803398616</c:v>
                </c:pt>
                <c:pt idx="433">
                  <c:v>153.58008141216942</c:v>
                </c:pt>
                <c:pt idx="434">
                  <c:v>153.50420041397766</c:v>
                </c:pt>
                <c:pt idx="435">
                  <c:v>153.47506472688278</c:v>
                </c:pt>
                <c:pt idx="436">
                  <c:v>153.35557250772163</c:v>
                </c:pt>
                <c:pt idx="437">
                  <c:v>153.34788832115203</c:v>
                </c:pt>
                <c:pt idx="438">
                  <c:v>152.99606274682546</c:v>
                </c:pt>
                <c:pt idx="439">
                  <c:v>152.44936644062008</c:v>
                </c:pt>
                <c:pt idx="440">
                  <c:v>152.42660256054722</c:v>
                </c:pt>
                <c:pt idx="441">
                  <c:v>152.43036311522548</c:v>
                </c:pt>
                <c:pt idx="442">
                  <c:v>152.43926293444184</c:v>
                </c:pt>
                <c:pt idx="443">
                  <c:v>152.02621852040778</c:v>
                </c:pt>
                <c:pt idx="444">
                  <c:v>151.22238332580162</c:v>
                </c:pt>
                <c:pt idx="445">
                  <c:v>149.82749268936138</c:v>
                </c:pt>
                <c:pt idx="446">
                  <c:v>149.32444173885588</c:v>
                </c:pt>
                <c:pt idx="447">
                  <c:v>149.04425408724578</c:v>
                </c:pt>
                <c:pt idx="448">
                  <c:v>148.87052159021675</c:v>
                </c:pt>
                <c:pt idx="449">
                  <c:v>148.61118686399055</c:v>
                </c:pt>
                <c:pt idx="450">
                  <c:v>148.45725790539024</c:v>
                </c:pt>
                <c:pt idx="451">
                  <c:v>148.42024400556068</c:v>
                </c:pt>
                <c:pt idx="452">
                  <c:v>148.39647622910917</c:v>
                </c:pt>
                <c:pt idx="453">
                  <c:v>148.64226721144027</c:v>
                </c:pt>
                <c:pt idx="454">
                  <c:v>149.23787156076926</c:v>
                </c:pt>
                <c:pt idx="455">
                  <c:v>149.9522359724117</c:v>
                </c:pt>
                <c:pt idx="456">
                  <c:v>150.00763277491089</c:v>
                </c:pt>
                <c:pt idx="457">
                  <c:v>150.02577372452853</c:v>
                </c:pt>
                <c:pt idx="458">
                  <c:v>150.01297178151043</c:v>
                </c:pt>
                <c:pt idx="459">
                  <c:v>150.02179791780756</c:v>
                </c:pt>
                <c:pt idx="460">
                  <c:v>149.78405358521684</c:v>
                </c:pt>
                <c:pt idx="461">
                  <c:v>149.7848212694953</c:v>
                </c:pt>
                <c:pt idx="462">
                  <c:v>149.73911665672881</c:v>
                </c:pt>
                <c:pt idx="463">
                  <c:v>149.65643833960738</c:v>
                </c:pt>
                <c:pt idx="464">
                  <c:v>149.81932244620808</c:v>
                </c:pt>
                <c:pt idx="465">
                  <c:v>150.82318403022234</c:v>
                </c:pt>
                <c:pt idx="466">
                  <c:v>151.09387381911984</c:v>
                </c:pt>
                <c:pt idx="467">
                  <c:v>151.29056972041977</c:v>
                </c:pt>
                <c:pt idx="468">
                  <c:v>151.49593611101142</c:v>
                </c:pt>
                <c:pt idx="469">
                  <c:v>151.95732151446481</c:v>
                </c:pt>
                <c:pt idx="470">
                  <c:v>151.99609983229601</c:v>
                </c:pt>
                <c:pt idx="471">
                  <c:v>152.01966938226823</c:v>
                </c:pt>
                <c:pt idx="472">
                  <c:v>151.99622793191864</c:v>
                </c:pt>
                <c:pt idx="473">
                  <c:v>151.48896090487457</c:v>
                </c:pt>
                <c:pt idx="474">
                  <c:v>150.74468735361361</c:v>
                </c:pt>
                <c:pt idx="475">
                  <c:v>150.01258460969342</c:v>
                </c:pt>
                <c:pt idx="476">
                  <c:v>149.33745442813222</c:v>
                </c:pt>
                <c:pt idx="477">
                  <c:v>148.47280525269139</c:v>
                </c:pt>
                <c:pt idx="478">
                  <c:v>147.93886250827336</c:v>
                </c:pt>
                <c:pt idx="479">
                  <c:v>147.7344482390902</c:v>
                </c:pt>
                <c:pt idx="480">
                  <c:v>147.91022581768863</c:v>
                </c:pt>
                <c:pt idx="481">
                  <c:v>147.61386849478509</c:v>
                </c:pt>
                <c:pt idx="482">
                  <c:v>147.50958750324799</c:v>
                </c:pt>
                <c:pt idx="483">
                  <c:v>147.48682961950357</c:v>
                </c:pt>
                <c:pt idx="484">
                  <c:v>147.2118149520652</c:v>
                </c:pt>
                <c:pt idx="485">
                  <c:v>146.7842844167167</c:v>
                </c:pt>
                <c:pt idx="486">
                  <c:v>146.45258849957563</c:v>
                </c:pt>
                <c:pt idx="487">
                  <c:v>146.6367300498849</c:v>
                </c:pt>
                <c:pt idx="488">
                  <c:v>146.56594845164872</c:v>
                </c:pt>
                <c:pt idx="489">
                  <c:v>146.66403228208998</c:v>
                </c:pt>
                <c:pt idx="490">
                  <c:v>147.43764733362232</c:v>
                </c:pt>
                <c:pt idx="491">
                  <c:v>147.15475381650165</c:v>
                </c:pt>
                <c:pt idx="492">
                  <c:v>147.32870562965917</c:v>
                </c:pt>
                <c:pt idx="493">
                  <c:v>147.02473935560118</c:v>
                </c:pt>
                <c:pt idx="494">
                  <c:v>146.74350560548223</c:v>
                </c:pt>
                <c:pt idx="495">
                  <c:v>146.73544233523253</c:v>
                </c:pt>
                <c:pt idx="496">
                  <c:v>146.75778957241693</c:v>
                </c:pt>
                <c:pt idx="497">
                  <c:v>146.90796462374638</c:v>
                </c:pt>
                <c:pt idx="498">
                  <c:v>146.94031975392255</c:v>
                </c:pt>
                <c:pt idx="499">
                  <c:v>146.94395647972183</c:v>
                </c:pt>
                <c:pt idx="500">
                  <c:v>146.97225406721921</c:v>
                </c:pt>
                <c:pt idx="501">
                  <c:v>146.88482620122889</c:v>
                </c:pt>
                <c:pt idx="502">
                  <c:v>146.20488697423502</c:v>
                </c:pt>
                <c:pt idx="503">
                  <c:v>143.56743823298598</c:v>
                </c:pt>
                <c:pt idx="504">
                  <c:v>143.48103278717912</c:v>
                </c:pt>
                <c:pt idx="505">
                  <c:v>143.69811327294957</c:v>
                </c:pt>
                <c:pt idx="506">
                  <c:v>143.65078869497367</c:v>
                </c:pt>
                <c:pt idx="507">
                  <c:v>143.06703148647165</c:v>
                </c:pt>
                <c:pt idx="508">
                  <c:v>142.74957308394534</c:v>
                </c:pt>
                <c:pt idx="509">
                  <c:v>142.52394280687545</c:v>
                </c:pt>
                <c:pt idx="510">
                  <c:v>142.09996138081743</c:v>
                </c:pt>
                <c:pt idx="511">
                  <c:v>142.67466773986416</c:v>
                </c:pt>
                <c:pt idx="512">
                  <c:v>143.04027666475758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592-4057-AC0F-B85F75168E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56360128"/>
        <c:axId val="1656360608"/>
      </c:lineChart>
      <c:dateAx>
        <c:axId val="1656360128"/>
        <c:scaling>
          <c:orientation val="minMax"/>
          <c:max val="46054"/>
          <c:min val="45901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608"/>
        <c:crosses val="autoZero"/>
        <c:auto val="1"/>
        <c:lblOffset val="100"/>
        <c:baseTimeUnit val="days"/>
      </c:dateAx>
      <c:valAx>
        <c:axId val="1656360608"/>
        <c:scaling>
          <c:orientation val="minMax"/>
          <c:max val="175"/>
          <c:min val="1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636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MACD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Data!$AA$1</c:f>
              <c:strCache>
                <c:ptCount val="1"/>
                <c:pt idx="0">
                  <c:v>Histogram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Data!$AA$2:$AA$514</c:f>
              <c:numCache>
                <c:formatCode>General</c:formatCode>
                <c:ptCount val="513"/>
                <c:pt idx="35">
                  <c:v>0.10807528418059897</c:v>
                </c:pt>
                <c:pt idx="36">
                  <c:v>2.3017106010284838E-2</c:v>
                </c:pt>
                <c:pt idx="37">
                  <c:v>-0.19740657052304966</c:v>
                </c:pt>
                <c:pt idx="38">
                  <c:v>-0.33304018647298195</c:v>
                </c:pt>
                <c:pt idx="39">
                  <c:v>-0.44020683942861516</c:v>
                </c:pt>
                <c:pt idx="40">
                  <c:v>-0.45079581789800893</c:v>
                </c:pt>
                <c:pt idx="41">
                  <c:v>-0.70112678427301267</c:v>
                </c:pt>
                <c:pt idx="42">
                  <c:v>-0.79088865130479302</c:v>
                </c:pt>
                <c:pt idx="43">
                  <c:v>-0.89922165471847038</c:v>
                </c:pt>
                <c:pt idx="44">
                  <c:v>-0.86468555675732828</c:v>
                </c:pt>
                <c:pt idx="45">
                  <c:v>-0.77426488174382269</c:v>
                </c:pt>
                <c:pt idx="46">
                  <c:v>-0.54904569266571257</c:v>
                </c:pt>
                <c:pt idx="47">
                  <c:v>-0.3922057726209216</c:v>
                </c:pt>
                <c:pt idx="48">
                  <c:v>-0.15089727450793688</c:v>
                </c:pt>
                <c:pt idx="49">
                  <c:v>0.11892327098205724</c:v>
                </c:pt>
                <c:pt idx="50">
                  <c:v>0.26711650527305886</c:v>
                </c:pt>
                <c:pt idx="51">
                  <c:v>0.33133692708838125</c:v>
                </c:pt>
                <c:pt idx="52">
                  <c:v>0.42495693851132732</c:v>
                </c:pt>
                <c:pt idx="53">
                  <c:v>0.3218058272923926</c:v>
                </c:pt>
                <c:pt idx="54">
                  <c:v>0.25188231950185003</c:v>
                </c:pt>
                <c:pt idx="55">
                  <c:v>0.17332963633237242</c:v>
                </c:pt>
                <c:pt idx="56">
                  <c:v>0.22136466563552215</c:v>
                </c:pt>
                <c:pt idx="57">
                  <c:v>0.1536286421531734</c:v>
                </c:pt>
                <c:pt idx="58">
                  <c:v>0.16203452267521401</c:v>
                </c:pt>
                <c:pt idx="59">
                  <c:v>0.23713818969645239</c:v>
                </c:pt>
                <c:pt idx="60">
                  <c:v>0.34637830972305905</c:v>
                </c:pt>
                <c:pt idx="61">
                  <c:v>0.4296551784815803</c:v>
                </c:pt>
                <c:pt idx="62">
                  <c:v>0.48876129565343129</c:v>
                </c:pt>
                <c:pt idx="63">
                  <c:v>0.50233998564140059</c:v>
                </c:pt>
                <c:pt idx="64">
                  <c:v>0.52764587259588458</c:v>
                </c:pt>
                <c:pt idx="65">
                  <c:v>0.47863904819594261</c:v>
                </c:pt>
                <c:pt idx="66">
                  <c:v>0.45217928314767564</c:v>
                </c:pt>
                <c:pt idx="67">
                  <c:v>0.43637897481656029</c:v>
                </c:pt>
                <c:pt idx="68">
                  <c:v>0.33455787722966512</c:v>
                </c:pt>
                <c:pt idx="69">
                  <c:v>4.618774333947151E-2</c:v>
                </c:pt>
                <c:pt idx="70">
                  <c:v>-0.24454058917696253</c:v>
                </c:pt>
                <c:pt idx="71">
                  <c:v>-0.51712011801285973</c:v>
                </c:pt>
                <c:pt idx="72">
                  <c:v>-0.67159737837383027</c:v>
                </c:pt>
                <c:pt idx="73">
                  <c:v>-0.67541321834209933</c:v>
                </c:pt>
                <c:pt idx="74">
                  <c:v>-0.50264770641158441</c:v>
                </c:pt>
                <c:pt idx="75">
                  <c:v>-0.25966245042593927</c:v>
                </c:pt>
                <c:pt idx="76">
                  <c:v>-4.7990171812560822E-2</c:v>
                </c:pt>
                <c:pt idx="77">
                  <c:v>0.11966719850751995</c:v>
                </c:pt>
                <c:pt idx="78">
                  <c:v>0.31385474205489339</c:v>
                </c:pt>
                <c:pt idx="79">
                  <c:v>0.44357648365098035</c:v>
                </c:pt>
                <c:pt idx="80">
                  <c:v>0.5142320780630778</c:v>
                </c:pt>
                <c:pt idx="81">
                  <c:v>0.19199308278827232</c:v>
                </c:pt>
                <c:pt idx="82">
                  <c:v>-0.14179350987770944</c:v>
                </c:pt>
                <c:pt idx="83">
                  <c:v>-0.29013669317925661</c:v>
                </c:pt>
                <c:pt idx="84">
                  <c:v>-0.41464177395246793</c:v>
                </c:pt>
                <c:pt idx="85">
                  <c:v>-0.35527508987770506</c:v>
                </c:pt>
                <c:pt idx="86">
                  <c:v>-0.2901771768813981</c:v>
                </c:pt>
                <c:pt idx="87">
                  <c:v>-0.25614704022375312</c:v>
                </c:pt>
                <c:pt idx="88">
                  <c:v>-4.8783990964501589E-2</c:v>
                </c:pt>
                <c:pt idx="89">
                  <c:v>9.4364778690095408E-2</c:v>
                </c:pt>
                <c:pt idx="90">
                  <c:v>8.3608788522374189E-2</c:v>
                </c:pt>
                <c:pt idx="91">
                  <c:v>3.7409757791628806E-4</c:v>
                </c:pt>
                <c:pt idx="92">
                  <c:v>-0.10095203249923235</c:v>
                </c:pt>
                <c:pt idx="93">
                  <c:v>-0.29742048220532191</c:v>
                </c:pt>
                <c:pt idx="94">
                  <c:v>-0.31663068250406656</c:v>
                </c:pt>
                <c:pt idx="95">
                  <c:v>-0.42148308479392904</c:v>
                </c:pt>
                <c:pt idx="96">
                  <c:v>-0.55058281975637624</c:v>
                </c:pt>
                <c:pt idx="97">
                  <c:v>-0.76535352853322069</c:v>
                </c:pt>
                <c:pt idx="98">
                  <c:v>-0.90786084806462297</c:v>
                </c:pt>
                <c:pt idx="99">
                  <c:v>-0.90363777160790215</c:v>
                </c:pt>
                <c:pt idx="100">
                  <c:v>-0.77497625433103212</c:v>
                </c:pt>
                <c:pt idx="101">
                  <c:v>-0.79219204170945745</c:v>
                </c:pt>
                <c:pt idx="102">
                  <c:v>-0.67477102824177715</c:v>
                </c:pt>
                <c:pt idx="103">
                  <c:v>-0.30654840121022642</c:v>
                </c:pt>
                <c:pt idx="104">
                  <c:v>-0.36643318908566391</c:v>
                </c:pt>
                <c:pt idx="105">
                  <c:v>-0.46667297591087231</c:v>
                </c:pt>
                <c:pt idx="106">
                  <c:v>-0.57440093741023845</c:v>
                </c:pt>
                <c:pt idx="107">
                  <c:v>-0.54584879402870523</c:v>
                </c:pt>
                <c:pt idx="108">
                  <c:v>-0.48318570286710805</c:v>
                </c:pt>
                <c:pt idx="109">
                  <c:v>-0.36877914675810963</c:v>
                </c:pt>
                <c:pt idx="110">
                  <c:v>-0.28517172177894978</c:v>
                </c:pt>
                <c:pt idx="111">
                  <c:v>-0.35351315175922626</c:v>
                </c:pt>
                <c:pt idx="112">
                  <c:v>-0.4559071608222065</c:v>
                </c:pt>
                <c:pt idx="113">
                  <c:v>-0.50240029211532788</c:v>
                </c:pt>
                <c:pt idx="114">
                  <c:v>-0.45347579674502381</c:v>
                </c:pt>
                <c:pt idx="115">
                  <c:v>-0.37690899998291272</c:v>
                </c:pt>
                <c:pt idx="116">
                  <c:v>-8.3869256081820165E-2</c:v>
                </c:pt>
                <c:pt idx="117">
                  <c:v>3.1652574678644463E-2</c:v>
                </c:pt>
                <c:pt idx="118">
                  <c:v>0.37375883667368681</c:v>
                </c:pt>
                <c:pt idx="119">
                  <c:v>0.52766798351647126</c:v>
                </c:pt>
                <c:pt idx="120">
                  <c:v>0.44841066875745117</c:v>
                </c:pt>
                <c:pt idx="121">
                  <c:v>0.40993678563427594</c:v>
                </c:pt>
                <c:pt idx="122">
                  <c:v>0.3808769337955511</c:v>
                </c:pt>
                <c:pt idx="123">
                  <c:v>0.3583728842627375</c:v>
                </c:pt>
                <c:pt idx="124">
                  <c:v>0.34863707607262506</c:v>
                </c:pt>
                <c:pt idx="125">
                  <c:v>0.32938913769802802</c:v>
                </c:pt>
                <c:pt idx="126">
                  <c:v>0.15382775805658055</c:v>
                </c:pt>
                <c:pt idx="127">
                  <c:v>4.3583501207889563E-2</c:v>
                </c:pt>
                <c:pt idx="128">
                  <c:v>-0.10747159740871104</c:v>
                </c:pt>
                <c:pt idx="129">
                  <c:v>-5.2580810260320576E-2</c:v>
                </c:pt>
                <c:pt idx="130">
                  <c:v>-2.7643612337191481E-4</c:v>
                </c:pt>
                <c:pt idx="131">
                  <c:v>6.0429105541390804E-2</c:v>
                </c:pt>
                <c:pt idx="132">
                  <c:v>0.25837376858809402</c:v>
                </c:pt>
                <c:pt idx="133">
                  <c:v>0.35778773616212389</c:v>
                </c:pt>
                <c:pt idx="134">
                  <c:v>0.62745754363279549</c:v>
                </c:pt>
                <c:pt idx="135">
                  <c:v>0.8146897279835188</c:v>
                </c:pt>
                <c:pt idx="136">
                  <c:v>0.71138886087886599</c:v>
                </c:pt>
                <c:pt idx="137">
                  <c:v>0.47190096683928828</c:v>
                </c:pt>
                <c:pt idx="138">
                  <c:v>0.11130740485434877</c:v>
                </c:pt>
                <c:pt idx="139">
                  <c:v>-5.8931089698542743E-2</c:v>
                </c:pt>
                <c:pt idx="140">
                  <c:v>-5.7118976229472151E-3</c:v>
                </c:pt>
                <c:pt idx="141">
                  <c:v>4.6305093433168396E-2</c:v>
                </c:pt>
                <c:pt idx="142">
                  <c:v>-3.542989398062496E-3</c:v>
                </c:pt>
                <c:pt idx="143">
                  <c:v>0.15405543164649274</c:v>
                </c:pt>
                <c:pt idx="144">
                  <c:v>0.30096204517007719</c:v>
                </c:pt>
                <c:pt idx="145">
                  <c:v>-0.12562435834227337</c:v>
                </c:pt>
                <c:pt idx="146">
                  <c:v>-0.64778561779929333</c:v>
                </c:pt>
                <c:pt idx="147">
                  <c:v>-1.1895151753747826</c:v>
                </c:pt>
                <c:pt idx="148">
                  <c:v>-1.5554088058459592</c:v>
                </c:pt>
                <c:pt idx="149">
                  <c:v>-1.7494372687720687</c:v>
                </c:pt>
                <c:pt idx="150">
                  <c:v>-1.63651413513761</c:v>
                </c:pt>
                <c:pt idx="151">
                  <c:v>-1.4342212667665026</c:v>
                </c:pt>
                <c:pt idx="152">
                  <c:v>-1.2132431280892799</c:v>
                </c:pt>
                <c:pt idx="153">
                  <c:v>-1.0468081340896944</c:v>
                </c:pt>
                <c:pt idx="154">
                  <c:v>-0.83219208371230602</c:v>
                </c:pt>
                <c:pt idx="155">
                  <c:v>-0.49398443577611495</c:v>
                </c:pt>
                <c:pt idx="156">
                  <c:v>-0.20085280410907114</c:v>
                </c:pt>
                <c:pt idx="157">
                  <c:v>-8.9566805861713839E-3</c:v>
                </c:pt>
                <c:pt idx="158">
                  <c:v>9.5786139805431603E-4</c:v>
                </c:pt>
                <c:pt idx="159">
                  <c:v>7.3062882584205902E-2</c:v>
                </c:pt>
                <c:pt idx="160">
                  <c:v>0.16616141581742694</c:v>
                </c:pt>
                <c:pt idx="161">
                  <c:v>0.36160932371222954</c:v>
                </c:pt>
                <c:pt idx="162">
                  <c:v>0.5456821132632057</c:v>
                </c:pt>
                <c:pt idx="163">
                  <c:v>0.55665515622160466</c:v>
                </c:pt>
                <c:pt idx="164">
                  <c:v>0.49557927506097821</c:v>
                </c:pt>
                <c:pt idx="165">
                  <c:v>0.54266456053033085</c:v>
                </c:pt>
                <c:pt idx="166">
                  <c:v>0.59704031824334525</c:v>
                </c:pt>
                <c:pt idx="167">
                  <c:v>0.40799088421021068</c:v>
                </c:pt>
                <c:pt idx="168">
                  <c:v>0.12002001056079359</c:v>
                </c:pt>
                <c:pt idx="169">
                  <c:v>-0.12259493331333693</c:v>
                </c:pt>
                <c:pt idx="170">
                  <c:v>-0.40227969067893787</c:v>
                </c:pt>
                <c:pt idx="171">
                  <c:v>-0.42733007676265489</c:v>
                </c:pt>
                <c:pt idx="172">
                  <c:v>-0.53363871684244657</c:v>
                </c:pt>
                <c:pt idx="173">
                  <c:v>-0.57432292936729246</c:v>
                </c:pt>
                <c:pt idx="174">
                  <c:v>-0.46321961506577747</c:v>
                </c:pt>
                <c:pt idx="175">
                  <c:v>-0.25728003121809806</c:v>
                </c:pt>
                <c:pt idx="176">
                  <c:v>2.9972021518944736E-3</c:v>
                </c:pt>
                <c:pt idx="177">
                  <c:v>0.27347040144547252</c:v>
                </c:pt>
                <c:pt idx="178">
                  <c:v>0.48639268710664441</c:v>
                </c:pt>
                <c:pt idx="179">
                  <c:v>0.68160532830918363</c:v>
                </c:pt>
                <c:pt idx="180">
                  <c:v>0.83223301611667044</c:v>
                </c:pt>
                <c:pt idx="181">
                  <c:v>1.0197894058744135</c:v>
                </c:pt>
                <c:pt idx="182">
                  <c:v>1.0938912239307295</c:v>
                </c:pt>
                <c:pt idx="183">
                  <c:v>0.87416229496231246</c:v>
                </c:pt>
                <c:pt idx="184">
                  <c:v>0.57551860277906863</c:v>
                </c:pt>
                <c:pt idx="185">
                  <c:v>0.59147713608498309</c:v>
                </c:pt>
                <c:pt idx="186">
                  <c:v>0.69267119898042373</c:v>
                </c:pt>
                <c:pt idx="187">
                  <c:v>0.88188722424971766</c:v>
                </c:pt>
                <c:pt idx="188">
                  <c:v>1.0390398508805514</c:v>
                </c:pt>
                <c:pt idx="189">
                  <c:v>1.1048625974225805</c:v>
                </c:pt>
                <c:pt idx="190">
                  <c:v>1.0557804942954925</c:v>
                </c:pt>
                <c:pt idx="191">
                  <c:v>0.9916426059117287</c:v>
                </c:pt>
                <c:pt idx="192">
                  <c:v>0.74367152751390808</c:v>
                </c:pt>
                <c:pt idx="193">
                  <c:v>0.60046520358162991</c:v>
                </c:pt>
                <c:pt idx="194">
                  <c:v>0.5335291650621985</c:v>
                </c:pt>
                <c:pt idx="195">
                  <c:v>0.50584173784630493</c:v>
                </c:pt>
                <c:pt idx="196">
                  <c:v>0.47497331278788812</c:v>
                </c:pt>
                <c:pt idx="197">
                  <c:v>0.16121081606416365</c:v>
                </c:pt>
                <c:pt idx="198">
                  <c:v>8.4955145555520861E-3</c:v>
                </c:pt>
                <c:pt idx="199">
                  <c:v>5.8519666276120708E-2</c:v>
                </c:pt>
                <c:pt idx="200">
                  <c:v>4.6513674366321922E-2</c:v>
                </c:pt>
                <c:pt idx="201">
                  <c:v>3.316599502905837E-2</c:v>
                </c:pt>
                <c:pt idx="202">
                  <c:v>1.3857897656879281E-2</c:v>
                </c:pt>
                <c:pt idx="203">
                  <c:v>-3.8837975482156395E-2</c:v>
                </c:pt>
                <c:pt idx="204">
                  <c:v>-8.344449312990343E-2</c:v>
                </c:pt>
                <c:pt idx="205">
                  <c:v>-9.556333634087677E-2</c:v>
                </c:pt>
                <c:pt idx="206">
                  <c:v>-0.1266715648503034</c:v>
                </c:pt>
                <c:pt idx="207">
                  <c:v>-0.27944342899849506</c:v>
                </c:pt>
                <c:pt idx="208">
                  <c:v>-0.4009088623689232</c:v>
                </c:pt>
                <c:pt idx="209">
                  <c:v>-0.41633695717806707</c:v>
                </c:pt>
                <c:pt idx="210">
                  <c:v>-0.1414597500107726</c:v>
                </c:pt>
                <c:pt idx="211">
                  <c:v>8.7498920469757158E-2</c:v>
                </c:pt>
                <c:pt idx="212">
                  <c:v>0.18230113298930184</c:v>
                </c:pt>
                <c:pt idx="213">
                  <c:v>0.4984235097020755</c:v>
                </c:pt>
                <c:pt idx="214">
                  <c:v>0.59987650061208075</c:v>
                </c:pt>
                <c:pt idx="215">
                  <c:v>0.63093091286163849</c:v>
                </c:pt>
                <c:pt idx="216">
                  <c:v>0.57714249542171547</c:v>
                </c:pt>
                <c:pt idx="217">
                  <c:v>0.42190271146579672</c:v>
                </c:pt>
                <c:pt idx="218">
                  <c:v>0.50636546090617496</c:v>
                </c:pt>
                <c:pt idx="219">
                  <c:v>0.71315114592704898</c:v>
                </c:pt>
                <c:pt idx="220">
                  <c:v>0.76333189734842133</c:v>
                </c:pt>
                <c:pt idx="221">
                  <c:v>0.69311641875294683</c:v>
                </c:pt>
                <c:pt idx="222">
                  <c:v>0.5176311426288378</c:v>
                </c:pt>
                <c:pt idx="223">
                  <c:v>0.46861728733172825</c:v>
                </c:pt>
                <c:pt idx="224">
                  <c:v>0.40911532288800156</c:v>
                </c:pt>
                <c:pt idx="225">
                  <c:v>0.37266794498330214</c:v>
                </c:pt>
                <c:pt idx="226">
                  <c:v>0.17750975920411927</c:v>
                </c:pt>
                <c:pt idx="227">
                  <c:v>0.15882030584252105</c:v>
                </c:pt>
                <c:pt idx="228">
                  <c:v>8.6068034330113452E-2</c:v>
                </c:pt>
                <c:pt idx="229">
                  <c:v>-1.6358970820631313E-3</c:v>
                </c:pt>
                <c:pt idx="230">
                  <c:v>-6.4753800352681523E-2</c:v>
                </c:pt>
                <c:pt idx="231">
                  <c:v>-0.14538139407454054</c:v>
                </c:pt>
                <c:pt idx="232">
                  <c:v>-0.44366220449020943</c:v>
                </c:pt>
                <c:pt idx="233">
                  <c:v>-0.56751683541131115</c:v>
                </c:pt>
                <c:pt idx="234">
                  <c:v>-0.89972845161421455</c:v>
                </c:pt>
                <c:pt idx="235">
                  <c:v>-0.96462969819479438</c:v>
                </c:pt>
                <c:pt idx="236">
                  <c:v>-0.97891508149178574</c:v>
                </c:pt>
                <c:pt idx="237">
                  <c:v>-1.0038059547026317</c:v>
                </c:pt>
                <c:pt idx="238">
                  <c:v>-1.0770619873157248</c:v>
                </c:pt>
                <c:pt idx="239">
                  <c:v>-1.1322176623178692</c:v>
                </c:pt>
                <c:pt idx="240">
                  <c:v>-1.404767305341976</c:v>
                </c:pt>
                <c:pt idx="241">
                  <c:v>-1.588040440357303</c:v>
                </c:pt>
                <c:pt idx="242">
                  <c:v>-1.8795429491660336</c:v>
                </c:pt>
                <c:pt idx="243">
                  <c:v>-2.1491172007472725</c:v>
                </c:pt>
                <c:pt idx="244">
                  <c:v>-2.0904416615030206</c:v>
                </c:pt>
                <c:pt idx="245">
                  <c:v>-1.9251687507809598</c:v>
                </c:pt>
                <c:pt idx="246">
                  <c:v>-1.6494954549635659</c:v>
                </c:pt>
                <c:pt idx="247">
                  <c:v>-1.3619039470609624</c:v>
                </c:pt>
                <c:pt idx="248">
                  <c:v>-1.0864724218621369</c:v>
                </c:pt>
                <c:pt idx="249">
                  <c:v>-0.89125160413049942</c:v>
                </c:pt>
                <c:pt idx="250">
                  <c:v>-0.58220006675714719</c:v>
                </c:pt>
                <c:pt idx="251">
                  <c:v>-0.21029391375150919</c:v>
                </c:pt>
                <c:pt idx="252">
                  <c:v>0.13540476733044571</c:v>
                </c:pt>
                <c:pt idx="253">
                  <c:v>0.3358418433725805</c:v>
                </c:pt>
                <c:pt idx="254">
                  <c:v>0.62030664368071786</c:v>
                </c:pt>
                <c:pt idx="255">
                  <c:v>0.83772785908260872</c:v>
                </c:pt>
                <c:pt idx="256">
                  <c:v>1.1357521476182484</c:v>
                </c:pt>
                <c:pt idx="257">
                  <c:v>1.425880218097757</c:v>
                </c:pt>
                <c:pt idx="258">
                  <c:v>1.6504805716437525</c:v>
                </c:pt>
                <c:pt idx="259">
                  <c:v>1.8108156012925276</c:v>
                </c:pt>
                <c:pt idx="260">
                  <c:v>1.8940874164570993</c:v>
                </c:pt>
                <c:pt idx="261">
                  <c:v>1.9867456176082003</c:v>
                </c:pt>
                <c:pt idx="262">
                  <c:v>1.7363915609865503</c:v>
                </c:pt>
                <c:pt idx="263">
                  <c:v>1.3695551815245746</c:v>
                </c:pt>
                <c:pt idx="264">
                  <c:v>1.0370778738917006</c:v>
                </c:pt>
                <c:pt idx="265">
                  <c:v>0.74375417299309854</c:v>
                </c:pt>
                <c:pt idx="266">
                  <c:v>0.61245880895966587</c:v>
                </c:pt>
                <c:pt idx="267">
                  <c:v>0.4222805439615458</c:v>
                </c:pt>
                <c:pt idx="268">
                  <c:v>0.2361114454265909</c:v>
                </c:pt>
                <c:pt idx="269">
                  <c:v>0.13506667418105556</c:v>
                </c:pt>
                <c:pt idx="270">
                  <c:v>-0.40285979947117778</c:v>
                </c:pt>
                <c:pt idx="271">
                  <c:v>-0.72090547419091222</c:v>
                </c:pt>
                <c:pt idx="272">
                  <c:v>-0.64477866868460143</c:v>
                </c:pt>
                <c:pt idx="273">
                  <c:v>-0.58640389918013502</c:v>
                </c:pt>
                <c:pt idx="274">
                  <c:v>-0.59576252158428356</c:v>
                </c:pt>
                <c:pt idx="275">
                  <c:v>-0.53021669256511905</c:v>
                </c:pt>
                <c:pt idx="276">
                  <c:v>-0.26487283102953812</c:v>
                </c:pt>
                <c:pt idx="277">
                  <c:v>1.7944359184534797E-2</c:v>
                </c:pt>
                <c:pt idx="278">
                  <c:v>2.8174485358688828E-2</c:v>
                </c:pt>
                <c:pt idx="279">
                  <c:v>9.1590001850055502E-2</c:v>
                </c:pt>
                <c:pt idx="280">
                  <c:v>8.7805143312520206E-2</c:v>
                </c:pt>
                <c:pt idx="281">
                  <c:v>0.12869069724242599</c:v>
                </c:pt>
                <c:pt idx="282">
                  <c:v>0.21109261582402583</c:v>
                </c:pt>
                <c:pt idx="283">
                  <c:v>0.34598607522844738</c:v>
                </c:pt>
                <c:pt idx="284">
                  <c:v>0.28702571830179546</c:v>
                </c:pt>
                <c:pt idx="285">
                  <c:v>0.29024031977964226</c:v>
                </c:pt>
                <c:pt idx="286">
                  <c:v>0.17587984982150184</c:v>
                </c:pt>
                <c:pt idx="287">
                  <c:v>5.545058072644049E-3</c:v>
                </c:pt>
                <c:pt idx="288">
                  <c:v>-1.1629125904821902E-2</c:v>
                </c:pt>
                <c:pt idx="289">
                  <c:v>9.492501489157501E-2</c:v>
                </c:pt>
                <c:pt idx="290">
                  <c:v>-0.2041285501591098</c:v>
                </c:pt>
                <c:pt idx="291">
                  <c:v>-0.4579166076579424</c:v>
                </c:pt>
                <c:pt idx="292">
                  <c:v>-0.67536721442879166</c:v>
                </c:pt>
                <c:pt idx="293">
                  <c:v>-0.64459097192251635</c:v>
                </c:pt>
                <c:pt idx="294">
                  <c:v>-0.37860305774558306</c:v>
                </c:pt>
                <c:pt idx="295">
                  <c:v>-0.11611579145217416</c:v>
                </c:pt>
                <c:pt idx="296">
                  <c:v>-0.17053740151494626</c:v>
                </c:pt>
                <c:pt idx="297">
                  <c:v>-0.28760905503068923</c:v>
                </c:pt>
                <c:pt idx="298">
                  <c:v>-0.28718442333540972</c:v>
                </c:pt>
                <c:pt idx="299">
                  <c:v>-5.4853475224461004E-2</c:v>
                </c:pt>
                <c:pt idx="300">
                  <c:v>0.2016495040727713</c:v>
                </c:pt>
                <c:pt idx="301">
                  <c:v>0.48428602308126367</c:v>
                </c:pt>
                <c:pt idx="302">
                  <c:v>0.84077279271154703</c:v>
                </c:pt>
                <c:pt idx="303">
                  <c:v>1.0621230390980483</c:v>
                </c:pt>
                <c:pt idx="304">
                  <c:v>1.1375229205887942</c:v>
                </c:pt>
                <c:pt idx="305">
                  <c:v>1.1334058321849858</c:v>
                </c:pt>
                <c:pt idx="306">
                  <c:v>1.1185630924538104</c:v>
                </c:pt>
                <c:pt idx="307">
                  <c:v>1.1660639784920805</c:v>
                </c:pt>
                <c:pt idx="308">
                  <c:v>1.0337036969616098</c:v>
                </c:pt>
                <c:pt idx="309">
                  <c:v>0.84169386944100788</c:v>
                </c:pt>
                <c:pt idx="310">
                  <c:v>0.73276303227087736</c:v>
                </c:pt>
                <c:pt idx="311">
                  <c:v>0.6812210693320675</c:v>
                </c:pt>
                <c:pt idx="312">
                  <c:v>0.45875303116107435</c:v>
                </c:pt>
                <c:pt idx="313">
                  <c:v>-0.39055639468413617</c:v>
                </c:pt>
                <c:pt idx="314">
                  <c:v>-1.7462514807488421</c:v>
                </c:pt>
                <c:pt idx="315">
                  <c:v>-2.7246219357026602</c:v>
                </c:pt>
                <c:pt idx="316">
                  <c:v>-3.4147384511576568</c:v>
                </c:pt>
                <c:pt idx="317">
                  <c:v>-3.0939894357435804</c:v>
                </c:pt>
                <c:pt idx="318">
                  <c:v>-3.4353377808532173</c:v>
                </c:pt>
                <c:pt idx="319">
                  <c:v>-3.4192853839130519</c:v>
                </c:pt>
                <c:pt idx="320">
                  <c:v>-3.2335343332566611</c:v>
                </c:pt>
                <c:pt idx="321">
                  <c:v>-2.973781254246743</c:v>
                </c:pt>
                <c:pt idx="322">
                  <c:v>-2.57237571202488</c:v>
                </c:pt>
                <c:pt idx="323">
                  <c:v>-1.9895126755028407</c:v>
                </c:pt>
                <c:pt idx="324">
                  <c:v>-1.7433232030422374</c:v>
                </c:pt>
                <c:pt idx="325">
                  <c:v>-1.2250522827877486</c:v>
                </c:pt>
                <c:pt idx="326">
                  <c:v>-0.82801846963241577</c:v>
                </c:pt>
                <c:pt idx="327">
                  <c:v>-0.33380850533228923</c:v>
                </c:pt>
                <c:pt idx="328">
                  <c:v>2.1940879802603064E-2</c:v>
                </c:pt>
                <c:pt idx="329">
                  <c:v>0.3813350831521376</c:v>
                </c:pt>
                <c:pt idx="330">
                  <c:v>0.5848202796613915</c:v>
                </c:pt>
                <c:pt idx="331">
                  <c:v>0.52286967746875224</c:v>
                </c:pt>
                <c:pt idx="332">
                  <c:v>0.51613764970329967</c:v>
                </c:pt>
                <c:pt idx="333">
                  <c:v>0.67338011072736492</c:v>
                </c:pt>
                <c:pt idx="334">
                  <c:v>0.5892163670854984</c:v>
                </c:pt>
                <c:pt idx="335">
                  <c:v>0.554647708238031</c:v>
                </c:pt>
                <c:pt idx="336">
                  <c:v>0.5574558693648628</c:v>
                </c:pt>
                <c:pt idx="337">
                  <c:v>0.64992005765442773</c:v>
                </c:pt>
                <c:pt idx="338">
                  <c:v>0.80501401479056156</c:v>
                </c:pt>
                <c:pt idx="339">
                  <c:v>1.0966117016221828</c:v>
                </c:pt>
                <c:pt idx="340">
                  <c:v>1.3028194560720316</c:v>
                </c:pt>
                <c:pt idx="341">
                  <c:v>1.3517444088959127</c:v>
                </c:pt>
                <c:pt idx="342">
                  <c:v>1.3774903559739431</c:v>
                </c:pt>
                <c:pt idx="343">
                  <c:v>1.3363556791912941</c:v>
                </c:pt>
                <c:pt idx="344">
                  <c:v>1.0322411057137355</c:v>
                </c:pt>
                <c:pt idx="345">
                  <c:v>0.72940954646565936</c:v>
                </c:pt>
                <c:pt idx="346">
                  <c:v>0.41032395925026233</c:v>
                </c:pt>
                <c:pt idx="347">
                  <c:v>0.18873988053785462</c:v>
                </c:pt>
                <c:pt idx="348">
                  <c:v>0.13645633463041995</c:v>
                </c:pt>
                <c:pt idx="349">
                  <c:v>0.19526956762349235</c:v>
                </c:pt>
                <c:pt idx="350">
                  <c:v>0.12235320579305364</c:v>
                </c:pt>
                <c:pt idx="351">
                  <c:v>0.20654017054912943</c:v>
                </c:pt>
                <c:pt idx="352">
                  <c:v>0.18647773234534704</c:v>
                </c:pt>
                <c:pt idx="353">
                  <c:v>0.25167198367403931</c:v>
                </c:pt>
                <c:pt idx="354">
                  <c:v>0.40268834293935596</c:v>
                </c:pt>
                <c:pt idx="355">
                  <c:v>0.35041128927372212</c:v>
                </c:pt>
                <c:pt idx="356">
                  <c:v>0.28178385928674721</c:v>
                </c:pt>
                <c:pt idx="357">
                  <c:v>0.44709442027879032</c:v>
                </c:pt>
                <c:pt idx="358">
                  <c:v>0.57321115835601621</c:v>
                </c:pt>
                <c:pt idx="359">
                  <c:v>0.79703228974223017</c:v>
                </c:pt>
                <c:pt idx="360">
                  <c:v>0.99451448061180114</c:v>
                </c:pt>
                <c:pt idx="361">
                  <c:v>1.0837349882616105</c:v>
                </c:pt>
                <c:pt idx="362">
                  <c:v>1.1458152804136601</c:v>
                </c:pt>
                <c:pt idx="363">
                  <c:v>1.1326882306584727</c:v>
                </c:pt>
                <c:pt idx="364">
                  <c:v>1.2428368843544939</c:v>
                </c:pt>
                <c:pt idx="365">
                  <c:v>1.1995600395427386</c:v>
                </c:pt>
                <c:pt idx="366">
                  <c:v>1.1885653492643027</c:v>
                </c:pt>
                <c:pt idx="367">
                  <c:v>0.93721032855582465</c:v>
                </c:pt>
                <c:pt idx="368">
                  <c:v>0.50667551133330146</c:v>
                </c:pt>
                <c:pt idx="369">
                  <c:v>0.17606361432369999</c:v>
                </c:pt>
                <c:pt idx="370">
                  <c:v>2.2652430876398011E-2</c:v>
                </c:pt>
                <c:pt idx="371">
                  <c:v>-0.13040319469503792</c:v>
                </c:pt>
                <c:pt idx="372">
                  <c:v>-0.27172443622384046</c:v>
                </c:pt>
                <c:pt idx="373">
                  <c:v>-0.20748654703328873</c:v>
                </c:pt>
                <c:pt idx="374">
                  <c:v>-1.5388199624025489E-2</c:v>
                </c:pt>
                <c:pt idx="375">
                  <c:v>0.11790388503736859</c:v>
                </c:pt>
                <c:pt idx="376">
                  <c:v>0.12028920254678366</c:v>
                </c:pt>
                <c:pt idx="377">
                  <c:v>0.47482377937915121</c:v>
                </c:pt>
                <c:pt idx="378">
                  <c:v>0.64367613915693545</c:v>
                </c:pt>
                <c:pt idx="379">
                  <c:v>0.77325809413913271</c:v>
                </c:pt>
                <c:pt idx="380">
                  <c:v>0.86903263173668011</c:v>
                </c:pt>
                <c:pt idx="381">
                  <c:v>0.63029118807551754</c:v>
                </c:pt>
                <c:pt idx="382">
                  <c:v>0.36526796018638352</c:v>
                </c:pt>
                <c:pt idx="383">
                  <c:v>0.10895761120001168</c:v>
                </c:pt>
                <c:pt idx="384">
                  <c:v>1.3609591817578259E-2</c:v>
                </c:pt>
                <c:pt idx="385">
                  <c:v>-0.15457253469856358</c:v>
                </c:pt>
                <c:pt idx="386">
                  <c:v>-0.29669567094054328</c:v>
                </c:pt>
                <c:pt idx="387">
                  <c:v>-0.36841025987793596</c:v>
                </c:pt>
                <c:pt idx="388">
                  <c:v>-0.2178110110621585</c:v>
                </c:pt>
                <c:pt idx="389">
                  <c:v>4.1119482586516654E-2</c:v>
                </c:pt>
                <c:pt idx="390">
                  <c:v>0.11815726168827601</c:v>
                </c:pt>
                <c:pt idx="391">
                  <c:v>0.23195738225680973</c:v>
                </c:pt>
                <c:pt idx="392">
                  <c:v>0.31827097005739269</c:v>
                </c:pt>
                <c:pt idx="393">
                  <c:v>0.11279588549177344</c:v>
                </c:pt>
                <c:pt idx="394">
                  <c:v>-0.16613504828454007</c:v>
                </c:pt>
                <c:pt idx="395">
                  <c:v>-0.36889233421537337</c:v>
                </c:pt>
                <c:pt idx="396">
                  <c:v>-0.52009392084565809</c:v>
                </c:pt>
                <c:pt idx="397">
                  <c:v>-0.47926007107478608</c:v>
                </c:pt>
                <c:pt idx="398">
                  <c:v>-0.46333829757362199</c:v>
                </c:pt>
                <c:pt idx="399">
                  <c:v>-0.42196622998045052</c:v>
                </c:pt>
                <c:pt idx="400">
                  <c:v>-0.27203749104675889</c:v>
                </c:pt>
                <c:pt idx="401">
                  <c:v>-0.27892525099808774</c:v>
                </c:pt>
                <c:pt idx="402">
                  <c:v>-0.2203707168491198</c:v>
                </c:pt>
                <c:pt idx="403">
                  <c:v>-9.5285704502977797E-2</c:v>
                </c:pt>
                <c:pt idx="404">
                  <c:v>-7.1410465547712132E-2</c:v>
                </c:pt>
                <c:pt idx="405">
                  <c:v>2.1956721640266963E-2</c:v>
                </c:pt>
                <c:pt idx="406">
                  <c:v>-1.3266669548919419E-2</c:v>
                </c:pt>
                <c:pt idx="407">
                  <c:v>-0.26059035563684496</c:v>
                </c:pt>
                <c:pt idx="408">
                  <c:v>-0.33756314932929432</c:v>
                </c:pt>
                <c:pt idx="409">
                  <c:v>-0.2321212813396607</c:v>
                </c:pt>
                <c:pt idx="410">
                  <c:v>1.8014761773410548E-3</c:v>
                </c:pt>
                <c:pt idx="411">
                  <c:v>0.13742274018088052</c:v>
                </c:pt>
                <c:pt idx="412">
                  <c:v>0.14912463659818487</c:v>
                </c:pt>
                <c:pt idx="413">
                  <c:v>0.2557870017553201</c:v>
                </c:pt>
                <c:pt idx="414">
                  <c:v>0.30092254640660254</c:v>
                </c:pt>
                <c:pt idx="415">
                  <c:v>0.38102352533141381</c:v>
                </c:pt>
                <c:pt idx="416">
                  <c:v>0.47478182251179435</c:v>
                </c:pt>
                <c:pt idx="417">
                  <c:v>0.25201485442175375</c:v>
                </c:pt>
                <c:pt idx="418">
                  <c:v>5.8939458895356678E-2</c:v>
                </c:pt>
                <c:pt idx="419">
                  <c:v>-0.33911148741575192</c:v>
                </c:pt>
                <c:pt idx="420">
                  <c:v>-0.5651145550105432</c:v>
                </c:pt>
                <c:pt idx="421">
                  <c:v>-0.63759887216278188</c:v>
                </c:pt>
                <c:pt idx="422">
                  <c:v>-0.47522872882870959</c:v>
                </c:pt>
                <c:pt idx="423">
                  <c:v>-0.33135273463226356</c:v>
                </c:pt>
                <c:pt idx="424">
                  <c:v>-0.30796377438388323</c:v>
                </c:pt>
                <c:pt idx="425">
                  <c:v>-0.2751022594848942</c:v>
                </c:pt>
                <c:pt idx="426">
                  <c:v>-0.10784931451018864</c:v>
                </c:pt>
                <c:pt idx="427">
                  <c:v>2.7902034683098709E-2</c:v>
                </c:pt>
                <c:pt idx="428">
                  <c:v>2.1857094631914986E-2</c:v>
                </c:pt>
                <c:pt idx="429">
                  <c:v>-0.16086431952910263</c:v>
                </c:pt>
                <c:pt idx="430">
                  <c:v>-0.28674829445355299</c:v>
                </c:pt>
                <c:pt idx="431">
                  <c:v>-0.27211403460250438</c:v>
                </c:pt>
                <c:pt idx="432">
                  <c:v>-0.14466372775131775</c:v>
                </c:pt>
                <c:pt idx="433">
                  <c:v>3.3106167920849194E-2</c:v>
                </c:pt>
                <c:pt idx="434">
                  <c:v>9.9003865661132062E-2</c:v>
                </c:pt>
                <c:pt idx="435">
                  <c:v>-0.13225970234207118</c:v>
                </c:pt>
                <c:pt idx="436">
                  <c:v>-0.32994612234080245</c:v>
                </c:pt>
                <c:pt idx="437">
                  <c:v>-0.48909020733431319</c:v>
                </c:pt>
                <c:pt idx="438">
                  <c:v>-0.64652820392071741</c:v>
                </c:pt>
                <c:pt idx="439">
                  <c:v>-0.70446357614848187</c:v>
                </c:pt>
                <c:pt idx="440">
                  <c:v>-0.67688282567306524</c:v>
                </c:pt>
                <c:pt idx="441">
                  <c:v>-0.56880188304237744</c:v>
                </c:pt>
                <c:pt idx="442">
                  <c:v>-0.54609873404084075</c:v>
                </c:pt>
                <c:pt idx="443">
                  <c:v>-0.63620462650024012</c:v>
                </c:pt>
                <c:pt idx="444">
                  <c:v>-0.83168680670596218</c:v>
                </c:pt>
                <c:pt idx="445">
                  <c:v>-0.71220762435625762</c:v>
                </c:pt>
                <c:pt idx="446">
                  <c:v>-0.56524454198815088</c:v>
                </c:pt>
                <c:pt idx="447">
                  <c:v>-0.45405771910139991</c:v>
                </c:pt>
                <c:pt idx="448">
                  <c:v>-0.37774658980931708</c:v>
                </c:pt>
                <c:pt idx="449">
                  <c:v>-0.21347699925782759</c:v>
                </c:pt>
                <c:pt idx="450">
                  <c:v>-2.869454290184148E-4</c:v>
                </c:pt>
                <c:pt idx="451">
                  <c:v>9.9011468761278421E-2</c:v>
                </c:pt>
                <c:pt idx="452">
                  <c:v>0.27912338518355195</c:v>
                </c:pt>
                <c:pt idx="453">
                  <c:v>0.44939374183583081</c:v>
                </c:pt>
                <c:pt idx="454">
                  <c:v>0.47654833579498201</c:v>
                </c:pt>
                <c:pt idx="455">
                  <c:v>0.45743982152060436</c:v>
                </c:pt>
                <c:pt idx="456">
                  <c:v>0.35377222175922829</c:v>
                </c:pt>
                <c:pt idx="457">
                  <c:v>0.33702618111766419</c:v>
                </c:pt>
                <c:pt idx="458">
                  <c:v>0.21213555132871953</c:v>
                </c:pt>
                <c:pt idx="459">
                  <c:v>0.39439155839059342</c:v>
                </c:pt>
                <c:pt idx="460">
                  <c:v>0.25582487693545664</c:v>
                </c:pt>
                <c:pt idx="461">
                  <c:v>0.11622108882356225</c:v>
                </c:pt>
                <c:pt idx="462">
                  <c:v>-2.2084780867466874E-2</c:v>
                </c:pt>
                <c:pt idx="463">
                  <c:v>-8.7820742069658814E-2</c:v>
                </c:pt>
                <c:pt idx="464">
                  <c:v>1.0446653273238155E-2</c:v>
                </c:pt>
                <c:pt idx="465">
                  <c:v>0.1137974134110124</c:v>
                </c:pt>
                <c:pt idx="466">
                  <c:v>0.21210443661888578</c:v>
                </c:pt>
                <c:pt idx="467">
                  <c:v>7.7613297715924123E-2</c:v>
                </c:pt>
                <c:pt idx="468">
                  <c:v>0.13465763075954257</c:v>
                </c:pt>
                <c:pt idx="469">
                  <c:v>0.29441553074235105</c:v>
                </c:pt>
                <c:pt idx="470">
                  <c:v>0.20062900605946279</c:v>
                </c:pt>
                <c:pt idx="471">
                  <c:v>5.44931805869662E-2</c:v>
                </c:pt>
                <c:pt idx="472">
                  <c:v>-0.16286640992676132</c:v>
                </c:pt>
                <c:pt idx="473">
                  <c:v>-0.37927876031420538</c:v>
                </c:pt>
                <c:pt idx="474">
                  <c:v>-0.51524152926817646</c:v>
                </c:pt>
                <c:pt idx="475">
                  <c:v>-0.58609656008098554</c:v>
                </c:pt>
                <c:pt idx="476">
                  <c:v>-0.67427263873978227</c:v>
                </c:pt>
                <c:pt idx="477">
                  <c:v>-0.62674721474270645</c:v>
                </c:pt>
                <c:pt idx="478">
                  <c:v>-0.45438629059027502</c:v>
                </c:pt>
                <c:pt idx="479">
                  <c:v>-0.22518240899551933</c:v>
                </c:pt>
                <c:pt idx="480">
                  <c:v>-0.20797782898721151</c:v>
                </c:pt>
                <c:pt idx="481">
                  <c:v>-9.2420053417606951E-2</c:v>
                </c:pt>
                <c:pt idx="482">
                  <c:v>3.6178679404820002E-2</c:v>
                </c:pt>
                <c:pt idx="483">
                  <c:v>-2.0858340000205478E-2</c:v>
                </c:pt>
                <c:pt idx="484">
                  <c:v>-0.12930760345360781</c:v>
                </c:pt>
                <c:pt idx="485">
                  <c:v>-0.19571635739229976</c:v>
                </c:pt>
                <c:pt idx="486">
                  <c:v>-3.1460136255179627E-2</c:v>
                </c:pt>
                <c:pt idx="487">
                  <c:v>3.8451777636269169E-2</c:v>
                </c:pt>
                <c:pt idx="488">
                  <c:v>4.292526351699788E-2</c:v>
                </c:pt>
                <c:pt idx="489">
                  <c:v>4.0512406054795558E-2</c:v>
                </c:pt>
                <c:pt idx="490">
                  <c:v>-0.14870104651566218</c:v>
                </c:pt>
                <c:pt idx="491">
                  <c:v>-7.3320888143957097E-2</c:v>
                </c:pt>
                <c:pt idx="492">
                  <c:v>-0.12944427335129638</c:v>
                </c:pt>
                <c:pt idx="493">
                  <c:v>-0.14413903713669907</c:v>
                </c:pt>
                <c:pt idx="494">
                  <c:v>-4.7711468018996062E-3</c:v>
                </c:pt>
                <c:pt idx="495">
                  <c:v>0.1383495402329693</c:v>
                </c:pt>
                <c:pt idx="496">
                  <c:v>0.23005574008945184</c:v>
                </c:pt>
                <c:pt idx="497">
                  <c:v>0.25421029935141404</c:v>
                </c:pt>
                <c:pt idx="498">
                  <c:v>0.32671479291340166</c:v>
                </c:pt>
                <c:pt idx="499">
                  <c:v>0.44731481647574622</c:v>
                </c:pt>
                <c:pt idx="500">
                  <c:v>0.51286106315306501</c:v>
                </c:pt>
                <c:pt idx="501">
                  <c:v>0.75563759272471109</c:v>
                </c:pt>
                <c:pt idx="502">
                  <c:v>1.3796764129472314</c:v>
                </c:pt>
                <c:pt idx="503">
                  <c:v>1.2329677930578877</c:v>
                </c:pt>
                <c:pt idx="504">
                  <c:v>0.98904158783211038</c:v>
                </c:pt>
                <c:pt idx="505">
                  <c:v>1.0386912804179289</c:v>
                </c:pt>
                <c:pt idx="506">
                  <c:v>1.1914355318374816</c:v>
                </c:pt>
                <c:pt idx="507">
                  <c:v>1.2302343709830299</c:v>
                </c:pt>
                <c:pt idx="508">
                  <c:v>1.2757395439253538</c:v>
                </c:pt>
                <c:pt idx="509">
                  <c:v>1.4375794935571429</c:v>
                </c:pt>
                <c:pt idx="510">
                  <c:v>1.3765867714043263</c:v>
                </c:pt>
                <c:pt idx="511">
                  <c:v>1.2512915104420639</c:v>
                </c:pt>
                <c:pt idx="512">
                  <c:v>1.0217621784122271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24644624"/>
        <c:axId val="1724646064"/>
      </c:barChart>
      <c:lineChart>
        <c:grouping val="standard"/>
        <c:varyColors val="0"/>
        <c:ser>
          <c:idx val="0"/>
          <c:order val="0"/>
          <c:tx>
            <c:strRef>
              <c:f>Data!$Y$1</c:f>
              <c:strCache>
                <c:ptCount val="1"/>
                <c:pt idx="0">
                  <c:v>MACD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Data!$Y$2:$Y$514</c:f>
              <c:numCache>
                <c:formatCode>General</c:formatCode>
                <c:ptCount val="513"/>
                <c:pt idx="25">
                  <c:v>2.3357016582717733</c:v>
                </c:pt>
                <c:pt idx="26">
                  <c:v>2.2149644140052374</c:v>
                </c:pt>
                <c:pt idx="27">
                  <c:v>2.1780909102180033</c:v>
                </c:pt>
                <c:pt idx="28">
                  <c:v>2.0063171860517173</c:v>
                </c:pt>
                <c:pt idx="29">
                  <c:v>1.881579172120297</c:v>
                </c:pt>
                <c:pt idx="30">
                  <c:v>2.037621136451861</c:v>
                </c:pt>
                <c:pt idx="31">
                  <c:v>2.1502167365810863</c:v>
                </c:pt>
                <c:pt idx="32">
                  <c:v>2.1636723579179034</c:v>
                </c:pt>
                <c:pt idx="33">
                  <c:v>2.2644290714106319</c:v>
                </c:pt>
                <c:pt idx="34">
                  <c:v>2.3167663361538473</c:v>
                </c:pt>
                <c:pt idx="35">
                  <c:v>2.2699449186602578</c:v>
                </c:pt>
                <c:pt idx="36">
                  <c:v>2.1906410169925152</c:v>
                </c:pt>
                <c:pt idx="37">
                  <c:v>1.9208656978284182</c:v>
                </c:pt>
                <c:pt idx="38">
                  <c:v>1.7019720352602405</c:v>
                </c:pt>
                <c:pt idx="39">
                  <c:v>1.4847536724474537</c:v>
                </c:pt>
                <c:pt idx="40">
                  <c:v>1.3614657395035579</c:v>
                </c:pt>
                <c:pt idx="41">
                  <c:v>0.93585307706030108</c:v>
                </c:pt>
                <c:pt idx="42">
                  <c:v>0.64836904720232269</c:v>
                </c:pt>
                <c:pt idx="43">
                  <c:v>0.31523063010902774</c:v>
                </c:pt>
                <c:pt idx="44">
                  <c:v>0.13359533888083774</c:v>
                </c:pt>
                <c:pt idx="45">
                  <c:v>3.044979345838783E-2</c:v>
                </c:pt>
                <c:pt idx="46">
                  <c:v>0.11840755937006975</c:v>
                </c:pt>
                <c:pt idx="47">
                  <c:v>0.17719603625963032</c:v>
                </c:pt>
                <c:pt idx="48">
                  <c:v>0.38078021574563081</c:v>
                </c:pt>
                <c:pt idx="49">
                  <c:v>0.68033157898113927</c:v>
                </c:pt>
                <c:pt idx="50">
                  <c:v>0.89530393959040566</c:v>
                </c:pt>
                <c:pt idx="51">
                  <c:v>1.0423585931778234</c:v>
                </c:pt>
                <c:pt idx="52">
                  <c:v>1.2422178392286014</c:v>
                </c:pt>
                <c:pt idx="53">
                  <c:v>1.219518184832765</c:v>
                </c:pt>
                <c:pt idx="54">
                  <c:v>1.212565256917685</c:v>
                </c:pt>
                <c:pt idx="55">
                  <c:v>1.1773449828313005</c:v>
                </c:pt>
                <c:pt idx="56">
                  <c:v>1.280721178543331</c:v>
                </c:pt>
                <c:pt idx="57">
                  <c:v>1.2513923155992757</c:v>
                </c:pt>
                <c:pt idx="58">
                  <c:v>1.3003068267901199</c:v>
                </c:pt>
                <c:pt idx="59">
                  <c:v>1.4346950412354715</c:v>
                </c:pt>
                <c:pt idx="60">
                  <c:v>1.630529738692843</c:v>
                </c:pt>
                <c:pt idx="61">
                  <c:v>1.8212204020717593</c:v>
                </c:pt>
                <c:pt idx="62">
                  <c:v>2.0025168431569682</c:v>
                </c:pt>
                <c:pt idx="63">
                  <c:v>2.1416805295552876</c:v>
                </c:pt>
                <c:pt idx="64">
                  <c:v>2.2988978846587429</c:v>
                </c:pt>
                <c:pt idx="65">
                  <c:v>2.3695508223077866</c:v>
                </c:pt>
                <c:pt idx="66">
                  <c:v>2.4561358780464388</c:v>
                </c:pt>
                <c:pt idx="67">
                  <c:v>2.5494303134194638</c:v>
                </c:pt>
                <c:pt idx="68">
                  <c:v>2.5312486851399854</c:v>
                </c:pt>
                <c:pt idx="69">
                  <c:v>2.2544254870846601</c:v>
                </c:pt>
                <c:pt idx="70">
                  <c:v>1.9025620072739855</c:v>
                </c:pt>
                <c:pt idx="71">
                  <c:v>1.5007024489348737</c:v>
                </c:pt>
                <c:pt idx="72">
                  <c:v>1.1783258439804456</c:v>
                </c:pt>
                <c:pt idx="73">
                  <c:v>1.0056566994266518</c:v>
                </c:pt>
                <c:pt idx="74">
                  <c:v>1.052760284754271</c:v>
                </c:pt>
                <c:pt idx="75">
                  <c:v>1.2308299281334314</c:v>
                </c:pt>
                <c:pt idx="76">
                  <c:v>1.4305046637936698</c:v>
                </c:pt>
                <c:pt idx="77">
                  <c:v>1.6280788337406307</c:v>
                </c:pt>
                <c:pt idx="78">
                  <c:v>1.9007300628017276</c:v>
                </c:pt>
                <c:pt idx="79">
                  <c:v>2.14134592531056</c:v>
                </c:pt>
                <c:pt idx="80">
                  <c:v>2.3405595392384271</c:v>
                </c:pt>
                <c:pt idx="81">
                  <c:v>2.0663188146606899</c:v>
                </c:pt>
                <c:pt idx="82">
                  <c:v>1.6970838445252809</c:v>
                </c:pt>
                <c:pt idx="83">
                  <c:v>1.4762064879289198</c:v>
                </c:pt>
                <c:pt idx="84">
                  <c:v>1.2480409636675915</c:v>
                </c:pt>
                <c:pt idx="85">
                  <c:v>1.2185888752729284</c:v>
                </c:pt>
                <c:pt idx="86">
                  <c:v>1.211142494048886</c:v>
                </c:pt>
                <c:pt idx="87">
                  <c:v>1.1811358706505928</c:v>
                </c:pt>
                <c:pt idx="88">
                  <c:v>1.3763029221687191</c:v>
                </c:pt>
                <c:pt idx="89">
                  <c:v>1.5430428864958401</c:v>
                </c:pt>
                <c:pt idx="90">
                  <c:v>1.5531890934587125</c:v>
                </c:pt>
                <c:pt idx="91">
                  <c:v>1.4700479269087339</c:v>
                </c:pt>
                <c:pt idx="92">
                  <c:v>1.3434837887067772</c:v>
                </c:pt>
                <c:pt idx="93">
                  <c:v>1.0726602184493572</c:v>
                </c:pt>
                <c:pt idx="94">
                  <c:v>0.97429234752459593</c:v>
                </c:pt>
                <c:pt idx="95">
                  <c:v>0.7640691740362513</c:v>
                </c:pt>
                <c:pt idx="96">
                  <c:v>0.49732373413471009</c:v>
                </c:pt>
                <c:pt idx="97">
                  <c:v>9.1214643224560632E-2</c:v>
                </c:pt>
                <c:pt idx="98">
                  <c:v>-0.27825788832299736</c:v>
                </c:pt>
                <c:pt idx="99">
                  <c:v>-0.49994425476825199</c:v>
                </c:pt>
                <c:pt idx="100">
                  <c:v>-0.56502680107413994</c:v>
                </c:pt>
                <c:pt idx="101">
                  <c:v>-0.78029059887992958</c:v>
                </c:pt>
                <c:pt idx="102">
                  <c:v>-0.83156234247269367</c:v>
                </c:pt>
                <c:pt idx="103">
                  <c:v>-0.53997681574369949</c:v>
                </c:pt>
                <c:pt idx="104">
                  <c:v>-0.69146990089055294</c:v>
                </c:pt>
                <c:pt idx="105">
                  <c:v>-0.90837793169347947</c:v>
                </c:pt>
                <c:pt idx="106">
                  <c:v>-1.1597061275454053</c:v>
                </c:pt>
                <c:pt idx="107">
                  <c:v>-1.2676161826710484</c:v>
                </c:pt>
                <c:pt idx="108">
                  <c:v>-1.3257495172262281</c:v>
                </c:pt>
                <c:pt idx="109">
                  <c:v>-1.3035377478067574</c:v>
                </c:pt>
                <c:pt idx="110">
                  <c:v>-1.2912232532723351</c:v>
                </c:pt>
                <c:pt idx="111">
                  <c:v>-1.4479429711924183</c:v>
                </c:pt>
                <c:pt idx="112">
                  <c:v>-1.6643137704609501</c:v>
                </c:pt>
                <c:pt idx="113">
                  <c:v>-1.8364069747829035</c:v>
                </c:pt>
                <c:pt idx="114">
                  <c:v>-1.9008514285988554</c:v>
                </c:pt>
                <c:pt idx="115">
                  <c:v>-1.9185118818324725</c:v>
                </c:pt>
                <c:pt idx="116">
                  <c:v>-1.6464394519518351</c:v>
                </c:pt>
                <c:pt idx="117">
                  <c:v>-1.5230044775217095</c:v>
                </c:pt>
                <c:pt idx="118">
                  <c:v>-1.0874585063582458</c:v>
                </c:pt>
                <c:pt idx="119">
                  <c:v>-0.80163236363634383</c:v>
                </c:pt>
                <c:pt idx="120">
                  <c:v>-0.76878701120600113</c:v>
                </c:pt>
                <c:pt idx="121">
                  <c:v>-0.70477669792060738</c:v>
                </c:pt>
                <c:pt idx="122">
                  <c:v>-0.63861731631044449</c:v>
                </c:pt>
                <c:pt idx="123">
                  <c:v>-0.57152814477757374</c:v>
                </c:pt>
                <c:pt idx="124">
                  <c:v>-0.49410468394953</c:v>
                </c:pt>
                <c:pt idx="125">
                  <c:v>-0.43100533789962014</c:v>
                </c:pt>
                <c:pt idx="126">
                  <c:v>-0.56810977802692264</c:v>
                </c:pt>
                <c:pt idx="127">
                  <c:v>-0.6674581595736413</c:v>
                </c:pt>
                <c:pt idx="128">
                  <c:v>-0.84538115754241971</c:v>
                </c:pt>
                <c:pt idx="129">
                  <c:v>-0.80363557295910937</c:v>
                </c:pt>
                <c:pt idx="130">
                  <c:v>-0.75140030785300382</c:v>
                </c:pt>
                <c:pt idx="131">
                  <c:v>-0.67558748980289351</c:v>
                </c:pt>
                <c:pt idx="132">
                  <c:v>-0.41304938460916674</c:v>
                </c:pt>
                <c:pt idx="133">
                  <c:v>-0.22418848299460592</c:v>
                </c:pt>
                <c:pt idx="134">
                  <c:v>0.20234571038426452</c:v>
                </c:pt>
                <c:pt idx="135">
                  <c:v>0.59325032673086753</c:v>
                </c:pt>
                <c:pt idx="136">
                  <c:v>0.66779667484593119</c:v>
                </c:pt>
                <c:pt idx="137">
                  <c:v>0.54628402251617558</c:v>
                </c:pt>
                <c:pt idx="138">
                  <c:v>0.21351731174482325</c:v>
                </c:pt>
                <c:pt idx="139">
                  <c:v>2.8546044767296053E-2</c:v>
                </c:pt>
                <c:pt idx="140">
                  <c:v>8.0337262437154777E-2</c:v>
                </c:pt>
                <c:pt idx="141">
                  <c:v>0.14393052685156249</c:v>
                </c:pt>
                <c:pt idx="142">
                  <c:v>9.3196696670815982E-2</c:v>
                </c:pt>
                <c:pt idx="143">
                  <c:v>0.28930897562699442</c:v>
                </c:pt>
                <c:pt idx="144">
                  <c:v>0.51145610044309819</c:v>
                </c:pt>
                <c:pt idx="145">
                  <c:v>5.3463607345179298E-2</c:v>
                </c:pt>
                <c:pt idx="146">
                  <c:v>-0.630644056561664</c:v>
                </c:pt>
                <c:pt idx="147">
                  <c:v>-1.4697524079808488</c:v>
                </c:pt>
                <c:pt idx="148">
                  <c:v>-2.2244982399135154</c:v>
                </c:pt>
                <c:pt idx="149">
                  <c:v>-2.8558860200326421</c:v>
                </c:pt>
                <c:pt idx="150">
                  <c:v>-3.152091420182586</c:v>
                </c:pt>
                <c:pt idx="151">
                  <c:v>-3.3083538685031044</c:v>
                </c:pt>
                <c:pt idx="152">
                  <c:v>-3.3906865118482017</c:v>
                </c:pt>
                <c:pt idx="153">
                  <c:v>-3.4859535513710398</c:v>
                </c:pt>
                <c:pt idx="154">
                  <c:v>-3.4793855219217278</c:v>
                </c:pt>
                <c:pt idx="155">
                  <c:v>-3.2646739829295655</c:v>
                </c:pt>
                <c:pt idx="156">
                  <c:v>-3.0217555522897896</c:v>
                </c:pt>
                <c:pt idx="157">
                  <c:v>-2.8320985989134329</c:v>
                </c:pt>
                <c:pt idx="158">
                  <c:v>-2.8219445915796939</c:v>
                </c:pt>
                <c:pt idx="159">
                  <c:v>-2.7315738497474911</c:v>
                </c:pt>
                <c:pt idx="160">
                  <c:v>-2.5969349625599136</c:v>
                </c:pt>
                <c:pt idx="161">
                  <c:v>-2.3110847237370535</c:v>
                </c:pt>
                <c:pt idx="162">
                  <c:v>-1.9905914058702763</c:v>
                </c:pt>
                <c:pt idx="163">
                  <c:v>-1.8404545738564764</c:v>
                </c:pt>
                <c:pt idx="164">
                  <c:v>-1.7776356362518584</c:v>
                </c:pt>
                <c:pt idx="165">
                  <c:v>-1.5948842106499228</c:v>
                </c:pt>
                <c:pt idx="166">
                  <c:v>-1.3912483733760723</c:v>
                </c:pt>
                <c:pt idx="167">
                  <c:v>-1.4783000863566542</c:v>
                </c:pt>
                <c:pt idx="168">
                  <c:v>-1.7362659573658732</c:v>
                </c:pt>
                <c:pt idx="169">
                  <c:v>-2.009529634568338</c:v>
                </c:pt>
                <c:pt idx="170">
                  <c:v>-2.3897843146036735</c:v>
                </c:pt>
                <c:pt idx="171">
                  <c:v>-2.5216672198780543</c:v>
                </c:pt>
                <c:pt idx="172">
                  <c:v>-2.7613855391684581</c:v>
                </c:pt>
                <c:pt idx="173">
                  <c:v>-2.9456504840351272</c:v>
                </c:pt>
                <c:pt idx="174">
                  <c:v>-2.9503520735000563</c:v>
                </c:pt>
                <c:pt idx="175">
                  <c:v>-2.8087324974569015</c:v>
                </c:pt>
                <c:pt idx="176">
                  <c:v>-2.5477059635489354</c:v>
                </c:pt>
                <c:pt idx="177">
                  <c:v>-2.2088651638939893</c:v>
                </c:pt>
                <c:pt idx="178">
                  <c:v>-1.8743447064561565</c:v>
                </c:pt>
                <c:pt idx="179">
                  <c:v>-1.5087307331763213</c:v>
                </c:pt>
                <c:pt idx="180">
                  <c:v>-1.150044791339667</c:v>
                </c:pt>
                <c:pt idx="181">
                  <c:v>-0.70754105011332058</c:v>
                </c:pt>
                <c:pt idx="182">
                  <c:v>-0.3599664260743225</c:v>
                </c:pt>
                <c:pt idx="183">
                  <c:v>-0.36115478130216161</c:v>
                </c:pt>
                <c:pt idx="184">
                  <c:v>-0.51591882279063839</c:v>
                </c:pt>
                <c:pt idx="185">
                  <c:v>-0.35209100546347827</c:v>
                </c:pt>
                <c:pt idx="186">
                  <c:v>-7.7729142822931863E-2</c:v>
                </c:pt>
                <c:pt idx="187">
                  <c:v>0.33195868850879151</c:v>
                </c:pt>
                <c:pt idx="188">
                  <c:v>0.74887127785976304</c:v>
                </c:pt>
                <c:pt idx="189">
                  <c:v>1.0909096737574373</c:v>
                </c:pt>
                <c:pt idx="190">
                  <c:v>1.3057726942042223</c:v>
                </c:pt>
                <c:pt idx="191">
                  <c:v>1.4895454572983908</c:v>
                </c:pt>
                <c:pt idx="192">
                  <c:v>1.4274922607790472</c:v>
                </c:pt>
                <c:pt idx="193">
                  <c:v>1.4344022377421766</c:v>
                </c:pt>
                <c:pt idx="194">
                  <c:v>1.5008484904882948</c:v>
                </c:pt>
                <c:pt idx="195">
                  <c:v>1.5996214977339775</c:v>
                </c:pt>
                <c:pt idx="196">
                  <c:v>1.6874964008725328</c:v>
                </c:pt>
                <c:pt idx="197">
                  <c:v>1.4140366081648494</c:v>
                </c:pt>
                <c:pt idx="198">
                  <c:v>1.2634451852951258</c:v>
                </c:pt>
                <c:pt idx="199">
                  <c:v>1.3280992535847247</c:v>
                </c:pt>
                <c:pt idx="200">
                  <c:v>1.3277216802665066</c:v>
                </c:pt>
                <c:pt idx="201">
                  <c:v>1.3226654996865079</c:v>
                </c:pt>
                <c:pt idx="202">
                  <c:v>1.3068218767285487</c:v>
                </c:pt>
                <c:pt idx="203">
                  <c:v>1.2444165097189739</c:v>
                </c:pt>
                <c:pt idx="204">
                  <c:v>1.1789488687887513</c:v>
                </c:pt>
                <c:pt idx="205">
                  <c:v>1.1429391914925588</c:v>
                </c:pt>
                <c:pt idx="206">
                  <c:v>1.0801630717705564</c:v>
                </c:pt>
                <c:pt idx="207">
                  <c:v>0.85753035037274117</c:v>
                </c:pt>
                <c:pt idx="208">
                  <c:v>0.63583770141008245</c:v>
                </c:pt>
                <c:pt idx="209">
                  <c:v>0.51632536730642187</c:v>
                </c:pt>
                <c:pt idx="210">
                  <c:v>0.75583763697102313</c:v>
                </c:pt>
                <c:pt idx="211">
                  <c:v>1.0066710375689922</c:v>
                </c:pt>
                <c:pt idx="212">
                  <c:v>1.1470485333358624</c:v>
                </c:pt>
                <c:pt idx="213">
                  <c:v>1.5877767874741551</c:v>
                </c:pt>
                <c:pt idx="214">
                  <c:v>1.8391989035371807</c:v>
                </c:pt>
                <c:pt idx="215">
                  <c:v>2.027986044002148</c:v>
                </c:pt>
                <c:pt idx="216">
                  <c:v>2.1184832504176541</c:v>
                </c:pt>
                <c:pt idx="217">
                  <c:v>2.0687191443281847</c:v>
                </c:pt>
                <c:pt idx="218">
                  <c:v>2.2797732589951067</c:v>
                </c:pt>
                <c:pt idx="219">
                  <c:v>2.664846730497743</c:v>
                </c:pt>
                <c:pt idx="220">
                  <c:v>2.9058604562562209</c:v>
                </c:pt>
                <c:pt idx="221">
                  <c:v>3.0089240823489831</c:v>
                </c:pt>
                <c:pt idx="222">
                  <c:v>2.9628465918820837</c:v>
                </c:pt>
                <c:pt idx="223">
                  <c:v>3.0309870584179066</c:v>
                </c:pt>
                <c:pt idx="224">
                  <c:v>3.0737639246961805</c:v>
                </c:pt>
                <c:pt idx="225">
                  <c:v>3.1304835330373066</c:v>
                </c:pt>
                <c:pt idx="226">
                  <c:v>2.9797027870591535</c:v>
                </c:pt>
                <c:pt idx="227">
                  <c:v>3.0007184101581856</c:v>
                </c:pt>
                <c:pt idx="228">
                  <c:v>2.9494831472283067</c:v>
                </c:pt>
                <c:pt idx="229">
                  <c:v>2.8613702415456146</c:v>
                </c:pt>
                <c:pt idx="230">
                  <c:v>2.7820638881868263</c:v>
                </c:pt>
                <c:pt idx="231">
                  <c:v>2.6650909459463321</c:v>
                </c:pt>
                <c:pt idx="232">
                  <c:v>2.2558945844081109</c:v>
                </c:pt>
                <c:pt idx="233">
                  <c:v>1.9901607446341814</c:v>
                </c:pt>
                <c:pt idx="234">
                  <c:v>1.4330170155277244</c:v>
                </c:pt>
                <c:pt idx="235">
                  <c:v>1.1269583443984459</c:v>
                </c:pt>
                <c:pt idx="236">
                  <c:v>0.86794419072850815</c:v>
                </c:pt>
                <c:pt idx="237">
                  <c:v>0.59210182884200435</c:v>
                </c:pt>
                <c:pt idx="238">
                  <c:v>0.24958029939998028</c:v>
                </c:pt>
                <c:pt idx="239">
                  <c:v>-8.862979118163139E-2</c:v>
                </c:pt>
                <c:pt idx="240">
                  <c:v>-0.71237126054123223</c:v>
                </c:pt>
                <c:pt idx="241">
                  <c:v>-1.2926545056458849</c:v>
                </c:pt>
                <c:pt idx="242">
                  <c:v>-2.0540427517461239</c:v>
                </c:pt>
                <c:pt idx="243">
                  <c:v>-2.8608963035141812</c:v>
                </c:pt>
                <c:pt idx="244">
                  <c:v>-3.3248311796456846</c:v>
                </c:pt>
                <c:pt idx="245">
                  <c:v>-3.640850456618864</c:v>
                </c:pt>
                <c:pt idx="246">
                  <c:v>-3.7775510245423618</c:v>
                </c:pt>
                <c:pt idx="247">
                  <c:v>-3.8304355034049991</c:v>
                </c:pt>
                <c:pt idx="248">
                  <c:v>-3.8266220836717082</c:v>
                </c:pt>
                <c:pt idx="249">
                  <c:v>-3.8542141669726959</c:v>
                </c:pt>
                <c:pt idx="250">
                  <c:v>-3.690712646288631</c:v>
                </c:pt>
                <c:pt idx="251">
                  <c:v>-3.3713799717208701</c:v>
                </c:pt>
                <c:pt idx="252">
                  <c:v>-2.9918300988063038</c:v>
                </c:pt>
                <c:pt idx="253">
                  <c:v>-2.7074325619210242</c:v>
                </c:pt>
                <c:pt idx="254">
                  <c:v>-2.2678911006927081</c:v>
                </c:pt>
                <c:pt idx="255">
                  <c:v>-1.841037920520165</c:v>
                </c:pt>
                <c:pt idx="256">
                  <c:v>-1.2590755950799633</c:v>
                </c:pt>
                <c:pt idx="257">
                  <c:v>-0.61247747007601561</c:v>
                </c:pt>
                <c:pt idx="258">
                  <c:v>2.4743026380917854E-2</c:v>
                </c:pt>
                <c:pt idx="259">
                  <c:v>0.63778195635282486</c:v>
                </c:pt>
                <c:pt idx="260">
                  <c:v>1.1945756256316713</c:v>
                </c:pt>
                <c:pt idx="261">
                  <c:v>1.7839202311848226</c:v>
                </c:pt>
                <c:pt idx="262">
                  <c:v>1.96766406480981</c:v>
                </c:pt>
                <c:pt idx="263">
                  <c:v>1.943216480728978</c:v>
                </c:pt>
                <c:pt idx="264">
                  <c:v>1.8700086415690294</c:v>
                </c:pt>
                <c:pt idx="265">
                  <c:v>1.762623483918702</c:v>
                </c:pt>
                <c:pt idx="266">
                  <c:v>1.784442822125186</c:v>
                </c:pt>
                <c:pt idx="267">
                  <c:v>1.6998346931174524</c:v>
                </c:pt>
                <c:pt idx="268">
                  <c:v>1.5726934559391452</c:v>
                </c:pt>
                <c:pt idx="269">
                  <c:v>1.5054153532388739</c:v>
                </c:pt>
                <c:pt idx="270">
                  <c:v>0.86677392971884615</c:v>
                </c:pt>
                <c:pt idx="271">
                  <c:v>0.3685018864513836</c:v>
                </c:pt>
                <c:pt idx="272">
                  <c:v>0.28343402478654411</c:v>
                </c:pt>
                <c:pt idx="273">
                  <c:v>0.19520781949597676</c:v>
                </c:pt>
                <c:pt idx="274">
                  <c:v>3.6908566695757372E-2</c:v>
                </c:pt>
                <c:pt idx="275">
                  <c:v>-3.0099777426357832E-2</c:v>
                </c:pt>
                <c:pt idx="276">
                  <c:v>0.16902587635183863</c:v>
                </c:pt>
                <c:pt idx="277">
                  <c:v>0.4563291563620453</c:v>
                </c:pt>
                <c:pt idx="278">
                  <c:v>0.47360290387587156</c:v>
                </c:pt>
                <c:pt idx="279">
                  <c:v>0.55991592082975217</c:v>
                </c:pt>
                <c:pt idx="280">
                  <c:v>0.57808234812034698</c:v>
                </c:pt>
                <c:pt idx="281">
                  <c:v>0.65114057636085931</c:v>
                </c:pt>
                <c:pt idx="282">
                  <c:v>0.78631564889846572</c:v>
                </c:pt>
                <c:pt idx="283">
                  <c:v>1.0077056271099991</c:v>
                </c:pt>
                <c:pt idx="284">
                  <c:v>1.0205016997587961</c:v>
                </c:pt>
                <c:pt idx="285">
                  <c:v>1.0962763811815535</c:v>
                </c:pt>
                <c:pt idx="286">
                  <c:v>1.0258858736787886</c:v>
                </c:pt>
                <c:pt idx="287">
                  <c:v>0.85693734644809183</c:v>
                </c:pt>
                <c:pt idx="288">
                  <c:v>0.83685588099442043</c:v>
                </c:pt>
                <c:pt idx="289">
                  <c:v>0.96714127551371121</c:v>
                </c:pt>
                <c:pt idx="290">
                  <c:v>0.61705557292324897</c:v>
                </c:pt>
                <c:pt idx="291">
                  <c:v>0.24878836350993083</c:v>
                </c:pt>
                <c:pt idx="292">
                  <c:v>-0.13750404686811635</c:v>
                </c:pt>
                <c:pt idx="293">
                  <c:v>-0.2678755473424701</c:v>
                </c:pt>
                <c:pt idx="294">
                  <c:v>-9.6538397601932502E-2</c:v>
                </c:pt>
                <c:pt idx="295">
                  <c:v>0.13691992082843285</c:v>
                </c:pt>
                <c:pt idx="296">
                  <c:v>3.9863960386924191E-2</c:v>
                </c:pt>
                <c:pt idx="297">
                  <c:v>-0.14910995688649109</c:v>
                </c:pt>
                <c:pt idx="298">
                  <c:v>-0.22048143102506401</c:v>
                </c:pt>
                <c:pt idx="299">
                  <c:v>-1.8638517202305138E-3</c:v>
                </c:pt>
                <c:pt idx="300">
                  <c:v>0.30505150359519462</c:v>
                </c:pt>
                <c:pt idx="301">
                  <c:v>0.70875952837400291</c:v>
                </c:pt>
                <c:pt idx="302">
                  <c:v>1.2754394961821731</c:v>
                </c:pt>
                <c:pt idx="303">
                  <c:v>1.7623205023431865</c:v>
                </c:pt>
                <c:pt idx="304">
                  <c:v>2.122101113981131</c:v>
                </c:pt>
                <c:pt idx="305">
                  <c:v>2.4013354836235692</c:v>
                </c:pt>
                <c:pt idx="306">
                  <c:v>2.6661335170058464</c:v>
                </c:pt>
                <c:pt idx="307">
                  <c:v>3.005150397667137</c:v>
                </c:pt>
                <c:pt idx="308">
                  <c:v>3.131216040377069</c:v>
                </c:pt>
                <c:pt idx="309">
                  <c:v>3.1496296802167194</c:v>
                </c:pt>
                <c:pt idx="310">
                  <c:v>3.2238896011143083</c:v>
                </c:pt>
                <c:pt idx="311">
                  <c:v>3.3426529055085155</c:v>
                </c:pt>
                <c:pt idx="312">
                  <c:v>3.2348731251277911</c:v>
                </c:pt>
                <c:pt idx="313">
                  <c:v>2.2879246006115466</c:v>
                </c:pt>
                <c:pt idx="314">
                  <c:v>0.49566664435963048</c:v>
                </c:pt>
                <c:pt idx="315">
                  <c:v>-1.1638592945198525</c:v>
                </c:pt>
                <c:pt idx="316">
                  <c:v>-2.7076604227642633</c:v>
                </c:pt>
                <c:pt idx="317">
                  <c:v>-3.160408766286082</c:v>
                </c:pt>
                <c:pt idx="318">
                  <c:v>-4.3605915566090232</c:v>
                </c:pt>
                <c:pt idx="319">
                  <c:v>-5.199360505647121</c:v>
                </c:pt>
                <c:pt idx="320">
                  <c:v>-5.8219930383048961</c:v>
                </c:pt>
                <c:pt idx="321">
                  <c:v>-6.3056852728566639</c:v>
                </c:pt>
                <c:pt idx="322">
                  <c:v>-6.5473736586410212</c:v>
                </c:pt>
                <c:pt idx="323">
                  <c:v>-6.461888790994692</c:v>
                </c:pt>
                <c:pt idx="324">
                  <c:v>-6.6515301192946481</c:v>
                </c:pt>
                <c:pt idx="325">
                  <c:v>-6.4395222697370968</c:v>
                </c:pt>
                <c:pt idx="326">
                  <c:v>-6.2494930739898678</c:v>
                </c:pt>
                <c:pt idx="327">
                  <c:v>-5.8387352360228135</c:v>
                </c:pt>
                <c:pt idx="328">
                  <c:v>-5.4775006309372714</c:v>
                </c:pt>
                <c:pt idx="329">
                  <c:v>-5.0227726567997024</c:v>
                </c:pt>
                <c:pt idx="330">
                  <c:v>-4.6730823903751002</c:v>
                </c:pt>
                <c:pt idx="331">
                  <c:v>-4.6043155732005516</c:v>
                </c:pt>
                <c:pt idx="332">
                  <c:v>-4.4820131885401793</c:v>
                </c:pt>
                <c:pt idx="333">
                  <c:v>-4.1564256998342728</c:v>
                </c:pt>
                <c:pt idx="334">
                  <c:v>-4.0932853517047647</c:v>
                </c:pt>
                <c:pt idx="335">
                  <c:v>-3.9891920834927248</c:v>
                </c:pt>
                <c:pt idx="336">
                  <c:v>-3.8470199550246775</c:v>
                </c:pt>
                <c:pt idx="337">
                  <c:v>-3.5920757523215059</c:v>
                </c:pt>
                <c:pt idx="338">
                  <c:v>-3.2357282914877317</c:v>
                </c:pt>
                <c:pt idx="339">
                  <c:v>-2.6699776792505645</c:v>
                </c:pt>
                <c:pt idx="340">
                  <c:v>-2.1380650607827079</c:v>
                </c:pt>
                <c:pt idx="341">
                  <c:v>-1.7512040057348486</c:v>
                </c:pt>
                <c:pt idx="342">
                  <c:v>-1.3810854696633328</c:v>
                </c:pt>
                <c:pt idx="343">
                  <c:v>-1.0881312266481586</c:v>
                </c:pt>
                <c:pt idx="344">
                  <c:v>-1.1341855236972833</c:v>
                </c:pt>
                <c:pt idx="345">
                  <c:v>-1.2546646963289447</c:v>
                </c:pt>
                <c:pt idx="346">
                  <c:v>-1.4711692937317764</c:v>
                </c:pt>
                <c:pt idx="347">
                  <c:v>-1.6455684023097206</c:v>
                </c:pt>
                <c:pt idx="348">
                  <c:v>-1.6637378645595504</c:v>
                </c:pt>
                <c:pt idx="349">
                  <c:v>-1.556107239660605</c:v>
                </c:pt>
                <c:pt idx="350">
                  <c:v>-1.5984353000427802</c:v>
                </c:pt>
                <c:pt idx="351">
                  <c:v>-1.4626132926494222</c:v>
                </c:pt>
                <c:pt idx="352">
                  <c:v>-1.4360562977668678</c:v>
                </c:pt>
                <c:pt idx="353">
                  <c:v>-1.3079440505196658</c:v>
                </c:pt>
                <c:pt idx="354">
                  <c:v>-1.0562556055195103</c:v>
                </c:pt>
                <c:pt idx="355">
                  <c:v>-1.0209298368667135</c:v>
                </c:pt>
                <c:pt idx="356">
                  <c:v>-1.0191113020320017</c:v>
                </c:pt>
                <c:pt idx="357">
                  <c:v>-0.74202713597026104</c:v>
                </c:pt>
                <c:pt idx="358">
                  <c:v>-0.47260760830403115</c:v>
                </c:pt>
                <c:pt idx="359">
                  <c:v>-4.9528404482259702E-2</c:v>
                </c:pt>
                <c:pt idx="360">
                  <c:v>0.39658240654026145</c:v>
                </c:pt>
                <c:pt idx="361">
                  <c:v>0.75673666125547356</c:v>
                </c:pt>
                <c:pt idx="362">
                  <c:v>1.1052707735109379</c:v>
                </c:pt>
                <c:pt idx="363">
                  <c:v>1.3753157814203689</c:v>
                </c:pt>
                <c:pt idx="364">
                  <c:v>1.7961736562050135</c:v>
                </c:pt>
                <c:pt idx="365">
                  <c:v>2.0527868212789429</c:v>
                </c:pt>
                <c:pt idx="366">
                  <c:v>2.3389334683165828</c:v>
                </c:pt>
                <c:pt idx="367">
                  <c:v>2.3218810297470611</c:v>
                </c:pt>
                <c:pt idx="368">
                  <c:v>2.0180150903578635</c:v>
                </c:pt>
                <c:pt idx="369">
                  <c:v>1.7314190969291872</c:v>
                </c:pt>
                <c:pt idx="370">
                  <c:v>1.5836710212009848</c:v>
                </c:pt>
                <c:pt idx="371">
                  <c:v>1.3980145969557896</c:v>
                </c:pt>
                <c:pt idx="372">
                  <c:v>1.1887622463710272</c:v>
                </c:pt>
                <c:pt idx="373">
                  <c:v>1.2011284988032571</c:v>
                </c:pt>
                <c:pt idx="374">
                  <c:v>1.389379796306514</c:v>
                </c:pt>
                <c:pt idx="375">
                  <c:v>1.5521478522272503</c:v>
                </c:pt>
                <c:pt idx="376">
                  <c:v>1.5846054703733614</c:v>
                </c:pt>
                <c:pt idx="377">
                  <c:v>2.0578459920505168</c:v>
                </c:pt>
                <c:pt idx="378">
                  <c:v>2.387617386617535</c:v>
                </c:pt>
                <c:pt idx="379">
                  <c:v>2.7105138651345158</c:v>
                </c:pt>
                <c:pt idx="380">
                  <c:v>3.0235465606662331</c:v>
                </c:pt>
                <c:pt idx="381">
                  <c:v>2.9423779140239503</c:v>
                </c:pt>
                <c:pt idx="382">
                  <c:v>2.7686716761814125</c:v>
                </c:pt>
                <c:pt idx="383">
                  <c:v>2.539600729995044</c:v>
                </c:pt>
                <c:pt idx="384">
                  <c:v>2.4476551085670053</c:v>
                </c:pt>
                <c:pt idx="385">
                  <c:v>2.2408298483762223</c:v>
                </c:pt>
                <c:pt idx="386">
                  <c:v>2.0245327943991072</c:v>
                </c:pt>
                <c:pt idx="387">
                  <c:v>1.8607156404922307</c:v>
                </c:pt>
                <c:pt idx="388">
                  <c:v>1.956862136542469</c:v>
                </c:pt>
                <c:pt idx="389">
                  <c:v>2.2260725008377733</c:v>
                </c:pt>
                <c:pt idx="390">
                  <c:v>2.3326495953616018</c:v>
                </c:pt>
                <c:pt idx="391">
                  <c:v>2.5044390614943381</c:v>
                </c:pt>
                <c:pt idx="392">
                  <c:v>2.6703203918092697</c:v>
                </c:pt>
                <c:pt idx="393">
                  <c:v>2.4930442786165941</c:v>
                </c:pt>
                <c:pt idx="394">
                  <c:v>2.1725795827691456</c:v>
                </c:pt>
                <c:pt idx="395">
                  <c:v>1.8775992132844692</c:v>
                </c:pt>
                <c:pt idx="396">
                  <c:v>1.5963741464427699</c:v>
                </c:pt>
                <c:pt idx="397">
                  <c:v>1.5173929784449456</c:v>
                </c:pt>
                <c:pt idx="398">
                  <c:v>1.4174801775527044</c:v>
                </c:pt>
                <c:pt idx="399">
                  <c:v>1.3533606876507633</c:v>
                </c:pt>
                <c:pt idx="400">
                  <c:v>1.4352800538227655</c:v>
                </c:pt>
                <c:pt idx="401">
                  <c:v>1.3586609811219148</c:v>
                </c:pt>
                <c:pt idx="402">
                  <c:v>1.3621228360586031</c:v>
                </c:pt>
                <c:pt idx="403">
                  <c:v>1.463386422279001</c:v>
                </c:pt>
                <c:pt idx="404">
                  <c:v>1.4694090448473389</c:v>
                </c:pt>
                <c:pt idx="405">
                  <c:v>1.5682654124453848</c:v>
                </c:pt>
                <c:pt idx="406">
                  <c:v>1.5297253538689688</c:v>
                </c:pt>
                <c:pt idx="407">
                  <c:v>1.2172540788718322</c:v>
                </c:pt>
                <c:pt idx="408">
                  <c:v>1.0558904978470594</c:v>
                </c:pt>
                <c:pt idx="409">
                  <c:v>1.1033020455017777</c:v>
                </c:pt>
                <c:pt idx="410">
                  <c:v>1.3376751720631148</c:v>
                </c:pt>
                <c:pt idx="411">
                  <c:v>1.5076521211118745</c:v>
                </c:pt>
                <c:pt idx="412">
                  <c:v>1.556635176678725</c:v>
                </c:pt>
                <c:pt idx="413">
                  <c:v>1.7272442922746905</c:v>
                </c:pt>
                <c:pt idx="414">
                  <c:v>1.8476104735276238</c:v>
                </c:pt>
                <c:pt idx="415">
                  <c:v>2.0229673337852887</c:v>
                </c:pt>
                <c:pt idx="416">
                  <c:v>2.2354210865936182</c:v>
                </c:pt>
                <c:pt idx="417">
                  <c:v>2.075657832109016</c:v>
                </c:pt>
                <c:pt idx="418">
                  <c:v>1.8973173013064581</c:v>
                </c:pt>
                <c:pt idx="419">
                  <c:v>1.4144884831414117</c:v>
                </c:pt>
                <c:pt idx="420">
                  <c:v>1.0472067767939848</c:v>
                </c:pt>
                <c:pt idx="421">
                  <c:v>0.81532274160105089</c:v>
                </c:pt>
                <c:pt idx="422">
                  <c:v>0.85888570272794595</c:v>
                </c:pt>
                <c:pt idx="423">
                  <c:v>0.91992351326632615</c:v>
                </c:pt>
                <c:pt idx="424">
                  <c:v>0.86632152991873568</c:v>
                </c:pt>
                <c:pt idx="425">
                  <c:v>0.83040747994650133</c:v>
                </c:pt>
                <c:pt idx="426">
                  <c:v>0.97069809629365977</c:v>
                </c:pt>
                <c:pt idx="427">
                  <c:v>1.1134249541577219</c:v>
                </c:pt>
                <c:pt idx="428">
                  <c:v>1.112844287764517</c:v>
                </c:pt>
                <c:pt idx="429">
                  <c:v>0.88990679372122372</c:v>
                </c:pt>
                <c:pt idx="430">
                  <c:v>0.69233574518338514</c:v>
                </c:pt>
                <c:pt idx="431">
                  <c:v>0.63894149638380782</c:v>
                </c:pt>
                <c:pt idx="432">
                  <c:v>0.73022587129716499</c:v>
                </c:pt>
                <c:pt idx="433">
                  <c:v>0.91627230894954437</c:v>
                </c:pt>
                <c:pt idx="434">
                  <c:v>1.0069209731051103</c:v>
                </c:pt>
                <c:pt idx="435">
                  <c:v>0.7425924795163894</c:v>
                </c:pt>
                <c:pt idx="436">
                  <c:v>0.46241952893245752</c:v>
                </c:pt>
                <c:pt idx="437">
                  <c:v>0.18100289210536857</c:v>
                </c:pt>
                <c:pt idx="438">
                  <c:v>-0.13806715546121495</c:v>
                </c:pt>
                <c:pt idx="439">
                  <c:v>-0.37211842172609977</c:v>
                </c:pt>
                <c:pt idx="440">
                  <c:v>-0.51375837766894961</c:v>
                </c:pt>
                <c:pt idx="441">
                  <c:v>-0.54787790579885609</c:v>
                </c:pt>
                <c:pt idx="442">
                  <c:v>-0.66169944030752958</c:v>
                </c:pt>
                <c:pt idx="443">
                  <c:v>-0.91085648939198904</c:v>
                </c:pt>
                <c:pt idx="444">
                  <c:v>-1.3142603712742016</c:v>
                </c:pt>
                <c:pt idx="445">
                  <c:v>-1.3728330950135614</c:v>
                </c:pt>
                <c:pt idx="446">
                  <c:v>-1.3671811481424925</c:v>
                </c:pt>
                <c:pt idx="447">
                  <c:v>-1.3695087550310916</c:v>
                </c:pt>
                <c:pt idx="448">
                  <c:v>-1.3876342731913383</c:v>
                </c:pt>
                <c:pt idx="449">
                  <c:v>-1.2767339324543059</c:v>
                </c:pt>
                <c:pt idx="450">
                  <c:v>-1.0636156149827514</c:v>
                </c:pt>
                <c:pt idx="451">
                  <c:v>-0.93956433360213509</c:v>
                </c:pt>
                <c:pt idx="452">
                  <c:v>-0.68967157088397357</c:v>
                </c:pt>
                <c:pt idx="453">
                  <c:v>-0.40705277877273716</c:v>
                </c:pt>
                <c:pt idx="454">
                  <c:v>-0.2607611008648405</c:v>
                </c:pt>
                <c:pt idx="455">
                  <c:v>-0.16550965975906706</c:v>
                </c:pt>
                <c:pt idx="456">
                  <c:v>-0.18073420408063612</c:v>
                </c:pt>
                <c:pt idx="457">
                  <c:v>-0.11322369944278421</c:v>
                </c:pt>
                <c:pt idx="458">
                  <c:v>-0.18508044139954904</c:v>
                </c:pt>
                <c:pt idx="459">
                  <c:v>9.5773455259973161E-2</c:v>
                </c:pt>
                <c:pt idx="460">
                  <c:v>2.1162993038700506E-2</c:v>
                </c:pt>
                <c:pt idx="461">
                  <c:v>-8.938552286730328E-2</c:v>
                </c:pt>
                <c:pt idx="462">
                  <c:v>-0.23321258777519915</c:v>
                </c:pt>
                <c:pt idx="463">
                  <c:v>-0.3209037344948058</c:v>
                </c:pt>
                <c:pt idx="464">
                  <c:v>-0.2200246758335993</c:v>
                </c:pt>
                <c:pt idx="465">
                  <c:v>-8.8224562343071966E-2</c:v>
                </c:pt>
                <c:pt idx="466">
                  <c:v>6.3108570019522858E-2</c:v>
                </c:pt>
                <c:pt idx="467">
                  <c:v>-5.1979244454457785E-2</c:v>
                </c:pt>
                <c:pt idx="468">
                  <c:v>3.8729496279046316E-2</c:v>
                </c:pt>
                <c:pt idx="469">
                  <c:v>0.27209127894744256</c:v>
                </c:pt>
                <c:pt idx="470">
                  <c:v>0.22846200577942</c:v>
                </c:pt>
                <c:pt idx="471">
                  <c:v>9.5949475453664945E-2</c:v>
                </c:pt>
                <c:pt idx="472">
                  <c:v>-0.1621267175417529</c:v>
                </c:pt>
                <c:pt idx="473">
                  <c:v>-0.47335875800774829</c:v>
                </c:pt>
                <c:pt idx="474">
                  <c:v>-0.73813190927876349</c:v>
                </c:pt>
                <c:pt idx="475">
                  <c:v>-0.95551108011181896</c:v>
                </c:pt>
                <c:pt idx="476">
                  <c:v>-1.2122553184555613</c:v>
                </c:pt>
                <c:pt idx="477">
                  <c:v>-1.3214166981441622</c:v>
                </c:pt>
                <c:pt idx="478">
                  <c:v>-1.2626523466392996</c:v>
                </c:pt>
                <c:pt idx="479">
                  <c:v>-1.0897440672934238</c:v>
                </c:pt>
                <c:pt idx="480">
                  <c:v>-1.1245339445319189</c:v>
                </c:pt>
                <c:pt idx="481">
                  <c:v>-1.0320811823167162</c:v>
                </c:pt>
                <c:pt idx="482">
                  <c:v>-0.89443777964308424</c:v>
                </c:pt>
                <c:pt idx="483">
                  <c:v>-0.95668938404816117</c:v>
                </c:pt>
                <c:pt idx="484">
                  <c:v>-1.0974655483649656</c:v>
                </c:pt>
                <c:pt idx="485">
                  <c:v>-1.2128033916517325</c:v>
                </c:pt>
                <c:pt idx="486">
                  <c:v>-1.0564122045784075</c:v>
                </c:pt>
                <c:pt idx="487">
                  <c:v>-0.97688734627789131</c:v>
                </c:pt>
                <c:pt idx="488">
                  <c:v>-0.96168254451791313</c:v>
                </c:pt>
                <c:pt idx="489">
                  <c:v>-0.95396730046641665</c:v>
                </c:pt>
                <c:pt idx="490">
                  <c:v>-1.1803560146657901</c:v>
                </c:pt>
                <c:pt idx="491">
                  <c:v>-1.1233060783300743</c:v>
                </c:pt>
                <c:pt idx="492">
                  <c:v>-1.2117905318752378</c:v>
                </c:pt>
                <c:pt idx="493">
                  <c:v>-1.2625200549448152</c:v>
                </c:pt>
                <c:pt idx="494">
                  <c:v>-1.1243449513104906</c:v>
                </c:pt>
                <c:pt idx="495">
                  <c:v>-0.9466368792173796</c:v>
                </c:pt>
                <c:pt idx="496">
                  <c:v>-0.79741674433853404</c:v>
                </c:pt>
                <c:pt idx="497">
                  <c:v>-0.70970961023871837</c:v>
                </c:pt>
                <c:pt idx="498">
                  <c:v>-0.55552641844838035</c:v>
                </c:pt>
                <c:pt idx="499">
                  <c:v>-0.32309769076709927</c:v>
                </c:pt>
                <c:pt idx="500">
                  <c:v>-0.12933617830151434</c:v>
                </c:pt>
                <c:pt idx="501">
                  <c:v>0.30234974945130944</c:v>
                </c:pt>
                <c:pt idx="502">
                  <c:v>1.2713076729106376</c:v>
                </c:pt>
                <c:pt idx="503">
                  <c:v>1.432841001285766</c:v>
                </c:pt>
                <c:pt idx="504">
                  <c:v>1.4361751930180162</c:v>
                </c:pt>
                <c:pt idx="505">
                  <c:v>1.745497705708317</c:v>
                </c:pt>
                <c:pt idx="506">
                  <c:v>2.1961008400872402</c:v>
                </c:pt>
                <c:pt idx="507">
                  <c:v>2.5424582719785462</c:v>
                </c:pt>
                <c:pt idx="508">
                  <c:v>2.9068983309022087</c:v>
                </c:pt>
                <c:pt idx="509">
                  <c:v>3.4281331539232838</c:v>
                </c:pt>
                <c:pt idx="510">
                  <c:v>3.7112871246215491</c:v>
                </c:pt>
                <c:pt idx="511">
                  <c:v>3.8988147412698027</c:v>
                </c:pt>
                <c:pt idx="512">
                  <c:v>3.9247259538430228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FD9-4A54-B092-251A3BCC8C3B}"/>
            </c:ext>
          </c:extLst>
        </c:ser>
        <c:ser>
          <c:idx val="1"/>
          <c:order val="1"/>
          <c:tx>
            <c:strRef>
              <c:f>Data!$Z$1</c:f>
              <c:strCache>
                <c:ptCount val="1"/>
                <c:pt idx="0">
                  <c:v>Signal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Data!$B$2:$B$514</c:f>
              <c:numCache>
                <c:formatCode>m/d/yyyy</c:formatCode>
                <c:ptCount val="513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</c:numCache>
            </c:numRef>
          </c:cat>
          <c:val>
            <c:numRef>
              <c:f>Data!$Z$2:$Z$514</c:f>
              <c:numCache>
                <c:formatCode>General</c:formatCode>
                <c:ptCount val="513"/>
                <c:pt idx="34">
                  <c:v>2.1348508134345092</c:v>
                </c:pt>
                <c:pt idx="35">
                  <c:v>2.1618696344796589</c:v>
                </c:pt>
                <c:pt idx="36">
                  <c:v>2.1676239109822304</c:v>
                </c:pt>
                <c:pt idx="37">
                  <c:v>2.1182722683514679</c:v>
                </c:pt>
                <c:pt idx="38">
                  <c:v>2.0350122217332225</c:v>
                </c:pt>
                <c:pt idx="39">
                  <c:v>1.9249605118760689</c:v>
                </c:pt>
                <c:pt idx="40">
                  <c:v>1.8122615574015668</c:v>
                </c:pt>
                <c:pt idx="41">
                  <c:v>1.6369798613333137</c:v>
                </c:pt>
                <c:pt idx="42">
                  <c:v>1.4392576985071157</c:v>
                </c:pt>
                <c:pt idx="43">
                  <c:v>1.2144522848274981</c:v>
                </c:pt>
                <c:pt idx="44">
                  <c:v>0.99828089563816602</c:v>
                </c:pt>
                <c:pt idx="45">
                  <c:v>0.80471467520221052</c:v>
                </c:pt>
                <c:pt idx="46">
                  <c:v>0.66745325203578232</c:v>
                </c:pt>
                <c:pt idx="47">
                  <c:v>0.56940180888055192</c:v>
                </c:pt>
                <c:pt idx="48">
                  <c:v>0.5316774902535677</c:v>
                </c:pt>
                <c:pt idx="49">
                  <c:v>0.56140830799908203</c:v>
                </c:pt>
                <c:pt idx="50">
                  <c:v>0.6281874343173468</c:v>
                </c:pt>
                <c:pt idx="51">
                  <c:v>0.71102166608944217</c:v>
                </c:pt>
                <c:pt idx="52">
                  <c:v>0.81726090071727409</c:v>
                </c:pt>
                <c:pt idx="53">
                  <c:v>0.89771235754037237</c:v>
                </c:pt>
                <c:pt idx="54">
                  <c:v>0.96068293741583499</c:v>
                </c:pt>
                <c:pt idx="55">
                  <c:v>1.0040153464989281</c:v>
                </c:pt>
                <c:pt idx="56">
                  <c:v>1.0593565129078089</c:v>
                </c:pt>
                <c:pt idx="57">
                  <c:v>1.0977636734461023</c:v>
                </c:pt>
                <c:pt idx="58">
                  <c:v>1.1382723041149059</c:v>
                </c:pt>
                <c:pt idx="59">
                  <c:v>1.1975568515390191</c:v>
                </c:pt>
                <c:pt idx="60">
                  <c:v>1.284151428969784</c:v>
                </c:pt>
                <c:pt idx="61">
                  <c:v>1.391565223590179</c:v>
                </c:pt>
                <c:pt idx="62">
                  <c:v>1.5137555475035369</c:v>
                </c:pt>
                <c:pt idx="63">
                  <c:v>1.6393405439138871</c:v>
                </c:pt>
                <c:pt idx="64">
                  <c:v>1.7712520120628583</c:v>
                </c:pt>
                <c:pt idx="65">
                  <c:v>1.890911774111844</c:v>
                </c:pt>
                <c:pt idx="66">
                  <c:v>2.0039565948987632</c:v>
                </c:pt>
                <c:pt idx="67">
                  <c:v>2.1130513386029035</c:v>
                </c:pt>
                <c:pt idx="68">
                  <c:v>2.1966908079103202</c:v>
                </c:pt>
                <c:pt idx="69">
                  <c:v>2.2082377437451886</c:v>
                </c:pt>
                <c:pt idx="70">
                  <c:v>2.147102596450948</c:v>
                </c:pt>
                <c:pt idx="71">
                  <c:v>2.0178225669477334</c:v>
                </c:pt>
                <c:pt idx="72">
                  <c:v>1.8499232223542759</c:v>
                </c:pt>
                <c:pt idx="73">
                  <c:v>1.6810699177687511</c:v>
                </c:pt>
                <c:pt idx="74">
                  <c:v>1.5554079911658554</c:v>
                </c:pt>
                <c:pt idx="75">
                  <c:v>1.4904923785593707</c:v>
                </c:pt>
                <c:pt idx="76">
                  <c:v>1.4784948356062306</c:v>
                </c:pt>
                <c:pt idx="77">
                  <c:v>1.5084116352331107</c:v>
                </c:pt>
                <c:pt idx="78">
                  <c:v>1.5868753207468342</c:v>
                </c:pt>
                <c:pt idx="79">
                  <c:v>1.6977694416595797</c:v>
                </c:pt>
                <c:pt idx="80">
                  <c:v>1.8263274611753493</c:v>
                </c:pt>
                <c:pt idx="81">
                  <c:v>1.8743257318724176</c:v>
                </c:pt>
                <c:pt idx="82">
                  <c:v>1.8388773544029904</c:v>
                </c:pt>
                <c:pt idx="83">
                  <c:v>1.7663431811081765</c:v>
                </c:pt>
                <c:pt idx="84">
                  <c:v>1.6626827376200595</c:v>
                </c:pt>
                <c:pt idx="85">
                  <c:v>1.5738639651506334</c:v>
                </c:pt>
                <c:pt idx="86">
                  <c:v>1.5013196709302841</c:v>
                </c:pt>
                <c:pt idx="87">
                  <c:v>1.4372829108743459</c:v>
                </c:pt>
                <c:pt idx="88">
                  <c:v>1.4250869131332207</c:v>
                </c:pt>
                <c:pt idx="89">
                  <c:v>1.4486781078057447</c:v>
                </c:pt>
                <c:pt idx="90">
                  <c:v>1.4695803049363383</c:v>
                </c:pt>
                <c:pt idx="91">
                  <c:v>1.4696738293308176</c:v>
                </c:pt>
                <c:pt idx="92">
                  <c:v>1.4444358212060096</c:v>
                </c:pt>
                <c:pt idx="93">
                  <c:v>1.3700807006546791</c:v>
                </c:pt>
                <c:pt idx="94">
                  <c:v>1.2909230300286625</c:v>
                </c:pt>
                <c:pt idx="95">
                  <c:v>1.1855522588301803</c:v>
                </c:pt>
                <c:pt idx="96">
                  <c:v>1.0479065538910863</c:v>
                </c:pt>
                <c:pt idx="97">
                  <c:v>0.85656817175778133</c:v>
                </c:pt>
                <c:pt idx="98">
                  <c:v>0.62960295974162561</c:v>
                </c:pt>
                <c:pt idx="99">
                  <c:v>0.40369351683965016</c:v>
                </c:pt>
                <c:pt idx="100">
                  <c:v>0.20994945325689218</c:v>
                </c:pt>
                <c:pt idx="101">
                  <c:v>1.190144282952782E-2</c:v>
                </c:pt>
                <c:pt idx="102">
                  <c:v>-0.15679131423091647</c:v>
                </c:pt>
                <c:pt idx="103">
                  <c:v>-0.23342841453347307</c:v>
                </c:pt>
                <c:pt idx="104">
                  <c:v>-0.32503671180488902</c:v>
                </c:pt>
                <c:pt idx="105">
                  <c:v>-0.44170495578260716</c:v>
                </c:pt>
                <c:pt idx="106">
                  <c:v>-0.5853051901351668</c:v>
                </c:pt>
                <c:pt idx="107">
                  <c:v>-0.72176738864234313</c:v>
                </c:pt>
                <c:pt idx="108">
                  <c:v>-0.84256381435912009</c:v>
                </c:pt>
                <c:pt idx="109">
                  <c:v>-0.93475860104864772</c:v>
                </c:pt>
                <c:pt idx="110">
                  <c:v>-1.0060515314933853</c:v>
                </c:pt>
                <c:pt idx="111">
                  <c:v>-1.0944298194331921</c:v>
                </c:pt>
                <c:pt idx="112">
                  <c:v>-1.2084066096387436</c:v>
                </c:pt>
                <c:pt idx="113">
                  <c:v>-1.3340066826675756</c:v>
                </c:pt>
                <c:pt idx="114">
                  <c:v>-1.4473756318538316</c:v>
                </c:pt>
                <c:pt idx="115">
                  <c:v>-1.5416028818495597</c:v>
                </c:pt>
                <c:pt idx="116">
                  <c:v>-1.5625701958700149</c:v>
                </c:pt>
                <c:pt idx="117">
                  <c:v>-1.554657052200354</c:v>
                </c:pt>
                <c:pt idx="118">
                  <c:v>-1.4612173430319326</c:v>
                </c:pt>
                <c:pt idx="119">
                  <c:v>-1.3293003471528151</c:v>
                </c:pt>
                <c:pt idx="120">
                  <c:v>-1.2171976799634523</c:v>
                </c:pt>
                <c:pt idx="121">
                  <c:v>-1.1147134835548833</c:v>
                </c:pt>
                <c:pt idx="122">
                  <c:v>-1.0194942501059956</c:v>
                </c:pt>
                <c:pt idx="123">
                  <c:v>-0.92990102904031124</c:v>
                </c:pt>
                <c:pt idx="124">
                  <c:v>-0.84274176002215506</c:v>
                </c:pt>
                <c:pt idx="125">
                  <c:v>-0.76039447559764817</c:v>
                </c:pt>
                <c:pt idx="126">
                  <c:v>-0.7219375360835032</c:v>
                </c:pt>
                <c:pt idx="127">
                  <c:v>-0.71104166078153086</c:v>
                </c:pt>
                <c:pt idx="128">
                  <c:v>-0.73790956013370868</c:v>
                </c:pt>
                <c:pt idx="129">
                  <c:v>-0.75105476269878879</c:v>
                </c:pt>
                <c:pt idx="130">
                  <c:v>-0.75112387172963191</c:v>
                </c:pt>
                <c:pt idx="131">
                  <c:v>-0.73601659534428432</c:v>
                </c:pt>
                <c:pt idx="132">
                  <c:v>-0.67142315319726076</c:v>
                </c:pt>
                <c:pt idx="133">
                  <c:v>-0.58197621915672981</c:v>
                </c:pt>
                <c:pt idx="134">
                  <c:v>-0.42511183324853097</c:v>
                </c:pt>
                <c:pt idx="135">
                  <c:v>-0.22143940125265127</c:v>
                </c:pt>
                <c:pt idx="136">
                  <c:v>-4.3592186032934799E-2</c:v>
                </c:pt>
                <c:pt idx="137">
                  <c:v>7.4383055676887272E-2</c:v>
                </c:pt>
                <c:pt idx="138">
                  <c:v>0.10220990689047448</c:v>
                </c:pt>
                <c:pt idx="139">
                  <c:v>8.7477134465838796E-2</c:v>
                </c:pt>
                <c:pt idx="140">
                  <c:v>8.6049160060101992E-2</c:v>
                </c:pt>
                <c:pt idx="141">
                  <c:v>9.7625433418394095E-2</c:v>
                </c:pt>
                <c:pt idx="142">
                  <c:v>9.6739686068878478E-2</c:v>
                </c:pt>
                <c:pt idx="143">
                  <c:v>0.13525354398050168</c:v>
                </c:pt>
                <c:pt idx="144">
                  <c:v>0.21049405527302101</c:v>
                </c:pt>
                <c:pt idx="145">
                  <c:v>0.17908796568745267</c:v>
                </c:pt>
                <c:pt idx="146">
                  <c:v>1.7141561237629332E-2</c:v>
                </c:pt>
                <c:pt idx="147">
                  <c:v>-0.28023723260606631</c:v>
                </c:pt>
                <c:pt idx="148">
                  <c:v>-0.66908943406755617</c:v>
                </c:pt>
                <c:pt idx="149">
                  <c:v>-1.1064487512605734</c:v>
                </c:pt>
                <c:pt idx="150">
                  <c:v>-1.515577285044976</c:v>
                </c:pt>
                <c:pt idx="151">
                  <c:v>-1.8741326017366018</c:v>
                </c:pt>
                <c:pt idx="152">
                  <c:v>-2.1774433837589218</c:v>
                </c:pt>
                <c:pt idx="153">
                  <c:v>-2.4391454172813454</c:v>
                </c:pt>
                <c:pt idx="154">
                  <c:v>-2.6471934382094218</c:v>
                </c:pt>
                <c:pt idx="155">
                  <c:v>-2.7706895471534505</c:v>
                </c:pt>
                <c:pt idx="156">
                  <c:v>-2.8209027481807185</c:v>
                </c:pt>
                <c:pt idx="157">
                  <c:v>-2.8231419183272615</c:v>
                </c:pt>
                <c:pt idx="158">
                  <c:v>-2.8229024529777482</c:v>
                </c:pt>
                <c:pt idx="159">
                  <c:v>-2.804636732331697</c:v>
                </c:pt>
                <c:pt idx="160">
                  <c:v>-2.7630963783773406</c:v>
                </c:pt>
                <c:pt idx="161">
                  <c:v>-2.6726940474492831</c:v>
                </c:pt>
                <c:pt idx="162">
                  <c:v>-2.536273519133482</c:v>
                </c:pt>
                <c:pt idx="163">
                  <c:v>-2.397109730078081</c:v>
                </c:pt>
                <c:pt idx="164">
                  <c:v>-2.2732149113128366</c:v>
                </c:pt>
                <c:pt idx="165">
                  <c:v>-2.1375487711802537</c:v>
                </c:pt>
                <c:pt idx="166">
                  <c:v>-1.9882886916194176</c:v>
                </c:pt>
                <c:pt idx="167">
                  <c:v>-1.8862909705668649</c:v>
                </c:pt>
                <c:pt idx="168">
                  <c:v>-1.8562859679266668</c:v>
                </c:pt>
                <c:pt idx="169">
                  <c:v>-1.8869347012550011</c:v>
                </c:pt>
                <c:pt idx="170">
                  <c:v>-1.9875046239247356</c:v>
                </c:pt>
                <c:pt idx="171">
                  <c:v>-2.0943371431153994</c:v>
                </c:pt>
                <c:pt idx="172">
                  <c:v>-2.2277468223260115</c:v>
                </c:pt>
                <c:pt idx="173">
                  <c:v>-2.3713275546678347</c:v>
                </c:pt>
                <c:pt idx="174">
                  <c:v>-2.4871324584342789</c:v>
                </c:pt>
                <c:pt idx="175">
                  <c:v>-2.5514524662388034</c:v>
                </c:pt>
                <c:pt idx="176">
                  <c:v>-2.5507031657008299</c:v>
                </c:pt>
                <c:pt idx="177">
                  <c:v>-2.4823355653394619</c:v>
                </c:pt>
                <c:pt idx="178">
                  <c:v>-2.3607373935628009</c:v>
                </c:pt>
                <c:pt idx="179">
                  <c:v>-2.190336061485505</c:v>
                </c:pt>
                <c:pt idx="180">
                  <c:v>-1.9822778074563374</c:v>
                </c:pt>
                <c:pt idx="181">
                  <c:v>-1.727330455987734</c:v>
                </c:pt>
                <c:pt idx="182">
                  <c:v>-1.453857650005052</c:v>
                </c:pt>
                <c:pt idx="183">
                  <c:v>-1.2353170762644741</c:v>
                </c:pt>
                <c:pt idx="184">
                  <c:v>-1.091437425569707</c:v>
                </c:pt>
                <c:pt idx="185">
                  <c:v>-0.94356814154846136</c:v>
                </c:pt>
                <c:pt idx="186">
                  <c:v>-0.77040034180335559</c:v>
                </c:pt>
                <c:pt idx="187">
                  <c:v>-0.54992853574092615</c:v>
                </c:pt>
                <c:pt idx="188">
                  <c:v>-0.2901685730207883</c:v>
                </c:pt>
                <c:pt idx="189">
                  <c:v>-1.3952923665143169E-2</c:v>
                </c:pt>
                <c:pt idx="190">
                  <c:v>0.2499921999087299</c:v>
                </c:pt>
                <c:pt idx="191">
                  <c:v>0.49790285138666213</c:v>
                </c:pt>
                <c:pt idx="192">
                  <c:v>0.68382073326513915</c:v>
                </c:pt>
                <c:pt idx="193">
                  <c:v>0.83393703416054665</c:v>
                </c:pt>
                <c:pt idx="194">
                  <c:v>0.96731932542609633</c:v>
                </c:pt>
                <c:pt idx="195">
                  <c:v>1.0937797598876726</c:v>
                </c:pt>
                <c:pt idx="196">
                  <c:v>1.2125230880846447</c:v>
                </c:pt>
                <c:pt idx="197">
                  <c:v>1.2528257921006858</c:v>
                </c:pt>
                <c:pt idx="198">
                  <c:v>1.2549496707395738</c:v>
                </c:pt>
                <c:pt idx="199">
                  <c:v>1.269579587308604</c:v>
                </c:pt>
                <c:pt idx="200">
                  <c:v>1.2812080059001847</c:v>
                </c:pt>
                <c:pt idx="201">
                  <c:v>1.2894995046574496</c:v>
                </c:pt>
                <c:pt idx="202">
                  <c:v>1.2929639790716694</c:v>
                </c:pt>
                <c:pt idx="203">
                  <c:v>1.2832544852011303</c:v>
                </c:pt>
                <c:pt idx="204">
                  <c:v>1.2623933619186547</c:v>
                </c:pt>
                <c:pt idx="205">
                  <c:v>1.2385025278334356</c:v>
                </c:pt>
                <c:pt idx="206">
                  <c:v>1.2068346366208598</c:v>
                </c:pt>
                <c:pt idx="207">
                  <c:v>1.1369737793712362</c:v>
                </c:pt>
                <c:pt idx="208">
                  <c:v>1.0367465637790056</c:v>
                </c:pt>
                <c:pt idx="209">
                  <c:v>0.93266232448448894</c:v>
                </c:pt>
                <c:pt idx="210">
                  <c:v>0.89729738698179573</c:v>
                </c:pt>
                <c:pt idx="211">
                  <c:v>0.91917211709923508</c:v>
                </c:pt>
                <c:pt idx="212">
                  <c:v>0.96474740034656059</c:v>
                </c:pt>
                <c:pt idx="213">
                  <c:v>1.0893532777720796</c:v>
                </c:pt>
                <c:pt idx="214">
                  <c:v>1.2393224029251</c:v>
                </c:pt>
                <c:pt idx="215">
                  <c:v>1.3970551311405095</c:v>
                </c:pt>
                <c:pt idx="216">
                  <c:v>1.5413407549959386</c:v>
                </c:pt>
                <c:pt idx="217">
                  <c:v>1.646816432862388</c:v>
                </c:pt>
                <c:pt idx="218">
                  <c:v>1.7734077980889318</c:v>
                </c:pt>
                <c:pt idx="219">
                  <c:v>1.951695584570694</c:v>
                </c:pt>
                <c:pt idx="220">
                  <c:v>2.1425285589077996</c:v>
                </c:pt>
                <c:pt idx="221">
                  <c:v>2.3158076635960363</c:v>
                </c:pt>
                <c:pt idx="222">
                  <c:v>2.4452154492532459</c:v>
                </c:pt>
                <c:pt idx="223">
                  <c:v>2.5623697710861784</c:v>
                </c:pt>
                <c:pt idx="224">
                  <c:v>2.664648601808179</c:v>
                </c:pt>
                <c:pt idx="225">
                  <c:v>2.7578155880540045</c:v>
                </c:pt>
                <c:pt idx="226">
                  <c:v>2.8021930278550342</c:v>
                </c:pt>
                <c:pt idx="227">
                  <c:v>2.8418981043156646</c:v>
                </c:pt>
                <c:pt idx="228">
                  <c:v>2.8634151128981933</c:v>
                </c:pt>
                <c:pt idx="229">
                  <c:v>2.8630061386276777</c:v>
                </c:pt>
                <c:pt idx="230">
                  <c:v>2.8468176885395078</c:v>
                </c:pt>
                <c:pt idx="231">
                  <c:v>2.8104723400208727</c:v>
                </c:pt>
                <c:pt idx="232">
                  <c:v>2.6995567888983203</c:v>
                </c:pt>
                <c:pt idx="233">
                  <c:v>2.5576775800454925</c:v>
                </c:pt>
                <c:pt idx="234">
                  <c:v>2.332745467141939</c:v>
                </c:pt>
                <c:pt idx="235">
                  <c:v>2.0915880425932403</c:v>
                </c:pt>
                <c:pt idx="236">
                  <c:v>1.8468592722202939</c:v>
                </c:pt>
                <c:pt idx="237">
                  <c:v>1.595907783544636</c:v>
                </c:pt>
                <c:pt idx="238">
                  <c:v>1.3266422867157051</c:v>
                </c:pt>
                <c:pt idx="239">
                  <c:v>1.0435878711362379</c:v>
                </c:pt>
                <c:pt idx="240">
                  <c:v>0.69239604480074379</c:v>
                </c:pt>
                <c:pt idx="241">
                  <c:v>0.29538593471141805</c:v>
                </c:pt>
                <c:pt idx="242">
                  <c:v>-0.17449980258009035</c:v>
                </c:pt>
                <c:pt idx="243">
                  <c:v>-0.71177910276690859</c:v>
                </c:pt>
                <c:pt idx="244">
                  <c:v>-1.2343895181426638</c:v>
                </c:pt>
                <c:pt idx="245">
                  <c:v>-1.7156817058379041</c:v>
                </c:pt>
                <c:pt idx="246">
                  <c:v>-2.1280555695787959</c:v>
                </c:pt>
                <c:pt idx="247">
                  <c:v>-2.4685315563440366</c:v>
                </c:pt>
                <c:pt idx="248">
                  <c:v>-2.7401496618095713</c:v>
                </c:pt>
                <c:pt idx="249">
                  <c:v>-2.9629625628421965</c:v>
                </c:pt>
                <c:pt idx="250">
                  <c:v>-3.1085125795314839</c:v>
                </c:pt>
                <c:pt idx="251">
                  <c:v>-3.1610860579693609</c:v>
                </c:pt>
                <c:pt idx="252">
                  <c:v>-3.1272348661367495</c:v>
                </c:pt>
                <c:pt idx="253">
                  <c:v>-3.0432744052936047</c:v>
                </c:pt>
                <c:pt idx="254">
                  <c:v>-2.8881977443734259</c:v>
                </c:pt>
                <c:pt idx="255">
                  <c:v>-2.6787657796027737</c:v>
                </c:pt>
                <c:pt idx="256">
                  <c:v>-2.3948277426982116</c:v>
                </c:pt>
                <c:pt idx="257">
                  <c:v>-2.0383576881737726</c:v>
                </c:pt>
                <c:pt idx="258">
                  <c:v>-1.6257375452628346</c:v>
                </c:pt>
                <c:pt idx="259">
                  <c:v>-1.1730336449397027</c:v>
                </c:pt>
                <c:pt idx="260">
                  <c:v>-0.69951179082542791</c:v>
                </c:pt>
                <c:pt idx="261">
                  <c:v>-0.20282538642337783</c:v>
                </c:pt>
                <c:pt idx="262">
                  <c:v>0.23127250382325976</c:v>
                </c:pt>
                <c:pt idx="263">
                  <c:v>0.57366129920440345</c:v>
                </c:pt>
                <c:pt idx="264">
                  <c:v>0.83293076767732876</c:v>
                </c:pt>
                <c:pt idx="265">
                  <c:v>1.0188693109256035</c:v>
                </c:pt>
                <c:pt idx="266">
                  <c:v>1.1719840131655201</c:v>
                </c:pt>
                <c:pt idx="267">
                  <c:v>1.2775541491559066</c:v>
                </c:pt>
                <c:pt idx="268">
                  <c:v>1.3365820105125543</c:v>
                </c:pt>
                <c:pt idx="269">
                  <c:v>1.3703486790578183</c:v>
                </c:pt>
                <c:pt idx="270">
                  <c:v>1.2696337291900239</c:v>
                </c:pt>
                <c:pt idx="271">
                  <c:v>1.0894073606422958</c:v>
                </c:pt>
                <c:pt idx="272">
                  <c:v>0.92821269347114554</c:v>
                </c:pt>
                <c:pt idx="273">
                  <c:v>0.78161171867611179</c:v>
                </c:pt>
                <c:pt idx="274">
                  <c:v>0.63267108828004093</c:v>
                </c:pt>
                <c:pt idx="275">
                  <c:v>0.50011691513876122</c:v>
                </c:pt>
                <c:pt idx="276">
                  <c:v>0.43389870738137676</c:v>
                </c:pt>
                <c:pt idx="277">
                  <c:v>0.4383847971775105</c:v>
                </c:pt>
                <c:pt idx="278">
                  <c:v>0.44542841851718273</c:v>
                </c:pt>
                <c:pt idx="279">
                  <c:v>0.46832591897969666</c:v>
                </c:pt>
                <c:pt idx="280">
                  <c:v>0.49027720480782677</c:v>
                </c:pt>
                <c:pt idx="281">
                  <c:v>0.52244987911843332</c:v>
                </c:pt>
                <c:pt idx="282">
                  <c:v>0.57522303307443989</c:v>
                </c:pt>
                <c:pt idx="283">
                  <c:v>0.66171955188155174</c:v>
                </c:pt>
                <c:pt idx="284">
                  <c:v>0.73347598145700066</c:v>
                </c:pt>
                <c:pt idx="285">
                  <c:v>0.8060360614019112</c:v>
                </c:pt>
                <c:pt idx="286">
                  <c:v>0.85000602385728674</c:v>
                </c:pt>
                <c:pt idx="287">
                  <c:v>0.85139228837544778</c:v>
                </c:pt>
                <c:pt idx="288">
                  <c:v>0.84848500689924233</c:v>
                </c:pt>
                <c:pt idx="289">
                  <c:v>0.8722162606221362</c:v>
                </c:pt>
                <c:pt idx="290">
                  <c:v>0.82118412308235877</c:v>
                </c:pt>
                <c:pt idx="291">
                  <c:v>0.70670497116787323</c:v>
                </c:pt>
                <c:pt idx="292">
                  <c:v>0.53786316756067531</c:v>
                </c:pt>
                <c:pt idx="293">
                  <c:v>0.37671542458004625</c:v>
                </c:pt>
                <c:pt idx="294">
                  <c:v>0.28206466014365056</c:v>
                </c:pt>
                <c:pt idx="295">
                  <c:v>0.25303571228060701</c:v>
                </c:pt>
                <c:pt idx="296">
                  <c:v>0.21040136190187045</c:v>
                </c:pt>
                <c:pt idx="297">
                  <c:v>0.13849909814419817</c:v>
                </c:pt>
                <c:pt idx="298">
                  <c:v>6.6702992310345738E-2</c:v>
                </c:pt>
                <c:pt idx="299">
                  <c:v>5.298962350423049E-2</c:v>
                </c:pt>
                <c:pt idx="300">
                  <c:v>0.10340199952242332</c:v>
                </c:pt>
                <c:pt idx="301">
                  <c:v>0.22447350529273924</c:v>
                </c:pt>
                <c:pt idx="302">
                  <c:v>0.43466670347062608</c:v>
                </c:pt>
                <c:pt idx="303">
                  <c:v>0.70019746324513821</c:v>
                </c:pt>
                <c:pt idx="304">
                  <c:v>0.98457819339233676</c:v>
                </c:pt>
                <c:pt idx="305">
                  <c:v>1.2679296514385834</c:v>
                </c:pt>
                <c:pt idx="306">
                  <c:v>1.5475704245520361</c:v>
                </c:pt>
                <c:pt idx="307">
                  <c:v>1.8390864191750564</c:v>
                </c:pt>
                <c:pt idx="308">
                  <c:v>2.0975123434154592</c:v>
                </c:pt>
                <c:pt idx="309">
                  <c:v>2.3079358107757115</c:v>
                </c:pt>
                <c:pt idx="310">
                  <c:v>2.491126568843431</c:v>
                </c:pt>
                <c:pt idx="311">
                  <c:v>2.661431836176448</c:v>
                </c:pt>
                <c:pt idx="312">
                  <c:v>2.7761200939667168</c:v>
                </c:pt>
                <c:pt idx="313">
                  <c:v>2.6784809952956827</c:v>
                </c:pt>
                <c:pt idx="314">
                  <c:v>2.2419181251084725</c:v>
                </c:pt>
                <c:pt idx="315">
                  <c:v>1.5607626411828077</c:v>
                </c:pt>
                <c:pt idx="316">
                  <c:v>0.70707802839339362</c:v>
                </c:pt>
                <c:pt idx="317">
                  <c:v>-6.6419330542501598E-2</c:v>
                </c:pt>
                <c:pt idx="318">
                  <c:v>-0.92525377575580603</c:v>
                </c:pt>
                <c:pt idx="319">
                  <c:v>-1.7800751217340691</c:v>
                </c:pt>
                <c:pt idx="320">
                  <c:v>-2.5884587050482351</c:v>
                </c:pt>
                <c:pt idx="321">
                  <c:v>-3.3319040186099209</c:v>
                </c:pt>
                <c:pt idx="322">
                  <c:v>-3.9749979466161411</c:v>
                </c:pt>
                <c:pt idx="323">
                  <c:v>-4.4723761154918513</c:v>
                </c:pt>
                <c:pt idx="324">
                  <c:v>-4.9082069162524107</c:v>
                </c:pt>
                <c:pt idx="325">
                  <c:v>-5.2144699869493483</c:v>
                </c:pt>
                <c:pt idx="326">
                  <c:v>-5.421474604357452</c:v>
                </c:pt>
                <c:pt idx="327">
                  <c:v>-5.5049267306905243</c:v>
                </c:pt>
                <c:pt idx="328">
                  <c:v>-5.4994415107398744</c:v>
                </c:pt>
                <c:pt idx="329">
                  <c:v>-5.40410773995184</c:v>
                </c:pt>
                <c:pt idx="330">
                  <c:v>-5.2579026700364917</c:v>
                </c:pt>
                <c:pt idx="331">
                  <c:v>-5.1271852506693039</c:v>
                </c:pt>
                <c:pt idx="332">
                  <c:v>-4.9981508382434789</c:v>
                </c:pt>
                <c:pt idx="333">
                  <c:v>-4.8298058105616377</c:v>
                </c:pt>
                <c:pt idx="334">
                  <c:v>-4.6825017187902631</c:v>
                </c:pt>
                <c:pt idx="335">
                  <c:v>-4.5438397917307558</c:v>
                </c:pt>
                <c:pt idx="336">
                  <c:v>-4.4044758243895403</c:v>
                </c:pt>
                <c:pt idx="337">
                  <c:v>-4.2419958099759336</c:v>
                </c:pt>
                <c:pt idx="338">
                  <c:v>-4.0407423062782932</c:v>
                </c:pt>
                <c:pt idx="339">
                  <c:v>-3.7665893808727473</c:v>
                </c:pt>
                <c:pt idx="340">
                  <c:v>-3.4408845168547395</c:v>
                </c:pt>
                <c:pt idx="341">
                  <c:v>-3.1029484146307613</c:v>
                </c:pt>
                <c:pt idx="342">
                  <c:v>-2.7585758256372759</c:v>
                </c:pt>
                <c:pt idx="343">
                  <c:v>-2.4244869058394527</c:v>
                </c:pt>
                <c:pt idx="344">
                  <c:v>-2.1664266294110188</c:v>
                </c:pt>
                <c:pt idx="345">
                  <c:v>-1.9840742427946041</c:v>
                </c:pt>
                <c:pt idx="346">
                  <c:v>-1.8814932529820387</c:v>
                </c:pt>
                <c:pt idx="347">
                  <c:v>-1.8343082828475752</c:v>
                </c:pt>
                <c:pt idx="348">
                  <c:v>-1.8001941991899704</c:v>
                </c:pt>
                <c:pt idx="349">
                  <c:v>-1.7513768072840974</c:v>
                </c:pt>
                <c:pt idx="350">
                  <c:v>-1.7207885058358339</c:v>
                </c:pt>
                <c:pt idx="351">
                  <c:v>-1.6691534631985516</c:v>
                </c:pt>
                <c:pt idx="352">
                  <c:v>-1.6225340301122149</c:v>
                </c:pt>
                <c:pt idx="353">
                  <c:v>-1.5596160341937051</c:v>
                </c:pt>
                <c:pt idx="354">
                  <c:v>-1.4589439484588662</c:v>
                </c:pt>
                <c:pt idx="355">
                  <c:v>-1.3713411261404356</c:v>
                </c:pt>
                <c:pt idx="356">
                  <c:v>-1.3008951613187489</c:v>
                </c:pt>
                <c:pt idx="357">
                  <c:v>-1.1891215562490514</c:v>
                </c:pt>
                <c:pt idx="358">
                  <c:v>-1.0458187666600474</c:v>
                </c:pt>
                <c:pt idx="359">
                  <c:v>-0.84656069422448987</c:v>
                </c:pt>
                <c:pt idx="360">
                  <c:v>-0.5979320740715397</c:v>
                </c:pt>
                <c:pt idx="361">
                  <c:v>-0.32699832700613707</c:v>
                </c:pt>
                <c:pt idx="362">
                  <c:v>-4.0544506902722099E-2</c:v>
                </c:pt>
                <c:pt idx="363">
                  <c:v>0.24262755076189613</c:v>
                </c:pt>
                <c:pt idx="364">
                  <c:v>0.55333677185051955</c:v>
                </c:pt>
                <c:pt idx="365">
                  <c:v>0.85322678173620425</c:v>
                </c:pt>
                <c:pt idx="366">
                  <c:v>1.1503681190522801</c:v>
                </c:pt>
                <c:pt idx="367">
                  <c:v>1.3846707011912365</c:v>
                </c:pt>
                <c:pt idx="368">
                  <c:v>1.5113395790245621</c:v>
                </c:pt>
                <c:pt idx="369">
                  <c:v>1.5553554826054872</c:v>
                </c:pt>
                <c:pt idx="370">
                  <c:v>1.5610185903245868</c:v>
                </c:pt>
                <c:pt idx="371">
                  <c:v>1.5284177916508275</c:v>
                </c:pt>
                <c:pt idx="372">
                  <c:v>1.4604866825948677</c:v>
                </c:pt>
                <c:pt idx="373">
                  <c:v>1.4086150458365458</c:v>
                </c:pt>
                <c:pt idx="374">
                  <c:v>1.4047679959305395</c:v>
                </c:pt>
                <c:pt idx="375">
                  <c:v>1.4342439671898817</c:v>
                </c:pt>
                <c:pt idx="376">
                  <c:v>1.4643162678265778</c:v>
                </c:pt>
                <c:pt idx="377">
                  <c:v>1.5830222126713656</c:v>
                </c:pt>
                <c:pt idx="378">
                  <c:v>1.7439412474605995</c:v>
                </c:pt>
                <c:pt idx="379">
                  <c:v>1.937255770995383</c:v>
                </c:pt>
                <c:pt idx="380">
                  <c:v>2.154513928929553</c:v>
                </c:pt>
                <c:pt idx="381">
                  <c:v>2.3120867259484328</c:v>
                </c:pt>
                <c:pt idx="382">
                  <c:v>2.403403715995029</c:v>
                </c:pt>
                <c:pt idx="383">
                  <c:v>2.4306431187950324</c:v>
                </c:pt>
                <c:pt idx="384">
                  <c:v>2.434045516749427</c:v>
                </c:pt>
                <c:pt idx="385">
                  <c:v>2.3954023830747859</c:v>
                </c:pt>
                <c:pt idx="386">
                  <c:v>2.3212284653396504</c:v>
                </c:pt>
                <c:pt idx="387">
                  <c:v>2.2291259003701667</c:v>
                </c:pt>
                <c:pt idx="388">
                  <c:v>2.1746731476046275</c:v>
                </c:pt>
                <c:pt idx="389">
                  <c:v>2.1849530182512567</c:v>
                </c:pt>
                <c:pt idx="390">
                  <c:v>2.2144923336733258</c:v>
                </c:pt>
                <c:pt idx="391">
                  <c:v>2.2724816792375284</c:v>
                </c:pt>
                <c:pt idx="392">
                  <c:v>2.352049421751877</c:v>
                </c:pt>
                <c:pt idx="393">
                  <c:v>2.3802483931248206</c:v>
                </c:pt>
                <c:pt idx="394">
                  <c:v>2.3387146310536857</c:v>
                </c:pt>
                <c:pt idx="395">
                  <c:v>2.2464915474998426</c:v>
                </c:pt>
                <c:pt idx="396">
                  <c:v>2.116468067288428</c:v>
                </c:pt>
                <c:pt idx="397">
                  <c:v>1.9966530495197317</c:v>
                </c:pt>
                <c:pt idx="398">
                  <c:v>1.8808184751263264</c:v>
                </c:pt>
                <c:pt idx="399">
                  <c:v>1.7753269176312139</c:v>
                </c:pt>
                <c:pt idx="400">
                  <c:v>1.7073175448695244</c:v>
                </c:pt>
                <c:pt idx="401">
                  <c:v>1.6375862321200025</c:v>
                </c:pt>
                <c:pt idx="402">
                  <c:v>1.5824935529077229</c:v>
                </c:pt>
                <c:pt idx="403">
                  <c:v>1.5586721267819788</c:v>
                </c:pt>
                <c:pt idx="404">
                  <c:v>1.5408195103950511</c:v>
                </c:pt>
                <c:pt idx="405">
                  <c:v>1.5463086908051178</c:v>
                </c:pt>
                <c:pt idx="406">
                  <c:v>1.5429920234178882</c:v>
                </c:pt>
                <c:pt idx="407">
                  <c:v>1.4778444345086772</c:v>
                </c:pt>
                <c:pt idx="408">
                  <c:v>1.3934536471763537</c:v>
                </c:pt>
                <c:pt idx="409">
                  <c:v>1.3354233268414384</c:v>
                </c:pt>
                <c:pt idx="410">
                  <c:v>1.3358736958857738</c:v>
                </c:pt>
                <c:pt idx="411">
                  <c:v>1.370229380930994</c:v>
                </c:pt>
                <c:pt idx="412">
                  <c:v>1.4075105400805401</c:v>
                </c:pt>
                <c:pt idx="413">
                  <c:v>1.4714572905193704</c:v>
                </c:pt>
                <c:pt idx="414">
                  <c:v>1.5466879271210212</c:v>
                </c:pt>
                <c:pt idx="415">
                  <c:v>1.6419438084538749</c:v>
                </c:pt>
                <c:pt idx="416">
                  <c:v>1.7606392640818238</c:v>
                </c:pt>
                <c:pt idx="417">
                  <c:v>1.8236429776872622</c:v>
                </c:pt>
                <c:pt idx="418">
                  <c:v>1.8383778424111015</c:v>
                </c:pt>
                <c:pt idx="419">
                  <c:v>1.7535999705571637</c:v>
                </c:pt>
                <c:pt idx="420">
                  <c:v>1.612321331804528</c:v>
                </c:pt>
                <c:pt idx="421">
                  <c:v>1.4529216137638328</c:v>
                </c:pt>
                <c:pt idx="422">
                  <c:v>1.3341144315566555</c:v>
                </c:pt>
                <c:pt idx="423">
                  <c:v>1.2512762478985897</c:v>
                </c:pt>
                <c:pt idx="424">
                  <c:v>1.1742853043026189</c:v>
                </c:pt>
                <c:pt idx="425">
                  <c:v>1.1055097394313955</c:v>
                </c:pt>
                <c:pt idx="426">
                  <c:v>1.0785474108038484</c:v>
                </c:pt>
                <c:pt idx="427">
                  <c:v>1.0855229194746232</c:v>
                </c:pt>
                <c:pt idx="428">
                  <c:v>1.0909871931326021</c:v>
                </c:pt>
                <c:pt idx="429">
                  <c:v>1.0507711132503263</c:v>
                </c:pt>
                <c:pt idx="430">
                  <c:v>0.97908403963693813</c:v>
                </c:pt>
                <c:pt idx="431">
                  <c:v>0.9110555309863122</c:v>
                </c:pt>
                <c:pt idx="432">
                  <c:v>0.87488959904848274</c:v>
                </c:pt>
                <c:pt idx="433">
                  <c:v>0.88316614102869517</c:v>
                </c:pt>
                <c:pt idx="434">
                  <c:v>0.90791710744397824</c:v>
                </c:pt>
                <c:pt idx="435">
                  <c:v>0.87485218185846059</c:v>
                </c:pt>
                <c:pt idx="436">
                  <c:v>0.79236565127325997</c:v>
                </c:pt>
                <c:pt idx="437">
                  <c:v>0.67009309943968176</c:v>
                </c:pt>
                <c:pt idx="438">
                  <c:v>0.50846104845950246</c:v>
                </c:pt>
                <c:pt idx="439">
                  <c:v>0.33234515442238205</c:v>
                </c:pt>
                <c:pt idx="440">
                  <c:v>0.16312444800411569</c:v>
                </c:pt>
                <c:pt idx="441">
                  <c:v>2.0923977243521324E-2</c:v>
                </c:pt>
                <c:pt idx="442">
                  <c:v>-0.11560070626668886</c:v>
                </c:pt>
                <c:pt idx="443">
                  <c:v>-0.27465186289174892</c:v>
                </c:pt>
                <c:pt idx="444">
                  <c:v>-0.48257356456823947</c:v>
                </c:pt>
                <c:pt idx="445">
                  <c:v>-0.66062547065730381</c:v>
                </c:pt>
                <c:pt idx="446">
                  <c:v>-0.80193660615434159</c:v>
                </c:pt>
                <c:pt idx="447">
                  <c:v>-0.91545103592969168</c:v>
                </c:pt>
                <c:pt idx="448">
                  <c:v>-1.0098876833820212</c:v>
                </c:pt>
                <c:pt idx="449">
                  <c:v>-1.0632569331964783</c:v>
                </c:pt>
                <c:pt idx="450">
                  <c:v>-1.063328669553733</c:v>
                </c:pt>
                <c:pt idx="451">
                  <c:v>-1.0385758023634135</c:v>
                </c:pt>
                <c:pt idx="452">
                  <c:v>-0.96879495606752553</c:v>
                </c:pt>
                <c:pt idx="453">
                  <c:v>-0.85644652060856796</c:v>
                </c:pt>
                <c:pt idx="454">
                  <c:v>-0.73730943665982251</c:v>
                </c:pt>
                <c:pt idx="455">
                  <c:v>-0.62294948127967142</c:v>
                </c:pt>
                <c:pt idx="456">
                  <c:v>-0.53450642583986441</c:v>
                </c:pt>
                <c:pt idx="457">
                  <c:v>-0.4502498805604484</c:v>
                </c:pt>
                <c:pt idx="458">
                  <c:v>-0.39721599272826857</c:v>
                </c:pt>
                <c:pt idx="459">
                  <c:v>-0.29861810313062026</c:v>
                </c:pt>
                <c:pt idx="460">
                  <c:v>-0.2346618838967561</c:v>
                </c:pt>
                <c:pt idx="461">
                  <c:v>-0.20560661169086553</c:v>
                </c:pt>
                <c:pt idx="462">
                  <c:v>-0.21112780690773228</c:v>
                </c:pt>
                <c:pt idx="463">
                  <c:v>-0.23308299242514699</c:v>
                </c:pt>
                <c:pt idx="464">
                  <c:v>-0.23047132910683746</c:v>
                </c:pt>
                <c:pt idx="465">
                  <c:v>-0.20202197575408437</c:v>
                </c:pt>
                <c:pt idx="466">
                  <c:v>-0.14899586659936292</c:v>
                </c:pt>
                <c:pt idx="467">
                  <c:v>-0.12959254217038191</c:v>
                </c:pt>
                <c:pt idx="468">
                  <c:v>-9.5928134480496266E-2</c:v>
                </c:pt>
                <c:pt idx="469">
                  <c:v>-2.2324251794908503E-2</c:v>
                </c:pt>
                <c:pt idx="470">
                  <c:v>2.7832999719957199E-2</c:v>
                </c:pt>
                <c:pt idx="471">
                  <c:v>4.1456294866698745E-2</c:v>
                </c:pt>
                <c:pt idx="472">
                  <c:v>7.396923850084211E-4</c:v>
                </c:pt>
                <c:pt idx="473">
                  <c:v>-9.407999769354293E-2</c:v>
                </c:pt>
                <c:pt idx="474">
                  <c:v>-0.22289038001058703</c:v>
                </c:pt>
                <c:pt idx="475">
                  <c:v>-0.36941452003083342</c:v>
                </c:pt>
                <c:pt idx="476">
                  <c:v>-0.53798267971577907</c:v>
                </c:pt>
                <c:pt idx="477">
                  <c:v>-0.69466948340145573</c:v>
                </c:pt>
                <c:pt idx="478">
                  <c:v>-0.80826605604902457</c:v>
                </c:pt>
                <c:pt idx="479">
                  <c:v>-0.86456165829790443</c:v>
                </c:pt>
                <c:pt idx="480">
                  <c:v>-0.91655611554470739</c:v>
                </c:pt>
                <c:pt idx="481">
                  <c:v>-0.93966112889910924</c:v>
                </c:pt>
                <c:pt idx="482">
                  <c:v>-0.93061645904790424</c:v>
                </c:pt>
                <c:pt idx="483">
                  <c:v>-0.9358310440479557</c:v>
                </c:pt>
                <c:pt idx="484">
                  <c:v>-0.96815794491135776</c:v>
                </c:pt>
                <c:pt idx="485">
                  <c:v>-1.0170870342594327</c:v>
                </c:pt>
                <c:pt idx="486">
                  <c:v>-1.0249520683232278</c:v>
                </c:pt>
                <c:pt idx="487">
                  <c:v>-1.0153391239141605</c:v>
                </c:pt>
                <c:pt idx="488">
                  <c:v>-1.004607808034911</c:v>
                </c:pt>
                <c:pt idx="489">
                  <c:v>-0.9944797065212122</c:v>
                </c:pt>
                <c:pt idx="490">
                  <c:v>-1.0316549681501279</c:v>
                </c:pt>
                <c:pt idx="491">
                  <c:v>-1.0499851901861172</c:v>
                </c:pt>
                <c:pt idx="492">
                  <c:v>-1.0823462585239414</c:v>
                </c:pt>
                <c:pt idx="493">
                  <c:v>-1.1183810178081162</c:v>
                </c:pt>
                <c:pt idx="494">
                  <c:v>-1.119573804508591</c:v>
                </c:pt>
                <c:pt idx="495">
                  <c:v>-1.0849864194503489</c:v>
                </c:pt>
                <c:pt idx="496">
                  <c:v>-1.0274724844279859</c:v>
                </c:pt>
                <c:pt idx="497">
                  <c:v>-0.96391990959013241</c:v>
                </c:pt>
                <c:pt idx="498">
                  <c:v>-0.88224121136178202</c:v>
                </c:pt>
                <c:pt idx="499">
                  <c:v>-0.77041250724284549</c:v>
                </c:pt>
                <c:pt idx="500">
                  <c:v>-0.64219724145457935</c:v>
                </c:pt>
                <c:pt idx="501">
                  <c:v>-0.45328784327340166</c:v>
                </c:pt>
                <c:pt idx="502">
                  <c:v>-0.1083687400365938</c:v>
                </c:pt>
                <c:pt idx="503">
                  <c:v>0.19987320822787813</c:v>
                </c:pt>
                <c:pt idx="504">
                  <c:v>0.44713360518590578</c:v>
                </c:pt>
                <c:pt idx="505">
                  <c:v>0.70680642529038806</c:v>
                </c:pt>
                <c:pt idx="506">
                  <c:v>1.0046653082497585</c:v>
                </c:pt>
                <c:pt idx="507">
                  <c:v>1.3122239009955163</c:v>
                </c:pt>
                <c:pt idx="508">
                  <c:v>1.6311587869768549</c:v>
                </c:pt>
                <c:pt idx="509">
                  <c:v>1.9905536603661409</c:v>
                </c:pt>
                <c:pt idx="510">
                  <c:v>2.3347003532172228</c:v>
                </c:pt>
                <c:pt idx="511">
                  <c:v>2.6475232308277388</c:v>
                </c:pt>
                <c:pt idx="512">
                  <c:v>2.9029637754307958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D9-4A54-B092-251A3BCC8C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24644624"/>
        <c:axId val="1724646064"/>
      </c:lineChart>
      <c:dateAx>
        <c:axId val="1724644624"/>
        <c:scaling>
          <c:orientation val="minMax"/>
          <c:max val="46044"/>
          <c:min val="45901"/>
        </c:scaling>
        <c:delete val="0"/>
        <c:axPos val="b"/>
        <c:numFmt formatCode="m/d/yyyy" sourceLinked="1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064"/>
        <c:crosses val="autoZero"/>
        <c:auto val="1"/>
        <c:lblOffset val="100"/>
        <c:baseTimeUnit val="days"/>
      </c:dateAx>
      <c:valAx>
        <c:axId val="1724646064"/>
        <c:scaling>
          <c:orientation val="minMax"/>
          <c:max val="4"/>
          <c:min val="-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</a:t>
            </a:r>
            <a:r>
              <a:rPr lang="en-US" baseline="0"/>
              <a:t> + 20d SMA + 100d SMA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Data!$C$2:$C$523</c:f>
              <c:numCache>
                <c:formatCode>_([$$-409]* #,##0.00_);_([$$-409]* \(#,##0.00\);_([$$-409]* "-"??_);_(@_)</c:formatCode>
                <c:ptCount val="522"/>
                <c:pt idx="0">
                  <c:v>149.47999999999999</c:v>
                </c:pt>
                <c:pt idx="1">
                  <c:v>152.33000000000001</c:v>
                </c:pt>
                <c:pt idx="2">
                  <c:v>150.66</c:v>
                </c:pt>
                <c:pt idx="3">
                  <c:v>150.4</c:v>
                </c:pt>
                <c:pt idx="4">
                  <c:v>149.5</c:v>
                </c:pt>
                <c:pt idx="5">
                  <c:v>145.69999999999999</c:v>
                </c:pt>
                <c:pt idx="6">
                  <c:v>144.5</c:v>
                </c:pt>
                <c:pt idx="7">
                  <c:v>145.28</c:v>
                </c:pt>
                <c:pt idx="8">
                  <c:v>147.27000000000001</c:v>
                </c:pt>
                <c:pt idx="9">
                  <c:v>143.69</c:v>
                </c:pt>
                <c:pt idx="10">
                  <c:v>143.12</c:v>
                </c:pt>
                <c:pt idx="11">
                  <c:v>141.82</c:v>
                </c:pt>
                <c:pt idx="12">
                  <c:v>142.24</c:v>
                </c:pt>
                <c:pt idx="13">
                  <c:v>142.49</c:v>
                </c:pt>
                <c:pt idx="14">
                  <c:v>142.09</c:v>
                </c:pt>
                <c:pt idx="15">
                  <c:v>144.91999999999999</c:v>
                </c:pt>
                <c:pt idx="16">
                  <c:v>148.57</c:v>
                </c:pt>
                <c:pt idx="17">
                  <c:v>149.13999999999999</c:v>
                </c:pt>
                <c:pt idx="18">
                  <c:v>149.08000000000001</c:v>
                </c:pt>
                <c:pt idx="19">
                  <c:v>150.12</c:v>
                </c:pt>
                <c:pt idx="20">
                  <c:v>147.43</c:v>
                </c:pt>
                <c:pt idx="21">
                  <c:v>147.88999999999999</c:v>
                </c:pt>
                <c:pt idx="22">
                  <c:v>152.24</c:v>
                </c:pt>
                <c:pt idx="23">
                  <c:v>152.33000000000001</c:v>
                </c:pt>
                <c:pt idx="24">
                  <c:v>152.35</c:v>
                </c:pt>
                <c:pt idx="25">
                  <c:v>152.13</c:v>
                </c:pt>
                <c:pt idx="26">
                  <c:v>154.06</c:v>
                </c:pt>
                <c:pt idx="27">
                  <c:v>151.04</c:v>
                </c:pt>
                <c:pt idx="28">
                  <c:v>152.08000000000001</c:v>
                </c:pt>
                <c:pt idx="29">
                  <c:v>150.6</c:v>
                </c:pt>
                <c:pt idx="30">
                  <c:v>151.01</c:v>
                </c:pt>
                <c:pt idx="31">
                  <c:v>154.46</c:v>
                </c:pt>
                <c:pt idx="32">
                  <c:v>154.63</c:v>
                </c:pt>
                <c:pt idx="33">
                  <c:v>154</c:v>
                </c:pt>
                <c:pt idx="34">
                  <c:v>155.44</c:v>
                </c:pt>
                <c:pt idx="35">
                  <c:v>155.43</c:v>
                </c:pt>
                <c:pt idx="36">
                  <c:v>154.66</c:v>
                </c:pt>
                <c:pt idx="37">
                  <c:v>154.44999999999999</c:v>
                </c:pt>
                <c:pt idx="38">
                  <c:v>152.16</c:v>
                </c:pt>
                <c:pt idx="39">
                  <c:v>152.34</c:v>
                </c:pt>
                <c:pt idx="40">
                  <c:v>152.01</c:v>
                </c:pt>
                <c:pt idx="41">
                  <c:v>152.81</c:v>
                </c:pt>
                <c:pt idx="42">
                  <c:v>148.88</c:v>
                </c:pt>
                <c:pt idx="43">
                  <c:v>149.59</c:v>
                </c:pt>
                <c:pt idx="44">
                  <c:v>148.33000000000001</c:v>
                </c:pt>
                <c:pt idx="45">
                  <c:v>149.37</c:v>
                </c:pt>
                <c:pt idx="46">
                  <c:v>149.88</c:v>
                </c:pt>
                <c:pt idx="47">
                  <c:v>152</c:v>
                </c:pt>
                <c:pt idx="48">
                  <c:v>151.88999999999999</c:v>
                </c:pt>
                <c:pt idx="49">
                  <c:v>153.88999999999999</c:v>
                </c:pt>
                <c:pt idx="50">
                  <c:v>155.69999999999999</c:v>
                </c:pt>
                <c:pt idx="51">
                  <c:v>155.55000000000001</c:v>
                </c:pt>
                <c:pt idx="52">
                  <c:v>155.41</c:v>
                </c:pt>
                <c:pt idx="53">
                  <c:v>156.62</c:v>
                </c:pt>
                <c:pt idx="54">
                  <c:v>154.55000000000001</c:v>
                </c:pt>
                <c:pt idx="55">
                  <c:v>154.86000000000001</c:v>
                </c:pt>
                <c:pt idx="56">
                  <c:v>154.66</c:v>
                </c:pt>
                <c:pt idx="57">
                  <c:v>156.47</c:v>
                </c:pt>
                <c:pt idx="58">
                  <c:v>155.27000000000001</c:v>
                </c:pt>
                <c:pt idx="59">
                  <c:v>156.35</c:v>
                </c:pt>
                <c:pt idx="60">
                  <c:v>157.74</c:v>
                </c:pt>
                <c:pt idx="61">
                  <c:v>159.08000000000001</c:v>
                </c:pt>
                <c:pt idx="62">
                  <c:v>159.78</c:v>
                </c:pt>
                <c:pt idx="63">
                  <c:v>160.44</c:v>
                </c:pt>
                <c:pt idx="64">
                  <c:v>160.69</c:v>
                </c:pt>
                <c:pt idx="65">
                  <c:v>161.6</c:v>
                </c:pt>
                <c:pt idx="66">
                  <c:v>161.27000000000001</c:v>
                </c:pt>
                <c:pt idx="67">
                  <c:v>162</c:v>
                </c:pt>
                <c:pt idx="68">
                  <c:v>162.66999999999999</c:v>
                </c:pt>
                <c:pt idx="69">
                  <c:v>161.88999999999999</c:v>
                </c:pt>
                <c:pt idx="70">
                  <c:v>158.96</c:v>
                </c:pt>
                <c:pt idx="71">
                  <c:v>157.59</c:v>
                </c:pt>
                <c:pt idx="72">
                  <c:v>156.28</c:v>
                </c:pt>
                <c:pt idx="73">
                  <c:v>156.4</c:v>
                </c:pt>
                <c:pt idx="74">
                  <c:v>157.57</c:v>
                </c:pt>
                <c:pt idx="75">
                  <c:v>160</c:v>
                </c:pt>
                <c:pt idx="76">
                  <c:v>161.91999999999999</c:v>
                </c:pt>
                <c:pt idx="77">
                  <c:v>162.85</c:v>
                </c:pt>
                <c:pt idx="78">
                  <c:v>163.57</c:v>
                </c:pt>
                <c:pt idx="79">
                  <c:v>165.28</c:v>
                </c:pt>
                <c:pt idx="80">
                  <c:v>165.89</c:v>
                </c:pt>
                <c:pt idx="81">
                  <c:v>166.33</c:v>
                </c:pt>
                <c:pt idx="82">
                  <c:v>161.27000000000001</c:v>
                </c:pt>
                <c:pt idx="83">
                  <c:v>159.63</c:v>
                </c:pt>
                <c:pt idx="84">
                  <c:v>160.72999999999999</c:v>
                </c:pt>
                <c:pt idx="85">
                  <c:v>160.25</c:v>
                </c:pt>
                <c:pt idx="86">
                  <c:v>162.30000000000001</c:v>
                </c:pt>
                <c:pt idx="87">
                  <c:v>162.66999999999999</c:v>
                </c:pt>
                <c:pt idx="88">
                  <c:v>162.54</c:v>
                </c:pt>
                <c:pt idx="89">
                  <c:v>165.45</c:v>
                </c:pt>
                <c:pt idx="90">
                  <c:v>165.82</c:v>
                </c:pt>
                <c:pt idx="91">
                  <c:v>164.53</c:v>
                </c:pt>
                <c:pt idx="92">
                  <c:v>163.61000000000001</c:v>
                </c:pt>
                <c:pt idx="93">
                  <c:v>163.05000000000001</c:v>
                </c:pt>
                <c:pt idx="94">
                  <c:v>161.09</c:v>
                </c:pt>
                <c:pt idx="95">
                  <c:v>162.66999999999999</c:v>
                </c:pt>
                <c:pt idx="96">
                  <c:v>161.13999999999999</c:v>
                </c:pt>
                <c:pt idx="97">
                  <c:v>159.97</c:v>
                </c:pt>
                <c:pt idx="98">
                  <c:v>157.57</c:v>
                </c:pt>
                <c:pt idx="99">
                  <c:v>156.94</c:v>
                </c:pt>
                <c:pt idx="100">
                  <c:v>157.75</c:v>
                </c:pt>
                <c:pt idx="101">
                  <c:v>159.04</c:v>
                </c:pt>
                <c:pt idx="102">
                  <c:v>156.9</c:v>
                </c:pt>
                <c:pt idx="103">
                  <c:v>158.26</c:v>
                </c:pt>
                <c:pt idx="104">
                  <c:v>162.30000000000001</c:v>
                </c:pt>
                <c:pt idx="105">
                  <c:v>157.46</c:v>
                </c:pt>
                <c:pt idx="106">
                  <c:v>156.13</c:v>
                </c:pt>
                <c:pt idx="107">
                  <c:v>154.97999999999999</c:v>
                </c:pt>
                <c:pt idx="108">
                  <c:v>155.93</c:v>
                </c:pt>
                <c:pt idx="109">
                  <c:v>156.08000000000001</c:v>
                </c:pt>
                <c:pt idx="110">
                  <c:v>156.74</c:v>
                </c:pt>
                <c:pt idx="111">
                  <c:v>156.49</c:v>
                </c:pt>
                <c:pt idx="112">
                  <c:v>154.22</c:v>
                </c:pt>
                <c:pt idx="113">
                  <c:v>152.84</c:v>
                </c:pt>
                <c:pt idx="114">
                  <c:v>152.57</c:v>
                </c:pt>
                <c:pt idx="115">
                  <c:v>153.19</c:v>
                </c:pt>
                <c:pt idx="116">
                  <c:v>153.33000000000001</c:v>
                </c:pt>
                <c:pt idx="117">
                  <c:v>156.63999999999999</c:v>
                </c:pt>
                <c:pt idx="118">
                  <c:v>155.28</c:v>
                </c:pt>
                <c:pt idx="119">
                  <c:v>159.31</c:v>
                </c:pt>
                <c:pt idx="120">
                  <c:v>158.46</c:v>
                </c:pt>
                <c:pt idx="121">
                  <c:v>155.94999999999999</c:v>
                </c:pt>
                <c:pt idx="122">
                  <c:v>156.32</c:v>
                </c:pt>
                <c:pt idx="123">
                  <c:v>156.41999999999999</c:v>
                </c:pt>
                <c:pt idx="124">
                  <c:v>156.52000000000001</c:v>
                </c:pt>
                <c:pt idx="125">
                  <c:v>156.75</c:v>
                </c:pt>
                <c:pt idx="126">
                  <c:v>156.71</c:v>
                </c:pt>
                <c:pt idx="127">
                  <c:v>154.31</c:v>
                </c:pt>
                <c:pt idx="128">
                  <c:v>154.33000000000001</c:v>
                </c:pt>
                <c:pt idx="129">
                  <c:v>152.97999999999999</c:v>
                </c:pt>
                <c:pt idx="130">
                  <c:v>155.13</c:v>
                </c:pt>
                <c:pt idx="131">
                  <c:v>155.26</c:v>
                </c:pt>
                <c:pt idx="132">
                  <c:v>155.59</c:v>
                </c:pt>
                <c:pt idx="133">
                  <c:v>158.04</c:v>
                </c:pt>
                <c:pt idx="134">
                  <c:v>157.77000000000001</c:v>
                </c:pt>
                <c:pt idx="135">
                  <c:v>161.22999999999999</c:v>
                </c:pt>
                <c:pt idx="136">
                  <c:v>161.97</c:v>
                </c:pt>
                <c:pt idx="137">
                  <c:v>159.15</c:v>
                </c:pt>
                <c:pt idx="138">
                  <c:v>156.99</c:v>
                </c:pt>
                <c:pt idx="139">
                  <c:v>154.09</c:v>
                </c:pt>
                <c:pt idx="140">
                  <c:v>155.07</c:v>
                </c:pt>
                <c:pt idx="141">
                  <c:v>157.54</c:v>
                </c:pt>
                <c:pt idx="142">
                  <c:v>157.84</c:v>
                </c:pt>
                <c:pt idx="143">
                  <c:v>156.6</c:v>
                </c:pt>
                <c:pt idx="144">
                  <c:v>159.57</c:v>
                </c:pt>
                <c:pt idx="145">
                  <c:v>160.47</c:v>
                </c:pt>
                <c:pt idx="146">
                  <c:v>152.62</c:v>
                </c:pt>
                <c:pt idx="147">
                  <c:v>148.55000000000001</c:v>
                </c:pt>
                <c:pt idx="148">
                  <c:v>144.66</c:v>
                </c:pt>
                <c:pt idx="149">
                  <c:v>143.22999999999999</c:v>
                </c:pt>
                <c:pt idx="150">
                  <c:v>142.41</c:v>
                </c:pt>
                <c:pt idx="151">
                  <c:v>144.49</c:v>
                </c:pt>
                <c:pt idx="152">
                  <c:v>144.99</c:v>
                </c:pt>
                <c:pt idx="153">
                  <c:v>145.02000000000001</c:v>
                </c:pt>
                <c:pt idx="154">
                  <c:v>144.15</c:v>
                </c:pt>
                <c:pt idx="155">
                  <c:v>144.66999999999999</c:v>
                </c:pt>
                <c:pt idx="156">
                  <c:v>146.80000000000001</c:v>
                </c:pt>
                <c:pt idx="157">
                  <c:v>147.27000000000001</c:v>
                </c:pt>
                <c:pt idx="158">
                  <c:v>146.83000000000001</c:v>
                </c:pt>
                <c:pt idx="159">
                  <c:v>144.69</c:v>
                </c:pt>
                <c:pt idx="160">
                  <c:v>145.32</c:v>
                </c:pt>
                <c:pt idx="161">
                  <c:v>145.72999999999999</c:v>
                </c:pt>
                <c:pt idx="162">
                  <c:v>147.62</c:v>
                </c:pt>
                <c:pt idx="163">
                  <c:v>148.5</c:v>
                </c:pt>
                <c:pt idx="164">
                  <c:v>146.94999999999999</c:v>
                </c:pt>
                <c:pt idx="165">
                  <c:v>146</c:v>
                </c:pt>
                <c:pt idx="166">
                  <c:v>147.41999999999999</c:v>
                </c:pt>
                <c:pt idx="167">
                  <c:v>147.94999999999999</c:v>
                </c:pt>
                <c:pt idx="168">
                  <c:v>144.66</c:v>
                </c:pt>
                <c:pt idx="169">
                  <c:v>142.07</c:v>
                </c:pt>
                <c:pt idx="170">
                  <c:v>140.93</c:v>
                </c:pt>
                <c:pt idx="171">
                  <c:v>138.56</c:v>
                </c:pt>
                <c:pt idx="172">
                  <c:v>140.30000000000001</c:v>
                </c:pt>
                <c:pt idx="173">
                  <c:v>138.22999999999999</c:v>
                </c:pt>
                <c:pt idx="174">
                  <c:v>137.88</c:v>
                </c:pt>
                <c:pt idx="175">
                  <c:v>139.21</c:v>
                </c:pt>
                <c:pt idx="176">
                  <c:v>140.61000000000001</c:v>
                </c:pt>
                <c:pt idx="177">
                  <c:v>142.09</c:v>
                </c:pt>
                <c:pt idx="178">
                  <c:v>143.41</c:v>
                </c:pt>
                <c:pt idx="179">
                  <c:v>143.96</c:v>
                </c:pt>
                <c:pt idx="180">
                  <c:v>144.99</c:v>
                </c:pt>
                <c:pt idx="181">
                  <c:v>145.68</c:v>
                </c:pt>
                <c:pt idx="182">
                  <c:v>147.54</c:v>
                </c:pt>
                <c:pt idx="183">
                  <c:v>147.44999999999999</c:v>
                </c:pt>
                <c:pt idx="184">
                  <c:v>143.97</c:v>
                </c:pt>
                <c:pt idx="185">
                  <c:v>141.99</c:v>
                </c:pt>
                <c:pt idx="186">
                  <c:v>145.49</c:v>
                </c:pt>
                <c:pt idx="187">
                  <c:v>147.27000000000001</c:v>
                </c:pt>
                <c:pt idx="188">
                  <c:v>149.69999999999999</c:v>
                </c:pt>
                <c:pt idx="189">
                  <c:v>150.94999999999999</c:v>
                </c:pt>
                <c:pt idx="190">
                  <c:v>151.25</c:v>
                </c:pt>
                <c:pt idx="191">
                  <c:v>150.74</c:v>
                </c:pt>
                <c:pt idx="192">
                  <c:v>151.12</c:v>
                </c:pt>
                <c:pt idx="193">
                  <c:v>148.75</c:v>
                </c:pt>
                <c:pt idx="194">
                  <c:v>149.65</c:v>
                </c:pt>
                <c:pt idx="195">
                  <c:v>150.62</c:v>
                </c:pt>
                <c:pt idx="196">
                  <c:v>151.41999999999999</c:v>
                </c:pt>
                <c:pt idx="197">
                  <c:v>151.78</c:v>
                </c:pt>
                <c:pt idx="198">
                  <c:v>147.72999999999999</c:v>
                </c:pt>
                <c:pt idx="199">
                  <c:v>148.72999999999999</c:v>
                </c:pt>
                <c:pt idx="200">
                  <c:v>151.19999999999999</c:v>
                </c:pt>
                <c:pt idx="201">
                  <c:v>150.75</c:v>
                </c:pt>
                <c:pt idx="202">
                  <c:v>150.88</c:v>
                </c:pt>
                <c:pt idx="203">
                  <c:v>150.91999999999999</c:v>
                </c:pt>
                <c:pt idx="204">
                  <c:v>150.47999999999999</c:v>
                </c:pt>
                <c:pt idx="205">
                  <c:v>150.44999999999999</c:v>
                </c:pt>
                <c:pt idx="206">
                  <c:v>150.81</c:v>
                </c:pt>
                <c:pt idx="207">
                  <c:v>150.54</c:v>
                </c:pt>
                <c:pt idx="208">
                  <c:v>148.52000000000001</c:v>
                </c:pt>
                <c:pt idx="209">
                  <c:v>148.05000000000001</c:v>
                </c:pt>
                <c:pt idx="210">
                  <c:v>148.82</c:v>
                </c:pt>
                <c:pt idx="211">
                  <c:v>153.07</c:v>
                </c:pt>
                <c:pt idx="212">
                  <c:v>153.97</c:v>
                </c:pt>
                <c:pt idx="213">
                  <c:v>153.41</c:v>
                </c:pt>
                <c:pt idx="214">
                  <c:v>157.72</c:v>
                </c:pt>
                <c:pt idx="215">
                  <c:v>156.77000000000001</c:v>
                </c:pt>
                <c:pt idx="216">
                  <c:v>156.93</c:v>
                </c:pt>
                <c:pt idx="217">
                  <c:v>156.5</c:v>
                </c:pt>
                <c:pt idx="218">
                  <c:v>155.29</c:v>
                </c:pt>
                <c:pt idx="219">
                  <c:v>158.72</c:v>
                </c:pt>
                <c:pt idx="220">
                  <c:v>161.80000000000001</c:v>
                </c:pt>
                <c:pt idx="221">
                  <c:v>161.41999999999999</c:v>
                </c:pt>
                <c:pt idx="222">
                  <c:v>160.76</c:v>
                </c:pt>
                <c:pt idx="223">
                  <c:v>159.6</c:v>
                </c:pt>
                <c:pt idx="224">
                  <c:v>161.33000000000001</c:v>
                </c:pt>
                <c:pt idx="225">
                  <c:v>161.63</c:v>
                </c:pt>
                <c:pt idx="226">
                  <c:v>162.36000000000001</c:v>
                </c:pt>
                <c:pt idx="227">
                  <c:v>160.36000000000001</c:v>
                </c:pt>
                <c:pt idx="228">
                  <c:v>162.53</c:v>
                </c:pt>
                <c:pt idx="229">
                  <c:v>162.11000000000001</c:v>
                </c:pt>
                <c:pt idx="230">
                  <c:v>161.93</c:v>
                </c:pt>
                <c:pt idx="231">
                  <c:v>162.21</c:v>
                </c:pt>
                <c:pt idx="232">
                  <c:v>161.91999999999999</c:v>
                </c:pt>
                <c:pt idx="233">
                  <c:v>158.32</c:v>
                </c:pt>
                <c:pt idx="234">
                  <c:v>159.33000000000001</c:v>
                </c:pt>
                <c:pt idx="235">
                  <c:v>155.24</c:v>
                </c:pt>
                <c:pt idx="236">
                  <c:v>157.08000000000001</c:v>
                </c:pt>
                <c:pt idx="237">
                  <c:v>157</c:v>
                </c:pt>
                <c:pt idx="238">
                  <c:v>156.21</c:v>
                </c:pt>
                <c:pt idx="239">
                  <c:v>154.71</c:v>
                </c:pt>
                <c:pt idx="240">
                  <c:v>153.87</c:v>
                </c:pt>
                <c:pt idx="241">
                  <c:v>149.36000000000001</c:v>
                </c:pt>
                <c:pt idx="242">
                  <c:v>148.11000000000001</c:v>
                </c:pt>
                <c:pt idx="243">
                  <c:v>144.08000000000001</c:v>
                </c:pt>
                <c:pt idx="244">
                  <c:v>141.15</c:v>
                </c:pt>
                <c:pt idx="245">
                  <c:v>142.85</c:v>
                </c:pt>
                <c:pt idx="246">
                  <c:v>142.97</c:v>
                </c:pt>
                <c:pt idx="247">
                  <c:v>143.84</c:v>
                </c:pt>
                <c:pt idx="248">
                  <c:v>143.97999999999999</c:v>
                </c:pt>
                <c:pt idx="249">
                  <c:v>144</c:v>
                </c:pt>
                <c:pt idx="250">
                  <c:v>143.07</c:v>
                </c:pt>
                <c:pt idx="251">
                  <c:v>144.84</c:v>
                </c:pt>
                <c:pt idx="252">
                  <c:v>146.71</c:v>
                </c:pt>
                <c:pt idx="253">
                  <c:v>147.85</c:v>
                </c:pt>
                <c:pt idx="254">
                  <c:v>147.26</c:v>
                </c:pt>
                <c:pt idx="255">
                  <c:v>149.59</c:v>
                </c:pt>
                <c:pt idx="256">
                  <c:v>150.30000000000001</c:v>
                </c:pt>
                <c:pt idx="257">
                  <c:v>153.13999999999999</c:v>
                </c:pt>
                <c:pt idx="258">
                  <c:v>155.35</c:v>
                </c:pt>
                <c:pt idx="259">
                  <c:v>156.9</c:v>
                </c:pt>
                <c:pt idx="260">
                  <c:v>158.33000000000001</c:v>
                </c:pt>
                <c:pt idx="261">
                  <c:v>159.38</c:v>
                </c:pt>
                <c:pt idx="262">
                  <c:v>161.47</c:v>
                </c:pt>
                <c:pt idx="263">
                  <c:v>158.24</c:v>
                </c:pt>
                <c:pt idx="264">
                  <c:v>156.41</c:v>
                </c:pt>
                <c:pt idx="265">
                  <c:v>156.01</c:v>
                </c:pt>
                <c:pt idx="266">
                  <c:v>155.65</c:v>
                </c:pt>
                <c:pt idx="267">
                  <c:v>157.22999999999999</c:v>
                </c:pt>
                <c:pt idx="268">
                  <c:v>156.21</c:v>
                </c:pt>
                <c:pt idx="269">
                  <c:v>155.69</c:v>
                </c:pt>
                <c:pt idx="270">
                  <c:v>156.32</c:v>
                </c:pt>
                <c:pt idx="271">
                  <c:v>149.19</c:v>
                </c:pt>
                <c:pt idx="272">
                  <c:v>149.34</c:v>
                </c:pt>
                <c:pt idx="273">
                  <c:v>153.22</c:v>
                </c:pt>
                <c:pt idx="274">
                  <c:v>152.99</c:v>
                </c:pt>
                <c:pt idx="275">
                  <c:v>151.9</c:v>
                </c:pt>
                <c:pt idx="276">
                  <c:v>152.62</c:v>
                </c:pt>
                <c:pt idx="277">
                  <c:v>155.77000000000001</c:v>
                </c:pt>
                <c:pt idx="278">
                  <c:v>157.44</c:v>
                </c:pt>
                <c:pt idx="279">
                  <c:v>154.9</c:v>
                </c:pt>
                <c:pt idx="280">
                  <c:v>155.88</c:v>
                </c:pt>
                <c:pt idx="281">
                  <c:v>155.34</c:v>
                </c:pt>
                <c:pt idx="282">
                  <c:v>156.16</c:v>
                </c:pt>
                <c:pt idx="283">
                  <c:v>157.22999999999999</c:v>
                </c:pt>
                <c:pt idx="284">
                  <c:v>158.79</c:v>
                </c:pt>
                <c:pt idx="285">
                  <c:v>156.91999999999999</c:v>
                </c:pt>
                <c:pt idx="286">
                  <c:v>157.88999999999999</c:v>
                </c:pt>
                <c:pt idx="287">
                  <c:v>156.41999999999999</c:v>
                </c:pt>
                <c:pt idx="288">
                  <c:v>155.13999999999999</c:v>
                </c:pt>
                <c:pt idx="289">
                  <c:v>156.66999999999999</c:v>
                </c:pt>
                <c:pt idx="290">
                  <c:v>158.62</c:v>
                </c:pt>
                <c:pt idx="291">
                  <c:v>153.09</c:v>
                </c:pt>
                <c:pt idx="292">
                  <c:v>152</c:v>
                </c:pt>
                <c:pt idx="293">
                  <c:v>150.81</c:v>
                </c:pt>
                <c:pt idx="294">
                  <c:v>152.94999999999999</c:v>
                </c:pt>
                <c:pt idx="295">
                  <c:v>156.34</c:v>
                </c:pt>
                <c:pt idx="296">
                  <c:v>157.57</c:v>
                </c:pt>
                <c:pt idx="297">
                  <c:v>154.08000000000001</c:v>
                </c:pt>
                <c:pt idx="298">
                  <c:v>152.66999999999999</c:v>
                </c:pt>
                <c:pt idx="299">
                  <c:v>153.61000000000001</c:v>
                </c:pt>
                <c:pt idx="300">
                  <c:v>157.02000000000001</c:v>
                </c:pt>
                <c:pt idx="301">
                  <c:v>158.72</c:v>
                </c:pt>
                <c:pt idx="302">
                  <c:v>160.81</c:v>
                </c:pt>
                <c:pt idx="303">
                  <c:v>164.05</c:v>
                </c:pt>
                <c:pt idx="304">
                  <c:v>164.77</c:v>
                </c:pt>
                <c:pt idx="305">
                  <c:v>164.75</c:v>
                </c:pt>
                <c:pt idx="306">
                  <c:v>165.02</c:v>
                </c:pt>
                <c:pt idx="307">
                  <c:v>165.94</c:v>
                </c:pt>
                <c:pt idx="308">
                  <c:v>167.97</c:v>
                </c:pt>
                <c:pt idx="309">
                  <c:v>166.65</c:v>
                </c:pt>
                <c:pt idx="310">
                  <c:v>166.09</c:v>
                </c:pt>
                <c:pt idx="311">
                  <c:v>167.29</c:v>
                </c:pt>
                <c:pt idx="312">
                  <c:v>168.51</c:v>
                </c:pt>
                <c:pt idx="313">
                  <c:v>166.47</c:v>
                </c:pt>
                <c:pt idx="314">
                  <c:v>156.12</c:v>
                </c:pt>
                <c:pt idx="315">
                  <c:v>143.28</c:v>
                </c:pt>
                <c:pt idx="316">
                  <c:v>140.15</c:v>
                </c:pt>
                <c:pt idx="317">
                  <c:v>136.93</c:v>
                </c:pt>
                <c:pt idx="318">
                  <c:v>146.03</c:v>
                </c:pt>
                <c:pt idx="319">
                  <c:v>134.97999999999999</c:v>
                </c:pt>
                <c:pt idx="320">
                  <c:v>135.63</c:v>
                </c:pt>
                <c:pt idx="321">
                  <c:v>135.32</c:v>
                </c:pt>
                <c:pt idx="322">
                  <c:v>134.54</c:v>
                </c:pt>
                <c:pt idx="323">
                  <c:v>135.36000000000001</c:v>
                </c:pt>
                <c:pt idx="324">
                  <c:v>137.87</c:v>
                </c:pt>
                <c:pt idx="325">
                  <c:v>133.72999999999999</c:v>
                </c:pt>
                <c:pt idx="326">
                  <c:v>137.30000000000001</c:v>
                </c:pt>
                <c:pt idx="327">
                  <c:v>136.68</c:v>
                </c:pt>
                <c:pt idx="328">
                  <c:v>139.07</c:v>
                </c:pt>
                <c:pt idx="329">
                  <c:v>138.72999999999999</c:v>
                </c:pt>
                <c:pt idx="330">
                  <c:v>140.1</c:v>
                </c:pt>
                <c:pt idx="331">
                  <c:v>139.30000000000001</c:v>
                </c:pt>
                <c:pt idx="332">
                  <c:v>136.06</c:v>
                </c:pt>
                <c:pt idx="333">
                  <c:v>136.26</c:v>
                </c:pt>
                <c:pt idx="334">
                  <c:v>138.5</c:v>
                </c:pt>
                <c:pt idx="335">
                  <c:v>135.5</c:v>
                </c:pt>
                <c:pt idx="336">
                  <c:v>135.6</c:v>
                </c:pt>
                <c:pt idx="337">
                  <c:v>135.79</c:v>
                </c:pt>
                <c:pt idx="338">
                  <c:v>137.04</c:v>
                </c:pt>
                <c:pt idx="339">
                  <c:v>138.49</c:v>
                </c:pt>
                <c:pt idx="340">
                  <c:v>141.62</c:v>
                </c:pt>
                <c:pt idx="341">
                  <c:v>142.35</c:v>
                </c:pt>
                <c:pt idx="342">
                  <c:v>141.66999999999999</c:v>
                </c:pt>
                <c:pt idx="343">
                  <c:v>142.26</c:v>
                </c:pt>
                <c:pt idx="344">
                  <c:v>142.1</c:v>
                </c:pt>
                <c:pt idx="345">
                  <c:v>138.49</c:v>
                </c:pt>
                <c:pt idx="346">
                  <c:v>137.27000000000001</c:v>
                </c:pt>
                <c:pt idx="347">
                  <c:v>135.56</c:v>
                </c:pt>
                <c:pt idx="348">
                  <c:v>135.29</c:v>
                </c:pt>
                <c:pt idx="349">
                  <c:v>136.54</c:v>
                </c:pt>
                <c:pt idx="350">
                  <c:v>137.83000000000001</c:v>
                </c:pt>
                <c:pt idx="351">
                  <c:v>136.02000000000001</c:v>
                </c:pt>
                <c:pt idx="352">
                  <c:v>137.91</c:v>
                </c:pt>
                <c:pt idx="353">
                  <c:v>136.69999999999999</c:v>
                </c:pt>
                <c:pt idx="354">
                  <c:v>137.84</c:v>
                </c:pt>
                <c:pt idx="355">
                  <c:v>139.55000000000001</c:v>
                </c:pt>
                <c:pt idx="356">
                  <c:v>137.37</c:v>
                </c:pt>
                <c:pt idx="357">
                  <c:v>136.9</c:v>
                </c:pt>
                <c:pt idx="358">
                  <c:v>140.21</c:v>
                </c:pt>
                <c:pt idx="359">
                  <c:v>140.76</c:v>
                </c:pt>
                <c:pt idx="360">
                  <c:v>143.35</c:v>
                </c:pt>
                <c:pt idx="361">
                  <c:v>144.78</c:v>
                </c:pt>
                <c:pt idx="362">
                  <c:v>144.97</c:v>
                </c:pt>
                <c:pt idx="363">
                  <c:v>145.91</c:v>
                </c:pt>
                <c:pt idx="364">
                  <c:v>146.03</c:v>
                </c:pt>
                <c:pt idx="365">
                  <c:v>148.85</c:v>
                </c:pt>
                <c:pt idx="366">
                  <c:v>148.19</c:v>
                </c:pt>
                <c:pt idx="367">
                  <c:v>149.55000000000001</c:v>
                </c:pt>
                <c:pt idx="368">
                  <c:v>146.86000000000001</c:v>
                </c:pt>
                <c:pt idx="369">
                  <c:v>143.55000000000001</c:v>
                </c:pt>
                <c:pt idx="370">
                  <c:v>143.22999999999999</c:v>
                </c:pt>
                <c:pt idx="371">
                  <c:v>144.44</c:v>
                </c:pt>
                <c:pt idx="372">
                  <c:v>143.79</c:v>
                </c:pt>
                <c:pt idx="373">
                  <c:v>143.19</c:v>
                </c:pt>
                <c:pt idx="374">
                  <c:v>145.57</c:v>
                </c:pt>
                <c:pt idx="375">
                  <c:v>147.97999999999999</c:v>
                </c:pt>
                <c:pt idx="376">
                  <c:v>148.37</c:v>
                </c:pt>
                <c:pt idx="377">
                  <c:v>147.4</c:v>
                </c:pt>
                <c:pt idx="378">
                  <c:v>153.24</c:v>
                </c:pt>
                <c:pt idx="379">
                  <c:v>153.02000000000001</c:v>
                </c:pt>
                <c:pt idx="380">
                  <c:v>154.16999999999999</c:v>
                </c:pt>
                <c:pt idx="381">
                  <c:v>155.31</c:v>
                </c:pt>
                <c:pt idx="382">
                  <c:v>151.65</c:v>
                </c:pt>
                <c:pt idx="383">
                  <c:v>150.69</c:v>
                </c:pt>
                <c:pt idx="384">
                  <c:v>149.91999999999999</c:v>
                </c:pt>
                <c:pt idx="385">
                  <c:v>151.38</c:v>
                </c:pt>
                <c:pt idx="386">
                  <c:v>150.04</c:v>
                </c:pt>
                <c:pt idx="387">
                  <c:v>149.68</c:v>
                </c:pt>
                <c:pt idx="388">
                  <c:v>150.04</c:v>
                </c:pt>
                <c:pt idx="389">
                  <c:v>153.12</c:v>
                </c:pt>
                <c:pt idx="390">
                  <c:v>155.83000000000001</c:v>
                </c:pt>
                <c:pt idx="391">
                  <c:v>154.84</c:v>
                </c:pt>
                <c:pt idx="392">
                  <c:v>156.28</c:v>
                </c:pt>
                <c:pt idx="393">
                  <c:v>157.03</c:v>
                </c:pt>
                <c:pt idx="394">
                  <c:v>153.56</c:v>
                </c:pt>
                <c:pt idx="395">
                  <c:v>151.63999999999999</c:v>
                </c:pt>
                <c:pt idx="396">
                  <c:v>151.4</c:v>
                </c:pt>
                <c:pt idx="397">
                  <c:v>151.04</c:v>
                </c:pt>
                <c:pt idx="398">
                  <c:v>153.04</c:v>
                </c:pt>
                <c:pt idx="399">
                  <c:v>152.78</c:v>
                </c:pt>
                <c:pt idx="400">
                  <c:v>153.16</c:v>
                </c:pt>
                <c:pt idx="401">
                  <c:v>155.01</c:v>
                </c:pt>
                <c:pt idx="402">
                  <c:v>153.44999999999999</c:v>
                </c:pt>
                <c:pt idx="403">
                  <c:v>154.44</c:v>
                </c:pt>
                <c:pt idx="404">
                  <c:v>155.87</c:v>
                </c:pt>
                <c:pt idx="405">
                  <c:v>155.16</c:v>
                </c:pt>
                <c:pt idx="406">
                  <c:v>156.55000000000001</c:v>
                </c:pt>
                <c:pt idx="407">
                  <c:v>155.32</c:v>
                </c:pt>
                <c:pt idx="408">
                  <c:v>152</c:v>
                </c:pt>
                <c:pt idx="409">
                  <c:v>153.22</c:v>
                </c:pt>
                <c:pt idx="410">
                  <c:v>155.55000000000001</c:v>
                </c:pt>
                <c:pt idx="411">
                  <c:v>158.18</c:v>
                </c:pt>
                <c:pt idx="412">
                  <c:v>158.19999999999999</c:v>
                </c:pt>
                <c:pt idx="413">
                  <c:v>157.36000000000001</c:v>
                </c:pt>
                <c:pt idx="414">
                  <c:v>159.24</c:v>
                </c:pt>
                <c:pt idx="415">
                  <c:v>159.32</c:v>
                </c:pt>
                <c:pt idx="416">
                  <c:v>160.6</c:v>
                </c:pt>
                <c:pt idx="417">
                  <c:v>161.83000000000001</c:v>
                </c:pt>
                <c:pt idx="418">
                  <c:v>158.06</c:v>
                </c:pt>
                <c:pt idx="419">
                  <c:v>157.69</c:v>
                </c:pt>
                <c:pt idx="420">
                  <c:v>153.66</c:v>
                </c:pt>
                <c:pt idx="421">
                  <c:v>154</c:v>
                </c:pt>
                <c:pt idx="422">
                  <c:v>154.85</c:v>
                </c:pt>
                <c:pt idx="423">
                  <c:v>157.79</c:v>
                </c:pt>
                <c:pt idx="424">
                  <c:v>158.25</c:v>
                </c:pt>
                <c:pt idx="425">
                  <c:v>157.11000000000001</c:v>
                </c:pt>
                <c:pt idx="426">
                  <c:v>157.31</c:v>
                </c:pt>
                <c:pt idx="427">
                  <c:v>159.54</c:v>
                </c:pt>
                <c:pt idx="428">
                  <c:v>160.09</c:v>
                </c:pt>
                <c:pt idx="429">
                  <c:v>158.84</c:v>
                </c:pt>
                <c:pt idx="430">
                  <c:v>156.21</c:v>
                </c:pt>
                <c:pt idx="431">
                  <c:v>156.05000000000001</c:v>
                </c:pt>
                <c:pt idx="432">
                  <c:v>157.41999999999999</c:v>
                </c:pt>
                <c:pt idx="433">
                  <c:v>159.18</c:v>
                </c:pt>
                <c:pt idx="434">
                  <c:v>160.72</c:v>
                </c:pt>
                <c:pt idx="435">
                  <c:v>160.16</c:v>
                </c:pt>
                <c:pt idx="436">
                  <c:v>156.1</c:v>
                </c:pt>
                <c:pt idx="437">
                  <c:v>155.29</c:v>
                </c:pt>
                <c:pt idx="438">
                  <c:v>154.58000000000001</c:v>
                </c:pt>
                <c:pt idx="439">
                  <c:v>153.37</c:v>
                </c:pt>
                <c:pt idx="440">
                  <c:v>153.55000000000001</c:v>
                </c:pt>
                <c:pt idx="441">
                  <c:v>154.02000000000001</c:v>
                </c:pt>
                <c:pt idx="442">
                  <c:v>154.91</c:v>
                </c:pt>
                <c:pt idx="443">
                  <c:v>153.74</c:v>
                </c:pt>
                <c:pt idx="444">
                  <c:v>151.63999999999999</c:v>
                </c:pt>
                <c:pt idx="445">
                  <c:v>148.9</c:v>
                </c:pt>
                <c:pt idx="446">
                  <c:v>151.94</c:v>
                </c:pt>
                <c:pt idx="447">
                  <c:v>152.38999999999999</c:v>
                </c:pt>
                <c:pt idx="448">
                  <c:v>152.11000000000001</c:v>
                </c:pt>
                <c:pt idx="449">
                  <c:v>151.71</c:v>
                </c:pt>
                <c:pt idx="450">
                  <c:v>153.08000000000001</c:v>
                </c:pt>
                <c:pt idx="451">
                  <c:v>154.47999999999999</c:v>
                </c:pt>
                <c:pt idx="452">
                  <c:v>153.79</c:v>
                </c:pt>
                <c:pt idx="453">
                  <c:v>155.57</c:v>
                </c:pt>
                <c:pt idx="454">
                  <c:v>156.56</c:v>
                </c:pt>
                <c:pt idx="455">
                  <c:v>155.56</c:v>
                </c:pt>
                <c:pt idx="456">
                  <c:v>155.28</c:v>
                </c:pt>
                <c:pt idx="457">
                  <c:v>154.13</c:v>
                </c:pt>
                <c:pt idx="458">
                  <c:v>155.1</c:v>
                </c:pt>
                <c:pt idx="459">
                  <c:v>153.52000000000001</c:v>
                </c:pt>
                <c:pt idx="460">
                  <c:v>157.72</c:v>
                </c:pt>
                <c:pt idx="461">
                  <c:v>154.04</c:v>
                </c:pt>
                <c:pt idx="462">
                  <c:v>153.38999999999999</c:v>
                </c:pt>
                <c:pt idx="463">
                  <c:v>152.66</c:v>
                </c:pt>
                <c:pt idx="464">
                  <c:v>152.94</c:v>
                </c:pt>
                <c:pt idx="465">
                  <c:v>155.02000000000001</c:v>
                </c:pt>
                <c:pt idx="466">
                  <c:v>155.65</c:v>
                </c:pt>
                <c:pt idx="467">
                  <c:v>156.24</c:v>
                </c:pt>
                <c:pt idx="468">
                  <c:v>153.32</c:v>
                </c:pt>
                <c:pt idx="469">
                  <c:v>155.58000000000001</c:v>
                </c:pt>
                <c:pt idx="470">
                  <c:v>157.62</c:v>
                </c:pt>
                <c:pt idx="471">
                  <c:v>154.82</c:v>
                </c:pt>
                <c:pt idx="472">
                  <c:v>153.62</c:v>
                </c:pt>
                <c:pt idx="473">
                  <c:v>151.69999999999999</c:v>
                </c:pt>
                <c:pt idx="474">
                  <c:v>150.31</c:v>
                </c:pt>
                <c:pt idx="475">
                  <c:v>149.97999999999999</c:v>
                </c:pt>
                <c:pt idx="476">
                  <c:v>149.75</c:v>
                </c:pt>
                <c:pt idx="477">
                  <c:v>148.53</c:v>
                </c:pt>
                <c:pt idx="478">
                  <c:v>149.51</c:v>
                </c:pt>
                <c:pt idx="479">
                  <c:v>151.13</c:v>
                </c:pt>
                <c:pt idx="480">
                  <c:v>152.54</c:v>
                </c:pt>
                <c:pt idx="481">
                  <c:v>150.25</c:v>
                </c:pt>
                <c:pt idx="482">
                  <c:v>151.59</c:v>
                </c:pt>
                <c:pt idx="483">
                  <c:v>152.26</c:v>
                </c:pt>
                <c:pt idx="484">
                  <c:v>150</c:v>
                </c:pt>
                <c:pt idx="485">
                  <c:v>148.71</c:v>
                </c:pt>
                <c:pt idx="486">
                  <c:v>148.49</c:v>
                </c:pt>
                <c:pt idx="487">
                  <c:v>151.41</c:v>
                </c:pt>
                <c:pt idx="488">
                  <c:v>150.72</c:v>
                </c:pt>
                <c:pt idx="489">
                  <c:v>149.99</c:v>
                </c:pt>
                <c:pt idx="490">
                  <c:v>149.80000000000001</c:v>
                </c:pt>
                <c:pt idx="491">
                  <c:v>146.75</c:v>
                </c:pt>
                <c:pt idx="492">
                  <c:v>149.52000000000001</c:v>
                </c:pt>
                <c:pt idx="493">
                  <c:v>147.69</c:v>
                </c:pt>
                <c:pt idx="494">
                  <c:v>147.75</c:v>
                </c:pt>
                <c:pt idx="495">
                  <c:v>149.80000000000001</c:v>
                </c:pt>
                <c:pt idx="496">
                  <c:v>150.51</c:v>
                </c:pt>
                <c:pt idx="497">
                  <c:v>150.5</c:v>
                </c:pt>
                <c:pt idx="498">
                  <c:v>150.02000000000001</c:v>
                </c:pt>
                <c:pt idx="499">
                  <c:v>150.99</c:v>
                </c:pt>
                <c:pt idx="500">
                  <c:v>152.31</c:v>
                </c:pt>
                <c:pt idx="501">
                  <c:v>152.41</c:v>
                </c:pt>
                <c:pt idx="502">
                  <c:v>155.9</c:v>
                </c:pt>
                <c:pt idx="503">
                  <c:v>163.85</c:v>
                </c:pt>
                <c:pt idx="504">
                  <c:v>156.54</c:v>
                </c:pt>
                <c:pt idx="505">
                  <c:v>155.19999999999999</c:v>
                </c:pt>
                <c:pt idx="506">
                  <c:v>159.25</c:v>
                </c:pt>
                <c:pt idx="507">
                  <c:v>162.11000000000001</c:v>
                </c:pt>
                <c:pt idx="508">
                  <c:v>162.34</c:v>
                </c:pt>
                <c:pt idx="509">
                  <c:v>163.87</c:v>
                </c:pt>
                <c:pt idx="510">
                  <c:v>167.24</c:v>
                </c:pt>
                <c:pt idx="511">
                  <c:v>166.16</c:v>
                </c:pt>
                <c:pt idx="512">
                  <c:v>166.26</c:v>
                </c:pt>
                <c:pt idx="513">
                  <c:v>165.3</c:v>
                </c:pt>
                <c:pt idx="514">
                  <c:v>166.73</c:v>
                </c:pt>
                <c:pt idx="515">
                  <c:v>166.66</c:v>
                </c:pt>
                <c:pt idx="516">
                  <c:v>166.72</c:v>
                </c:pt>
                <c:pt idx="517">
                  <c:v>167.5</c:v>
                </c:pt>
                <c:pt idx="518">
                  <c:v>169.05</c:v>
                </c:pt>
                <c:pt idx="519">
                  <c:v>169.93</c:v>
                </c:pt>
                <c:pt idx="520">
                  <c:v>171.19</c:v>
                </c:pt>
                <c:pt idx="521">
                  <c:v>176.9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FB-4536-BB01-2BC035A9E0F4}"/>
            </c:ext>
          </c:extLst>
        </c:ser>
        <c:ser>
          <c:idx val="1"/>
          <c:order val="1"/>
          <c:tx>
            <c:strRef>
              <c:f>Data!$J$1</c:f>
              <c:strCache>
                <c:ptCount val="1"/>
                <c:pt idx="0">
                  <c:v>20d SMA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Data!$J$2:$J$523</c:f>
              <c:numCache>
                <c:formatCode>General</c:formatCode>
                <c:ptCount val="522"/>
                <c:pt idx="19">
                  <c:v>146.61999999999998</c:v>
                </c:pt>
                <c:pt idx="20">
                  <c:v>146.51749999999998</c:v>
                </c:pt>
                <c:pt idx="21">
                  <c:v>146.29549999999998</c:v>
                </c:pt>
                <c:pt idx="22">
                  <c:v>146.37449999999998</c:v>
                </c:pt>
                <c:pt idx="23">
                  <c:v>146.47099999999995</c:v>
                </c:pt>
                <c:pt idx="24">
                  <c:v>146.61349999999996</c:v>
                </c:pt>
                <c:pt idx="25">
                  <c:v>146.93499999999997</c:v>
                </c:pt>
                <c:pt idx="26">
                  <c:v>147.41300000000001</c:v>
                </c:pt>
                <c:pt idx="27">
                  <c:v>147.70099999999996</c:v>
                </c:pt>
                <c:pt idx="28">
                  <c:v>147.94149999999999</c:v>
                </c:pt>
                <c:pt idx="29">
                  <c:v>148.28699999999998</c:v>
                </c:pt>
                <c:pt idx="30">
                  <c:v>148.6815</c:v>
                </c:pt>
                <c:pt idx="31">
                  <c:v>149.31349999999998</c:v>
                </c:pt>
                <c:pt idx="32">
                  <c:v>149.93299999999999</c:v>
                </c:pt>
                <c:pt idx="33">
                  <c:v>150.5085</c:v>
                </c:pt>
                <c:pt idx="34">
                  <c:v>151.17599999999999</c:v>
                </c:pt>
                <c:pt idx="35">
                  <c:v>151.70149999999998</c:v>
                </c:pt>
                <c:pt idx="36">
                  <c:v>152.006</c:v>
                </c:pt>
                <c:pt idx="37">
                  <c:v>152.27149999999997</c:v>
                </c:pt>
                <c:pt idx="38">
                  <c:v>152.42549999999997</c:v>
                </c:pt>
                <c:pt idx="39">
                  <c:v>152.53649999999999</c:v>
                </c:pt>
                <c:pt idx="40">
                  <c:v>152.76549999999997</c:v>
                </c:pt>
                <c:pt idx="41">
                  <c:v>153.01149999999996</c:v>
                </c:pt>
                <c:pt idx="42">
                  <c:v>152.84350000000001</c:v>
                </c:pt>
                <c:pt idx="43">
                  <c:v>152.70650000000003</c:v>
                </c:pt>
                <c:pt idx="44">
                  <c:v>152.50550000000004</c:v>
                </c:pt>
                <c:pt idx="45">
                  <c:v>152.36750000000004</c:v>
                </c:pt>
                <c:pt idx="46">
                  <c:v>152.15850000000003</c:v>
                </c:pt>
                <c:pt idx="47">
                  <c:v>152.20650000000003</c:v>
                </c:pt>
                <c:pt idx="48">
                  <c:v>152.197</c:v>
                </c:pt>
                <c:pt idx="49">
                  <c:v>152.36150000000001</c:v>
                </c:pt>
                <c:pt idx="50">
                  <c:v>152.59599999999998</c:v>
                </c:pt>
                <c:pt idx="51">
                  <c:v>152.65049999999999</c:v>
                </c:pt>
                <c:pt idx="52">
                  <c:v>152.68949999999998</c:v>
                </c:pt>
                <c:pt idx="53">
                  <c:v>152.82049999999998</c:v>
                </c:pt>
                <c:pt idx="54">
                  <c:v>152.77600000000001</c:v>
                </c:pt>
                <c:pt idx="55">
                  <c:v>152.7475</c:v>
                </c:pt>
                <c:pt idx="56">
                  <c:v>152.7475</c:v>
                </c:pt>
                <c:pt idx="57">
                  <c:v>152.84849999999997</c:v>
                </c:pt>
                <c:pt idx="58">
                  <c:v>153.00399999999996</c:v>
                </c:pt>
                <c:pt idx="59">
                  <c:v>153.2045</c:v>
                </c:pt>
                <c:pt idx="60">
                  <c:v>153.49099999999999</c:v>
                </c:pt>
                <c:pt idx="61">
                  <c:v>153.80449999999996</c:v>
                </c:pt>
                <c:pt idx="62">
                  <c:v>154.34949999999998</c:v>
                </c:pt>
                <c:pt idx="63">
                  <c:v>154.892</c:v>
                </c:pt>
                <c:pt idx="64">
                  <c:v>155.51000000000002</c:v>
                </c:pt>
                <c:pt idx="65">
                  <c:v>156.12150000000003</c:v>
                </c:pt>
                <c:pt idx="66">
                  <c:v>156.691</c:v>
                </c:pt>
                <c:pt idx="67">
                  <c:v>157.191</c:v>
                </c:pt>
                <c:pt idx="68">
                  <c:v>157.72999999999999</c:v>
                </c:pt>
                <c:pt idx="69">
                  <c:v>158.12999999999997</c:v>
                </c:pt>
                <c:pt idx="70">
                  <c:v>158.29299999999998</c:v>
                </c:pt>
                <c:pt idx="71">
                  <c:v>158.39500000000001</c:v>
                </c:pt>
                <c:pt idx="72">
                  <c:v>158.43850000000003</c:v>
                </c:pt>
                <c:pt idx="73">
                  <c:v>158.42750000000004</c:v>
                </c:pt>
                <c:pt idx="74">
                  <c:v>158.57850000000002</c:v>
                </c:pt>
                <c:pt idx="75">
                  <c:v>158.83550000000002</c:v>
                </c:pt>
                <c:pt idx="76">
                  <c:v>159.19850000000002</c:v>
                </c:pt>
                <c:pt idx="77">
                  <c:v>159.51750000000004</c:v>
                </c:pt>
                <c:pt idx="78">
                  <c:v>159.93250000000006</c:v>
                </c:pt>
                <c:pt idx="79">
                  <c:v>160.37900000000005</c:v>
                </c:pt>
                <c:pt idx="80">
                  <c:v>160.78650000000002</c:v>
                </c:pt>
                <c:pt idx="81">
                  <c:v>161.14900000000003</c:v>
                </c:pt>
                <c:pt idx="82">
                  <c:v>161.2235</c:v>
                </c:pt>
                <c:pt idx="83">
                  <c:v>161.18299999999999</c:v>
                </c:pt>
                <c:pt idx="84">
                  <c:v>161.185</c:v>
                </c:pt>
                <c:pt idx="85">
                  <c:v>161.11750000000001</c:v>
                </c:pt>
                <c:pt idx="86">
                  <c:v>161.16900000000001</c:v>
                </c:pt>
                <c:pt idx="87">
                  <c:v>161.20250000000001</c:v>
                </c:pt>
                <c:pt idx="88">
                  <c:v>161.196</c:v>
                </c:pt>
                <c:pt idx="89">
                  <c:v>161.374</c:v>
                </c:pt>
                <c:pt idx="90">
                  <c:v>161.71700000000001</c:v>
                </c:pt>
                <c:pt idx="91">
                  <c:v>162.06400000000002</c:v>
                </c:pt>
                <c:pt idx="92">
                  <c:v>162.43050000000002</c:v>
                </c:pt>
                <c:pt idx="93">
                  <c:v>162.76300000000003</c:v>
                </c:pt>
                <c:pt idx="94">
                  <c:v>162.93900000000002</c:v>
                </c:pt>
                <c:pt idx="95">
                  <c:v>163.07250000000005</c:v>
                </c:pt>
                <c:pt idx="96">
                  <c:v>163.03350000000003</c:v>
                </c:pt>
                <c:pt idx="97">
                  <c:v>162.88950000000003</c:v>
                </c:pt>
                <c:pt idx="98">
                  <c:v>162.58950000000002</c:v>
                </c:pt>
                <c:pt idx="99">
                  <c:v>162.17250000000001</c:v>
                </c:pt>
                <c:pt idx="100">
                  <c:v>161.76550000000003</c:v>
                </c:pt>
                <c:pt idx="101">
                  <c:v>161.40100000000001</c:v>
                </c:pt>
                <c:pt idx="102">
                  <c:v>161.18249999999998</c:v>
                </c:pt>
                <c:pt idx="103">
                  <c:v>161.11399999999998</c:v>
                </c:pt>
                <c:pt idx="104">
                  <c:v>161.19250000000002</c:v>
                </c:pt>
                <c:pt idx="105">
                  <c:v>161.05300000000003</c:v>
                </c:pt>
                <c:pt idx="106">
                  <c:v>160.74450000000002</c:v>
                </c:pt>
                <c:pt idx="107">
                  <c:v>160.36000000000001</c:v>
                </c:pt>
                <c:pt idx="108">
                  <c:v>160.02950000000001</c:v>
                </c:pt>
                <c:pt idx="109">
                  <c:v>159.56100000000001</c:v>
                </c:pt>
                <c:pt idx="110">
                  <c:v>159.10700000000003</c:v>
                </c:pt>
                <c:pt idx="111">
                  <c:v>158.70499999999998</c:v>
                </c:pt>
                <c:pt idx="112">
                  <c:v>158.23549999999997</c:v>
                </c:pt>
                <c:pt idx="113">
                  <c:v>157.72499999999997</c:v>
                </c:pt>
                <c:pt idx="114">
                  <c:v>157.29899999999998</c:v>
                </c:pt>
                <c:pt idx="115">
                  <c:v>156.82499999999999</c:v>
                </c:pt>
                <c:pt idx="116">
                  <c:v>156.43450000000001</c:v>
                </c:pt>
                <c:pt idx="117">
                  <c:v>156.26799999999997</c:v>
                </c:pt>
                <c:pt idx="118">
                  <c:v>156.15350000000004</c:v>
                </c:pt>
                <c:pt idx="119">
                  <c:v>156.27200000000002</c:v>
                </c:pt>
                <c:pt idx="120">
                  <c:v>156.3075</c:v>
                </c:pt>
                <c:pt idx="121">
                  <c:v>156.15299999999996</c:v>
                </c:pt>
                <c:pt idx="122">
                  <c:v>156.124</c:v>
                </c:pt>
                <c:pt idx="123">
                  <c:v>156.03199999999998</c:v>
                </c:pt>
                <c:pt idx="124">
                  <c:v>155.74299999999999</c:v>
                </c:pt>
                <c:pt idx="125">
                  <c:v>155.70750000000001</c:v>
                </c:pt>
                <c:pt idx="126">
                  <c:v>155.73649999999998</c:v>
                </c:pt>
                <c:pt idx="127">
                  <c:v>155.70300000000003</c:v>
                </c:pt>
                <c:pt idx="128">
                  <c:v>155.62299999999999</c:v>
                </c:pt>
                <c:pt idx="129">
                  <c:v>155.46799999999999</c:v>
                </c:pt>
                <c:pt idx="130">
                  <c:v>155.38750000000002</c:v>
                </c:pt>
                <c:pt idx="131">
                  <c:v>155.32600000000002</c:v>
                </c:pt>
                <c:pt idx="132">
                  <c:v>155.39450000000002</c:v>
                </c:pt>
                <c:pt idx="133">
                  <c:v>155.65450000000001</c:v>
                </c:pt>
                <c:pt idx="134">
                  <c:v>155.91450000000003</c:v>
                </c:pt>
                <c:pt idx="135">
                  <c:v>156.31649999999999</c:v>
                </c:pt>
                <c:pt idx="136">
                  <c:v>156.74849999999998</c:v>
                </c:pt>
                <c:pt idx="137">
                  <c:v>156.87399999999997</c:v>
                </c:pt>
                <c:pt idx="138">
                  <c:v>156.95949999999999</c:v>
                </c:pt>
                <c:pt idx="139">
                  <c:v>156.69849999999997</c:v>
                </c:pt>
                <c:pt idx="140">
                  <c:v>156.52900000000002</c:v>
                </c:pt>
                <c:pt idx="141">
                  <c:v>156.60849999999999</c:v>
                </c:pt>
                <c:pt idx="142">
                  <c:v>156.68450000000001</c:v>
                </c:pt>
                <c:pt idx="143">
                  <c:v>156.6935</c:v>
                </c:pt>
                <c:pt idx="144">
                  <c:v>156.84600000000003</c:v>
                </c:pt>
                <c:pt idx="145">
                  <c:v>157.03200000000001</c:v>
                </c:pt>
                <c:pt idx="146">
                  <c:v>156.82750000000001</c:v>
                </c:pt>
                <c:pt idx="147">
                  <c:v>156.53950000000003</c:v>
                </c:pt>
                <c:pt idx="148">
                  <c:v>156.05599999999998</c:v>
                </c:pt>
                <c:pt idx="149">
                  <c:v>155.5685</c:v>
                </c:pt>
                <c:pt idx="150">
                  <c:v>154.93249999999995</c:v>
                </c:pt>
                <c:pt idx="151">
                  <c:v>154.39399999999995</c:v>
                </c:pt>
                <c:pt idx="152">
                  <c:v>153.86399999999995</c:v>
                </c:pt>
                <c:pt idx="153">
                  <c:v>153.21299999999999</c:v>
                </c:pt>
                <c:pt idx="154">
                  <c:v>152.53199999999998</c:v>
                </c:pt>
                <c:pt idx="155">
                  <c:v>151.70400000000001</c:v>
                </c:pt>
                <c:pt idx="156">
                  <c:v>150.94549999999998</c:v>
                </c:pt>
                <c:pt idx="157">
                  <c:v>150.35150000000002</c:v>
                </c:pt>
                <c:pt idx="158">
                  <c:v>149.84350000000001</c:v>
                </c:pt>
                <c:pt idx="159">
                  <c:v>149.37350000000004</c:v>
                </c:pt>
                <c:pt idx="160">
                  <c:v>148.88600000000002</c:v>
                </c:pt>
                <c:pt idx="161">
                  <c:v>148.29550000000003</c:v>
                </c:pt>
                <c:pt idx="162">
                  <c:v>147.78450000000001</c:v>
                </c:pt>
                <c:pt idx="163">
                  <c:v>147.37950000000001</c:v>
                </c:pt>
                <c:pt idx="164">
                  <c:v>146.74850000000001</c:v>
                </c:pt>
                <c:pt idx="165">
                  <c:v>146.02500000000001</c:v>
                </c:pt>
                <c:pt idx="166">
                  <c:v>145.76499999999999</c:v>
                </c:pt>
                <c:pt idx="167">
                  <c:v>145.73499999999996</c:v>
                </c:pt>
                <c:pt idx="168">
                  <c:v>145.73499999999996</c:v>
                </c:pt>
                <c:pt idx="169">
                  <c:v>145.67699999999996</c:v>
                </c:pt>
                <c:pt idx="170">
                  <c:v>145.60299999999998</c:v>
                </c:pt>
                <c:pt idx="171">
                  <c:v>145.30649999999997</c:v>
                </c:pt>
                <c:pt idx="172">
                  <c:v>145.072</c:v>
                </c:pt>
                <c:pt idx="173">
                  <c:v>144.73250000000002</c:v>
                </c:pt>
                <c:pt idx="174">
                  <c:v>144.41900000000001</c:v>
                </c:pt>
                <c:pt idx="175">
                  <c:v>144.14600000000002</c:v>
                </c:pt>
                <c:pt idx="176">
                  <c:v>143.83650000000006</c:v>
                </c:pt>
                <c:pt idx="177">
                  <c:v>143.57750000000004</c:v>
                </c:pt>
                <c:pt idx="178">
                  <c:v>143.40649999999999</c:v>
                </c:pt>
                <c:pt idx="179">
                  <c:v>143.37</c:v>
                </c:pt>
                <c:pt idx="180">
                  <c:v>143.3535</c:v>
                </c:pt>
                <c:pt idx="181">
                  <c:v>143.351</c:v>
                </c:pt>
                <c:pt idx="182">
                  <c:v>143.34700000000001</c:v>
                </c:pt>
                <c:pt idx="183">
                  <c:v>143.2945</c:v>
                </c:pt>
                <c:pt idx="184">
                  <c:v>143.1455</c:v>
                </c:pt>
                <c:pt idx="185">
                  <c:v>142.94499999999999</c:v>
                </c:pt>
                <c:pt idx="186">
                  <c:v>142.84849999999997</c:v>
                </c:pt>
                <c:pt idx="187">
                  <c:v>142.81449999999998</c:v>
                </c:pt>
                <c:pt idx="188">
                  <c:v>143.06649999999996</c:v>
                </c:pt>
                <c:pt idx="189">
                  <c:v>143.51049999999998</c:v>
                </c:pt>
                <c:pt idx="190">
                  <c:v>144.0265</c:v>
                </c:pt>
                <c:pt idx="191">
                  <c:v>144.63550000000001</c:v>
                </c:pt>
                <c:pt idx="192">
                  <c:v>145.17649999999998</c:v>
                </c:pt>
                <c:pt idx="193">
                  <c:v>145.70250000000001</c:v>
                </c:pt>
                <c:pt idx="194">
                  <c:v>146.291</c:v>
                </c:pt>
                <c:pt idx="195">
                  <c:v>146.86150000000001</c:v>
                </c:pt>
                <c:pt idx="196">
                  <c:v>147.40200000000002</c:v>
                </c:pt>
                <c:pt idx="197">
                  <c:v>147.88650000000001</c:v>
                </c:pt>
                <c:pt idx="198">
                  <c:v>148.10250000000002</c:v>
                </c:pt>
                <c:pt idx="199">
                  <c:v>148.34100000000004</c:v>
                </c:pt>
                <c:pt idx="200">
                  <c:v>148.6515</c:v>
                </c:pt>
                <c:pt idx="201">
                  <c:v>148.90500000000003</c:v>
                </c:pt>
                <c:pt idx="202">
                  <c:v>149.072</c:v>
                </c:pt>
                <c:pt idx="203">
                  <c:v>149.24550000000002</c:v>
                </c:pt>
                <c:pt idx="204">
                  <c:v>149.571</c:v>
                </c:pt>
                <c:pt idx="205">
                  <c:v>149.99399999999997</c:v>
                </c:pt>
                <c:pt idx="206">
                  <c:v>150.26000000000002</c:v>
                </c:pt>
                <c:pt idx="207">
                  <c:v>150.42350000000002</c:v>
                </c:pt>
                <c:pt idx="208">
                  <c:v>150.36449999999999</c:v>
                </c:pt>
                <c:pt idx="209">
                  <c:v>150.21949999999998</c:v>
                </c:pt>
                <c:pt idx="210">
                  <c:v>150.09800000000001</c:v>
                </c:pt>
                <c:pt idx="211">
                  <c:v>150.21450000000002</c:v>
                </c:pt>
                <c:pt idx="212">
                  <c:v>150.35700000000003</c:v>
                </c:pt>
                <c:pt idx="213">
                  <c:v>150.59</c:v>
                </c:pt>
                <c:pt idx="214">
                  <c:v>150.99350000000001</c:v>
                </c:pt>
                <c:pt idx="215">
                  <c:v>151.30099999999999</c:v>
                </c:pt>
                <c:pt idx="216">
                  <c:v>151.57649999999995</c:v>
                </c:pt>
                <c:pt idx="217">
                  <c:v>151.81249999999994</c:v>
                </c:pt>
                <c:pt idx="218">
                  <c:v>152.19049999999996</c:v>
                </c:pt>
                <c:pt idx="219">
                  <c:v>152.68999999999997</c:v>
                </c:pt>
                <c:pt idx="220">
                  <c:v>153.21999999999997</c:v>
                </c:pt>
                <c:pt idx="221">
                  <c:v>153.75349999999997</c:v>
                </c:pt>
                <c:pt idx="222">
                  <c:v>154.2475</c:v>
                </c:pt>
                <c:pt idx="223">
                  <c:v>154.68149999999997</c:v>
                </c:pt>
                <c:pt idx="224">
                  <c:v>155.22399999999999</c:v>
                </c:pt>
                <c:pt idx="225">
                  <c:v>155.78300000000002</c:v>
                </c:pt>
                <c:pt idx="226">
                  <c:v>156.3605</c:v>
                </c:pt>
                <c:pt idx="227">
                  <c:v>156.85150000000002</c:v>
                </c:pt>
                <c:pt idx="228">
                  <c:v>157.55200000000002</c:v>
                </c:pt>
                <c:pt idx="229">
                  <c:v>158.25500000000005</c:v>
                </c:pt>
                <c:pt idx="230">
                  <c:v>158.91050000000001</c:v>
                </c:pt>
                <c:pt idx="231">
                  <c:v>159.36750000000001</c:v>
                </c:pt>
                <c:pt idx="232">
                  <c:v>159.76500000000001</c:v>
                </c:pt>
                <c:pt idx="233">
                  <c:v>160.01050000000004</c:v>
                </c:pt>
                <c:pt idx="234">
                  <c:v>160.09100000000004</c:v>
                </c:pt>
                <c:pt idx="235">
                  <c:v>160.01450000000006</c:v>
                </c:pt>
                <c:pt idx="236">
                  <c:v>160.02199999999999</c:v>
                </c:pt>
                <c:pt idx="237">
                  <c:v>160.04700000000003</c:v>
                </c:pt>
                <c:pt idx="238">
                  <c:v>160.09299999999999</c:v>
                </c:pt>
                <c:pt idx="239">
                  <c:v>159.89250000000001</c:v>
                </c:pt>
                <c:pt idx="240">
                  <c:v>159.49600000000001</c:v>
                </c:pt>
                <c:pt idx="241">
                  <c:v>158.893</c:v>
                </c:pt>
                <c:pt idx="242">
                  <c:v>158.26050000000001</c:v>
                </c:pt>
                <c:pt idx="243">
                  <c:v>157.4845</c:v>
                </c:pt>
                <c:pt idx="244">
                  <c:v>156.47550000000001</c:v>
                </c:pt>
                <c:pt idx="245">
                  <c:v>155.53649999999999</c:v>
                </c:pt>
                <c:pt idx="246">
                  <c:v>154.56699999999998</c:v>
                </c:pt>
                <c:pt idx="247">
                  <c:v>153.74100000000001</c:v>
                </c:pt>
                <c:pt idx="248">
                  <c:v>152.8135</c:v>
                </c:pt>
                <c:pt idx="249">
                  <c:v>151.90800000000002</c:v>
                </c:pt>
                <c:pt idx="250">
                  <c:v>150.965</c:v>
                </c:pt>
                <c:pt idx="251">
                  <c:v>150.09650000000005</c:v>
                </c:pt>
                <c:pt idx="252">
                  <c:v>149.33600000000004</c:v>
                </c:pt>
                <c:pt idx="253">
                  <c:v>148.81250000000003</c:v>
                </c:pt>
                <c:pt idx="254">
                  <c:v>148.209</c:v>
                </c:pt>
                <c:pt idx="255">
                  <c:v>147.92650000000003</c:v>
                </c:pt>
                <c:pt idx="256">
                  <c:v>147.58750000000003</c:v>
                </c:pt>
                <c:pt idx="257">
                  <c:v>147.39449999999999</c:v>
                </c:pt>
                <c:pt idx="258">
                  <c:v>147.35149999999999</c:v>
                </c:pt>
                <c:pt idx="259">
                  <c:v>147.46099999999998</c:v>
                </c:pt>
                <c:pt idx="260">
                  <c:v>147.684</c:v>
                </c:pt>
                <c:pt idx="261">
                  <c:v>148.185</c:v>
                </c:pt>
                <c:pt idx="262">
                  <c:v>148.85299999999998</c:v>
                </c:pt>
                <c:pt idx="263">
                  <c:v>149.56099999999998</c:v>
                </c:pt>
                <c:pt idx="264">
                  <c:v>150.32399999999998</c:v>
                </c:pt>
                <c:pt idx="265">
                  <c:v>150.98199999999997</c:v>
                </c:pt>
                <c:pt idx="266">
                  <c:v>151.61600000000001</c:v>
                </c:pt>
                <c:pt idx="267">
                  <c:v>152.28550000000001</c:v>
                </c:pt>
                <c:pt idx="268">
                  <c:v>152.89700000000002</c:v>
                </c:pt>
                <c:pt idx="269">
                  <c:v>153.48150000000004</c:v>
                </c:pt>
                <c:pt idx="270">
                  <c:v>154.14400000000001</c:v>
                </c:pt>
                <c:pt idx="271">
                  <c:v>154.36150000000004</c:v>
                </c:pt>
                <c:pt idx="272">
                  <c:v>154.49300000000002</c:v>
                </c:pt>
                <c:pt idx="273">
                  <c:v>154.76150000000001</c:v>
                </c:pt>
                <c:pt idx="274">
                  <c:v>155.048</c:v>
                </c:pt>
                <c:pt idx="275">
                  <c:v>155.1635</c:v>
                </c:pt>
                <c:pt idx="276">
                  <c:v>155.27950000000004</c:v>
                </c:pt>
                <c:pt idx="277">
                  <c:v>155.411</c:v>
                </c:pt>
                <c:pt idx="278">
                  <c:v>155.5155</c:v>
                </c:pt>
                <c:pt idx="279">
                  <c:v>155.41550000000001</c:v>
                </c:pt>
                <c:pt idx="280">
                  <c:v>155.29300000000001</c:v>
                </c:pt>
                <c:pt idx="281">
                  <c:v>155.09100000000001</c:v>
                </c:pt>
                <c:pt idx="282">
                  <c:v>154.82550000000001</c:v>
                </c:pt>
                <c:pt idx="283">
                  <c:v>154.77500000000003</c:v>
                </c:pt>
                <c:pt idx="284">
                  <c:v>154.89400000000001</c:v>
                </c:pt>
                <c:pt idx="285">
                  <c:v>154.93950000000001</c:v>
                </c:pt>
                <c:pt idx="286">
                  <c:v>155.0515</c:v>
                </c:pt>
                <c:pt idx="287">
                  <c:v>155.01100000000002</c:v>
                </c:pt>
                <c:pt idx="288">
                  <c:v>154.95750000000001</c:v>
                </c:pt>
                <c:pt idx="289">
                  <c:v>155.00650000000002</c:v>
                </c:pt>
                <c:pt idx="290">
                  <c:v>155.1215</c:v>
                </c:pt>
                <c:pt idx="291">
                  <c:v>155.31649999999999</c:v>
                </c:pt>
                <c:pt idx="292">
                  <c:v>155.4495</c:v>
                </c:pt>
                <c:pt idx="293">
                  <c:v>155.32900000000001</c:v>
                </c:pt>
                <c:pt idx="294">
                  <c:v>155.327</c:v>
                </c:pt>
                <c:pt idx="295">
                  <c:v>155.54900000000001</c:v>
                </c:pt>
                <c:pt idx="296">
                  <c:v>155.79650000000001</c:v>
                </c:pt>
                <c:pt idx="297">
                  <c:v>155.71200000000002</c:v>
                </c:pt>
                <c:pt idx="298">
                  <c:v>155.4735</c:v>
                </c:pt>
                <c:pt idx="299">
                  <c:v>155.40900000000002</c:v>
                </c:pt>
                <c:pt idx="300">
                  <c:v>155.46600000000001</c:v>
                </c:pt>
                <c:pt idx="301">
                  <c:v>155.63499999999999</c:v>
                </c:pt>
                <c:pt idx="302">
                  <c:v>155.86749999999998</c:v>
                </c:pt>
                <c:pt idx="303">
                  <c:v>156.20849999999999</c:v>
                </c:pt>
                <c:pt idx="304">
                  <c:v>156.50749999999999</c:v>
                </c:pt>
                <c:pt idx="305">
                  <c:v>156.89899999999997</c:v>
                </c:pt>
                <c:pt idx="306">
                  <c:v>157.25549999999998</c:v>
                </c:pt>
                <c:pt idx="307">
                  <c:v>157.73149999999998</c:v>
                </c:pt>
                <c:pt idx="308">
                  <c:v>158.37299999999999</c:v>
                </c:pt>
                <c:pt idx="309">
                  <c:v>158.87200000000001</c:v>
                </c:pt>
                <c:pt idx="310">
                  <c:v>159.24549999999999</c:v>
                </c:pt>
                <c:pt idx="311">
                  <c:v>159.9555</c:v>
                </c:pt>
                <c:pt idx="312">
                  <c:v>160.78100000000001</c:v>
                </c:pt>
                <c:pt idx="313">
                  <c:v>161.56400000000002</c:v>
                </c:pt>
                <c:pt idx="314">
                  <c:v>161.72249999999997</c:v>
                </c:pt>
                <c:pt idx="315">
                  <c:v>161.06950000000001</c:v>
                </c:pt>
                <c:pt idx="316">
                  <c:v>160.1985</c:v>
                </c:pt>
                <c:pt idx="317">
                  <c:v>159.34099999999998</c:v>
                </c:pt>
                <c:pt idx="318">
                  <c:v>159.00899999999999</c:v>
                </c:pt>
                <c:pt idx="319">
                  <c:v>158.07750000000001</c:v>
                </c:pt>
                <c:pt idx="320">
                  <c:v>157.00800000000001</c:v>
                </c:pt>
                <c:pt idx="321">
                  <c:v>155.83800000000002</c:v>
                </c:pt>
                <c:pt idx="322">
                  <c:v>154.52450000000005</c:v>
                </c:pt>
                <c:pt idx="323">
                  <c:v>153.09</c:v>
                </c:pt>
                <c:pt idx="324">
                  <c:v>151.74500000000003</c:v>
                </c:pt>
                <c:pt idx="325">
                  <c:v>150.19400000000002</c:v>
                </c:pt>
                <c:pt idx="326">
                  <c:v>148.80800000000002</c:v>
                </c:pt>
                <c:pt idx="327">
                  <c:v>147.345</c:v>
                </c:pt>
                <c:pt idx="328">
                  <c:v>145.90000000000003</c:v>
                </c:pt>
                <c:pt idx="329">
                  <c:v>144.50399999999999</c:v>
                </c:pt>
                <c:pt idx="330">
                  <c:v>143.2045</c:v>
                </c:pt>
                <c:pt idx="331">
                  <c:v>141.80500000000001</c:v>
                </c:pt>
                <c:pt idx="332">
                  <c:v>140.1825</c:v>
                </c:pt>
                <c:pt idx="333">
                  <c:v>138.67200000000003</c:v>
                </c:pt>
                <c:pt idx="334">
                  <c:v>137.791</c:v>
                </c:pt>
                <c:pt idx="335">
                  <c:v>137.40199999999999</c:v>
                </c:pt>
                <c:pt idx="336">
                  <c:v>137.17450000000002</c:v>
                </c:pt>
                <c:pt idx="337">
                  <c:v>137.11750000000001</c:v>
                </c:pt>
                <c:pt idx="338">
                  <c:v>136.66799999999998</c:v>
                </c:pt>
                <c:pt idx="339">
                  <c:v>136.84350000000001</c:v>
                </c:pt>
                <c:pt idx="340">
                  <c:v>137.14299999999997</c:v>
                </c:pt>
                <c:pt idx="341">
                  <c:v>137.49449999999999</c:v>
                </c:pt>
                <c:pt idx="342">
                  <c:v>137.851</c:v>
                </c:pt>
                <c:pt idx="343">
                  <c:v>138.196</c:v>
                </c:pt>
                <c:pt idx="344">
                  <c:v>138.40749999999997</c:v>
                </c:pt>
                <c:pt idx="345">
                  <c:v>138.6455</c:v>
                </c:pt>
                <c:pt idx="346">
                  <c:v>138.64399999999998</c:v>
                </c:pt>
                <c:pt idx="347">
                  <c:v>138.58800000000002</c:v>
                </c:pt>
                <c:pt idx="348">
                  <c:v>138.39899999999997</c:v>
                </c:pt>
                <c:pt idx="349">
                  <c:v>138.2895</c:v>
                </c:pt>
                <c:pt idx="350">
                  <c:v>138.17599999999999</c:v>
                </c:pt>
                <c:pt idx="351">
                  <c:v>138.01199999999997</c:v>
                </c:pt>
                <c:pt idx="352">
                  <c:v>138.10449999999997</c:v>
                </c:pt>
                <c:pt idx="353">
                  <c:v>138.12649999999996</c:v>
                </c:pt>
                <c:pt idx="354">
                  <c:v>138.09349999999998</c:v>
                </c:pt>
                <c:pt idx="355">
                  <c:v>138.29599999999999</c:v>
                </c:pt>
                <c:pt idx="356">
                  <c:v>138.38449999999997</c:v>
                </c:pt>
                <c:pt idx="357">
                  <c:v>138.44</c:v>
                </c:pt>
                <c:pt idx="358">
                  <c:v>138.5985</c:v>
                </c:pt>
                <c:pt idx="359">
                  <c:v>138.71199999999999</c:v>
                </c:pt>
                <c:pt idx="360">
                  <c:v>138.79849999999999</c:v>
                </c:pt>
                <c:pt idx="361">
                  <c:v>138.91999999999999</c:v>
                </c:pt>
                <c:pt idx="362">
                  <c:v>139.08500000000001</c:v>
                </c:pt>
                <c:pt idx="363">
                  <c:v>139.26749999999998</c:v>
                </c:pt>
                <c:pt idx="364">
                  <c:v>139.464</c:v>
                </c:pt>
                <c:pt idx="365">
                  <c:v>139.982</c:v>
                </c:pt>
                <c:pt idx="366">
                  <c:v>140.52799999999996</c:v>
                </c:pt>
                <c:pt idx="367">
                  <c:v>141.22750000000002</c:v>
                </c:pt>
                <c:pt idx="368">
                  <c:v>141.80600000000004</c:v>
                </c:pt>
                <c:pt idx="369">
                  <c:v>142.15650000000002</c:v>
                </c:pt>
                <c:pt idx="370">
                  <c:v>142.42650000000003</c:v>
                </c:pt>
                <c:pt idx="371">
                  <c:v>142.84750000000003</c:v>
                </c:pt>
                <c:pt idx="372">
                  <c:v>143.14150000000001</c:v>
                </c:pt>
                <c:pt idx="373">
                  <c:v>143.46600000000001</c:v>
                </c:pt>
                <c:pt idx="374">
                  <c:v>143.85250000000002</c:v>
                </c:pt>
                <c:pt idx="375">
                  <c:v>144.274</c:v>
                </c:pt>
                <c:pt idx="376">
                  <c:v>144.82400000000001</c:v>
                </c:pt>
                <c:pt idx="377">
                  <c:v>145.34900000000002</c:v>
                </c:pt>
                <c:pt idx="378">
                  <c:v>146.00050000000002</c:v>
                </c:pt>
                <c:pt idx="379">
                  <c:v>146.61349999999999</c:v>
                </c:pt>
                <c:pt idx="380">
                  <c:v>147.15449999999998</c:v>
                </c:pt>
                <c:pt idx="381">
                  <c:v>147.68099999999998</c:v>
                </c:pt>
                <c:pt idx="382">
                  <c:v>148.01500000000004</c:v>
                </c:pt>
                <c:pt idx="383">
                  <c:v>148.25399999999999</c:v>
                </c:pt>
                <c:pt idx="384">
                  <c:v>148.44850000000002</c:v>
                </c:pt>
                <c:pt idx="385">
                  <c:v>148.57500000000005</c:v>
                </c:pt>
                <c:pt idx="386">
                  <c:v>148.66750000000002</c:v>
                </c:pt>
                <c:pt idx="387">
                  <c:v>148.67400000000004</c:v>
                </c:pt>
                <c:pt idx="388">
                  <c:v>148.833</c:v>
                </c:pt>
                <c:pt idx="389">
                  <c:v>149.31149999999997</c:v>
                </c:pt>
                <c:pt idx="390">
                  <c:v>149.94149999999999</c:v>
                </c:pt>
                <c:pt idx="391">
                  <c:v>150.4615</c:v>
                </c:pt>
                <c:pt idx="392">
                  <c:v>151.08600000000001</c:v>
                </c:pt>
                <c:pt idx="393">
                  <c:v>151.77800000000002</c:v>
                </c:pt>
                <c:pt idx="394">
                  <c:v>152.17750000000004</c:v>
                </c:pt>
                <c:pt idx="395">
                  <c:v>152.36050000000003</c:v>
                </c:pt>
                <c:pt idx="396">
                  <c:v>152.512</c:v>
                </c:pt>
                <c:pt idx="397">
                  <c:v>152.69400000000002</c:v>
                </c:pt>
                <c:pt idx="398">
                  <c:v>152.684</c:v>
                </c:pt>
                <c:pt idx="399">
                  <c:v>152.672</c:v>
                </c:pt>
                <c:pt idx="400">
                  <c:v>152.6215</c:v>
                </c:pt>
                <c:pt idx="401">
                  <c:v>152.60650000000001</c:v>
                </c:pt>
                <c:pt idx="402">
                  <c:v>152.69649999999996</c:v>
                </c:pt>
                <c:pt idx="403">
                  <c:v>152.88399999999999</c:v>
                </c:pt>
                <c:pt idx="404">
                  <c:v>153.18149999999997</c:v>
                </c:pt>
                <c:pt idx="405">
                  <c:v>153.37049999999996</c:v>
                </c:pt>
                <c:pt idx="406">
                  <c:v>153.69599999999997</c:v>
                </c:pt>
                <c:pt idx="407">
                  <c:v>153.97800000000001</c:v>
                </c:pt>
                <c:pt idx="408">
                  <c:v>154.07600000000002</c:v>
                </c:pt>
                <c:pt idx="409">
                  <c:v>154.08099999999999</c:v>
                </c:pt>
                <c:pt idx="410">
                  <c:v>154.06700000000001</c:v>
                </c:pt>
                <c:pt idx="411">
                  <c:v>154.23400000000001</c:v>
                </c:pt>
                <c:pt idx="412">
                  <c:v>154.32999999999998</c:v>
                </c:pt>
                <c:pt idx="413">
                  <c:v>154.34649999999999</c:v>
                </c:pt>
                <c:pt idx="414">
                  <c:v>154.63049999999998</c:v>
                </c:pt>
                <c:pt idx="415">
                  <c:v>155.01450000000003</c:v>
                </c:pt>
                <c:pt idx="416">
                  <c:v>155.47449999999998</c:v>
                </c:pt>
                <c:pt idx="417">
                  <c:v>156.01399999999998</c:v>
                </c:pt>
                <c:pt idx="418">
                  <c:v>156.26499999999999</c:v>
                </c:pt>
                <c:pt idx="419">
                  <c:v>156.51050000000001</c:v>
                </c:pt>
                <c:pt idx="420">
                  <c:v>156.53550000000001</c:v>
                </c:pt>
                <c:pt idx="421">
                  <c:v>156.48499999999999</c:v>
                </c:pt>
                <c:pt idx="422">
                  <c:v>156.55499999999998</c:v>
                </c:pt>
                <c:pt idx="423">
                  <c:v>156.7225</c:v>
                </c:pt>
                <c:pt idx="424">
                  <c:v>156.84149999999997</c:v>
                </c:pt>
                <c:pt idx="425">
                  <c:v>156.93899999999999</c:v>
                </c:pt>
                <c:pt idx="426">
                  <c:v>156.97699999999998</c:v>
                </c:pt>
                <c:pt idx="427">
                  <c:v>157.18799999999999</c:v>
                </c:pt>
                <c:pt idx="428">
                  <c:v>157.5925</c:v>
                </c:pt>
                <c:pt idx="429">
                  <c:v>157.87350000000001</c:v>
                </c:pt>
                <c:pt idx="430">
                  <c:v>157.90650000000002</c:v>
                </c:pt>
                <c:pt idx="431">
                  <c:v>157.80000000000004</c:v>
                </c:pt>
                <c:pt idx="432">
                  <c:v>157.76100000000002</c:v>
                </c:pt>
                <c:pt idx="433">
                  <c:v>157.85200000000003</c:v>
                </c:pt>
                <c:pt idx="434">
                  <c:v>157.92599999999999</c:v>
                </c:pt>
                <c:pt idx="435">
                  <c:v>157.96800000000002</c:v>
                </c:pt>
                <c:pt idx="436">
                  <c:v>157.74299999999999</c:v>
                </c:pt>
                <c:pt idx="437">
                  <c:v>157.41599999999997</c:v>
                </c:pt>
                <c:pt idx="438">
                  <c:v>157.24199999999993</c:v>
                </c:pt>
                <c:pt idx="439">
                  <c:v>157.02599999999995</c:v>
                </c:pt>
                <c:pt idx="440">
                  <c:v>157.02049999999997</c:v>
                </c:pt>
                <c:pt idx="441">
                  <c:v>157.02149999999997</c:v>
                </c:pt>
                <c:pt idx="442">
                  <c:v>157.02449999999999</c:v>
                </c:pt>
                <c:pt idx="443">
                  <c:v>156.82200000000003</c:v>
                </c:pt>
                <c:pt idx="444">
                  <c:v>156.49150000000003</c:v>
                </c:pt>
                <c:pt idx="445">
                  <c:v>156.08099999999999</c:v>
                </c:pt>
                <c:pt idx="446">
                  <c:v>155.81249999999997</c:v>
                </c:pt>
                <c:pt idx="447">
                  <c:v>155.45499999999998</c:v>
                </c:pt>
                <c:pt idx="448">
                  <c:v>155.05600000000001</c:v>
                </c:pt>
                <c:pt idx="449">
                  <c:v>154.6995</c:v>
                </c:pt>
                <c:pt idx="450">
                  <c:v>154.54300000000001</c:v>
                </c:pt>
                <c:pt idx="451">
                  <c:v>154.46450000000002</c:v>
                </c:pt>
                <c:pt idx="452">
                  <c:v>154.28300000000002</c:v>
                </c:pt>
                <c:pt idx="453">
                  <c:v>154.10250000000002</c:v>
                </c:pt>
                <c:pt idx="454">
                  <c:v>153.89450000000002</c:v>
                </c:pt>
                <c:pt idx="455">
                  <c:v>153.66450000000003</c:v>
                </c:pt>
                <c:pt idx="456">
                  <c:v>153.62350000000001</c:v>
                </c:pt>
                <c:pt idx="457">
                  <c:v>153.56550000000001</c:v>
                </c:pt>
                <c:pt idx="458">
                  <c:v>153.59150000000002</c:v>
                </c:pt>
                <c:pt idx="459">
                  <c:v>153.59900000000002</c:v>
                </c:pt>
                <c:pt idx="460">
                  <c:v>153.8075</c:v>
                </c:pt>
                <c:pt idx="461">
                  <c:v>153.80849999999998</c:v>
                </c:pt>
                <c:pt idx="462">
                  <c:v>153.73249999999999</c:v>
                </c:pt>
                <c:pt idx="463">
                  <c:v>153.67849999999996</c:v>
                </c:pt>
                <c:pt idx="464">
                  <c:v>153.74349999999998</c:v>
                </c:pt>
                <c:pt idx="465">
                  <c:v>154.04949999999997</c:v>
                </c:pt>
                <c:pt idx="466">
                  <c:v>154.23499999999996</c:v>
                </c:pt>
                <c:pt idx="467">
                  <c:v>154.42750000000001</c:v>
                </c:pt>
                <c:pt idx="468">
                  <c:v>154.488</c:v>
                </c:pt>
                <c:pt idx="469">
                  <c:v>154.68149999999997</c:v>
                </c:pt>
                <c:pt idx="470">
                  <c:v>154.90849999999998</c:v>
                </c:pt>
                <c:pt idx="471">
                  <c:v>154.9255</c:v>
                </c:pt>
                <c:pt idx="472">
                  <c:v>154.917</c:v>
                </c:pt>
                <c:pt idx="473">
                  <c:v>154.7235</c:v>
                </c:pt>
                <c:pt idx="474">
                  <c:v>154.411</c:v>
                </c:pt>
                <c:pt idx="475">
                  <c:v>154.13200000000001</c:v>
                </c:pt>
                <c:pt idx="476">
                  <c:v>153.85549999999998</c:v>
                </c:pt>
                <c:pt idx="477">
                  <c:v>153.57549999999998</c:v>
                </c:pt>
                <c:pt idx="478">
                  <c:v>153.29599999999999</c:v>
                </c:pt>
                <c:pt idx="479">
                  <c:v>153.17649999999998</c:v>
                </c:pt>
                <c:pt idx="480">
                  <c:v>152.91750000000002</c:v>
                </c:pt>
                <c:pt idx="481">
                  <c:v>152.72800000000001</c:v>
                </c:pt>
                <c:pt idx="482">
                  <c:v>152.63800000000001</c:v>
                </c:pt>
                <c:pt idx="483">
                  <c:v>152.61800000000002</c:v>
                </c:pt>
                <c:pt idx="484">
                  <c:v>152.471</c:v>
                </c:pt>
                <c:pt idx="485">
                  <c:v>152.15549999999999</c:v>
                </c:pt>
                <c:pt idx="486">
                  <c:v>151.79749999999999</c:v>
                </c:pt>
                <c:pt idx="487">
                  <c:v>151.55599999999998</c:v>
                </c:pt>
                <c:pt idx="488">
                  <c:v>151.42599999999999</c:v>
                </c:pt>
                <c:pt idx="489">
                  <c:v>151.14649999999997</c:v>
                </c:pt>
                <c:pt idx="490">
                  <c:v>150.75549999999998</c:v>
                </c:pt>
                <c:pt idx="491">
                  <c:v>150.352</c:v>
                </c:pt>
                <c:pt idx="492">
                  <c:v>150.14699999999999</c:v>
                </c:pt>
                <c:pt idx="493">
                  <c:v>149.94650000000001</c:v>
                </c:pt>
                <c:pt idx="494">
                  <c:v>149.8185</c:v>
                </c:pt>
                <c:pt idx="495">
                  <c:v>149.80950000000001</c:v>
                </c:pt>
                <c:pt idx="496">
                  <c:v>149.84750000000003</c:v>
                </c:pt>
                <c:pt idx="497">
                  <c:v>149.946</c:v>
                </c:pt>
                <c:pt idx="498">
                  <c:v>149.97150000000005</c:v>
                </c:pt>
                <c:pt idx="499">
                  <c:v>149.96450000000004</c:v>
                </c:pt>
                <c:pt idx="500">
                  <c:v>149.95300000000003</c:v>
                </c:pt>
                <c:pt idx="501">
                  <c:v>150.06099999999998</c:v>
                </c:pt>
                <c:pt idx="502">
                  <c:v>150.2765</c:v>
                </c:pt>
                <c:pt idx="503">
                  <c:v>150.85600000000002</c:v>
                </c:pt>
                <c:pt idx="504">
                  <c:v>151.18300000000002</c:v>
                </c:pt>
                <c:pt idx="505">
                  <c:v>151.50749999999999</c:v>
                </c:pt>
                <c:pt idx="506">
                  <c:v>152.0455</c:v>
                </c:pt>
                <c:pt idx="507">
                  <c:v>152.58049999999997</c:v>
                </c:pt>
                <c:pt idx="508">
                  <c:v>153.16149999999999</c:v>
                </c:pt>
                <c:pt idx="509">
                  <c:v>153.85550000000001</c:v>
                </c:pt>
                <c:pt idx="510">
                  <c:v>154.72750000000002</c:v>
                </c:pt>
                <c:pt idx="511">
                  <c:v>155.69800000000001</c:v>
                </c:pt>
                <c:pt idx="512">
                  <c:v>156.53500000000003</c:v>
                </c:pt>
                <c:pt idx="513">
                  <c:v>157.41550000000001</c:v>
                </c:pt>
                <c:pt idx="514">
                  <c:v>158.36450000000002</c:v>
                </c:pt>
                <c:pt idx="515">
                  <c:v>159.20750000000001</c:v>
                </c:pt>
                <c:pt idx="516">
                  <c:v>160.01799999999997</c:v>
                </c:pt>
                <c:pt idx="517">
                  <c:v>160.86799999999999</c:v>
                </c:pt>
                <c:pt idx="518">
                  <c:v>161.81950000000001</c:v>
                </c:pt>
                <c:pt idx="519">
                  <c:v>162.76650000000001</c:v>
                </c:pt>
                <c:pt idx="520">
                  <c:v>163.71049999999997</c:v>
                </c:pt>
                <c:pt idx="521">
                  <c:v>164.935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FB-4536-BB01-2BC035A9E0F4}"/>
            </c:ext>
          </c:extLst>
        </c:ser>
        <c:ser>
          <c:idx val="2"/>
          <c:order val="2"/>
          <c:tx>
            <c:strRef>
              <c:f>Data!$AB$1</c:f>
              <c:strCache>
                <c:ptCount val="1"/>
                <c:pt idx="0">
                  <c:v>100d SMA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Data!$B$2:$B$523</c:f>
              <c:numCache>
                <c:formatCode>m/d/yyyy</c:formatCode>
                <c:ptCount val="522"/>
                <c:pt idx="0">
                  <c:v>45293</c:v>
                </c:pt>
                <c:pt idx="1">
                  <c:v>45294</c:v>
                </c:pt>
                <c:pt idx="2">
                  <c:v>45295</c:v>
                </c:pt>
                <c:pt idx="3">
                  <c:v>45296</c:v>
                </c:pt>
                <c:pt idx="4">
                  <c:v>45299</c:v>
                </c:pt>
                <c:pt idx="5">
                  <c:v>45300</c:v>
                </c:pt>
                <c:pt idx="6">
                  <c:v>45301</c:v>
                </c:pt>
                <c:pt idx="7">
                  <c:v>45302</c:v>
                </c:pt>
                <c:pt idx="8">
                  <c:v>45303</c:v>
                </c:pt>
                <c:pt idx="9">
                  <c:v>45307</c:v>
                </c:pt>
                <c:pt idx="10">
                  <c:v>45308</c:v>
                </c:pt>
                <c:pt idx="11">
                  <c:v>45309</c:v>
                </c:pt>
                <c:pt idx="12">
                  <c:v>45310</c:v>
                </c:pt>
                <c:pt idx="13">
                  <c:v>45313</c:v>
                </c:pt>
                <c:pt idx="14">
                  <c:v>45314</c:v>
                </c:pt>
                <c:pt idx="15">
                  <c:v>45315</c:v>
                </c:pt>
                <c:pt idx="16">
                  <c:v>45316</c:v>
                </c:pt>
                <c:pt idx="17">
                  <c:v>45317</c:v>
                </c:pt>
                <c:pt idx="18">
                  <c:v>45320</c:v>
                </c:pt>
                <c:pt idx="19">
                  <c:v>45321</c:v>
                </c:pt>
                <c:pt idx="20">
                  <c:v>45322</c:v>
                </c:pt>
                <c:pt idx="21">
                  <c:v>45323</c:v>
                </c:pt>
                <c:pt idx="22">
                  <c:v>45324</c:v>
                </c:pt>
                <c:pt idx="23">
                  <c:v>45327</c:v>
                </c:pt>
                <c:pt idx="24">
                  <c:v>45328</c:v>
                </c:pt>
                <c:pt idx="25">
                  <c:v>45329</c:v>
                </c:pt>
                <c:pt idx="26">
                  <c:v>45330</c:v>
                </c:pt>
                <c:pt idx="27">
                  <c:v>45331</c:v>
                </c:pt>
                <c:pt idx="28">
                  <c:v>45334</c:v>
                </c:pt>
                <c:pt idx="29">
                  <c:v>45335</c:v>
                </c:pt>
                <c:pt idx="30">
                  <c:v>45336</c:v>
                </c:pt>
                <c:pt idx="31">
                  <c:v>45337</c:v>
                </c:pt>
                <c:pt idx="32">
                  <c:v>45338</c:v>
                </c:pt>
                <c:pt idx="33">
                  <c:v>45342</c:v>
                </c:pt>
                <c:pt idx="34">
                  <c:v>45343</c:v>
                </c:pt>
                <c:pt idx="35">
                  <c:v>45344</c:v>
                </c:pt>
                <c:pt idx="36">
                  <c:v>45345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45355</c:v>
                </c:pt>
                <c:pt idx="43">
                  <c:v>45356</c:v>
                </c:pt>
                <c:pt idx="44">
                  <c:v>45357</c:v>
                </c:pt>
                <c:pt idx="45">
                  <c:v>45358</c:v>
                </c:pt>
                <c:pt idx="46">
                  <c:v>45359</c:v>
                </c:pt>
                <c:pt idx="47">
                  <c:v>45362</c:v>
                </c:pt>
                <c:pt idx="48">
                  <c:v>45363</c:v>
                </c:pt>
                <c:pt idx="49">
                  <c:v>45364</c:v>
                </c:pt>
                <c:pt idx="50">
                  <c:v>45365</c:v>
                </c:pt>
                <c:pt idx="51">
                  <c:v>45366</c:v>
                </c:pt>
                <c:pt idx="52">
                  <c:v>45369</c:v>
                </c:pt>
                <c:pt idx="53">
                  <c:v>45370</c:v>
                </c:pt>
                <c:pt idx="54">
                  <c:v>45371</c:v>
                </c:pt>
                <c:pt idx="55">
                  <c:v>45372</c:v>
                </c:pt>
                <c:pt idx="56">
                  <c:v>45373</c:v>
                </c:pt>
                <c:pt idx="57">
                  <c:v>45376</c:v>
                </c:pt>
                <c:pt idx="58">
                  <c:v>45377</c:v>
                </c:pt>
                <c:pt idx="59">
                  <c:v>45378</c:v>
                </c:pt>
                <c:pt idx="60">
                  <c:v>45379</c:v>
                </c:pt>
                <c:pt idx="61">
                  <c:v>45383</c:v>
                </c:pt>
                <c:pt idx="62">
                  <c:v>45384</c:v>
                </c:pt>
                <c:pt idx="63">
                  <c:v>45385</c:v>
                </c:pt>
                <c:pt idx="64">
                  <c:v>45386</c:v>
                </c:pt>
                <c:pt idx="65">
                  <c:v>45387</c:v>
                </c:pt>
                <c:pt idx="66">
                  <c:v>45390</c:v>
                </c:pt>
                <c:pt idx="67">
                  <c:v>45391</c:v>
                </c:pt>
                <c:pt idx="68">
                  <c:v>45392</c:v>
                </c:pt>
                <c:pt idx="69">
                  <c:v>45393</c:v>
                </c:pt>
                <c:pt idx="70">
                  <c:v>45394</c:v>
                </c:pt>
                <c:pt idx="71">
                  <c:v>45397</c:v>
                </c:pt>
                <c:pt idx="72">
                  <c:v>45398</c:v>
                </c:pt>
                <c:pt idx="73">
                  <c:v>45399</c:v>
                </c:pt>
                <c:pt idx="74">
                  <c:v>45400</c:v>
                </c:pt>
                <c:pt idx="75">
                  <c:v>45401</c:v>
                </c:pt>
                <c:pt idx="76">
                  <c:v>45404</c:v>
                </c:pt>
                <c:pt idx="77">
                  <c:v>45405</c:v>
                </c:pt>
                <c:pt idx="78">
                  <c:v>45406</c:v>
                </c:pt>
                <c:pt idx="79">
                  <c:v>45407</c:v>
                </c:pt>
                <c:pt idx="80">
                  <c:v>45408</c:v>
                </c:pt>
                <c:pt idx="81">
                  <c:v>45411</c:v>
                </c:pt>
                <c:pt idx="82">
                  <c:v>45412</c:v>
                </c:pt>
                <c:pt idx="83">
                  <c:v>45413</c:v>
                </c:pt>
                <c:pt idx="84">
                  <c:v>45414</c:v>
                </c:pt>
                <c:pt idx="85">
                  <c:v>45415</c:v>
                </c:pt>
                <c:pt idx="86">
                  <c:v>45418</c:v>
                </c:pt>
                <c:pt idx="87">
                  <c:v>45419</c:v>
                </c:pt>
                <c:pt idx="88">
                  <c:v>45420</c:v>
                </c:pt>
                <c:pt idx="89">
                  <c:v>45421</c:v>
                </c:pt>
                <c:pt idx="90">
                  <c:v>45422</c:v>
                </c:pt>
                <c:pt idx="91">
                  <c:v>45425</c:v>
                </c:pt>
                <c:pt idx="92">
                  <c:v>45426</c:v>
                </c:pt>
                <c:pt idx="93">
                  <c:v>45427</c:v>
                </c:pt>
                <c:pt idx="94">
                  <c:v>45428</c:v>
                </c:pt>
                <c:pt idx="95">
                  <c:v>45429</c:v>
                </c:pt>
                <c:pt idx="96">
                  <c:v>45432</c:v>
                </c:pt>
                <c:pt idx="97">
                  <c:v>45433</c:v>
                </c:pt>
                <c:pt idx="98">
                  <c:v>45434</c:v>
                </c:pt>
                <c:pt idx="99">
                  <c:v>45435</c:v>
                </c:pt>
                <c:pt idx="100">
                  <c:v>45436</c:v>
                </c:pt>
                <c:pt idx="101">
                  <c:v>45440</c:v>
                </c:pt>
                <c:pt idx="102">
                  <c:v>45441</c:v>
                </c:pt>
                <c:pt idx="103">
                  <c:v>45442</c:v>
                </c:pt>
                <c:pt idx="104">
                  <c:v>45443</c:v>
                </c:pt>
                <c:pt idx="105">
                  <c:v>45446</c:v>
                </c:pt>
                <c:pt idx="106">
                  <c:v>45447</c:v>
                </c:pt>
                <c:pt idx="107">
                  <c:v>45448</c:v>
                </c:pt>
                <c:pt idx="108">
                  <c:v>45449</c:v>
                </c:pt>
                <c:pt idx="109">
                  <c:v>45450</c:v>
                </c:pt>
                <c:pt idx="110">
                  <c:v>45453</c:v>
                </c:pt>
                <c:pt idx="111">
                  <c:v>45454</c:v>
                </c:pt>
                <c:pt idx="112">
                  <c:v>45455</c:v>
                </c:pt>
                <c:pt idx="113">
                  <c:v>45456</c:v>
                </c:pt>
                <c:pt idx="114">
                  <c:v>45457</c:v>
                </c:pt>
                <c:pt idx="115">
                  <c:v>45460</c:v>
                </c:pt>
                <c:pt idx="116">
                  <c:v>45461</c:v>
                </c:pt>
                <c:pt idx="117">
                  <c:v>45463</c:v>
                </c:pt>
                <c:pt idx="118">
                  <c:v>45464</c:v>
                </c:pt>
                <c:pt idx="119">
                  <c:v>45467</c:v>
                </c:pt>
                <c:pt idx="120">
                  <c:v>45468</c:v>
                </c:pt>
                <c:pt idx="121">
                  <c:v>45469</c:v>
                </c:pt>
                <c:pt idx="122">
                  <c:v>45470</c:v>
                </c:pt>
                <c:pt idx="123">
                  <c:v>45471</c:v>
                </c:pt>
                <c:pt idx="124">
                  <c:v>45474</c:v>
                </c:pt>
                <c:pt idx="125">
                  <c:v>45475</c:v>
                </c:pt>
                <c:pt idx="126">
                  <c:v>45476</c:v>
                </c:pt>
                <c:pt idx="127">
                  <c:v>45478</c:v>
                </c:pt>
                <c:pt idx="128">
                  <c:v>45481</c:v>
                </c:pt>
                <c:pt idx="129">
                  <c:v>45482</c:v>
                </c:pt>
                <c:pt idx="130">
                  <c:v>45483</c:v>
                </c:pt>
                <c:pt idx="131">
                  <c:v>45484</c:v>
                </c:pt>
                <c:pt idx="132">
                  <c:v>45485</c:v>
                </c:pt>
                <c:pt idx="133">
                  <c:v>45488</c:v>
                </c:pt>
                <c:pt idx="134">
                  <c:v>45489</c:v>
                </c:pt>
                <c:pt idx="135">
                  <c:v>45490</c:v>
                </c:pt>
                <c:pt idx="136">
                  <c:v>45491</c:v>
                </c:pt>
                <c:pt idx="137">
                  <c:v>45492</c:v>
                </c:pt>
                <c:pt idx="138">
                  <c:v>45495</c:v>
                </c:pt>
                <c:pt idx="139">
                  <c:v>45496</c:v>
                </c:pt>
                <c:pt idx="140">
                  <c:v>45497</c:v>
                </c:pt>
                <c:pt idx="141">
                  <c:v>45498</c:v>
                </c:pt>
                <c:pt idx="142">
                  <c:v>45499</c:v>
                </c:pt>
                <c:pt idx="143">
                  <c:v>45502</c:v>
                </c:pt>
                <c:pt idx="144">
                  <c:v>45503</c:v>
                </c:pt>
                <c:pt idx="145">
                  <c:v>45504</c:v>
                </c:pt>
                <c:pt idx="146">
                  <c:v>45505</c:v>
                </c:pt>
                <c:pt idx="147">
                  <c:v>45506</c:v>
                </c:pt>
                <c:pt idx="148">
                  <c:v>45509</c:v>
                </c:pt>
                <c:pt idx="149">
                  <c:v>45510</c:v>
                </c:pt>
                <c:pt idx="150">
                  <c:v>45511</c:v>
                </c:pt>
                <c:pt idx="151">
                  <c:v>45512</c:v>
                </c:pt>
                <c:pt idx="152">
                  <c:v>45513</c:v>
                </c:pt>
                <c:pt idx="153">
                  <c:v>45516</c:v>
                </c:pt>
                <c:pt idx="154">
                  <c:v>45517</c:v>
                </c:pt>
                <c:pt idx="155">
                  <c:v>45518</c:v>
                </c:pt>
                <c:pt idx="156">
                  <c:v>45519</c:v>
                </c:pt>
                <c:pt idx="157">
                  <c:v>45520</c:v>
                </c:pt>
                <c:pt idx="158">
                  <c:v>45523</c:v>
                </c:pt>
                <c:pt idx="159">
                  <c:v>45524</c:v>
                </c:pt>
                <c:pt idx="160">
                  <c:v>45525</c:v>
                </c:pt>
                <c:pt idx="161">
                  <c:v>45526</c:v>
                </c:pt>
                <c:pt idx="162">
                  <c:v>45527</c:v>
                </c:pt>
                <c:pt idx="163">
                  <c:v>45530</c:v>
                </c:pt>
                <c:pt idx="164">
                  <c:v>45531</c:v>
                </c:pt>
                <c:pt idx="165">
                  <c:v>45532</c:v>
                </c:pt>
                <c:pt idx="166">
                  <c:v>45533</c:v>
                </c:pt>
                <c:pt idx="167">
                  <c:v>45534</c:v>
                </c:pt>
                <c:pt idx="168">
                  <c:v>45538</c:v>
                </c:pt>
                <c:pt idx="169">
                  <c:v>45539</c:v>
                </c:pt>
                <c:pt idx="170">
                  <c:v>45540</c:v>
                </c:pt>
                <c:pt idx="171">
                  <c:v>45541</c:v>
                </c:pt>
                <c:pt idx="172">
                  <c:v>45544</c:v>
                </c:pt>
                <c:pt idx="173">
                  <c:v>45545</c:v>
                </c:pt>
                <c:pt idx="174">
                  <c:v>45546</c:v>
                </c:pt>
                <c:pt idx="175">
                  <c:v>45547</c:v>
                </c:pt>
                <c:pt idx="176">
                  <c:v>45548</c:v>
                </c:pt>
                <c:pt idx="177">
                  <c:v>45551</c:v>
                </c:pt>
                <c:pt idx="178">
                  <c:v>45552</c:v>
                </c:pt>
                <c:pt idx="179">
                  <c:v>45553</c:v>
                </c:pt>
                <c:pt idx="180">
                  <c:v>45554</c:v>
                </c:pt>
                <c:pt idx="181">
                  <c:v>45555</c:v>
                </c:pt>
                <c:pt idx="182">
                  <c:v>45558</c:v>
                </c:pt>
                <c:pt idx="183">
                  <c:v>45559</c:v>
                </c:pt>
                <c:pt idx="184">
                  <c:v>45560</c:v>
                </c:pt>
                <c:pt idx="185">
                  <c:v>45561</c:v>
                </c:pt>
                <c:pt idx="186">
                  <c:v>45562</c:v>
                </c:pt>
                <c:pt idx="187">
                  <c:v>45565</c:v>
                </c:pt>
                <c:pt idx="188">
                  <c:v>45566</c:v>
                </c:pt>
                <c:pt idx="189">
                  <c:v>45567</c:v>
                </c:pt>
                <c:pt idx="190">
                  <c:v>45568</c:v>
                </c:pt>
                <c:pt idx="191">
                  <c:v>45569</c:v>
                </c:pt>
                <c:pt idx="192">
                  <c:v>45572</c:v>
                </c:pt>
                <c:pt idx="193">
                  <c:v>45573</c:v>
                </c:pt>
                <c:pt idx="194">
                  <c:v>45574</c:v>
                </c:pt>
                <c:pt idx="195">
                  <c:v>45575</c:v>
                </c:pt>
                <c:pt idx="196">
                  <c:v>45576</c:v>
                </c:pt>
                <c:pt idx="197">
                  <c:v>45579</c:v>
                </c:pt>
                <c:pt idx="198">
                  <c:v>45580</c:v>
                </c:pt>
                <c:pt idx="199">
                  <c:v>45581</c:v>
                </c:pt>
                <c:pt idx="200">
                  <c:v>45582</c:v>
                </c:pt>
                <c:pt idx="201">
                  <c:v>45583</c:v>
                </c:pt>
                <c:pt idx="202">
                  <c:v>45586</c:v>
                </c:pt>
                <c:pt idx="203">
                  <c:v>45587</c:v>
                </c:pt>
                <c:pt idx="204">
                  <c:v>45588</c:v>
                </c:pt>
                <c:pt idx="205">
                  <c:v>45589</c:v>
                </c:pt>
                <c:pt idx="206">
                  <c:v>45590</c:v>
                </c:pt>
                <c:pt idx="207">
                  <c:v>45593</c:v>
                </c:pt>
                <c:pt idx="208">
                  <c:v>45594</c:v>
                </c:pt>
                <c:pt idx="209">
                  <c:v>45595</c:v>
                </c:pt>
                <c:pt idx="210">
                  <c:v>45596</c:v>
                </c:pt>
                <c:pt idx="211">
                  <c:v>45597</c:v>
                </c:pt>
                <c:pt idx="212">
                  <c:v>45600</c:v>
                </c:pt>
                <c:pt idx="213">
                  <c:v>45601</c:v>
                </c:pt>
                <c:pt idx="214">
                  <c:v>45602</c:v>
                </c:pt>
                <c:pt idx="215">
                  <c:v>45603</c:v>
                </c:pt>
                <c:pt idx="216">
                  <c:v>45604</c:v>
                </c:pt>
                <c:pt idx="217">
                  <c:v>45607</c:v>
                </c:pt>
                <c:pt idx="218">
                  <c:v>45608</c:v>
                </c:pt>
                <c:pt idx="219">
                  <c:v>45609</c:v>
                </c:pt>
                <c:pt idx="220">
                  <c:v>45610</c:v>
                </c:pt>
                <c:pt idx="221">
                  <c:v>45611</c:v>
                </c:pt>
                <c:pt idx="222">
                  <c:v>45614</c:v>
                </c:pt>
                <c:pt idx="223">
                  <c:v>45615</c:v>
                </c:pt>
                <c:pt idx="224">
                  <c:v>45616</c:v>
                </c:pt>
                <c:pt idx="225">
                  <c:v>45617</c:v>
                </c:pt>
                <c:pt idx="226">
                  <c:v>45618</c:v>
                </c:pt>
                <c:pt idx="227">
                  <c:v>45621</c:v>
                </c:pt>
                <c:pt idx="228">
                  <c:v>45622</c:v>
                </c:pt>
                <c:pt idx="229">
                  <c:v>45623</c:v>
                </c:pt>
                <c:pt idx="230">
                  <c:v>45625</c:v>
                </c:pt>
                <c:pt idx="231">
                  <c:v>45628</c:v>
                </c:pt>
                <c:pt idx="232">
                  <c:v>45629</c:v>
                </c:pt>
                <c:pt idx="233">
                  <c:v>45630</c:v>
                </c:pt>
                <c:pt idx="234">
                  <c:v>45631</c:v>
                </c:pt>
                <c:pt idx="235">
                  <c:v>45632</c:v>
                </c:pt>
                <c:pt idx="236">
                  <c:v>45635</c:v>
                </c:pt>
                <c:pt idx="237">
                  <c:v>45636</c:v>
                </c:pt>
                <c:pt idx="238">
                  <c:v>45637</c:v>
                </c:pt>
                <c:pt idx="239">
                  <c:v>45638</c:v>
                </c:pt>
                <c:pt idx="240">
                  <c:v>45639</c:v>
                </c:pt>
                <c:pt idx="241">
                  <c:v>45642</c:v>
                </c:pt>
                <c:pt idx="242">
                  <c:v>45643</c:v>
                </c:pt>
                <c:pt idx="243">
                  <c:v>45644</c:v>
                </c:pt>
                <c:pt idx="244">
                  <c:v>45645</c:v>
                </c:pt>
                <c:pt idx="245">
                  <c:v>45646</c:v>
                </c:pt>
                <c:pt idx="246">
                  <c:v>45649</c:v>
                </c:pt>
                <c:pt idx="247">
                  <c:v>45650</c:v>
                </c:pt>
                <c:pt idx="248">
                  <c:v>45652</c:v>
                </c:pt>
                <c:pt idx="249">
                  <c:v>45653</c:v>
                </c:pt>
                <c:pt idx="250">
                  <c:v>45656</c:v>
                </c:pt>
                <c:pt idx="251">
                  <c:v>45657</c:v>
                </c:pt>
                <c:pt idx="252">
                  <c:v>45659</c:v>
                </c:pt>
                <c:pt idx="253">
                  <c:v>45660</c:v>
                </c:pt>
                <c:pt idx="254">
                  <c:v>45663</c:v>
                </c:pt>
                <c:pt idx="255">
                  <c:v>45664</c:v>
                </c:pt>
                <c:pt idx="256">
                  <c:v>45665</c:v>
                </c:pt>
                <c:pt idx="257">
                  <c:v>45667</c:v>
                </c:pt>
                <c:pt idx="258">
                  <c:v>45670</c:v>
                </c:pt>
                <c:pt idx="259">
                  <c:v>45671</c:v>
                </c:pt>
                <c:pt idx="260">
                  <c:v>45672</c:v>
                </c:pt>
                <c:pt idx="261">
                  <c:v>45673</c:v>
                </c:pt>
                <c:pt idx="262">
                  <c:v>45674</c:v>
                </c:pt>
                <c:pt idx="263">
                  <c:v>45678</c:v>
                </c:pt>
                <c:pt idx="264">
                  <c:v>45679</c:v>
                </c:pt>
                <c:pt idx="265">
                  <c:v>45680</c:v>
                </c:pt>
                <c:pt idx="266">
                  <c:v>45681</c:v>
                </c:pt>
                <c:pt idx="267">
                  <c:v>45684</c:v>
                </c:pt>
                <c:pt idx="268">
                  <c:v>45685</c:v>
                </c:pt>
                <c:pt idx="269">
                  <c:v>45686</c:v>
                </c:pt>
                <c:pt idx="270">
                  <c:v>45687</c:v>
                </c:pt>
                <c:pt idx="271">
                  <c:v>45688</c:v>
                </c:pt>
                <c:pt idx="272">
                  <c:v>45691</c:v>
                </c:pt>
                <c:pt idx="273">
                  <c:v>45692</c:v>
                </c:pt>
                <c:pt idx="274">
                  <c:v>45693</c:v>
                </c:pt>
                <c:pt idx="275">
                  <c:v>45694</c:v>
                </c:pt>
                <c:pt idx="276">
                  <c:v>45695</c:v>
                </c:pt>
                <c:pt idx="277">
                  <c:v>45698</c:v>
                </c:pt>
                <c:pt idx="278">
                  <c:v>45699</c:v>
                </c:pt>
                <c:pt idx="279">
                  <c:v>45700</c:v>
                </c:pt>
                <c:pt idx="280">
                  <c:v>45701</c:v>
                </c:pt>
                <c:pt idx="281">
                  <c:v>45702</c:v>
                </c:pt>
                <c:pt idx="282">
                  <c:v>45706</c:v>
                </c:pt>
                <c:pt idx="283">
                  <c:v>45707</c:v>
                </c:pt>
                <c:pt idx="284">
                  <c:v>45708</c:v>
                </c:pt>
                <c:pt idx="285">
                  <c:v>45709</c:v>
                </c:pt>
                <c:pt idx="286">
                  <c:v>45712</c:v>
                </c:pt>
                <c:pt idx="287">
                  <c:v>45713</c:v>
                </c:pt>
                <c:pt idx="288">
                  <c:v>45714</c:v>
                </c:pt>
                <c:pt idx="289">
                  <c:v>45715</c:v>
                </c:pt>
                <c:pt idx="290">
                  <c:v>45716</c:v>
                </c:pt>
                <c:pt idx="291">
                  <c:v>45719</c:v>
                </c:pt>
                <c:pt idx="292">
                  <c:v>45720</c:v>
                </c:pt>
                <c:pt idx="293">
                  <c:v>45721</c:v>
                </c:pt>
                <c:pt idx="294">
                  <c:v>45722</c:v>
                </c:pt>
                <c:pt idx="295">
                  <c:v>45723</c:v>
                </c:pt>
                <c:pt idx="296">
                  <c:v>45726</c:v>
                </c:pt>
                <c:pt idx="297">
                  <c:v>45727</c:v>
                </c:pt>
                <c:pt idx="298">
                  <c:v>45728</c:v>
                </c:pt>
                <c:pt idx="299">
                  <c:v>45729</c:v>
                </c:pt>
                <c:pt idx="300">
                  <c:v>45730</c:v>
                </c:pt>
                <c:pt idx="301">
                  <c:v>45733</c:v>
                </c:pt>
                <c:pt idx="302">
                  <c:v>45734</c:v>
                </c:pt>
                <c:pt idx="303">
                  <c:v>45735</c:v>
                </c:pt>
                <c:pt idx="304">
                  <c:v>45736</c:v>
                </c:pt>
                <c:pt idx="305">
                  <c:v>45737</c:v>
                </c:pt>
                <c:pt idx="306">
                  <c:v>45740</c:v>
                </c:pt>
                <c:pt idx="307">
                  <c:v>45741</c:v>
                </c:pt>
                <c:pt idx="308">
                  <c:v>45742</c:v>
                </c:pt>
                <c:pt idx="309">
                  <c:v>45743</c:v>
                </c:pt>
                <c:pt idx="310">
                  <c:v>45744</c:v>
                </c:pt>
                <c:pt idx="311">
                  <c:v>45747</c:v>
                </c:pt>
                <c:pt idx="312">
                  <c:v>45748</c:v>
                </c:pt>
                <c:pt idx="313">
                  <c:v>45749</c:v>
                </c:pt>
                <c:pt idx="314">
                  <c:v>45750</c:v>
                </c:pt>
                <c:pt idx="315">
                  <c:v>45751</c:v>
                </c:pt>
                <c:pt idx="316">
                  <c:v>45754</c:v>
                </c:pt>
                <c:pt idx="317">
                  <c:v>45755</c:v>
                </c:pt>
                <c:pt idx="318">
                  <c:v>45756</c:v>
                </c:pt>
                <c:pt idx="319">
                  <c:v>45757</c:v>
                </c:pt>
                <c:pt idx="320">
                  <c:v>45758</c:v>
                </c:pt>
                <c:pt idx="321">
                  <c:v>45761</c:v>
                </c:pt>
                <c:pt idx="322">
                  <c:v>45762</c:v>
                </c:pt>
                <c:pt idx="323">
                  <c:v>45763</c:v>
                </c:pt>
                <c:pt idx="324">
                  <c:v>45764</c:v>
                </c:pt>
                <c:pt idx="325">
                  <c:v>45768</c:v>
                </c:pt>
                <c:pt idx="326">
                  <c:v>45769</c:v>
                </c:pt>
                <c:pt idx="327">
                  <c:v>45770</c:v>
                </c:pt>
                <c:pt idx="328">
                  <c:v>45771</c:v>
                </c:pt>
                <c:pt idx="329">
                  <c:v>45772</c:v>
                </c:pt>
                <c:pt idx="330">
                  <c:v>45775</c:v>
                </c:pt>
                <c:pt idx="331">
                  <c:v>45776</c:v>
                </c:pt>
                <c:pt idx="332">
                  <c:v>45777</c:v>
                </c:pt>
                <c:pt idx="333">
                  <c:v>45778</c:v>
                </c:pt>
                <c:pt idx="334">
                  <c:v>45779</c:v>
                </c:pt>
                <c:pt idx="335">
                  <c:v>45782</c:v>
                </c:pt>
                <c:pt idx="336">
                  <c:v>45783</c:v>
                </c:pt>
                <c:pt idx="337">
                  <c:v>45784</c:v>
                </c:pt>
                <c:pt idx="338">
                  <c:v>45785</c:v>
                </c:pt>
                <c:pt idx="339">
                  <c:v>45786</c:v>
                </c:pt>
                <c:pt idx="340">
                  <c:v>45789</c:v>
                </c:pt>
                <c:pt idx="341">
                  <c:v>45790</c:v>
                </c:pt>
                <c:pt idx="342">
                  <c:v>45791</c:v>
                </c:pt>
                <c:pt idx="343">
                  <c:v>45792</c:v>
                </c:pt>
                <c:pt idx="344">
                  <c:v>45793</c:v>
                </c:pt>
                <c:pt idx="345">
                  <c:v>45796</c:v>
                </c:pt>
                <c:pt idx="346">
                  <c:v>45797</c:v>
                </c:pt>
                <c:pt idx="347">
                  <c:v>45798</c:v>
                </c:pt>
                <c:pt idx="348">
                  <c:v>45799</c:v>
                </c:pt>
                <c:pt idx="349">
                  <c:v>45800</c:v>
                </c:pt>
                <c:pt idx="350">
                  <c:v>45804</c:v>
                </c:pt>
                <c:pt idx="351">
                  <c:v>45805</c:v>
                </c:pt>
                <c:pt idx="352">
                  <c:v>45806</c:v>
                </c:pt>
                <c:pt idx="353">
                  <c:v>45807</c:v>
                </c:pt>
                <c:pt idx="354">
                  <c:v>45810</c:v>
                </c:pt>
                <c:pt idx="355">
                  <c:v>45811</c:v>
                </c:pt>
                <c:pt idx="356">
                  <c:v>45812</c:v>
                </c:pt>
                <c:pt idx="357">
                  <c:v>45813</c:v>
                </c:pt>
                <c:pt idx="358">
                  <c:v>45814</c:v>
                </c:pt>
                <c:pt idx="359">
                  <c:v>45817</c:v>
                </c:pt>
                <c:pt idx="360">
                  <c:v>45818</c:v>
                </c:pt>
                <c:pt idx="361">
                  <c:v>45819</c:v>
                </c:pt>
                <c:pt idx="362">
                  <c:v>45820</c:v>
                </c:pt>
                <c:pt idx="363">
                  <c:v>45821</c:v>
                </c:pt>
                <c:pt idx="364">
                  <c:v>45824</c:v>
                </c:pt>
                <c:pt idx="365">
                  <c:v>45825</c:v>
                </c:pt>
                <c:pt idx="366">
                  <c:v>45826</c:v>
                </c:pt>
                <c:pt idx="367">
                  <c:v>45828</c:v>
                </c:pt>
                <c:pt idx="368">
                  <c:v>45831</c:v>
                </c:pt>
                <c:pt idx="369">
                  <c:v>45832</c:v>
                </c:pt>
                <c:pt idx="370">
                  <c:v>45833</c:v>
                </c:pt>
                <c:pt idx="371">
                  <c:v>45834</c:v>
                </c:pt>
                <c:pt idx="372">
                  <c:v>45835</c:v>
                </c:pt>
                <c:pt idx="373">
                  <c:v>45838</c:v>
                </c:pt>
                <c:pt idx="374">
                  <c:v>45839</c:v>
                </c:pt>
                <c:pt idx="375">
                  <c:v>45840</c:v>
                </c:pt>
                <c:pt idx="376">
                  <c:v>45841</c:v>
                </c:pt>
                <c:pt idx="377">
                  <c:v>45845</c:v>
                </c:pt>
                <c:pt idx="378">
                  <c:v>45846</c:v>
                </c:pt>
                <c:pt idx="379">
                  <c:v>45847</c:v>
                </c:pt>
                <c:pt idx="380">
                  <c:v>45848</c:v>
                </c:pt>
                <c:pt idx="381">
                  <c:v>45849</c:v>
                </c:pt>
                <c:pt idx="382">
                  <c:v>45852</c:v>
                </c:pt>
                <c:pt idx="383">
                  <c:v>45853</c:v>
                </c:pt>
                <c:pt idx="384">
                  <c:v>45854</c:v>
                </c:pt>
                <c:pt idx="385">
                  <c:v>45855</c:v>
                </c:pt>
                <c:pt idx="386">
                  <c:v>45856</c:v>
                </c:pt>
                <c:pt idx="387">
                  <c:v>45859</c:v>
                </c:pt>
                <c:pt idx="388">
                  <c:v>45860</c:v>
                </c:pt>
                <c:pt idx="389">
                  <c:v>45861</c:v>
                </c:pt>
                <c:pt idx="390">
                  <c:v>45862</c:v>
                </c:pt>
                <c:pt idx="391">
                  <c:v>45863</c:v>
                </c:pt>
                <c:pt idx="392">
                  <c:v>45866</c:v>
                </c:pt>
                <c:pt idx="393">
                  <c:v>45867</c:v>
                </c:pt>
                <c:pt idx="394">
                  <c:v>45868</c:v>
                </c:pt>
                <c:pt idx="395">
                  <c:v>45869</c:v>
                </c:pt>
                <c:pt idx="396">
                  <c:v>45870</c:v>
                </c:pt>
                <c:pt idx="397">
                  <c:v>45873</c:v>
                </c:pt>
                <c:pt idx="398">
                  <c:v>45874</c:v>
                </c:pt>
                <c:pt idx="399">
                  <c:v>45875</c:v>
                </c:pt>
                <c:pt idx="400">
                  <c:v>45876</c:v>
                </c:pt>
                <c:pt idx="401">
                  <c:v>45877</c:v>
                </c:pt>
                <c:pt idx="402">
                  <c:v>45880</c:v>
                </c:pt>
                <c:pt idx="403">
                  <c:v>45881</c:v>
                </c:pt>
                <c:pt idx="404">
                  <c:v>45882</c:v>
                </c:pt>
                <c:pt idx="405">
                  <c:v>45883</c:v>
                </c:pt>
                <c:pt idx="406">
                  <c:v>45884</c:v>
                </c:pt>
                <c:pt idx="407">
                  <c:v>45887</c:v>
                </c:pt>
                <c:pt idx="408">
                  <c:v>45888</c:v>
                </c:pt>
                <c:pt idx="409">
                  <c:v>45889</c:v>
                </c:pt>
                <c:pt idx="410">
                  <c:v>45890</c:v>
                </c:pt>
                <c:pt idx="411">
                  <c:v>45891</c:v>
                </c:pt>
                <c:pt idx="412">
                  <c:v>45894</c:v>
                </c:pt>
                <c:pt idx="413">
                  <c:v>45895</c:v>
                </c:pt>
                <c:pt idx="414">
                  <c:v>45896</c:v>
                </c:pt>
                <c:pt idx="415">
                  <c:v>45897</c:v>
                </c:pt>
                <c:pt idx="416">
                  <c:v>45898</c:v>
                </c:pt>
                <c:pt idx="417">
                  <c:v>45902</c:v>
                </c:pt>
                <c:pt idx="418">
                  <c:v>45903</c:v>
                </c:pt>
                <c:pt idx="419">
                  <c:v>45904</c:v>
                </c:pt>
                <c:pt idx="420">
                  <c:v>45905</c:v>
                </c:pt>
                <c:pt idx="421">
                  <c:v>45908</c:v>
                </c:pt>
                <c:pt idx="422">
                  <c:v>45909</c:v>
                </c:pt>
                <c:pt idx="423">
                  <c:v>45910</c:v>
                </c:pt>
                <c:pt idx="424">
                  <c:v>45911</c:v>
                </c:pt>
                <c:pt idx="425">
                  <c:v>45912</c:v>
                </c:pt>
                <c:pt idx="426">
                  <c:v>45915</c:v>
                </c:pt>
                <c:pt idx="427">
                  <c:v>45916</c:v>
                </c:pt>
                <c:pt idx="428">
                  <c:v>45917</c:v>
                </c:pt>
                <c:pt idx="429">
                  <c:v>45918</c:v>
                </c:pt>
                <c:pt idx="430">
                  <c:v>45919</c:v>
                </c:pt>
                <c:pt idx="431">
                  <c:v>45922</c:v>
                </c:pt>
                <c:pt idx="432">
                  <c:v>45923</c:v>
                </c:pt>
                <c:pt idx="433">
                  <c:v>45924</c:v>
                </c:pt>
                <c:pt idx="434">
                  <c:v>45925</c:v>
                </c:pt>
                <c:pt idx="435">
                  <c:v>45926</c:v>
                </c:pt>
                <c:pt idx="436">
                  <c:v>45929</c:v>
                </c:pt>
                <c:pt idx="437">
                  <c:v>45930</c:v>
                </c:pt>
                <c:pt idx="438">
                  <c:v>45931</c:v>
                </c:pt>
                <c:pt idx="439">
                  <c:v>45932</c:v>
                </c:pt>
                <c:pt idx="440">
                  <c:v>45933</c:v>
                </c:pt>
                <c:pt idx="441">
                  <c:v>45936</c:v>
                </c:pt>
                <c:pt idx="442">
                  <c:v>45937</c:v>
                </c:pt>
                <c:pt idx="443">
                  <c:v>45938</c:v>
                </c:pt>
                <c:pt idx="444">
                  <c:v>45939</c:v>
                </c:pt>
                <c:pt idx="445">
                  <c:v>45940</c:v>
                </c:pt>
                <c:pt idx="446">
                  <c:v>45943</c:v>
                </c:pt>
                <c:pt idx="447">
                  <c:v>45944</c:v>
                </c:pt>
                <c:pt idx="448">
                  <c:v>45945</c:v>
                </c:pt>
                <c:pt idx="449">
                  <c:v>45946</c:v>
                </c:pt>
                <c:pt idx="450">
                  <c:v>45947</c:v>
                </c:pt>
                <c:pt idx="451">
                  <c:v>45950</c:v>
                </c:pt>
                <c:pt idx="452">
                  <c:v>45951</c:v>
                </c:pt>
                <c:pt idx="453">
                  <c:v>45952</c:v>
                </c:pt>
                <c:pt idx="454">
                  <c:v>45953</c:v>
                </c:pt>
                <c:pt idx="455">
                  <c:v>45954</c:v>
                </c:pt>
                <c:pt idx="456">
                  <c:v>45957</c:v>
                </c:pt>
                <c:pt idx="457">
                  <c:v>45958</c:v>
                </c:pt>
                <c:pt idx="458">
                  <c:v>45959</c:v>
                </c:pt>
                <c:pt idx="459">
                  <c:v>45960</c:v>
                </c:pt>
                <c:pt idx="460">
                  <c:v>45961</c:v>
                </c:pt>
                <c:pt idx="461">
                  <c:v>45964</c:v>
                </c:pt>
                <c:pt idx="462">
                  <c:v>45965</c:v>
                </c:pt>
                <c:pt idx="463">
                  <c:v>45966</c:v>
                </c:pt>
                <c:pt idx="464">
                  <c:v>45967</c:v>
                </c:pt>
                <c:pt idx="465">
                  <c:v>45968</c:v>
                </c:pt>
                <c:pt idx="466">
                  <c:v>45971</c:v>
                </c:pt>
                <c:pt idx="467">
                  <c:v>45972</c:v>
                </c:pt>
                <c:pt idx="468">
                  <c:v>45973</c:v>
                </c:pt>
                <c:pt idx="469">
                  <c:v>45974</c:v>
                </c:pt>
                <c:pt idx="470">
                  <c:v>45975</c:v>
                </c:pt>
                <c:pt idx="471">
                  <c:v>45978</c:v>
                </c:pt>
                <c:pt idx="472">
                  <c:v>45979</c:v>
                </c:pt>
                <c:pt idx="473">
                  <c:v>45980</c:v>
                </c:pt>
                <c:pt idx="474">
                  <c:v>45981</c:v>
                </c:pt>
                <c:pt idx="475">
                  <c:v>45982</c:v>
                </c:pt>
                <c:pt idx="476">
                  <c:v>45985</c:v>
                </c:pt>
                <c:pt idx="477">
                  <c:v>45986</c:v>
                </c:pt>
                <c:pt idx="478">
                  <c:v>45987</c:v>
                </c:pt>
                <c:pt idx="479">
                  <c:v>45989</c:v>
                </c:pt>
                <c:pt idx="480">
                  <c:v>45992</c:v>
                </c:pt>
                <c:pt idx="481">
                  <c:v>45993</c:v>
                </c:pt>
                <c:pt idx="482">
                  <c:v>45994</c:v>
                </c:pt>
                <c:pt idx="483">
                  <c:v>45995</c:v>
                </c:pt>
                <c:pt idx="484">
                  <c:v>45996</c:v>
                </c:pt>
                <c:pt idx="485">
                  <c:v>45999</c:v>
                </c:pt>
                <c:pt idx="486">
                  <c:v>46000</c:v>
                </c:pt>
                <c:pt idx="487">
                  <c:v>46001</c:v>
                </c:pt>
                <c:pt idx="488">
                  <c:v>46002</c:v>
                </c:pt>
                <c:pt idx="489">
                  <c:v>46003</c:v>
                </c:pt>
                <c:pt idx="490">
                  <c:v>46006</c:v>
                </c:pt>
                <c:pt idx="491">
                  <c:v>46007</c:v>
                </c:pt>
                <c:pt idx="492">
                  <c:v>46008</c:v>
                </c:pt>
                <c:pt idx="493">
                  <c:v>46009</c:v>
                </c:pt>
                <c:pt idx="494">
                  <c:v>46010</c:v>
                </c:pt>
                <c:pt idx="495">
                  <c:v>46013</c:v>
                </c:pt>
                <c:pt idx="496">
                  <c:v>46014</c:v>
                </c:pt>
                <c:pt idx="497">
                  <c:v>46015</c:v>
                </c:pt>
                <c:pt idx="498">
                  <c:v>46017</c:v>
                </c:pt>
                <c:pt idx="499">
                  <c:v>46020</c:v>
                </c:pt>
                <c:pt idx="500">
                  <c:v>46021</c:v>
                </c:pt>
                <c:pt idx="501">
                  <c:v>46022</c:v>
                </c:pt>
                <c:pt idx="502">
                  <c:v>46024</c:v>
                </c:pt>
                <c:pt idx="503">
                  <c:v>46027</c:v>
                </c:pt>
                <c:pt idx="504">
                  <c:v>46028</c:v>
                </c:pt>
                <c:pt idx="505">
                  <c:v>46029</c:v>
                </c:pt>
                <c:pt idx="506">
                  <c:v>46030</c:v>
                </c:pt>
                <c:pt idx="507">
                  <c:v>46031</c:v>
                </c:pt>
                <c:pt idx="508">
                  <c:v>46034</c:v>
                </c:pt>
                <c:pt idx="509">
                  <c:v>46035</c:v>
                </c:pt>
                <c:pt idx="510">
                  <c:v>46036</c:v>
                </c:pt>
                <c:pt idx="511">
                  <c:v>46037</c:v>
                </c:pt>
                <c:pt idx="512">
                  <c:v>46038</c:v>
                </c:pt>
                <c:pt idx="513">
                  <c:v>46042</c:v>
                </c:pt>
                <c:pt idx="514">
                  <c:v>46043</c:v>
                </c:pt>
                <c:pt idx="515">
                  <c:v>46044</c:v>
                </c:pt>
                <c:pt idx="516">
                  <c:v>46045</c:v>
                </c:pt>
                <c:pt idx="517">
                  <c:v>46048</c:v>
                </c:pt>
                <c:pt idx="518">
                  <c:v>46049</c:v>
                </c:pt>
                <c:pt idx="519">
                  <c:v>46050</c:v>
                </c:pt>
                <c:pt idx="520">
                  <c:v>46051</c:v>
                </c:pt>
                <c:pt idx="521">
                  <c:v>46052</c:v>
                </c:pt>
              </c:numCache>
            </c:numRef>
          </c:cat>
          <c:val>
            <c:numRef>
              <c:f>Data!$AB$2:$AB$523</c:f>
              <c:numCache>
                <c:formatCode>General</c:formatCode>
                <c:ptCount val="522"/>
                <c:pt idx="99">
                  <c:v>154.98250000000002</c:v>
                </c:pt>
                <c:pt idx="100">
                  <c:v>155.06520000000003</c:v>
                </c:pt>
                <c:pt idx="101">
                  <c:v>155.13230000000004</c:v>
                </c:pt>
                <c:pt idx="102">
                  <c:v>155.19470000000001</c:v>
                </c:pt>
                <c:pt idx="103">
                  <c:v>155.27330000000001</c:v>
                </c:pt>
                <c:pt idx="104">
                  <c:v>155.40130000000002</c:v>
                </c:pt>
                <c:pt idx="105">
                  <c:v>155.5189</c:v>
                </c:pt>
                <c:pt idx="106">
                  <c:v>155.6352</c:v>
                </c:pt>
                <c:pt idx="107">
                  <c:v>155.73220000000001</c:v>
                </c:pt>
                <c:pt idx="108">
                  <c:v>155.81879999999998</c:v>
                </c:pt>
                <c:pt idx="109">
                  <c:v>155.94269999999997</c:v>
                </c:pt>
                <c:pt idx="110">
                  <c:v>156.07889999999998</c:v>
                </c:pt>
                <c:pt idx="111">
                  <c:v>156.22559999999996</c:v>
                </c:pt>
                <c:pt idx="112">
                  <c:v>156.34539999999996</c:v>
                </c:pt>
                <c:pt idx="113">
                  <c:v>156.44889999999995</c:v>
                </c:pt>
                <c:pt idx="114">
                  <c:v>156.55369999999996</c:v>
                </c:pt>
                <c:pt idx="115">
                  <c:v>156.63639999999995</c:v>
                </c:pt>
                <c:pt idx="116">
                  <c:v>156.68399999999997</c:v>
                </c:pt>
                <c:pt idx="117">
                  <c:v>156.75899999999999</c:v>
                </c:pt>
                <c:pt idx="118">
                  <c:v>156.821</c:v>
                </c:pt>
                <c:pt idx="119">
                  <c:v>156.91289999999998</c:v>
                </c:pt>
                <c:pt idx="120">
                  <c:v>157.02319999999997</c:v>
                </c:pt>
                <c:pt idx="121">
                  <c:v>157.10379999999995</c:v>
                </c:pt>
                <c:pt idx="122">
                  <c:v>157.14459999999997</c:v>
                </c:pt>
                <c:pt idx="123">
                  <c:v>157.18549999999996</c:v>
                </c:pt>
                <c:pt idx="124">
                  <c:v>157.22719999999995</c:v>
                </c:pt>
                <c:pt idx="125">
                  <c:v>157.27339999999998</c:v>
                </c:pt>
                <c:pt idx="126">
                  <c:v>157.29989999999995</c:v>
                </c:pt>
                <c:pt idx="127">
                  <c:v>157.33259999999996</c:v>
                </c:pt>
                <c:pt idx="128">
                  <c:v>157.35509999999994</c:v>
                </c:pt>
                <c:pt idx="129">
                  <c:v>157.37889999999993</c:v>
                </c:pt>
                <c:pt idx="130">
                  <c:v>157.42009999999993</c:v>
                </c:pt>
                <c:pt idx="131">
                  <c:v>157.42809999999994</c:v>
                </c:pt>
                <c:pt idx="132">
                  <c:v>157.43769999999995</c:v>
                </c:pt>
                <c:pt idx="133">
                  <c:v>157.47809999999996</c:v>
                </c:pt>
                <c:pt idx="134">
                  <c:v>157.50139999999996</c:v>
                </c:pt>
                <c:pt idx="135">
                  <c:v>157.55939999999995</c:v>
                </c:pt>
                <c:pt idx="136">
                  <c:v>157.63249999999996</c:v>
                </c:pt>
                <c:pt idx="137">
                  <c:v>157.67949999999993</c:v>
                </c:pt>
                <c:pt idx="138">
                  <c:v>157.72779999999995</c:v>
                </c:pt>
                <c:pt idx="139">
                  <c:v>157.74529999999993</c:v>
                </c:pt>
                <c:pt idx="140">
                  <c:v>157.77589999999992</c:v>
                </c:pt>
                <c:pt idx="141">
                  <c:v>157.82319999999993</c:v>
                </c:pt>
                <c:pt idx="142">
                  <c:v>157.91279999999992</c:v>
                </c:pt>
                <c:pt idx="143">
                  <c:v>157.98289999999994</c:v>
                </c:pt>
                <c:pt idx="144">
                  <c:v>158.09529999999992</c:v>
                </c:pt>
                <c:pt idx="145">
                  <c:v>158.20629999999994</c:v>
                </c:pt>
                <c:pt idx="146">
                  <c:v>158.23369999999997</c:v>
                </c:pt>
                <c:pt idx="147">
                  <c:v>158.19919999999993</c:v>
                </c:pt>
                <c:pt idx="148">
                  <c:v>158.12689999999995</c:v>
                </c:pt>
                <c:pt idx="149">
                  <c:v>158.02029999999993</c:v>
                </c:pt>
                <c:pt idx="150">
                  <c:v>157.88739999999993</c:v>
                </c:pt>
                <c:pt idx="151">
                  <c:v>157.77679999999992</c:v>
                </c:pt>
                <c:pt idx="152">
                  <c:v>157.67259999999993</c:v>
                </c:pt>
                <c:pt idx="153">
                  <c:v>157.55659999999995</c:v>
                </c:pt>
                <c:pt idx="154">
                  <c:v>157.45259999999996</c:v>
                </c:pt>
                <c:pt idx="155">
                  <c:v>157.35069999999996</c:v>
                </c:pt>
                <c:pt idx="156">
                  <c:v>157.27209999999994</c:v>
                </c:pt>
                <c:pt idx="157">
                  <c:v>157.18009999999995</c:v>
                </c:pt>
                <c:pt idx="158">
                  <c:v>157.09569999999997</c:v>
                </c:pt>
                <c:pt idx="159">
                  <c:v>156.97909999999996</c:v>
                </c:pt>
                <c:pt idx="160">
                  <c:v>156.85489999999996</c:v>
                </c:pt>
                <c:pt idx="161">
                  <c:v>156.72139999999996</c:v>
                </c:pt>
                <c:pt idx="162">
                  <c:v>156.59979999999996</c:v>
                </c:pt>
                <c:pt idx="163">
                  <c:v>156.48039999999995</c:v>
                </c:pt>
                <c:pt idx="164">
                  <c:v>156.34299999999996</c:v>
                </c:pt>
                <c:pt idx="165">
                  <c:v>156.18699999999998</c:v>
                </c:pt>
                <c:pt idx="166">
                  <c:v>156.04849999999996</c:v>
                </c:pt>
                <c:pt idx="167">
                  <c:v>155.90799999999999</c:v>
                </c:pt>
                <c:pt idx="168">
                  <c:v>155.72789999999998</c:v>
                </c:pt>
                <c:pt idx="169">
                  <c:v>155.52969999999999</c:v>
                </c:pt>
                <c:pt idx="170">
                  <c:v>155.34939999999997</c:v>
                </c:pt>
                <c:pt idx="171">
                  <c:v>155.15909999999997</c:v>
                </c:pt>
                <c:pt idx="172">
                  <c:v>154.99929999999998</c:v>
                </c:pt>
                <c:pt idx="173">
                  <c:v>154.81759999999997</c:v>
                </c:pt>
                <c:pt idx="174">
                  <c:v>154.62069999999997</c:v>
                </c:pt>
                <c:pt idx="175">
                  <c:v>154.41279999999998</c:v>
                </c:pt>
                <c:pt idx="176">
                  <c:v>154.19969999999998</c:v>
                </c:pt>
                <c:pt idx="177">
                  <c:v>153.99209999999999</c:v>
                </c:pt>
                <c:pt idx="178">
                  <c:v>153.79049999999998</c:v>
                </c:pt>
                <c:pt idx="179">
                  <c:v>153.57729999999998</c:v>
                </c:pt>
                <c:pt idx="180">
                  <c:v>153.36829999999998</c:v>
                </c:pt>
                <c:pt idx="181">
                  <c:v>153.16179999999997</c:v>
                </c:pt>
                <c:pt idx="182">
                  <c:v>153.02449999999996</c:v>
                </c:pt>
                <c:pt idx="183">
                  <c:v>152.90269999999998</c:v>
                </c:pt>
                <c:pt idx="184">
                  <c:v>152.73509999999999</c:v>
                </c:pt>
                <c:pt idx="185">
                  <c:v>152.55249999999998</c:v>
                </c:pt>
                <c:pt idx="186">
                  <c:v>152.3844</c:v>
                </c:pt>
                <c:pt idx="187">
                  <c:v>152.23039999999997</c:v>
                </c:pt>
                <c:pt idx="188">
                  <c:v>152.10199999999998</c:v>
                </c:pt>
                <c:pt idx="189">
                  <c:v>151.95699999999999</c:v>
                </c:pt>
                <c:pt idx="190">
                  <c:v>151.81129999999999</c:v>
                </c:pt>
                <c:pt idx="191">
                  <c:v>151.67339999999999</c:v>
                </c:pt>
                <c:pt idx="192">
                  <c:v>151.54849999999999</c:v>
                </c:pt>
                <c:pt idx="193">
                  <c:v>151.40549999999999</c:v>
                </c:pt>
                <c:pt idx="194">
                  <c:v>151.2911</c:v>
                </c:pt>
                <c:pt idx="195">
                  <c:v>151.17060000000001</c:v>
                </c:pt>
                <c:pt idx="196">
                  <c:v>151.07340000000002</c:v>
                </c:pt>
                <c:pt idx="197">
                  <c:v>150.9915</c:v>
                </c:pt>
                <c:pt idx="198">
                  <c:v>150.89310000000003</c:v>
                </c:pt>
                <c:pt idx="199">
                  <c:v>150.81100000000004</c:v>
                </c:pt>
                <c:pt idx="200">
                  <c:v>150.74550000000002</c:v>
                </c:pt>
                <c:pt idx="201">
                  <c:v>150.66260000000003</c:v>
                </c:pt>
                <c:pt idx="202">
                  <c:v>150.60240000000002</c:v>
                </c:pt>
                <c:pt idx="203">
                  <c:v>150.52900000000002</c:v>
                </c:pt>
                <c:pt idx="204">
                  <c:v>150.41080000000002</c:v>
                </c:pt>
                <c:pt idx="205">
                  <c:v>150.34070000000003</c:v>
                </c:pt>
                <c:pt idx="206">
                  <c:v>150.28749999999999</c:v>
                </c:pt>
                <c:pt idx="207">
                  <c:v>150.24310000000003</c:v>
                </c:pt>
                <c:pt idx="208">
                  <c:v>150.16900000000001</c:v>
                </c:pt>
                <c:pt idx="209">
                  <c:v>150.08869999999999</c:v>
                </c:pt>
                <c:pt idx="210">
                  <c:v>150.0095</c:v>
                </c:pt>
                <c:pt idx="211">
                  <c:v>149.97529999999998</c:v>
                </c:pt>
                <c:pt idx="212">
                  <c:v>149.97279999999998</c:v>
                </c:pt>
                <c:pt idx="213">
                  <c:v>149.97849999999997</c:v>
                </c:pt>
                <c:pt idx="214">
                  <c:v>150.02999999999997</c:v>
                </c:pt>
                <c:pt idx="215">
                  <c:v>150.06579999999997</c:v>
                </c:pt>
                <c:pt idx="216">
                  <c:v>150.10179999999997</c:v>
                </c:pt>
                <c:pt idx="217">
                  <c:v>150.10039999999998</c:v>
                </c:pt>
                <c:pt idx="218">
                  <c:v>150.10049999999998</c:v>
                </c:pt>
                <c:pt idx="219">
                  <c:v>150.09459999999999</c:v>
                </c:pt>
                <c:pt idx="220">
                  <c:v>150.12799999999999</c:v>
                </c:pt>
                <c:pt idx="221">
                  <c:v>150.18269999999998</c:v>
                </c:pt>
                <c:pt idx="222">
                  <c:v>150.22709999999998</c:v>
                </c:pt>
                <c:pt idx="223">
                  <c:v>150.25890000000001</c:v>
                </c:pt>
                <c:pt idx="224">
                  <c:v>150.30700000000002</c:v>
                </c:pt>
                <c:pt idx="225">
                  <c:v>150.35580000000002</c:v>
                </c:pt>
                <c:pt idx="226">
                  <c:v>150.41230000000002</c:v>
                </c:pt>
                <c:pt idx="227">
                  <c:v>150.47280000000001</c:v>
                </c:pt>
                <c:pt idx="228">
                  <c:v>150.5548</c:v>
                </c:pt>
                <c:pt idx="229">
                  <c:v>150.64610000000002</c:v>
                </c:pt>
                <c:pt idx="230">
                  <c:v>150.71410000000003</c:v>
                </c:pt>
                <c:pt idx="231">
                  <c:v>150.78360000000001</c:v>
                </c:pt>
                <c:pt idx="232">
                  <c:v>150.84690000000001</c:v>
                </c:pt>
                <c:pt idx="233">
                  <c:v>150.84970000000001</c:v>
                </c:pt>
                <c:pt idx="234">
                  <c:v>150.86529999999999</c:v>
                </c:pt>
                <c:pt idx="235">
                  <c:v>150.80540000000002</c:v>
                </c:pt>
                <c:pt idx="236">
                  <c:v>150.75649999999999</c:v>
                </c:pt>
                <c:pt idx="237">
                  <c:v>150.73500000000001</c:v>
                </c:pt>
                <c:pt idx="238">
                  <c:v>150.72719999999998</c:v>
                </c:pt>
                <c:pt idx="239">
                  <c:v>150.73339999999999</c:v>
                </c:pt>
                <c:pt idx="240">
                  <c:v>150.72139999999999</c:v>
                </c:pt>
                <c:pt idx="241">
                  <c:v>150.63959999999997</c:v>
                </c:pt>
                <c:pt idx="242">
                  <c:v>150.54229999999998</c:v>
                </c:pt>
                <c:pt idx="243">
                  <c:v>150.41709999999998</c:v>
                </c:pt>
                <c:pt idx="244">
                  <c:v>150.23289999999994</c:v>
                </c:pt>
                <c:pt idx="245">
                  <c:v>150.05669999999998</c:v>
                </c:pt>
                <c:pt idx="246">
                  <c:v>149.96019999999996</c:v>
                </c:pt>
                <c:pt idx="247">
                  <c:v>149.91309999999999</c:v>
                </c:pt>
                <c:pt idx="248">
                  <c:v>149.90629999999996</c:v>
                </c:pt>
                <c:pt idx="249">
                  <c:v>149.91399999999996</c:v>
                </c:pt>
                <c:pt idx="250">
                  <c:v>149.92059999999995</c:v>
                </c:pt>
                <c:pt idx="251">
                  <c:v>149.92409999999995</c:v>
                </c:pt>
                <c:pt idx="252">
                  <c:v>149.94129999999996</c:v>
                </c:pt>
                <c:pt idx="253">
                  <c:v>149.96959999999996</c:v>
                </c:pt>
                <c:pt idx="254">
                  <c:v>150.00069999999997</c:v>
                </c:pt>
                <c:pt idx="255">
                  <c:v>150.04989999999995</c:v>
                </c:pt>
                <c:pt idx="256">
                  <c:v>150.08489999999995</c:v>
                </c:pt>
                <c:pt idx="257">
                  <c:v>150.14359999999996</c:v>
                </c:pt>
                <c:pt idx="258">
                  <c:v>150.22879999999995</c:v>
                </c:pt>
                <c:pt idx="259">
                  <c:v>150.35089999999997</c:v>
                </c:pt>
                <c:pt idx="260">
                  <c:v>150.48099999999994</c:v>
                </c:pt>
                <c:pt idx="261">
                  <c:v>150.61749999999995</c:v>
                </c:pt>
                <c:pt idx="262">
                  <c:v>150.75599999999994</c:v>
                </c:pt>
                <c:pt idx="263">
                  <c:v>150.85339999999994</c:v>
                </c:pt>
                <c:pt idx="264">
                  <c:v>150.94799999999995</c:v>
                </c:pt>
                <c:pt idx="265">
                  <c:v>151.04809999999995</c:v>
                </c:pt>
                <c:pt idx="266">
                  <c:v>151.13039999999995</c:v>
                </c:pt>
                <c:pt idx="267">
                  <c:v>151.22319999999993</c:v>
                </c:pt>
                <c:pt idx="268">
                  <c:v>151.33869999999996</c:v>
                </c:pt>
                <c:pt idx="269">
                  <c:v>151.47489999999996</c:v>
                </c:pt>
                <c:pt idx="270">
                  <c:v>151.62879999999998</c:v>
                </c:pt>
                <c:pt idx="271">
                  <c:v>151.73509999999999</c:v>
                </c:pt>
                <c:pt idx="272">
                  <c:v>151.82549999999998</c:v>
                </c:pt>
                <c:pt idx="273">
                  <c:v>151.97539999999995</c:v>
                </c:pt>
                <c:pt idx="274">
                  <c:v>152.12649999999994</c:v>
                </c:pt>
                <c:pt idx="275">
                  <c:v>152.25339999999994</c:v>
                </c:pt>
                <c:pt idx="276">
                  <c:v>152.37349999999995</c:v>
                </c:pt>
                <c:pt idx="277">
                  <c:v>152.51029999999997</c:v>
                </c:pt>
                <c:pt idx="278">
                  <c:v>152.65059999999997</c:v>
                </c:pt>
                <c:pt idx="279">
                  <c:v>152.75999999999996</c:v>
                </c:pt>
                <c:pt idx="280">
                  <c:v>152.86889999999997</c:v>
                </c:pt>
                <c:pt idx="281">
                  <c:v>152.96549999999996</c:v>
                </c:pt>
                <c:pt idx="282">
                  <c:v>153.05169999999995</c:v>
                </c:pt>
                <c:pt idx="283">
                  <c:v>153.14949999999996</c:v>
                </c:pt>
                <c:pt idx="284">
                  <c:v>153.29769999999996</c:v>
                </c:pt>
                <c:pt idx="285">
                  <c:v>153.44699999999995</c:v>
                </c:pt>
                <c:pt idx="286">
                  <c:v>153.57099999999997</c:v>
                </c:pt>
                <c:pt idx="287">
                  <c:v>153.66249999999997</c:v>
                </c:pt>
                <c:pt idx="288">
                  <c:v>153.71689999999992</c:v>
                </c:pt>
                <c:pt idx="289">
                  <c:v>153.77409999999992</c:v>
                </c:pt>
                <c:pt idx="290">
                  <c:v>153.84779999999992</c:v>
                </c:pt>
                <c:pt idx="291">
                  <c:v>153.87129999999991</c:v>
                </c:pt>
                <c:pt idx="292">
                  <c:v>153.88009999999994</c:v>
                </c:pt>
                <c:pt idx="293">
                  <c:v>153.90069999999992</c:v>
                </c:pt>
                <c:pt idx="294">
                  <c:v>153.93369999999996</c:v>
                </c:pt>
                <c:pt idx="295">
                  <c:v>153.99089999999993</c:v>
                </c:pt>
                <c:pt idx="296">
                  <c:v>154.05239999999995</c:v>
                </c:pt>
                <c:pt idx="297">
                  <c:v>154.07539999999992</c:v>
                </c:pt>
                <c:pt idx="298">
                  <c:v>154.12479999999994</c:v>
                </c:pt>
                <c:pt idx="299">
                  <c:v>154.17359999999996</c:v>
                </c:pt>
                <c:pt idx="300">
                  <c:v>154.23179999999994</c:v>
                </c:pt>
                <c:pt idx="301">
                  <c:v>154.31149999999997</c:v>
                </c:pt>
                <c:pt idx="302">
                  <c:v>154.41079999999997</c:v>
                </c:pt>
                <c:pt idx="303">
                  <c:v>154.54209999999995</c:v>
                </c:pt>
                <c:pt idx="304">
                  <c:v>154.68499999999997</c:v>
                </c:pt>
                <c:pt idx="305">
                  <c:v>154.82799999999997</c:v>
                </c:pt>
                <c:pt idx="306">
                  <c:v>154.97009999999997</c:v>
                </c:pt>
                <c:pt idx="307">
                  <c:v>155.12409999999997</c:v>
                </c:pt>
                <c:pt idx="308">
                  <c:v>155.31859999999998</c:v>
                </c:pt>
                <c:pt idx="309">
                  <c:v>155.50460000000001</c:v>
                </c:pt>
                <c:pt idx="310">
                  <c:v>155.6773</c:v>
                </c:pt>
                <c:pt idx="311">
                  <c:v>155.81950000000001</c:v>
                </c:pt>
                <c:pt idx="312">
                  <c:v>155.9649</c:v>
                </c:pt>
                <c:pt idx="313">
                  <c:v>156.09550000000002</c:v>
                </c:pt>
                <c:pt idx="314">
                  <c:v>156.0795</c:v>
                </c:pt>
                <c:pt idx="315">
                  <c:v>155.94460000000004</c:v>
                </c:pt>
                <c:pt idx="316">
                  <c:v>155.77680000000001</c:v>
                </c:pt>
                <c:pt idx="317">
                  <c:v>155.58110000000002</c:v>
                </c:pt>
                <c:pt idx="318">
                  <c:v>155.48850000000002</c:v>
                </c:pt>
                <c:pt idx="319">
                  <c:v>155.25110000000004</c:v>
                </c:pt>
                <c:pt idx="320">
                  <c:v>154.98940000000002</c:v>
                </c:pt>
                <c:pt idx="321">
                  <c:v>154.72840000000002</c:v>
                </c:pt>
                <c:pt idx="322">
                  <c:v>154.46620000000001</c:v>
                </c:pt>
                <c:pt idx="323">
                  <c:v>154.22380000000001</c:v>
                </c:pt>
                <c:pt idx="324">
                  <c:v>153.98920000000001</c:v>
                </c:pt>
                <c:pt idx="325">
                  <c:v>153.71020000000001</c:v>
                </c:pt>
                <c:pt idx="326">
                  <c:v>153.45960000000002</c:v>
                </c:pt>
                <c:pt idx="327">
                  <c:v>153.22280000000001</c:v>
                </c:pt>
                <c:pt idx="328">
                  <c:v>152.98820000000001</c:v>
                </c:pt>
                <c:pt idx="329">
                  <c:v>152.7544</c:v>
                </c:pt>
                <c:pt idx="330">
                  <c:v>152.53609999999998</c:v>
                </c:pt>
                <c:pt idx="331">
                  <c:v>152.30699999999999</c:v>
                </c:pt>
                <c:pt idx="332">
                  <c:v>152.04840000000002</c:v>
                </c:pt>
                <c:pt idx="333">
                  <c:v>151.8278</c:v>
                </c:pt>
                <c:pt idx="334">
                  <c:v>151.61949999999999</c:v>
                </c:pt>
                <c:pt idx="335">
                  <c:v>151.4221</c:v>
                </c:pt>
                <c:pt idx="336">
                  <c:v>151.2073</c:v>
                </c:pt>
                <c:pt idx="337">
                  <c:v>150.99519999999998</c:v>
                </c:pt>
                <c:pt idx="338">
                  <c:v>150.80350000000001</c:v>
                </c:pt>
                <c:pt idx="339">
                  <c:v>150.6413</c:v>
                </c:pt>
                <c:pt idx="340">
                  <c:v>150.51880000000003</c:v>
                </c:pt>
                <c:pt idx="341">
                  <c:v>150.44870000000003</c:v>
                </c:pt>
                <c:pt idx="342">
                  <c:v>150.38430000000005</c:v>
                </c:pt>
                <c:pt idx="343">
                  <c:v>150.36610000000005</c:v>
                </c:pt>
                <c:pt idx="344">
                  <c:v>150.37560000000002</c:v>
                </c:pt>
                <c:pt idx="345">
                  <c:v>150.33200000000002</c:v>
                </c:pt>
                <c:pt idx="346">
                  <c:v>150.27500000000003</c:v>
                </c:pt>
                <c:pt idx="347">
                  <c:v>150.19220000000004</c:v>
                </c:pt>
                <c:pt idx="348">
                  <c:v>150.10530000000006</c:v>
                </c:pt>
                <c:pt idx="349">
                  <c:v>150.03070000000008</c:v>
                </c:pt>
                <c:pt idx="350">
                  <c:v>149.97830000000008</c:v>
                </c:pt>
                <c:pt idx="351">
                  <c:v>149.89010000000007</c:v>
                </c:pt>
                <c:pt idx="352">
                  <c:v>149.80210000000011</c:v>
                </c:pt>
                <c:pt idx="353">
                  <c:v>149.69060000000007</c:v>
                </c:pt>
                <c:pt idx="354">
                  <c:v>149.59640000000007</c:v>
                </c:pt>
                <c:pt idx="355">
                  <c:v>149.49600000000007</c:v>
                </c:pt>
                <c:pt idx="356">
                  <c:v>149.36670000000012</c:v>
                </c:pt>
                <c:pt idx="357">
                  <c:v>149.2043000000001</c:v>
                </c:pt>
                <c:pt idx="358">
                  <c:v>149.05290000000008</c:v>
                </c:pt>
                <c:pt idx="359">
                  <c:v>148.89150000000006</c:v>
                </c:pt>
                <c:pt idx="360">
                  <c:v>148.74170000000007</c:v>
                </c:pt>
                <c:pt idx="361">
                  <c:v>148.59570000000008</c:v>
                </c:pt>
                <c:pt idx="362">
                  <c:v>148.43070000000006</c:v>
                </c:pt>
                <c:pt idx="363">
                  <c:v>148.30740000000006</c:v>
                </c:pt>
                <c:pt idx="364">
                  <c:v>148.20360000000005</c:v>
                </c:pt>
                <c:pt idx="365">
                  <c:v>148.13200000000009</c:v>
                </c:pt>
                <c:pt idx="366">
                  <c:v>148.05740000000006</c:v>
                </c:pt>
                <c:pt idx="367">
                  <c:v>147.98060000000007</c:v>
                </c:pt>
                <c:pt idx="368">
                  <c:v>147.88710000000009</c:v>
                </c:pt>
                <c:pt idx="369">
                  <c:v>147.76570000000007</c:v>
                </c:pt>
                <c:pt idx="370">
                  <c:v>147.63480000000004</c:v>
                </c:pt>
                <c:pt idx="371">
                  <c:v>147.58730000000006</c:v>
                </c:pt>
                <c:pt idx="372">
                  <c:v>147.53180000000006</c:v>
                </c:pt>
                <c:pt idx="373">
                  <c:v>147.43150000000006</c:v>
                </c:pt>
                <c:pt idx="374">
                  <c:v>147.35730000000007</c:v>
                </c:pt>
                <c:pt idx="375">
                  <c:v>147.31810000000004</c:v>
                </c:pt>
                <c:pt idx="376">
                  <c:v>147.27560000000005</c:v>
                </c:pt>
                <c:pt idx="377">
                  <c:v>147.19190000000006</c:v>
                </c:pt>
                <c:pt idx="378">
                  <c:v>147.14990000000006</c:v>
                </c:pt>
                <c:pt idx="379">
                  <c:v>147.13110000000009</c:v>
                </c:pt>
                <c:pt idx="380">
                  <c:v>147.11400000000006</c:v>
                </c:pt>
                <c:pt idx="381">
                  <c:v>147.11370000000005</c:v>
                </c:pt>
                <c:pt idx="382">
                  <c:v>147.06860000000003</c:v>
                </c:pt>
                <c:pt idx="383">
                  <c:v>147.00320000000005</c:v>
                </c:pt>
                <c:pt idx="384">
                  <c:v>146.91450000000003</c:v>
                </c:pt>
                <c:pt idx="385">
                  <c:v>146.85910000000004</c:v>
                </c:pt>
                <c:pt idx="386">
                  <c:v>146.78060000000002</c:v>
                </c:pt>
                <c:pt idx="387">
                  <c:v>146.71320000000003</c:v>
                </c:pt>
                <c:pt idx="388">
                  <c:v>146.66220000000004</c:v>
                </c:pt>
                <c:pt idx="389">
                  <c:v>146.62670000000006</c:v>
                </c:pt>
                <c:pt idx="390">
                  <c:v>146.59880000000004</c:v>
                </c:pt>
                <c:pt idx="391">
                  <c:v>146.61630000000005</c:v>
                </c:pt>
                <c:pt idx="392">
                  <c:v>146.65910000000008</c:v>
                </c:pt>
                <c:pt idx="393">
                  <c:v>146.72130000000007</c:v>
                </c:pt>
                <c:pt idx="394">
                  <c:v>146.72740000000007</c:v>
                </c:pt>
                <c:pt idx="395">
                  <c:v>146.68040000000008</c:v>
                </c:pt>
                <c:pt idx="396">
                  <c:v>146.61870000000008</c:v>
                </c:pt>
                <c:pt idx="397">
                  <c:v>146.58830000000006</c:v>
                </c:pt>
                <c:pt idx="398">
                  <c:v>146.59200000000007</c:v>
                </c:pt>
                <c:pt idx="399">
                  <c:v>146.58370000000008</c:v>
                </c:pt>
                <c:pt idx="400">
                  <c:v>146.5451000000001</c:v>
                </c:pt>
                <c:pt idx="401">
                  <c:v>146.5080000000001</c:v>
                </c:pt>
                <c:pt idx="402">
                  <c:v>146.4344000000001</c:v>
                </c:pt>
                <c:pt idx="403">
                  <c:v>146.33830000000009</c:v>
                </c:pt>
                <c:pt idx="404">
                  <c:v>146.24930000000012</c:v>
                </c:pt>
                <c:pt idx="405">
                  <c:v>146.15340000000012</c:v>
                </c:pt>
                <c:pt idx="406">
                  <c:v>146.06870000000009</c:v>
                </c:pt>
                <c:pt idx="407">
                  <c:v>145.96250000000006</c:v>
                </c:pt>
                <c:pt idx="408">
                  <c:v>145.80280000000008</c:v>
                </c:pt>
                <c:pt idx="409">
                  <c:v>145.66850000000008</c:v>
                </c:pt>
                <c:pt idx="410">
                  <c:v>145.56310000000008</c:v>
                </c:pt>
                <c:pt idx="411">
                  <c:v>145.47200000000009</c:v>
                </c:pt>
                <c:pt idx="412">
                  <c:v>145.36890000000005</c:v>
                </c:pt>
                <c:pt idx="413">
                  <c:v>145.27780000000007</c:v>
                </c:pt>
                <c:pt idx="414">
                  <c:v>145.30900000000005</c:v>
                </c:pt>
                <c:pt idx="415">
                  <c:v>145.46940000000004</c:v>
                </c:pt>
                <c:pt idx="416">
                  <c:v>145.67390000000006</c:v>
                </c:pt>
                <c:pt idx="417">
                  <c:v>145.92290000000003</c:v>
                </c:pt>
                <c:pt idx="418">
                  <c:v>146.04320000000001</c:v>
                </c:pt>
                <c:pt idx="419">
                  <c:v>146.27030000000002</c:v>
                </c:pt>
                <c:pt idx="420">
                  <c:v>146.45060000000001</c:v>
                </c:pt>
                <c:pt idx="421">
                  <c:v>146.63740000000001</c:v>
                </c:pt>
                <c:pt idx="422">
                  <c:v>146.84050000000002</c:v>
                </c:pt>
                <c:pt idx="423">
                  <c:v>147.06480000000005</c:v>
                </c:pt>
                <c:pt idx="424">
                  <c:v>147.26860000000005</c:v>
                </c:pt>
                <c:pt idx="425">
                  <c:v>147.50240000000002</c:v>
                </c:pt>
                <c:pt idx="426">
                  <c:v>147.70250000000004</c:v>
                </c:pt>
                <c:pt idx="427">
                  <c:v>147.93110000000007</c:v>
                </c:pt>
                <c:pt idx="428">
                  <c:v>148.14130000000006</c:v>
                </c:pt>
                <c:pt idx="429">
                  <c:v>148.34240000000005</c:v>
                </c:pt>
                <c:pt idx="430">
                  <c:v>148.50350000000003</c:v>
                </c:pt>
                <c:pt idx="431">
                  <c:v>148.67100000000002</c:v>
                </c:pt>
                <c:pt idx="432">
                  <c:v>148.88460000000003</c:v>
                </c:pt>
                <c:pt idx="433">
                  <c:v>149.11380000000003</c:v>
                </c:pt>
                <c:pt idx="434">
                  <c:v>149.33600000000001</c:v>
                </c:pt>
                <c:pt idx="435">
                  <c:v>149.58260000000001</c:v>
                </c:pt>
                <c:pt idx="436">
                  <c:v>149.7876</c:v>
                </c:pt>
                <c:pt idx="437">
                  <c:v>149.98259999999999</c:v>
                </c:pt>
                <c:pt idx="438">
                  <c:v>150.15800000000002</c:v>
                </c:pt>
                <c:pt idx="439">
                  <c:v>150.30680000000004</c:v>
                </c:pt>
                <c:pt idx="440">
                  <c:v>150.42610000000002</c:v>
                </c:pt>
                <c:pt idx="441">
                  <c:v>150.54280000000003</c:v>
                </c:pt>
                <c:pt idx="442">
                  <c:v>150.67520000000002</c:v>
                </c:pt>
                <c:pt idx="443">
                  <c:v>150.79000000000002</c:v>
                </c:pt>
                <c:pt idx="444">
                  <c:v>150.8854</c:v>
                </c:pt>
                <c:pt idx="445">
                  <c:v>150.98950000000002</c:v>
                </c:pt>
                <c:pt idx="446">
                  <c:v>151.1362</c:v>
                </c:pt>
                <c:pt idx="447">
                  <c:v>151.30450000000002</c:v>
                </c:pt>
                <c:pt idx="448">
                  <c:v>151.4727</c:v>
                </c:pt>
                <c:pt idx="449">
                  <c:v>151.62440000000001</c:v>
                </c:pt>
                <c:pt idx="450">
                  <c:v>151.77690000000001</c:v>
                </c:pt>
                <c:pt idx="451">
                  <c:v>151.9615</c:v>
                </c:pt>
                <c:pt idx="452">
                  <c:v>152.12030000000001</c:v>
                </c:pt>
                <c:pt idx="453">
                  <c:v>152.309</c:v>
                </c:pt>
                <c:pt idx="454">
                  <c:v>152.49620000000002</c:v>
                </c:pt>
                <c:pt idx="455">
                  <c:v>152.65629999999999</c:v>
                </c:pt>
                <c:pt idx="456">
                  <c:v>152.83540000000002</c:v>
                </c:pt>
                <c:pt idx="457">
                  <c:v>153.0077</c:v>
                </c:pt>
                <c:pt idx="458">
                  <c:v>153.1566</c:v>
                </c:pt>
                <c:pt idx="459">
                  <c:v>153.2842</c:v>
                </c:pt>
                <c:pt idx="460">
                  <c:v>153.42789999999999</c:v>
                </c:pt>
                <c:pt idx="461">
                  <c:v>153.5205</c:v>
                </c:pt>
                <c:pt idx="462">
                  <c:v>153.60469999999998</c:v>
                </c:pt>
                <c:pt idx="463">
                  <c:v>153.67219999999998</c:v>
                </c:pt>
                <c:pt idx="464">
                  <c:v>153.7413</c:v>
                </c:pt>
                <c:pt idx="465">
                  <c:v>153.803</c:v>
                </c:pt>
                <c:pt idx="466">
                  <c:v>153.8776</c:v>
                </c:pt>
                <c:pt idx="467">
                  <c:v>153.94449999999998</c:v>
                </c:pt>
                <c:pt idx="468">
                  <c:v>154.00909999999999</c:v>
                </c:pt>
                <c:pt idx="469">
                  <c:v>154.12939999999998</c:v>
                </c:pt>
                <c:pt idx="470">
                  <c:v>154.27330000000001</c:v>
                </c:pt>
                <c:pt idx="471">
                  <c:v>154.37709999999998</c:v>
                </c:pt>
                <c:pt idx="472">
                  <c:v>154.47539999999998</c:v>
                </c:pt>
                <c:pt idx="473">
                  <c:v>154.56049999999999</c:v>
                </c:pt>
                <c:pt idx="474">
                  <c:v>154.6079</c:v>
                </c:pt>
                <c:pt idx="475">
                  <c:v>154.62789999999998</c:v>
                </c:pt>
                <c:pt idx="476">
                  <c:v>154.64169999999999</c:v>
                </c:pt>
                <c:pt idx="477">
                  <c:v>154.65300000000002</c:v>
                </c:pt>
                <c:pt idx="478">
                  <c:v>154.6157</c:v>
                </c:pt>
                <c:pt idx="479">
                  <c:v>154.59679999999997</c:v>
                </c:pt>
                <c:pt idx="480">
                  <c:v>154.5805</c:v>
                </c:pt>
                <c:pt idx="481">
                  <c:v>154.52990000000003</c:v>
                </c:pt>
                <c:pt idx="482">
                  <c:v>154.52930000000003</c:v>
                </c:pt>
                <c:pt idx="483">
                  <c:v>154.54500000000002</c:v>
                </c:pt>
                <c:pt idx="484">
                  <c:v>154.54580000000001</c:v>
                </c:pt>
                <c:pt idx="485">
                  <c:v>154.51910000000001</c:v>
                </c:pt>
                <c:pt idx="486">
                  <c:v>154.50359999999998</c:v>
                </c:pt>
                <c:pt idx="487">
                  <c:v>154.52090000000001</c:v>
                </c:pt>
                <c:pt idx="488">
                  <c:v>154.52770000000001</c:v>
                </c:pt>
                <c:pt idx="489">
                  <c:v>154.49639999999999</c:v>
                </c:pt>
                <c:pt idx="490">
                  <c:v>154.43609999999998</c:v>
                </c:pt>
                <c:pt idx="491">
                  <c:v>154.3552</c:v>
                </c:pt>
                <c:pt idx="492">
                  <c:v>154.2876</c:v>
                </c:pt>
                <c:pt idx="493">
                  <c:v>154.1942</c:v>
                </c:pt>
                <c:pt idx="494">
                  <c:v>154.1361</c:v>
                </c:pt>
                <c:pt idx="495">
                  <c:v>154.11770000000001</c:v>
                </c:pt>
                <c:pt idx="496">
                  <c:v>154.1088</c:v>
                </c:pt>
                <c:pt idx="497">
                  <c:v>154.10339999999999</c:v>
                </c:pt>
                <c:pt idx="498">
                  <c:v>154.07320000000001</c:v>
                </c:pt>
                <c:pt idx="499">
                  <c:v>154.05530000000002</c:v>
                </c:pt>
                <c:pt idx="500">
                  <c:v>154.04679999999999</c:v>
                </c:pt>
                <c:pt idx="501">
                  <c:v>154.02079999999998</c:v>
                </c:pt>
                <c:pt idx="502">
                  <c:v>154.0453</c:v>
                </c:pt>
                <c:pt idx="503">
                  <c:v>154.13939999999999</c:v>
                </c:pt>
                <c:pt idx="504">
                  <c:v>154.14610000000002</c:v>
                </c:pt>
                <c:pt idx="505">
                  <c:v>154.1465</c:v>
                </c:pt>
                <c:pt idx="506">
                  <c:v>154.17349999999999</c:v>
                </c:pt>
                <c:pt idx="507">
                  <c:v>154.24140000000003</c:v>
                </c:pt>
                <c:pt idx="508">
                  <c:v>154.34480000000002</c:v>
                </c:pt>
                <c:pt idx="509">
                  <c:v>154.45130000000003</c:v>
                </c:pt>
                <c:pt idx="510">
                  <c:v>154.56820000000005</c:v>
                </c:pt>
                <c:pt idx="511">
                  <c:v>154.64800000000002</c:v>
                </c:pt>
                <c:pt idx="512">
                  <c:v>154.72860000000003</c:v>
                </c:pt>
                <c:pt idx="513">
                  <c:v>154.80800000000002</c:v>
                </c:pt>
                <c:pt idx="514">
                  <c:v>154.88290000000001</c:v>
                </c:pt>
                <c:pt idx="515">
                  <c:v>154.9563</c:v>
                </c:pt>
                <c:pt idx="516">
                  <c:v>155.01750000000001</c:v>
                </c:pt>
                <c:pt idx="517">
                  <c:v>155.07419999999999</c:v>
                </c:pt>
                <c:pt idx="518">
                  <c:v>155.18409999999997</c:v>
                </c:pt>
                <c:pt idx="519">
                  <c:v>155.30649999999997</c:v>
                </c:pt>
                <c:pt idx="520">
                  <c:v>155.48179999999996</c:v>
                </c:pt>
                <c:pt idx="521">
                  <c:v>155.71079999999995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FB-4536-BB01-2BC035A9E0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482000"/>
        <c:axId val="152481520"/>
      </c:lineChart>
      <c:dateAx>
        <c:axId val="152482000"/>
        <c:scaling>
          <c:orientation val="minMax"/>
          <c:max val="46063"/>
          <c:min val="45659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1520"/>
        <c:crosses val="autoZero"/>
        <c:auto val="1"/>
        <c:lblOffset val="100"/>
        <c:baseTimeUnit val="days"/>
      </c:dateAx>
      <c:valAx>
        <c:axId val="152481520"/>
        <c:scaling>
          <c:orientation val="minMax"/>
          <c:max val="180"/>
          <c:min val="13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[$$-409]* #,##0.00_);_([$$-409]* \(#,##0.00\);_([$$-409]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82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 Dividends  2000 -</a:t>
            </a:r>
            <a:r>
              <a:rPr lang="en-US" baseline="0"/>
              <a:t> 2025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Dividends!$B$1</c:f>
              <c:strCache>
                <c:ptCount val="1"/>
                <c:pt idx="0">
                  <c:v>Dividends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Dividends!$A$2:$A$106</c:f>
              <c:numCache>
                <c:formatCode>m/d/yyyy</c:formatCode>
                <c:ptCount val="105"/>
                <c:pt idx="0">
                  <c:v>36572</c:v>
                </c:pt>
                <c:pt idx="1">
                  <c:v>36663</c:v>
                </c:pt>
                <c:pt idx="2">
                  <c:v>36754</c:v>
                </c:pt>
                <c:pt idx="3">
                  <c:v>36845</c:v>
                </c:pt>
                <c:pt idx="4">
                  <c:v>36936</c:v>
                </c:pt>
                <c:pt idx="5">
                  <c:v>37027</c:v>
                </c:pt>
                <c:pt idx="6">
                  <c:v>37118</c:v>
                </c:pt>
                <c:pt idx="7">
                  <c:v>37209</c:v>
                </c:pt>
                <c:pt idx="8">
                  <c:v>37300</c:v>
                </c:pt>
                <c:pt idx="9">
                  <c:v>37391</c:v>
                </c:pt>
                <c:pt idx="10">
                  <c:v>37483</c:v>
                </c:pt>
                <c:pt idx="11">
                  <c:v>37574</c:v>
                </c:pt>
                <c:pt idx="12">
                  <c:v>37664</c:v>
                </c:pt>
                <c:pt idx="13">
                  <c:v>37756</c:v>
                </c:pt>
                <c:pt idx="14">
                  <c:v>37848</c:v>
                </c:pt>
                <c:pt idx="15">
                  <c:v>37939</c:v>
                </c:pt>
                <c:pt idx="16">
                  <c:v>38030</c:v>
                </c:pt>
                <c:pt idx="17">
                  <c:v>38124</c:v>
                </c:pt>
                <c:pt idx="18">
                  <c:v>38216</c:v>
                </c:pt>
                <c:pt idx="19">
                  <c:v>38307</c:v>
                </c:pt>
                <c:pt idx="20">
                  <c:v>38397</c:v>
                </c:pt>
                <c:pt idx="21">
                  <c:v>38489</c:v>
                </c:pt>
                <c:pt idx="22">
                  <c:v>38581</c:v>
                </c:pt>
                <c:pt idx="23">
                  <c:v>38672</c:v>
                </c:pt>
                <c:pt idx="24">
                  <c:v>38762</c:v>
                </c:pt>
                <c:pt idx="25">
                  <c:v>38854</c:v>
                </c:pt>
                <c:pt idx="26">
                  <c:v>38945</c:v>
                </c:pt>
                <c:pt idx="27">
                  <c:v>39036</c:v>
                </c:pt>
                <c:pt idx="28">
                  <c:v>39127</c:v>
                </c:pt>
                <c:pt idx="29">
                  <c:v>39218</c:v>
                </c:pt>
                <c:pt idx="30">
                  <c:v>39309</c:v>
                </c:pt>
                <c:pt idx="31">
                  <c:v>39400</c:v>
                </c:pt>
                <c:pt idx="32">
                  <c:v>39491</c:v>
                </c:pt>
                <c:pt idx="33">
                  <c:v>39583</c:v>
                </c:pt>
                <c:pt idx="34">
                  <c:v>39675</c:v>
                </c:pt>
                <c:pt idx="35">
                  <c:v>39766</c:v>
                </c:pt>
                <c:pt idx="36">
                  <c:v>39856</c:v>
                </c:pt>
                <c:pt idx="37">
                  <c:v>39948</c:v>
                </c:pt>
                <c:pt idx="38">
                  <c:v>40042</c:v>
                </c:pt>
                <c:pt idx="39">
                  <c:v>40133</c:v>
                </c:pt>
                <c:pt idx="40">
                  <c:v>40221</c:v>
                </c:pt>
                <c:pt idx="41">
                  <c:v>40315</c:v>
                </c:pt>
                <c:pt idx="42">
                  <c:v>40407</c:v>
                </c:pt>
                <c:pt idx="43">
                  <c:v>40498</c:v>
                </c:pt>
                <c:pt idx="44">
                  <c:v>40588</c:v>
                </c:pt>
                <c:pt idx="45">
                  <c:v>40680</c:v>
                </c:pt>
                <c:pt idx="46">
                  <c:v>40772</c:v>
                </c:pt>
                <c:pt idx="47">
                  <c:v>40863</c:v>
                </c:pt>
                <c:pt idx="48">
                  <c:v>40954</c:v>
                </c:pt>
                <c:pt idx="49">
                  <c:v>41045</c:v>
                </c:pt>
                <c:pt idx="50">
                  <c:v>41136</c:v>
                </c:pt>
                <c:pt idx="51">
                  <c:v>41227</c:v>
                </c:pt>
                <c:pt idx="52">
                  <c:v>41318</c:v>
                </c:pt>
                <c:pt idx="53">
                  <c:v>41409</c:v>
                </c:pt>
                <c:pt idx="54">
                  <c:v>41501</c:v>
                </c:pt>
                <c:pt idx="55">
                  <c:v>41592</c:v>
                </c:pt>
                <c:pt idx="56">
                  <c:v>41682</c:v>
                </c:pt>
                <c:pt idx="57">
                  <c:v>41774</c:v>
                </c:pt>
                <c:pt idx="58">
                  <c:v>41866</c:v>
                </c:pt>
                <c:pt idx="59">
                  <c:v>41957</c:v>
                </c:pt>
                <c:pt idx="60">
                  <c:v>42047</c:v>
                </c:pt>
                <c:pt idx="61">
                  <c:v>42139</c:v>
                </c:pt>
                <c:pt idx="62">
                  <c:v>42233</c:v>
                </c:pt>
                <c:pt idx="63">
                  <c:v>42324</c:v>
                </c:pt>
                <c:pt idx="64">
                  <c:v>42416</c:v>
                </c:pt>
                <c:pt idx="65">
                  <c:v>42507</c:v>
                </c:pt>
                <c:pt idx="66">
                  <c:v>42599</c:v>
                </c:pt>
                <c:pt idx="67">
                  <c:v>42690</c:v>
                </c:pt>
                <c:pt idx="68">
                  <c:v>42780</c:v>
                </c:pt>
                <c:pt idx="69">
                  <c:v>42872</c:v>
                </c:pt>
                <c:pt idx="70">
                  <c:v>42963</c:v>
                </c:pt>
                <c:pt idx="71">
                  <c:v>43055</c:v>
                </c:pt>
                <c:pt idx="72">
                  <c:v>43146</c:v>
                </c:pt>
                <c:pt idx="73">
                  <c:v>43237</c:v>
                </c:pt>
                <c:pt idx="74">
                  <c:v>43328</c:v>
                </c:pt>
                <c:pt idx="75">
                  <c:v>43419</c:v>
                </c:pt>
                <c:pt idx="76">
                  <c:v>43510</c:v>
                </c:pt>
                <c:pt idx="77">
                  <c:v>43601</c:v>
                </c:pt>
                <c:pt idx="78">
                  <c:v>43693</c:v>
                </c:pt>
                <c:pt idx="79">
                  <c:v>43784</c:v>
                </c:pt>
                <c:pt idx="80">
                  <c:v>43875</c:v>
                </c:pt>
                <c:pt idx="81">
                  <c:v>43969</c:v>
                </c:pt>
                <c:pt idx="82">
                  <c:v>44061</c:v>
                </c:pt>
                <c:pt idx="83">
                  <c:v>44152</c:v>
                </c:pt>
                <c:pt idx="84">
                  <c:v>44243</c:v>
                </c:pt>
                <c:pt idx="85">
                  <c:v>44334</c:v>
                </c:pt>
                <c:pt idx="86">
                  <c:v>44426</c:v>
                </c:pt>
                <c:pt idx="87">
                  <c:v>44517</c:v>
                </c:pt>
                <c:pt idx="88">
                  <c:v>44607</c:v>
                </c:pt>
                <c:pt idx="89">
                  <c:v>44699</c:v>
                </c:pt>
                <c:pt idx="90">
                  <c:v>44791</c:v>
                </c:pt>
                <c:pt idx="91">
                  <c:v>44882</c:v>
                </c:pt>
                <c:pt idx="92">
                  <c:v>44972</c:v>
                </c:pt>
                <c:pt idx="93">
                  <c:v>45064</c:v>
                </c:pt>
                <c:pt idx="94">
                  <c:v>45155</c:v>
                </c:pt>
                <c:pt idx="95">
                  <c:v>45246</c:v>
                </c:pt>
                <c:pt idx="96">
                  <c:v>45337</c:v>
                </c:pt>
                <c:pt idx="97">
                  <c:v>45428</c:v>
                </c:pt>
                <c:pt idx="98">
                  <c:v>45523</c:v>
                </c:pt>
                <c:pt idx="99">
                  <c:v>45614</c:v>
                </c:pt>
                <c:pt idx="100">
                  <c:v>45702</c:v>
                </c:pt>
                <c:pt idx="101">
                  <c:v>45796</c:v>
                </c:pt>
                <c:pt idx="102">
                  <c:v>45888</c:v>
                </c:pt>
                <c:pt idx="103">
                  <c:v>45979</c:v>
                </c:pt>
              </c:numCache>
            </c:numRef>
          </c:cat>
          <c:val>
            <c:numRef>
              <c:f>Dividends!$B$2:$B$106</c:f>
              <c:numCache>
                <c:formatCode>"$"#,##0.00_);[Red]\("$"#,##0.00\)</c:formatCode>
                <c:ptCount val="105"/>
                <c:pt idx="0">
                  <c:v>0.33</c:v>
                </c:pt>
                <c:pt idx="1">
                  <c:v>0.33</c:v>
                </c:pt>
                <c:pt idx="2">
                  <c:v>0.33</c:v>
                </c:pt>
                <c:pt idx="3">
                  <c:v>0.33</c:v>
                </c:pt>
                <c:pt idx="4">
                  <c:v>0.33</c:v>
                </c:pt>
                <c:pt idx="5">
                  <c:v>0.33</c:v>
                </c:pt>
                <c:pt idx="6">
                  <c:v>0.33</c:v>
                </c:pt>
                <c:pt idx="7">
                  <c:v>0.35</c:v>
                </c:pt>
                <c:pt idx="8">
                  <c:v>0.35</c:v>
                </c:pt>
                <c:pt idx="9">
                  <c:v>0.35</c:v>
                </c:pt>
                <c:pt idx="10">
                  <c:v>0.35</c:v>
                </c:pt>
                <c:pt idx="11">
                  <c:v>0.35</c:v>
                </c:pt>
                <c:pt idx="12">
                  <c:v>0.35</c:v>
                </c:pt>
                <c:pt idx="13">
                  <c:v>0.35</c:v>
                </c:pt>
                <c:pt idx="14">
                  <c:v>0.37</c:v>
                </c:pt>
                <c:pt idx="15">
                  <c:v>0.37</c:v>
                </c:pt>
                <c:pt idx="16">
                  <c:v>0.37</c:v>
                </c:pt>
                <c:pt idx="17">
                  <c:v>0.37</c:v>
                </c:pt>
                <c:pt idx="18">
                  <c:v>0.4</c:v>
                </c:pt>
                <c:pt idx="19">
                  <c:v>0.4</c:v>
                </c:pt>
                <c:pt idx="20">
                  <c:v>0.4</c:v>
                </c:pt>
                <c:pt idx="21">
                  <c:v>0.45</c:v>
                </c:pt>
                <c:pt idx="22">
                  <c:v>0.45</c:v>
                </c:pt>
                <c:pt idx="23">
                  <c:v>0.45</c:v>
                </c:pt>
                <c:pt idx="24">
                  <c:v>0.45</c:v>
                </c:pt>
                <c:pt idx="25">
                  <c:v>0.52</c:v>
                </c:pt>
                <c:pt idx="26">
                  <c:v>0.52</c:v>
                </c:pt>
                <c:pt idx="27">
                  <c:v>0.52</c:v>
                </c:pt>
                <c:pt idx="28">
                  <c:v>0.52</c:v>
                </c:pt>
                <c:pt idx="29">
                  <c:v>0.57999999999999996</c:v>
                </c:pt>
                <c:pt idx="30">
                  <c:v>0.57999999999999996</c:v>
                </c:pt>
                <c:pt idx="31">
                  <c:v>0.57999999999999996</c:v>
                </c:pt>
                <c:pt idx="32">
                  <c:v>0.57999999999999996</c:v>
                </c:pt>
                <c:pt idx="33">
                  <c:v>0.65</c:v>
                </c:pt>
                <c:pt idx="34">
                  <c:v>0.65</c:v>
                </c:pt>
                <c:pt idx="35">
                  <c:v>0.65</c:v>
                </c:pt>
                <c:pt idx="36">
                  <c:v>0.65</c:v>
                </c:pt>
                <c:pt idx="37">
                  <c:v>0.65</c:v>
                </c:pt>
                <c:pt idx="38">
                  <c:v>0.68</c:v>
                </c:pt>
                <c:pt idx="39">
                  <c:v>0.68</c:v>
                </c:pt>
                <c:pt idx="40">
                  <c:v>0.68</c:v>
                </c:pt>
                <c:pt idx="41">
                  <c:v>0.72</c:v>
                </c:pt>
                <c:pt idx="42">
                  <c:v>0.72</c:v>
                </c:pt>
                <c:pt idx="43">
                  <c:v>0.72</c:v>
                </c:pt>
                <c:pt idx="44">
                  <c:v>0.72</c:v>
                </c:pt>
                <c:pt idx="45">
                  <c:v>0.78</c:v>
                </c:pt>
                <c:pt idx="46">
                  <c:v>0.78</c:v>
                </c:pt>
                <c:pt idx="47">
                  <c:v>0.81</c:v>
                </c:pt>
                <c:pt idx="48">
                  <c:v>0.81</c:v>
                </c:pt>
                <c:pt idx="49">
                  <c:v>0.9</c:v>
                </c:pt>
                <c:pt idx="50">
                  <c:v>0.9</c:v>
                </c:pt>
                <c:pt idx="51">
                  <c:v>0.9</c:v>
                </c:pt>
                <c:pt idx="52">
                  <c:v>0.9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1.07</c:v>
                </c:pt>
                <c:pt idx="58">
                  <c:v>1.07</c:v>
                </c:pt>
                <c:pt idx="59">
                  <c:v>1.07</c:v>
                </c:pt>
                <c:pt idx="60">
                  <c:v>1.07</c:v>
                </c:pt>
                <c:pt idx="61">
                  <c:v>1.07</c:v>
                </c:pt>
                <c:pt idx="62">
                  <c:v>1.07</c:v>
                </c:pt>
                <c:pt idx="63">
                  <c:v>1.07</c:v>
                </c:pt>
                <c:pt idx="64">
                  <c:v>1.07</c:v>
                </c:pt>
                <c:pt idx="65">
                  <c:v>1.07</c:v>
                </c:pt>
                <c:pt idx="66">
                  <c:v>1.07</c:v>
                </c:pt>
                <c:pt idx="67">
                  <c:v>1.08</c:v>
                </c:pt>
                <c:pt idx="68">
                  <c:v>1.08</c:v>
                </c:pt>
                <c:pt idx="69">
                  <c:v>1.08</c:v>
                </c:pt>
                <c:pt idx="70">
                  <c:v>1.08</c:v>
                </c:pt>
                <c:pt idx="71">
                  <c:v>1.08</c:v>
                </c:pt>
                <c:pt idx="72">
                  <c:v>1.1200000000000001</c:v>
                </c:pt>
                <c:pt idx="73">
                  <c:v>1.1200000000000001</c:v>
                </c:pt>
                <c:pt idx="74">
                  <c:v>1.1200000000000001</c:v>
                </c:pt>
                <c:pt idx="75">
                  <c:v>1.1200000000000001</c:v>
                </c:pt>
                <c:pt idx="76">
                  <c:v>1.19</c:v>
                </c:pt>
                <c:pt idx="77">
                  <c:v>1.19</c:v>
                </c:pt>
                <c:pt idx="78">
                  <c:v>1.19</c:v>
                </c:pt>
                <c:pt idx="79">
                  <c:v>1.19</c:v>
                </c:pt>
                <c:pt idx="80">
                  <c:v>1.29</c:v>
                </c:pt>
                <c:pt idx="81">
                  <c:v>1.29</c:v>
                </c:pt>
                <c:pt idx="82">
                  <c:v>1.29</c:v>
                </c:pt>
                <c:pt idx="83">
                  <c:v>1.29</c:v>
                </c:pt>
                <c:pt idx="84">
                  <c:v>1.29</c:v>
                </c:pt>
                <c:pt idx="85">
                  <c:v>1.34</c:v>
                </c:pt>
                <c:pt idx="86">
                  <c:v>1.34</c:v>
                </c:pt>
                <c:pt idx="87">
                  <c:v>1.34</c:v>
                </c:pt>
                <c:pt idx="88">
                  <c:v>1.42</c:v>
                </c:pt>
                <c:pt idx="89">
                  <c:v>1.42</c:v>
                </c:pt>
                <c:pt idx="90">
                  <c:v>1.42</c:v>
                </c:pt>
                <c:pt idx="91">
                  <c:v>1.42</c:v>
                </c:pt>
                <c:pt idx="92">
                  <c:v>1.51</c:v>
                </c:pt>
                <c:pt idx="93">
                  <c:v>1.51</c:v>
                </c:pt>
                <c:pt idx="94">
                  <c:v>1.51</c:v>
                </c:pt>
                <c:pt idx="95">
                  <c:v>1.51</c:v>
                </c:pt>
                <c:pt idx="96">
                  <c:v>1.63</c:v>
                </c:pt>
                <c:pt idx="97">
                  <c:v>1.63</c:v>
                </c:pt>
                <c:pt idx="98">
                  <c:v>1.63</c:v>
                </c:pt>
                <c:pt idx="99">
                  <c:v>1.63</c:v>
                </c:pt>
                <c:pt idx="100">
                  <c:v>1.71</c:v>
                </c:pt>
                <c:pt idx="101">
                  <c:v>1.71</c:v>
                </c:pt>
                <c:pt idx="102">
                  <c:v>1.71</c:v>
                </c:pt>
                <c:pt idx="103">
                  <c:v>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5-47E0-9D10-50DACA152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87651200"/>
        <c:axId val="1587651680"/>
      </c:barChart>
      <c:dateAx>
        <c:axId val="15876512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1680"/>
        <c:crosses val="autoZero"/>
        <c:auto val="1"/>
        <c:lblOffset val="100"/>
        <c:baseTimeUnit val="days"/>
      </c:dateAx>
      <c:valAx>
        <c:axId val="1587651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65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'Forecast Average'!$B$1</c:f>
              <c:strCache>
                <c:ptCount val="1"/>
                <c:pt idx="0">
                  <c:v>Average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'Forecast Average'!$A$2:$A$120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'Forecast Average'!$B$2:$B$120</c:f>
              <c:numCache>
                <c:formatCode>General</c:formatCode>
                <c:ptCount val="119"/>
                <c:pt idx="0">
                  <c:v>150.7175</c:v>
                </c:pt>
                <c:pt idx="1">
                  <c:v>146.44999999999999</c:v>
                </c:pt>
                <c:pt idx="2">
                  <c:v>142.7175</c:v>
                </c:pt>
                <c:pt idx="3">
                  <c:v>145.44200000000001</c:v>
                </c:pt>
                <c:pt idx="4">
                  <c:v>149.352</c:v>
                </c:pt>
                <c:pt idx="5">
                  <c:v>152.38200000000001</c:v>
                </c:pt>
                <c:pt idx="6">
                  <c:v>152.55600000000001</c:v>
                </c:pt>
                <c:pt idx="7">
                  <c:v>154.88249999999999</c:v>
                </c:pt>
                <c:pt idx="8">
                  <c:v>152.75399999999999</c:v>
                </c:pt>
                <c:pt idx="9">
                  <c:v>149.21</c:v>
                </c:pt>
                <c:pt idx="10">
                  <c:v>153.80599999999998</c:v>
                </c:pt>
                <c:pt idx="11">
                  <c:v>155.22</c:v>
                </c:pt>
                <c:pt idx="12">
                  <c:v>156.45750000000001</c:v>
                </c:pt>
                <c:pt idx="13">
                  <c:v>160.31800000000001</c:v>
                </c:pt>
                <c:pt idx="14">
                  <c:v>161.358</c:v>
                </c:pt>
                <c:pt idx="15">
                  <c:v>157.56800000000001</c:v>
                </c:pt>
                <c:pt idx="16">
                  <c:v>163.90199999999999</c:v>
                </c:pt>
                <c:pt idx="17">
                  <c:v>161.642</c:v>
                </c:pt>
                <c:pt idx="18">
                  <c:v>163.756</c:v>
                </c:pt>
                <c:pt idx="19">
                  <c:v>162.99</c:v>
                </c:pt>
                <c:pt idx="20">
                  <c:v>158.67400000000001</c:v>
                </c:pt>
                <c:pt idx="21">
                  <c:v>159.125</c:v>
                </c:pt>
                <c:pt idx="22">
                  <c:v>156.11600000000001</c:v>
                </c:pt>
                <c:pt idx="23">
                  <c:v>154.572</c:v>
                </c:pt>
                <c:pt idx="24">
                  <c:v>154.61000000000001</c:v>
                </c:pt>
                <c:pt idx="25">
                  <c:v>157.292</c:v>
                </c:pt>
                <c:pt idx="26">
                  <c:v>156.07249999999999</c:v>
                </c:pt>
                <c:pt idx="27">
                  <c:v>154.65799999999999</c:v>
                </c:pt>
                <c:pt idx="28">
                  <c:v>159.63200000000001</c:v>
                </c:pt>
                <c:pt idx="29">
                  <c:v>156.30600000000001</c:v>
                </c:pt>
                <c:pt idx="30">
                  <c:v>155.56200000000001</c:v>
                </c:pt>
                <c:pt idx="31">
                  <c:v>143.95599999999999</c:v>
                </c:pt>
                <c:pt idx="32">
                  <c:v>145.58199999999999</c:v>
                </c:pt>
                <c:pt idx="33">
                  <c:v>146.03800000000001</c:v>
                </c:pt>
                <c:pt idx="34">
                  <c:v>147.364</c:v>
                </c:pt>
                <c:pt idx="35">
                  <c:v>141.55500000000001</c:v>
                </c:pt>
                <c:pt idx="36">
                  <c:v>139.24600000000001</c:v>
                </c:pt>
                <c:pt idx="37">
                  <c:v>144.02600000000001</c:v>
                </c:pt>
                <c:pt idx="38">
                  <c:v>145.28800000000001</c:v>
                </c:pt>
                <c:pt idx="39">
                  <c:v>149.982</c:v>
                </c:pt>
                <c:pt idx="40">
                  <c:v>150.31200000000001</c:v>
                </c:pt>
                <c:pt idx="41">
                  <c:v>150.03799999999998</c:v>
                </c:pt>
                <c:pt idx="42">
                  <c:v>150.708</c:v>
                </c:pt>
                <c:pt idx="43">
                  <c:v>149.80000000000001</c:v>
                </c:pt>
                <c:pt idx="44">
                  <c:v>155.76</c:v>
                </c:pt>
                <c:pt idx="45">
                  <c:v>158.74600000000001</c:v>
                </c:pt>
                <c:pt idx="46">
                  <c:v>161.136</c:v>
                </c:pt>
                <c:pt idx="47">
                  <c:v>161.73250000000002</c:v>
                </c:pt>
                <c:pt idx="48">
                  <c:v>159.404</c:v>
                </c:pt>
                <c:pt idx="49">
                  <c:v>155.774</c:v>
                </c:pt>
                <c:pt idx="50">
                  <c:v>145.11000000000001</c:v>
                </c:pt>
                <c:pt idx="51">
                  <c:v>143.69749999999999</c:v>
                </c:pt>
                <c:pt idx="52">
                  <c:v>145.61750000000001</c:v>
                </c:pt>
                <c:pt idx="53">
                  <c:v>150.07249999999999</c:v>
                </c:pt>
                <c:pt idx="54">
                  <c:v>158.286</c:v>
                </c:pt>
                <c:pt idx="55">
                  <c:v>156.57749999999999</c:v>
                </c:pt>
                <c:pt idx="56">
                  <c:v>154.928</c:v>
                </c:pt>
                <c:pt idx="57">
                  <c:v>152.01400000000001</c:v>
                </c:pt>
                <c:pt idx="58">
                  <c:v>155.86600000000001</c:v>
                </c:pt>
                <c:pt idx="59">
                  <c:v>157.27499999999998</c:v>
                </c:pt>
                <c:pt idx="60">
                  <c:v>156.94799999999998</c:v>
                </c:pt>
                <c:pt idx="61">
                  <c:v>153.03800000000001</c:v>
                </c:pt>
                <c:pt idx="62">
                  <c:v>154.99</c:v>
                </c:pt>
                <c:pt idx="63">
                  <c:v>162.62</c:v>
                </c:pt>
                <c:pt idx="64">
                  <c:v>166.334</c:v>
                </c:pt>
                <c:pt idx="65">
                  <c:v>160.334</c:v>
                </c:pt>
                <c:pt idx="66">
                  <c:v>138.744</c:v>
                </c:pt>
                <c:pt idx="67">
                  <c:v>135.77250000000001</c:v>
                </c:pt>
                <c:pt idx="68">
                  <c:v>137.102</c:v>
                </c:pt>
                <c:pt idx="69">
                  <c:v>138.04400000000001</c:v>
                </c:pt>
                <c:pt idx="70">
                  <c:v>136.48400000000001</c:v>
                </c:pt>
                <c:pt idx="71">
                  <c:v>142</c:v>
                </c:pt>
                <c:pt idx="72">
                  <c:v>136.63</c:v>
                </c:pt>
                <c:pt idx="73">
                  <c:v>137.11500000000001</c:v>
                </c:pt>
                <c:pt idx="74">
                  <c:v>138.374</c:v>
                </c:pt>
                <c:pt idx="75">
                  <c:v>143.95400000000001</c:v>
                </c:pt>
                <c:pt idx="76">
                  <c:v>148.155</c:v>
                </c:pt>
                <c:pt idx="77">
                  <c:v>144.374</c:v>
                </c:pt>
                <c:pt idx="78">
                  <c:v>146.2775</c:v>
                </c:pt>
                <c:pt idx="79">
                  <c:v>152.62800000000001</c:v>
                </c:pt>
                <c:pt idx="80">
                  <c:v>150.73599999999999</c:v>
                </c:pt>
                <c:pt idx="81">
                  <c:v>152.702</c:v>
                </c:pt>
                <c:pt idx="82">
                  <c:v>153.982</c:v>
                </c:pt>
                <c:pt idx="83">
                  <c:v>153.006</c:v>
                </c:pt>
                <c:pt idx="84">
                  <c:v>155.09399999999999</c:v>
                </c:pt>
                <c:pt idx="85">
                  <c:v>154.85400000000001</c:v>
                </c:pt>
                <c:pt idx="86">
                  <c:v>158.94399999999999</c:v>
                </c:pt>
                <c:pt idx="87">
                  <c:v>157.81</c:v>
                </c:pt>
                <c:pt idx="88">
                  <c:v>156.4</c:v>
                </c:pt>
                <c:pt idx="89">
                  <c:v>158.398</c:v>
                </c:pt>
                <c:pt idx="90">
                  <c:v>158.70599999999999</c:v>
                </c:pt>
                <c:pt idx="91">
                  <c:v>154.578</c:v>
                </c:pt>
                <c:pt idx="92">
                  <c:v>152.642</c:v>
                </c:pt>
                <c:pt idx="93">
                  <c:v>152.24600000000001</c:v>
                </c:pt>
                <c:pt idx="94">
                  <c:v>155.19200000000001</c:v>
                </c:pt>
                <c:pt idx="95">
                  <c:v>155.15</c:v>
                </c:pt>
                <c:pt idx="96">
                  <c:v>153.60999999999999</c:v>
                </c:pt>
                <c:pt idx="97">
                  <c:v>155.68200000000002</c:v>
                </c:pt>
                <c:pt idx="98">
                  <c:v>152.08599999999998</c:v>
                </c:pt>
                <c:pt idx="99">
                  <c:v>149.72999999999999</c:v>
                </c:pt>
                <c:pt idx="100">
                  <c:v>151.328</c:v>
                </c:pt>
                <c:pt idx="101">
                  <c:v>149.864</c:v>
                </c:pt>
                <c:pt idx="102">
                  <c:v>148.30199999999999</c:v>
                </c:pt>
                <c:pt idx="103">
                  <c:v>150.20750000000001</c:v>
                </c:pt>
                <c:pt idx="104">
                  <c:v>152.9025</c:v>
                </c:pt>
                <c:pt idx="105">
                  <c:v>159.38999999999999</c:v>
                </c:pt>
                <c:pt idx="106">
                  <c:v>165.17400000000001</c:v>
                </c:pt>
                <c:pt idx="107">
                  <c:v>166.35249999999999</c:v>
                </c:pt>
                <c:pt idx="108">
                  <c:v>170.91400000000002</c:v>
                </c:pt>
                <c:pt idx="109">
                  <c:v>176.035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5CB-4D8D-B4B9-3EB85D738E60}"/>
            </c:ext>
          </c:extLst>
        </c:ser>
        <c:ser>
          <c:idx val="1"/>
          <c:order val="1"/>
          <c:tx>
            <c:strRef>
              <c:f>'Forecast Average'!$C$1</c:f>
              <c:strCache>
                <c:ptCount val="1"/>
                <c:pt idx="0">
                  <c:v>XL Forecast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'Forecast Average'!$A$2:$A$120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'Forecast Average'!$C$2:$C$120</c:f>
              <c:numCache>
                <c:formatCode>General</c:formatCode>
                <c:ptCount val="119"/>
                <c:pt idx="110">
                  <c:v>168.9041882828169</c:v>
                </c:pt>
                <c:pt idx="111">
                  <c:v>182.24492731845703</c:v>
                </c:pt>
                <c:pt idx="112">
                  <c:v>179.27362256391294</c:v>
                </c:pt>
                <c:pt idx="113">
                  <c:v>186.8851569440221</c:v>
                </c:pt>
                <c:pt idx="114">
                  <c:v>182.09683431988148</c:v>
                </c:pt>
                <c:pt idx="115">
                  <c:v>185.27400143519472</c:v>
                </c:pt>
                <c:pt idx="116">
                  <c:v>195.04375702213005</c:v>
                </c:pt>
                <c:pt idx="117">
                  <c:v>178.9093916563601</c:v>
                </c:pt>
                <c:pt idx="118">
                  <c:v>171.6319827343313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5CB-4D8D-B4B9-3EB85D738E60}"/>
            </c:ext>
          </c:extLst>
        </c:ser>
        <c:ser>
          <c:idx val="2"/>
          <c:order val="2"/>
          <c:tx>
            <c:strRef>
              <c:f>'Forecast Average'!$D$1</c:f>
              <c:strCache>
                <c:ptCount val="1"/>
                <c:pt idx="0">
                  <c:v>Calc Forecast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'Forecast Average'!$A$2:$A$120</c:f>
              <c:numCache>
                <c:formatCode>m/d/yyyy</c:formatCode>
                <c:ptCount val="119"/>
                <c:pt idx="0">
                  <c:v>45292</c:v>
                </c:pt>
                <c:pt idx="1">
                  <c:v>45299</c:v>
                </c:pt>
                <c:pt idx="2">
                  <c:v>45306</c:v>
                </c:pt>
                <c:pt idx="3">
                  <c:v>45313</c:v>
                </c:pt>
                <c:pt idx="4">
                  <c:v>45320</c:v>
                </c:pt>
                <c:pt idx="5">
                  <c:v>45327</c:v>
                </c:pt>
                <c:pt idx="6">
                  <c:v>45334</c:v>
                </c:pt>
                <c:pt idx="7">
                  <c:v>45341</c:v>
                </c:pt>
                <c:pt idx="8">
                  <c:v>45348</c:v>
                </c:pt>
                <c:pt idx="9">
                  <c:v>45355</c:v>
                </c:pt>
                <c:pt idx="10">
                  <c:v>45362</c:v>
                </c:pt>
                <c:pt idx="11">
                  <c:v>45369</c:v>
                </c:pt>
                <c:pt idx="12">
                  <c:v>45376</c:v>
                </c:pt>
                <c:pt idx="13">
                  <c:v>45383</c:v>
                </c:pt>
                <c:pt idx="14">
                  <c:v>45390</c:v>
                </c:pt>
                <c:pt idx="15">
                  <c:v>45397</c:v>
                </c:pt>
                <c:pt idx="16">
                  <c:v>45404</c:v>
                </c:pt>
                <c:pt idx="17">
                  <c:v>45411</c:v>
                </c:pt>
                <c:pt idx="18">
                  <c:v>45418</c:v>
                </c:pt>
                <c:pt idx="19">
                  <c:v>45425</c:v>
                </c:pt>
                <c:pt idx="20">
                  <c:v>45432</c:v>
                </c:pt>
                <c:pt idx="21">
                  <c:v>45439</c:v>
                </c:pt>
                <c:pt idx="22">
                  <c:v>45446</c:v>
                </c:pt>
                <c:pt idx="23">
                  <c:v>45453</c:v>
                </c:pt>
                <c:pt idx="24">
                  <c:v>45460</c:v>
                </c:pt>
                <c:pt idx="25">
                  <c:v>45467</c:v>
                </c:pt>
                <c:pt idx="26">
                  <c:v>45474</c:v>
                </c:pt>
                <c:pt idx="27">
                  <c:v>45481</c:v>
                </c:pt>
                <c:pt idx="28">
                  <c:v>45488</c:v>
                </c:pt>
                <c:pt idx="29">
                  <c:v>45495</c:v>
                </c:pt>
                <c:pt idx="30">
                  <c:v>45502</c:v>
                </c:pt>
                <c:pt idx="31">
                  <c:v>45509</c:v>
                </c:pt>
                <c:pt idx="32">
                  <c:v>45516</c:v>
                </c:pt>
                <c:pt idx="33">
                  <c:v>45523</c:v>
                </c:pt>
                <c:pt idx="34">
                  <c:v>45530</c:v>
                </c:pt>
                <c:pt idx="35">
                  <c:v>45537</c:v>
                </c:pt>
                <c:pt idx="36">
                  <c:v>45544</c:v>
                </c:pt>
                <c:pt idx="37">
                  <c:v>45551</c:v>
                </c:pt>
                <c:pt idx="38">
                  <c:v>45558</c:v>
                </c:pt>
                <c:pt idx="39">
                  <c:v>45565</c:v>
                </c:pt>
                <c:pt idx="40">
                  <c:v>45572</c:v>
                </c:pt>
                <c:pt idx="41">
                  <c:v>45579</c:v>
                </c:pt>
                <c:pt idx="42">
                  <c:v>45586</c:v>
                </c:pt>
                <c:pt idx="43">
                  <c:v>45593</c:v>
                </c:pt>
                <c:pt idx="44">
                  <c:v>45600</c:v>
                </c:pt>
                <c:pt idx="45">
                  <c:v>45607</c:v>
                </c:pt>
                <c:pt idx="46">
                  <c:v>45614</c:v>
                </c:pt>
                <c:pt idx="47">
                  <c:v>45621</c:v>
                </c:pt>
                <c:pt idx="48">
                  <c:v>45628</c:v>
                </c:pt>
                <c:pt idx="49">
                  <c:v>45635</c:v>
                </c:pt>
                <c:pt idx="50">
                  <c:v>45642</c:v>
                </c:pt>
                <c:pt idx="51">
                  <c:v>45649</c:v>
                </c:pt>
                <c:pt idx="52">
                  <c:v>45656</c:v>
                </c:pt>
                <c:pt idx="53">
                  <c:v>45663</c:v>
                </c:pt>
                <c:pt idx="54">
                  <c:v>45670</c:v>
                </c:pt>
                <c:pt idx="55">
                  <c:v>45677</c:v>
                </c:pt>
                <c:pt idx="56">
                  <c:v>45684</c:v>
                </c:pt>
                <c:pt idx="57">
                  <c:v>45691</c:v>
                </c:pt>
                <c:pt idx="58">
                  <c:v>45698</c:v>
                </c:pt>
                <c:pt idx="59">
                  <c:v>45705</c:v>
                </c:pt>
                <c:pt idx="60">
                  <c:v>45712</c:v>
                </c:pt>
                <c:pt idx="61">
                  <c:v>45719</c:v>
                </c:pt>
                <c:pt idx="62">
                  <c:v>45726</c:v>
                </c:pt>
                <c:pt idx="63">
                  <c:v>45733</c:v>
                </c:pt>
                <c:pt idx="64">
                  <c:v>45740</c:v>
                </c:pt>
                <c:pt idx="65">
                  <c:v>45747</c:v>
                </c:pt>
                <c:pt idx="66">
                  <c:v>45754</c:v>
                </c:pt>
                <c:pt idx="67">
                  <c:v>45761</c:v>
                </c:pt>
                <c:pt idx="68">
                  <c:v>45768</c:v>
                </c:pt>
                <c:pt idx="69">
                  <c:v>45775</c:v>
                </c:pt>
                <c:pt idx="70">
                  <c:v>45782</c:v>
                </c:pt>
                <c:pt idx="71">
                  <c:v>45789</c:v>
                </c:pt>
                <c:pt idx="72">
                  <c:v>45796</c:v>
                </c:pt>
                <c:pt idx="73">
                  <c:v>45803</c:v>
                </c:pt>
                <c:pt idx="74">
                  <c:v>45810</c:v>
                </c:pt>
                <c:pt idx="75">
                  <c:v>45817</c:v>
                </c:pt>
                <c:pt idx="76">
                  <c:v>45824</c:v>
                </c:pt>
                <c:pt idx="77">
                  <c:v>45831</c:v>
                </c:pt>
                <c:pt idx="78">
                  <c:v>45838</c:v>
                </c:pt>
                <c:pt idx="79">
                  <c:v>45845</c:v>
                </c:pt>
                <c:pt idx="80">
                  <c:v>45852</c:v>
                </c:pt>
                <c:pt idx="81">
                  <c:v>45859</c:v>
                </c:pt>
                <c:pt idx="82">
                  <c:v>45866</c:v>
                </c:pt>
                <c:pt idx="83">
                  <c:v>45873</c:v>
                </c:pt>
                <c:pt idx="84">
                  <c:v>45880</c:v>
                </c:pt>
                <c:pt idx="85">
                  <c:v>45887</c:v>
                </c:pt>
                <c:pt idx="86">
                  <c:v>45894</c:v>
                </c:pt>
                <c:pt idx="87">
                  <c:v>45901</c:v>
                </c:pt>
                <c:pt idx="88">
                  <c:v>45908</c:v>
                </c:pt>
                <c:pt idx="89">
                  <c:v>45915</c:v>
                </c:pt>
                <c:pt idx="90">
                  <c:v>45922</c:v>
                </c:pt>
                <c:pt idx="91">
                  <c:v>45929</c:v>
                </c:pt>
                <c:pt idx="92">
                  <c:v>45936</c:v>
                </c:pt>
                <c:pt idx="93">
                  <c:v>45943</c:v>
                </c:pt>
                <c:pt idx="94">
                  <c:v>45950</c:v>
                </c:pt>
                <c:pt idx="95">
                  <c:v>45957</c:v>
                </c:pt>
                <c:pt idx="96">
                  <c:v>45964</c:v>
                </c:pt>
                <c:pt idx="97">
                  <c:v>45971</c:v>
                </c:pt>
                <c:pt idx="98">
                  <c:v>45978</c:v>
                </c:pt>
                <c:pt idx="99">
                  <c:v>45985</c:v>
                </c:pt>
                <c:pt idx="100">
                  <c:v>45992</c:v>
                </c:pt>
                <c:pt idx="101">
                  <c:v>45999</c:v>
                </c:pt>
                <c:pt idx="102">
                  <c:v>46006</c:v>
                </c:pt>
                <c:pt idx="103">
                  <c:v>46013</c:v>
                </c:pt>
                <c:pt idx="104">
                  <c:v>46020</c:v>
                </c:pt>
                <c:pt idx="105">
                  <c:v>46027</c:v>
                </c:pt>
                <c:pt idx="106">
                  <c:v>46034</c:v>
                </c:pt>
                <c:pt idx="107">
                  <c:v>46041</c:v>
                </c:pt>
                <c:pt idx="108">
                  <c:v>46048</c:v>
                </c:pt>
                <c:pt idx="109">
                  <c:v>46055</c:v>
                </c:pt>
                <c:pt idx="110">
                  <c:v>46062</c:v>
                </c:pt>
                <c:pt idx="111">
                  <c:v>46069</c:v>
                </c:pt>
                <c:pt idx="112">
                  <c:v>46076</c:v>
                </c:pt>
                <c:pt idx="113">
                  <c:v>46083</c:v>
                </c:pt>
                <c:pt idx="114">
                  <c:v>46090</c:v>
                </c:pt>
                <c:pt idx="115">
                  <c:v>46097</c:v>
                </c:pt>
                <c:pt idx="116">
                  <c:v>46104</c:v>
                </c:pt>
                <c:pt idx="117">
                  <c:v>46111</c:v>
                </c:pt>
                <c:pt idx="118">
                  <c:v>46118</c:v>
                </c:pt>
              </c:numCache>
            </c:numRef>
          </c:cat>
          <c:val>
            <c:numRef>
              <c:f>'Forecast Average'!$D$2:$D$120</c:f>
              <c:numCache>
                <c:formatCode>General</c:formatCode>
                <c:ptCount val="119"/>
                <c:pt idx="110">
                  <c:v>180.631</c:v>
                </c:pt>
                <c:pt idx="111">
                  <c:v>182.04499999999999</c:v>
                </c:pt>
                <c:pt idx="112">
                  <c:v>183.2825</c:v>
                </c:pt>
                <c:pt idx="113">
                  <c:v>187.143</c:v>
                </c:pt>
                <c:pt idx="114">
                  <c:v>188.18299999999999</c:v>
                </c:pt>
                <c:pt idx="115">
                  <c:v>184.393</c:v>
                </c:pt>
                <c:pt idx="116">
                  <c:v>190.727</c:v>
                </c:pt>
                <c:pt idx="117">
                  <c:v>188.46700000000001</c:v>
                </c:pt>
                <c:pt idx="118">
                  <c:v>190.58099999999999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5CB-4D8D-B4B9-3EB85D738E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31552"/>
        <c:axId val="11848352"/>
      </c:lineChart>
      <c:dateAx>
        <c:axId val="11831552"/>
        <c:scaling>
          <c:orientation val="minMax"/>
          <c:min val="45717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48352"/>
        <c:crosses val="autoZero"/>
        <c:auto val="1"/>
        <c:lblOffset val="100"/>
        <c:baseTimeUnit val="days"/>
      </c:dateAx>
      <c:valAx>
        <c:axId val="11848352"/>
        <c:scaling>
          <c:orientation val="minMax"/>
          <c:min val="1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31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18</xdr:row>
      <xdr:rowOff>161925</xdr:rowOff>
    </xdr:from>
    <xdr:to>
      <xdr:col>7</xdr:col>
      <xdr:colOff>104775</xdr:colOff>
      <xdr:row>31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22EE4F6-19E4-434E-9024-31B828EED9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333375</xdr:colOff>
      <xdr:row>33</xdr:row>
      <xdr:rowOff>0</xdr:rowOff>
    </xdr:from>
    <xdr:to>
      <xdr:col>7</xdr:col>
      <xdr:colOff>142875</xdr:colOff>
      <xdr:row>47</xdr:row>
      <xdr:rowOff>123825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3D67309-7988-41D0-9D3C-AB3613E15C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49</xdr:row>
      <xdr:rowOff>9524</xdr:rowOff>
    </xdr:from>
    <xdr:to>
      <xdr:col>7</xdr:col>
      <xdr:colOff>161925</xdr:colOff>
      <xdr:row>61</xdr:row>
      <xdr:rowOff>114299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C53CF6-7F8D-4429-85C1-CCE74AE517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352425</xdr:colOff>
      <xdr:row>2</xdr:row>
      <xdr:rowOff>104776</xdr:rowOff>
    </xdr:from>
    <xdr:to>
      <xdr:col>7</xdr:col>
      <xdr:colOff>66675</xdr:colOff>
      <xdr:row>16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03AD0D2-B3AE-4D17-A5FF-3FF5910D25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381000</xdr:colOff>
      <xdr:row>78</xdr:row>
      <xdr:rowOff>152400</xdr:rowOff>
    </xdr:from>
    <xdr:to>
      <xdr:col>7</xdr:col>
      <xdr:colOff>200026</xdr:colOff>
      <xdr:row>93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8DE69D-CA14-4F4F-8026-43910C9C63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314325</xdr:colOff>
      <xdr:row>62</xdr:row>
      <xdr:rowOff>142875</xdr:rowOff>
    </xdr:from>
    <xdr:to>
      <xdr:col>7</xdr:col>
      <xdr:colOff>171450</xdr:colOff>
      <xdr:row>77</xdr:row>
      <xdr:rowOff>28575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360937F5-E302-42B4-BC99-DE0314E394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DA69619-C388-450B-A371-34E5F5026593}" autoFormatId="16" applyNumberFormats="0" applyBorderFormats="0" applyFontFormats="0" applyPatternFormats="0" applyAlignmentFormats="0" applyWidthHeightFormats="0">
  <queryTableRefresh nextId="5" unboundColumnsRight="2">
    <queryTableFields count="4">
      <queryTableField id="1" name="Week" tableColumnId="1"/>
      <queryTableField id="2" name="Average" tableColumnId="2"/>
      <queryTableField id="3" dataBound="0" tableColumnId="3"/>
      <queryTableField id="4" dataBound="0" tableColumnId="4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1" c="524">
    <v t="i">1</v>
    <v t="i">2</v>
    <v t="i">3</v>
    <v t="i">4</v>
    <v t="i">7</v>
    <v t="i">8</v>
    <v t="i">9</v>
    <v t="i">10</v>
    <v t="i">11</v>
    <v t="i">15</v>
    <v t="i">16</v>
    <v t="i">17</v>
    <v t="i">18</v>
    <v t="i">21</v>
    <v t="i">22</v>
    <v t="i">23</v>
    <v t="i">24</v>
    <v t="i">25</v>
    <v t="i">28</v>
    <v t="i">29</v>
    <v t="i">30</v>
    <v t="i">31</v>
    <v t="i">32</v>
    <v t="i">35</v>
    <v t="i">36</v>
    <v t="i">37</v>
    <v t="i">38</v>
    <v t="i">39</v>
    <v t="i">42</v>
    <v t="i">43</v>
    <v t="i">44</v>
    <v t="i">45</v>
    <v t="i">46</v>
    <v t="i">50</v>
    <v t="i">51</v>
    <v t="i">52</v>
    <v t="i">53</v>
    <v t="i">56</v>
    <v t="i">57</v>
    <v t="i">58</v>
    <v t="i">59</v>
    <v t="i">60</v>
    <v t="i">63</v>
    <v t="i">64</v>
    <v t="i">65</v>
    <v t="i">66</v>
    <v t="i">67</v>
    <v t="i">70</v>
    <v t="i">71</v>
    <v t="i">72</v>
    <v t="i">73</v>
    <v t="i">74</v>
    <v t="i">77</v>
    <v t="i">78</v>
    <v t="i">79</v>
    <v t="i">80</v>
    <v t="i">81</v>
    <v t="i">84</v>
    <v t="i">85</v>
    <v t="i">86</v>
    <v t="i">87</v>
    <v t="i">91</v>
    <v t="i">92</v>
    <v t="i">93</v>
    <v t="i">94</v>
    <v t="i">95</v>
    <v t="i">98</v>
    <v t="i">99</v>
    <v t="i">100</v>
    <v t="i">101</v>
    <v t="i">102</v>
    <v t="i">105</v>
    <v t="i">106</v>
    <v t="i">107</v>
    <v t="i">108</v>
    <v t="i">109</v>
    <v t="i">112</v>
    <v t="i">113</v>
    <v t="i">114</v>
    <v t="i">115</v>
    <v t="i">116</v>
    <v t="i">119</v>
    <v t="i">120</v>
    <v t="i">121</v>
    <v t="i">122</v>
    <v t="i">123</v>
    <v t="i">126</v>
    <v t="i">127</v>
    <v t="i">128</v>
    <v t="i">129</v>
    <v t="i">130</v>
    <v t="i">133</v>
    <v t="i">134</v>
    <v t="i">135</v>
    <v t="i">136</v>
    <v t="i">137</v>
    <v t="i">140</v>
    <v t="i">141</v>
    <v t="i">142</v>
    <v t="i">143</v>
    <v t="i">144</v>
    <v t="i">148</v>
    <v t="i">149</v>
    <v t="i">150</v>
    <v t="i">151</v>
    <v t="i">154</v>
    <v t="i">155</v>
    <v t="i">156</v>
    <v t="i">157</v>
    <v t="i">158</v>
    <v t="i">161</v>
    <v t="i">162</v>
    <v t="i">163</v>
    <v t="i">164</v>
    <v t="i">165</v>
    <v t="i">168</v>
    <v t="i">169</v>
    <v t="i">171</v>
    <v t="i">172</v>
    <v t="i">175</v>
    <v t="i">176</v>
    <v t="i">177</v>
    <v t="i">178</v>
    <v t="i">179</v>
    <v t="i">182</v>
    <v t="i">183</v>
    <v t="i">184</v>
    <v t="i">186</v>
    <v t="i">189</v>
    <v t="i">190</v>
    <v t="i">191</v>
    <v t="i">192</v>
    <v t="i">193</v>
    <v t="i">196</v>
    <v t="i">197</v>
    <v t="i">198</v>
    <v t="i">199</v>
    <v t="i">200</v>
    <v t="i">203</v>
    <v t="i">204</v>
    <v t="i">205</v>
    <v t="i">206</v>
    <v t="i">207</v>
    <v t="i">210</v>
    <v t="i">211</v>
    <v t="i">212</v>
    <v t="i">213</v>
    <v t="i">214</v>
    <v t="i">217</v>
    <v t="i">218</v>
    <v t="i">219</v>
    <v t="i">220</v>
    <v t="i">221</v>
    <v t="i">224</v>
    <v t="i">225</v>
    <v t="i">226</v>
    <v t="i">227</v>
    <v t="i">228</v>
    <v t="i">231</v>
    <v t="i">232</v>
    <v t="i">233</v>
    <v t="i">234</v>
    <v t="i">235</v>
    <v t="i">238</v>
    <v t="i">239</v>
    <v t="i">240</v>
    <v t="i">241</v>
    <v t="i">242</v>
    <v t="i">246</v>
    <v t="i">247</v>
    <v t="i">248</v>
    <v t="i">249</v>
    <v t="i">252</v>
    <v t="i">253</v>
    <v t="i">254</v>
    <v t="i">255</v>
    <v t="i">256</v>
    <v t="i">259</v>
    <v t="i">260</v>
    <v t="i">261</v>
    <v t="i">262</v>
    <v t="i">263</v>
    <v t="i">266</v>
    <v t="i">267</v>
    <v t="i">268</v>
    <v t="i">269</v>
    <v t="i">270</v>
    <v t="i">273</v>
    <v t="i">274</v>
    <v t="i">275</v>
    <v t="i">276</v>
    <v t="i">277</v>
    <v t="i">280</v>
    <v t="i">281</v>
    <v t="i">282</v>
    <v t="i">283</v>
    <v t="i">284</v>
    <v t="i">287</v>
    <v t="i">288</v>
    <v t="i">289</v>
    <v t="i">290</v>
    <v t="i">291</v>
    <v t="i">294</v>
    <v t="i">295</v>
    <v t="i">296</v>
    <v t="i">297</v>
    <v t="i">298</v>
    <v t="i">301</v>
    <v t="i">302</v>
    <v t="i">303</v>
    <v t="i">304</v>
    <v t="i">305</v>
    <v t="i">308</v>
    <v t="i">309</v>
    <v t="i">310</v>
    <v t="i">311</v>
    <v t="i">312</v>
    <v t="i">315</v>
    <v t="i">316</v>
    <v t="i">317</v>
    <v t="i">318</v>
    <v t="i">319</v>
    <v t="i">322</v>
    <v t="i">323</v>
    <v t="i">324</v>
    <v t="i">325</v>
    <v t="i">326</v>
    <v t="i">329</v>
    <v t="i">330</v>
    <v t="i">331</v>
    <v t="i">333</v>
    <v t="i">336</v>
    <v t="i">337</v>
    <v t="i">338</v>
    <v t="i">339</v>
    <v t="i">340</v>
    <v t="i">343</v>
    <v t="i">344</v>
    <v t="i">345</v>
    <v t="i">346</v>
    <v t="i">347</v>
    <v t="i">350</v>
    <v t="i">351</v>
    <v t="i">352</v>
    <v t="i">353</v>
    <v t="i">354</v>
    <v t="i">357</v>
    <v t="i">358</v>
    <v t="i">360</v>
    <v t="i">361</v>
    <v t="i">364</v>
    <v t="i">365</v>
    <v t="i">367</v>
    <v t="i">368</v>
    <v t="i">371</v>
    <v t="i">372</v>
    <v t="i">373</v>
    <v t="i">375</v>
    <v t="i">378</v>
    <v t="i">379</v>
    <v t="i">380</v>
    <v t="i">381</v>
    <v t="i">382</v>
    <v t="i">386</v>
    <v t="i">387</v>
    <v t="i">388</v>
    <v t="i">389</v>
    <v t="i">392</v>
    <v t="i">393</v>
    <v t="i">394</v>
    <v t="i">395</v>
    <v t="i">396</v>
    <v t="i">399</v>
    <v t="i">400</v>
    <v t="i">401</v>
    <v t="i">402</v>
    <v t="i">403</v>
    <v t="i">406</v>
    <v t="i">407</v>
    <v t="i">408</v>
    <v t="i">409</v>
    <v t="i">410</v>
    <v t="i">414</v>
    <v t="i">415</v>
    <v t="i">416</v>
    <v t="i">417</v>
    <v t="i">420</v>
    <v t="i">421</v>
    <v t="i">422</v>
    <v t="i">423</v>
    <v t="i">424</v>
    <v t="i">427</v>
    <v t="i">428</v>
    <v t="i">429</v>
    <v t="i">430</v>
    <v t="i">431</v>
    <v t="i">434</v>
    <v t="i">435</v>
    <v t="i">436</v>
    <v t="i">437</v>
    <v t="i">438</v>
    <v t="i">441</v>
    <v t="i">442</v>
    <v t="i">443</v>
    <v t="i">444</v>
    <v t="i">445</v>
    <v t="i">448</v>
    <v t="i">449</v>
    <v t="i">450</v>
    <v t="i">451</v>
    <v t="i">452</v>
    <v t="i">455</v>
    <v t="i">456</v>
    <v t="i">457</v>
    <v t="i">458</v>
    <v t="i">459</v>
    <v t="i">462</v>
    <v t="i">463</v>
    <v t="i">464</v>
    <v t="i">465</v>
    <v t="i">466</v>
    <v t="i">469</v>
    <v t="i">470</v>
    <v t="i">471</v>
    <v t="i">472</v>
    <v t="i">476</v>
    <v t="i">477</v>
    <v t="i">478</v>
    <v t="i">479</v>
    <v t="i">480</v>
    <v t="i">483</v>
    <v t="i">484</v>
    <v t="i">485</v>
    <v t="i">486</v>
    <v t="i">487</v>
    <v t="i">490</v>
    <v t="i">491</v>
    <v t="i">492</v>
    <v t="i">493</v>
    <v t="i">494</v>
    <v t="i">497</v>
    <v t="i">498</v>
    <v t="i">499</v>
    <v t="i">500</v>
    <v t="i">501</v>
    <v t="i">504</v>
    <v t="i">505</v>
    <v t="i">506</v>
    <v t="i">507</v>
    <v t="i">508</v>
    <v t="i">512</v>
    <v t="i">513</v>
    <v t="i">514</v>
    <v t="i">515</v>
    <v t="i">518</v>
    <v t="i">519</v>
    <v t="i">520</v>
    <v t="i">521</v>
    <v t="i">522</v>
    <v t="i">525</v>
    <v t="i">526</v>
    <v t="i">527</v>
    <v t="i">528</v>
    <v t="i">529</v>
    <v t="i">532</v>
    <v t="i">533</v>
    <v t="i">534</v>
    <v t="i">536</v>
    <v t="i">539</v>
    <v t="i">540</v>
    <v t="i">541</v>
    <v t="i">542</v>
    <v t="i">543</v>
    <v t="i">546</v>
    <v t="i">547</v>
    <v t="i">548</v>
    <v t="i">549</v>
    <v t="i">553</v>
    <v t="i">554</v>
    <v t="i">555</v>
    <v t="i">556</v>
    <v t="i">557</v>
    <v t="i">560</v>
    <v t="i">561</v>
    <v t="i">562</v>
    <v t="i">563</v>
    <v t="i">564</v>
    <v t="i">567</v>
    <v t="i">568</v>
    <v t="i">569</v>
    <v t="i">570</v>
    <v t="i">571</v>
    <v t="i">574</v>
    <v t="i">575</v>
    <v t="i">576</v>
    <v t="i">577</v>
    <v t="i">578</v>
    <v t="i">581</v>
    <v t="i">582</v>
    <v t="i">583</v>
    <v t="i">584</v>
    <v t="i">585</v>
    <v t="i">588</v>
    <v t="i">589</v>
    <v t="i">590</v>
    <v t="i">591</v>
    <v t="i">592</v>
    <v t="i">595</v>
    <v t="i">596</v>
    <v t="i">597</v>
    <v t="i">598</v>
    <v t="i">599</v>
    <v t="i">602</v>
    <v t="i">603</v>
    <v t="i">604</v>
    <v t="i">605</v>
    <v t="i">606</v>
    <v t="i">610</v>
    <v t="i">611</v>
    <v t="i">612</v>
    <v t="i">613</v>
    <v t="i">616</v>
    <v t="i">617</v>
    <v t="i">618</v>
    <v t="i">619</v>
    <v t="i">620</v>
    <v t="i">623</v>
    <v t="i">624</v>
    <v t="i">625</v>
    <v t="i">626</v>
    <v t="i">627</v>
    <v t="i">630</v>
    <v t="i">631</v>
    <v t="i">632</v>
    <v t="i">633</v>
    <v t="i">634</v>
    <v t="i">637</v>
    <v t="i">638</v>
    <v t="i">639</v>
    <v t="i">640</v>
    <v t="i">641</v>
    <v t="i">644</v>
    <v t="i">645</v>
    <v t="i">646</v>
    <v t="i">647</v>
    <v t="i">648</v>
    <v t="i">651</v>
    <v t="i">652</v>
    <v t="i">653</v>
    <v t="i">654</v>
    <v t="i">655</v>
    <v t="i">658</v>
    <v t="i">659</v>
    <v t="i">660</v>
    <v t="i">661</v>
    <v t="i">662</v>
    <v t="i">665</v>
    <v t="i">666</v>
    <v t="i">667</v>
    <v t="i">668</v>
    <v t="i">669</v>
    <v t="i">672</v>
    <v t="i">673</v>
    <v t="i">674</v>
    <v t="i">675</v>
    <v t="i">676</v>
    <v t="i">679</v>
    <v t="i">680</v>
    <v t="i">681</v>
    <v t="i">682</v>
    <v t="i">683</v>
    <v t="i">686</v>
    <v t="i">687</v>
    <v t="i">688</v>
    <v t="i">689</v>
    <v t="i">690</v>
    <v t="i">693</v>
    <v t="i">694</v>
    <v t="i">695</v>
    <v t="i">697</v>
    <v t="i">700</v>
    <v t="i">701</v>
    <v t="i">702</v>
    <v t="i">703</v>
    <v t="i">704</v>
    <v t="i">707</v>
    <v t="i">708</v>
    <v t="i">709</v>
    <v t="i">710</v>
    <v t="i">711</v>
    <v t="i">714</v>
    <v t="i">715</v>
    <v t="i">716</v>
    <v t="i">717</v>
    <v t="i">718</v>
    <v t="i">721</v>
    <v t="i">722</v>
    <v t="i">723</v>
    <v t="i">725</v>
    <v t="i">728</v>
    <v t="i">729</v>
    <v t="i">730</v>
    <v t="i">732</v>
    <v t="i">735</v>
    <v t="i">736</v>
    <v t="i">737</v>
    <v t="i">738</v>
    <v t="i">739</v>
    <v t="i">742</v>
    <v t="i">743</v>
    <v t="i">744</v>
    <v t="i">745</v>
    <v t="i">746</v>
    <v t="i">750</v>
    <v t="i">751</v>
    <v t="i">752</v>
    <v t="i">753</v>
    <v t="i">756</v>
    <v t="i">757</v>
    <v t="i">758</v>
    <v t="i">759</v>
    <v t="i">760</v>
    <v t="i">763</v>
    <v t="i">764</v>
  </a>
  <a r="1" c="524">
    <v>149.47999999999999</v>
    <v>152.33000000000001</v>
    <v>150.66</v>
    <v>150.4</v>
    <v>149.5</v>
    <v>145.69999999999999</v>
    <v>144.5</v>
    <v>145.28</v>
    <v>147.27000000000001</v>
    <v>143.69</v>
    <v>143.12</v>
    <v>141.82</v>
    <v>142.24</v>
    <v>142.49</v>
    <v>142.09</v>
    <v>144.91999999999999</v>
    <v>148.57</v>
    <v>149.13999999999999</v>
    <v>149.08000000000001</v>
    <v>150.12</v>
    <v>147.43</v>
    <v>147.88999999999999</v>
    <v>152.24</v>
    <v>152.33000000000001</v>
    <v>152.35</v>
    <v>152.13</v>
    <v>154.06</v>
    <v>151.04</v>
    <v>152.08000000000001</v>
    <v>150.6</v>
    <v>151.01</v>
    <v>154.46</v>
    <v>154.63</v>
    <v>154</v>
    <v>155.44</v>
    <v>155.43</v>
    <v>154.66</v>
    <v>154.44999999999999</v>
    <v>152.16</v>
    <v>152.34</v>
    <v>152.01</v>
    <v>152.81</v>
    <v>148.88</v>
    <v>149.59</v>
    <v>148.33000000000001</v>
    <v>149.37</v>
    <v>149.88</v>
    <v>152</v>
    <v>151.88999999999999</v>
    <v>153.88999999999999</v>
    <v>155.69999999999999</v>
    <v>155.55000000000001</v>
    <v>155.41</v>
    <v>156.62</v>
    <v>154.55000000000001</v>
    <v>154.86000000000001</v>
    <v>154.66</v>
    <v>156.47</v>
    <v>155.27000000000001</v>
    <v>156.35</v>
    <v>157.74</v>
    <v>159.08000000000001</v>
    <v>159.78</v>
    <v>160.44</v>
    <v>160.69</v>
    <v>161.6</v>
    <v>161.27000000000001</v>
    <v>162</v>
    <v>162.66999999999999</v>
    <v>161.88999999999999</v>
    <v>158.96</v>
    <v>157.59</v>
    <v>156.28</v>
    <v>156.4</v>
    <v>157.57</v>
    <v>160</v>
    <v>161.91999999999999</v>
    <v>162.85</v>
    <v>163.57</v>
    <v>165.28</v>
    <v>165.89</v>
    <v>166.33</v>
    <v>161.27000000000001</v>
    <v>159.63</v>
    <v>160.72999999999999</v>
    <v>160.25</v>
    <v>162.30000000000001</v>
    <v>162.66999999999999</v>
    <v>162.54</v>
    <v>165.45</v>
    <v>165.82</v>
    <v>164.53</v>
    <v>163.61000000000001</v>
    <v>163.05000000000001</v>
    <v>161.09</v>
    <v>162.66999999999999</v>
    <v>161.13999999999999</v>
    <v>159.97</v>
    <v>157.57</v>
    <v>156.94</v>
    <v>157.75</v>
    <v>159.04</v>
    <v>156.9</v>
    <v>158.26</v>
    <v>162.30000000000001</v>
    <v>157.46</v>
    <v>156.13</v>
    <v>154.97999999999999</v>
    <v>155.93</v>
    <v>156.08000000000001</v>
    <v>156.74</v>
    <v>156.49</v>
    <v>154.22</v>
    <v>152.84</v>
    <v>152.57</v>
    <v>153.19</v>
    <v>153.33000000000001</v>
    <v>156.63999999999999</v>
    <v>155.28</v>
    <v>159.31</v>
    <v>158.46</v>
    <v>155.94999999999999</v>
    <v>156.32</v>
    <v>156.41999999999999</v>
    <v>156.52000000000001</v>
    <v>156.75</v>
    <v>156.71</v>
    <v>154.31</v>
    <v>154.33000000000001</v>
    <v>152.97999999999999</v>
    <v>155.13</v>
    <v>155.26</v>
    <v>155.59</v>
    <v>158.04</v>
    <v>157.77000000000001</v>
    <v>161.22999999999999</v>
    <v>161.97</v>
    <v>159.15</v>
    <v>156.99</v>
    <v>154.09</v>
    <v>155.07</v>
    <v>157.54</v>
    <v>157.84</v>
    <v>156.6</v>
    <v>159.57</v>
    <v>160.47</v>
    <v>152.62</v>
    <v>148.55000000000001</v>
    <v>144.66</v>
    <v>143.22999999999999</v>
    <v>142.41</v>
    <v>144.49</v>
    <v>144.99</v>
    <v>145.02000000000001</v>
    <v>144.15</v>
    <v>144.66999999999999</v>
    <v>146.80000000000001</v>
    <v>147.27000000000001</v>
    <v>146.83000000000001</v>
    <v>144.69</v>
    <v>145.32</v>
    <v>145.72999999999999</v>
    <v>147.62</v>
    <v>148.5</v>
    <v>146.94999999999999</v>
    <v>146</v>
    <v>147.41999999999999</v>
    <v>147.94999999999999</v>
    <v>144.66</v>
    <v>142.07</v>
    <v>140.93</v>
    <v>138.56</v>
    <v>140.30000000000001</v>
    <v>138.22999999999999</v>
    <v>137.88</v>
    <v>139.21</v>
    <v>140.61000000000001</v>
    <v>142.09</v>
    <v>143.41</v>
    <v>143.96</v>
    <v>144.99</v>
    <v>145.68</v>
    <v>147.54</v>
    <v>147.44999999999999</v>
    <v>143.97</v>
    <v>141.99</v>
    <v>145.49</v>
    <v>147.27000000000001</v>
    <v>149.69999999999999</v>
    <v>150.94999999999999</v>
    <v>151.25</v>
    <v>150.74</v>
    <v>151.12</v>
    <v>148.75</v>
    <v>149.65</v>
    <v>150.62</v>
    <v>151.41999999999999</v>
    <v>151.78</v>
    <v>147.72999999999999</v>
    <v>148.72999999999999</v>
    <v>151.19999999999999</v>
    <v>150.75</v>
    <v>150.88</v>
    <v>150.91999999999999</v>
    <v>150.47999999999999</v>
    <v>150.44999999999999</v>
    <v>150.81</v>
    <v>150.54</v>
    <v>148.52000000000001</v>
    <v>148.05000000000001</v>
    <v>148.82</v>
    <v>153.07</v>
    <v>153.97</v>
    <v>153.41</v>
    <v>157.72</v>
    <v>156.77000000000001</v>
    <v>156.93</v>
    <v>156.5</v>
    <v>155.29</v>
    <v>158.72</v>
    <v>161.80000000000001</v>
    <v>161.41999999999999</v>
    <v>160.76</v>
    <v>159.6</v>
    <v>161.33000000000001</v>
    <v>161.63</v>
    <v>162.36000000000001</v>
    <v>160.36000000000001</v>
    <v>162.53</v>
    <v>162.11000000000001</v>
    <v>161.93</v>
    <v>162.21</v>
    <v>161.91999999999999</v>
    <v>158.32</v>
    <v>159.33000000000001</v>
    <v>155.24</v>
    <v>157.08000000000001</v>
    <v>157</v>
    <v>156.21</v>
    <v>154.71</v>
    <v>153.87</v>
    <v>149.36000000000001</v>
    <v>148.11000000000001</v>
    <v>144.08000000000001</v>
    <v>141.15</v>
    <v>142.85</v>
    <v>142.97</v>
    <v>143.84</v>
    <v>143.97999999999999</v>
    <v>144</v>
    <v>143.07</v>
    <v>144.84</v>
    <v>146.71</v>
    <v>147.85</v>
    <v>147.26</v>
    <v>149.59</v>
    <v>150.30000000000001</v>
    <v>153.13999999999999</v>
    <v>155.35</v>
    <v>156.9</v>
    <v>158.33000000000001</v>
    <v>159.38</v>
    <v>161.47</v>
    <v>158.24</v>
    <v>156.41</v>
    <v>156.01</v>
    <v>155.65</v>
    <v>157.22999999999999</v>
    <v>156.21</v>
    <v>155.69</v>
    <v>156.32</v>
    <v>149.19</v>
    <v>149.34</v>
    <v>153.22</v>
    <v>152.99</v>
    <v>151.9</v>
    <v>152.62</v>
    <v>155.77000000000001</v>
    <v>157.44</v>
    <v>154.9</v>
    <v>155.88</v>
    <v>155.34</v>
    <v>156.16</v>
    <v>157.22999999999999</v>
    <v>158.79</v>
    <v>156.91999999999999</v>
    <v>157.88999999999999</v>
    <v>156.41999999999999</v>
    <v>155.13999999999999</v>
    <v>156.66999999999999</v>
    <v>158.62</v>
    <v>153.09</v>
    <v>152</v>
    <v>150.81</v>
    <v>152.94999999999999</v>
    <v>156.34</v>
    <v>157.57</v>
    <v>154.08000000000001</v>
    <v>152.66999999999999</v>
    <v>153.61000000000001</v>
    <v>157.02000000000001</v>
    <v>158.72</v>
    <v>160.81</v>
    <v>164.05</v>
    <v>164.77</v>
    <v>164.75</v>
    <v>165.02</v>
    <v>165.94</v>
    <v>167.97</v>
    <v>166.65</v>
    <v>166.09</v>
    <v>167.29</v>
    <v>168.51</v>
    <v>166.47</v>
    <v>156.12</v>
    <v>143.28</v>
    <v>140.15</v>
    <v>136.93</v>
    <v>146.03</v>
    <v>134.97999999999999</v>
    <v>135.63</v>
    <v>135.32</v>
    <v>134.54</v>
    <v>135.36000000000001</v>
    <v>137.87</v>
    <v>133.72999999999999</v>
    <v>137.30000000000001</v>
    <v>136.68</v>
    <v>139.07</v>
    <v>138.72999999999999</v>
    <v>140.1</v>
    <v>139.30000000000001</v>
    <v>136.06</v>
    <v>136.26</v>
    <v>138.5</v>
    <v>135.5</v>
    <v>135.6</v>
    <v>135.79</v>
    <v>137.04</v>
    <v>138.49</v>
    <v>141.62</v>
    <v>142.35</v>
    <v>141.66999999999999</v>
    <v>142.26</v>
    <v>142.1</v>
    <v>138.49</v>
    <v>137.27000000000001</v>
    <v>135.56</v>
    <v>135.29</v>
    <v>136.54</v>
    <v>137.83000000000001</v>
    <v>136.02000000000001</v>
    <v>137.91</v>
    <v>136.69999999999999</v>
    <v>137.84</v>
    <v>139.55000000000001</v>
    <v>137.37</v>
    <v>136.9</v>
    <v>140.21</v>
    <v>140.76</v>
    <v>143.35</v>
    <v>144.78</v>
    <v>144.97</v>
    <v>145.91</v>
    <v>146.03</v>
    <v>148.85</v>
    <v>148.19</v>
    <v>149.55000000000001</v>
    <v>146.86000000000001</v>
    <v>143.55000000000001</v>
    <v>143.22999999999999</v>
    <v>144.44</v>
    <v>143.79</v>
    <v>143.19</v>
    <v>145.57</v>
    <v>147.97999999999999</v>
    <v>148.37</v>
    <v>147.4</v>
    <v>153.24</v>
    <v>153.02000000000001</v>
    <v>154.16999999999999</v>
    <v>155.31</v>
    <v>151.65</v>
    <v>150.69</v>
    <v>149.91999999999999</v>
    <v>151.38</v>
    <v>150.04</v>
    <v>149.68</v>
    <v>150.04</v>
    <v>153.12</v>
    <v>155.83000000000001</v>
    <v>154.84</v>
    <v>156.28</v>
    <v>157.03</v>
    <v>153.56</v>
    <v>151.63999999999999</v>
    <v>151.4</v>
    <v>151.04</v>
    <v>153.04</v>
    <v>152.78</v>
    <v>153.16</v>
    <v>155.01</v>
    <v>153.44999999999999</v>
    <v>154.44</v>
    <v>155.87</v>
    <v>155.16</v>
    <v>156.55000000000001</v>
    <v>155.32</v>
    <v>152</v>
    <v>153.22</v>
    <v>155.55000000000001</v>
    <v>158.18</v>
    <v>158.19999999999999</v>
    <v>157.36000000000001</v>
    <v>159.24</v>
    <v>159.32</v>
    <v>160.6</v>
    <v>161.83000000000001</v>
    <v>158.06</v>
    <v>157.69</v>
    <v>153.66</v>
    <v>154</v>
    <v>154.85</v>
    <v>157.79</v>
    <v>158.25</v>
    <v>157.11000000000001</v>
    <v>157.31</v>
    <v>159.54</v>
    <v>160.09</v>
    <v>158.84</v>
    <v>156.21</v>
    <v>156.05000000000001</v>
    <v>157.41999999999999</v>
    <v>159.18</v>
    <v>160.72</v>
    <v>160.16</v>
    <v>156.1</v>
    <v>155.29</v>
    <v>154.58000000000001</v>
    <v>153.37</v>
    <v>153.55000000000001</v>
    <v>154.02000000000001</v>
    <v>154.91</v>
    <v>153.74</v>
    <v>151.63999999999999</v>
    <v>148.9</v>
    <v>151.94</v>
    <v>152.38999999999999</v>
    <v>152.11000000000001</v>
    <v>151.71</v>
    <v>153.08000000000001</v>
    <v>154.47999999999999</v>
    <v>153.79</v>
    <v>155.57</v>
    <v>156.56</v>
    <v>155.56</v>
    <v>155.28</v>
    <v>154.13</v>
    <v>155.1</v>
    <v>153.52000000000001</v>
    <v>157.72</v>
    <v>154.04</v>
    <v>153.38999999999999</v>
    <v>152.66</v>
    <v>152.94</v>
    <v>155.02000000000001</v>
    <v>155.65</v>
    <v>156.24</v>
    <v>153.32</v>
    <v>155.58000000000001</v>
    <v>157.62</v>
    <v>154.82</v>
    <v>153.62</v>
    <v>151.69999999999999</v>
    <v>150.31</v>
    <v>149.97999999999999</v>
    <v>149.75</v>
    <v>148.53</v>
    <v>149.51</v>
    <v>151.13</v>
    <v>152.54</v>
    <v>150.25</v>
    <v>151.59</v>
    <v>152.26</v>
    <v>150</v>
    <v>148.71</v>
    <v>148.49</v>
    <v>151.41</v>
    <v>150.72</v>
    <v>149.99</v>
    <v>149.80000000000001</v>
    <v>146.75</v>
    <v>149.52000000000001</v>
    <v>147.69</v>
    <v>147.75</v>
    <v>149.80000000000001</v>
    <v>150.51</v>
    <v>150.5</v>
    <v>150.02000000000001</v>
    <v>150.99</v>
    <v>152.31</v>
    <v>152.41</v>
    <v>155.9</v>
    <v>163.85</v>
    <v>156.54</v>
    <v>155.19999999999999</v>
    <v>159.25</v>
    <v>162.11000000000001</v>
    <v>162.34</v>
    <v>163.87</v>
    <v>167.24</v>
    <v>166.16</v>
    <v>166.26</v>
    <v>165.3</v>
    <v>166.73</v>
    <v>166.66</v>
    <v>166.72</v>
    <v>167.5</v>
    <v>169.05</v>
    <v>169.93</v>
    <v>171.19</v>
    <v>176.9</v>
    <v>174.03</v>
    <v>178.04</v>
  </a>
  <a r="1" c="524">
    <v>8879710</v>
    <v>10255276</v>
    <v>8220280</v>
    <v>7455430</v>
    <v>10038193</v>
    <v>11784672</v>
    <v>8490407</v>
    <v>8612493</v>
    <v>9386923</v>
    <v>9380352</v>
    <v>8167002</v>
    <v>11187839</v>
    <v>11192463</v>
    <v>9184626</v>
    <v>6767179</v>
    <v>8100014</v>
    <v>9773620</v>
    <v>9151896</v>
    <v>10494818</v>
    <v>9902881</v>
    <v>10427972</v>
    <v>8138669</v>
    <v>12839063</v>
    <v>8277776</v>
    <v>6198841</v>
    <v>6252041</v>
    <v>9236968</v>
    <v>9194458</v>
    <v>6713003</v>
    <v>6987058</v>
    <v>5995064</v>
    <v>8950304</v>
    <v>7570220</v>
    <v>6977945</v>
    <v>6630084</v>
    <v>8874924</v>
    <v>6561628</v>
    <v>6900801</v>
    <v>15093755</v>
    <v>6715861</v>
    <v>9334432</v>
    <v>7459056</v>
    <v>12503154</v>
    <v>6985516</v>
    <v>14692135</v>
    <v>8739348</v>
    <v>7528378</v>
    <v>7577064</v>
    <v>6432930</v>
    <v>8065649</v>
    <v>9047206</v>
    <v>20387157</v>
    <v>7242711</v>
    <v>7736723</v>
    <v>8449145</v>
    <v>7899084</v>
    <v>5974745</v>
    <v>6058745</v>
    <v>6677938</v>
    <v>7416870</v>
    <v>8331627</v>
    <v>6285717</v>
    <v>8815351</v>
    <v>7819734</v>
    <v>9269716</v>
    <v>7432807</v>
    <v>7253196</v>
    <v>6577437</v>
    <v>7525837</v>
    <v>7682512</v>
    <v>11071045</v>
    <v>7236857</v>
    <v>5541895</v>
    <v>6733879</v>
    <v>4979193</v>
    <v>7734654</v>
    <v>6779221</v>
    <v>5597617</v>
    <v>7610335</v>
    <v>9702581</v>
    <v>9736350</v>
    <v>6366752</v>
    <v>8457341</v>
    <v>7714962</v>
    <v>8597124</v>
    <v>11664505</v>
    <v>8430277</v>
    <v>6869948</v>
    <v>6706361</v>
    <v>6683313</v>
    <v>5490944</v>
    <v>6848303</v>
    <v>4923968</v>
    <v>7603063</v>
    <v>6409418</v>
    <v>5497919</v>
    <v>4913820</v>
    <v>4783287</v>
    <v>6260509</v>
    <v>6718378</v>
    <v>4477720</v>
    <v>6928298</v>
    <v>5909632</v>
    <v>6371243</v>
    <v>10334227</v>
    <v>9009935</v>
    <v>6360542</v>
    <v>7058506</v>
    <v>5215140</v>
    <v>5887651</v>
    <v>7075943</v>
    <v>5132009</v>
    <v>10017421</v>
    <v>6163015</v>
    <v>6159138</v>
    <v>6321386</v>
    <v>6942882</v>
    <v>8336031</v>
    <v>21292090</v>
    <v>7971620</v>
    <v>6056711</v>
    <v>8637756</v>
    <v>5568733</v>
    <v>11283390</v>
    <v>5584116</v>
    <v>7216801</v>
    <v>3264196</v>
    <v>6183056</v>
    <v>4990726</v>
    <v>5303129</v>
    <v>5416594</v>
    <v>8323125</v>
    <v>6446316</v>
    <v>5661170</v>
    <v>6924187</v>
    <v>7296622</v>
    <v>6577674</v>
    <v>6427723</v>
    <v>5577286</v>
    <v>6238721</v>
    <v>5971731</v>
    <v>5432141</v>
    <v>5232519</v>
    <v>5071988</v>
    <v>5740861</v>
    <v>6209200</v>
    <v>16689945</v>
    <v>13278618</v>
    <v>13037190</v>
    <v>9692659</v>
    <v>8867862</v>
    <v>7531112</v>
    <v>7653053</v>
    <v>8442174</v>
    <v>7794816</v>
    <v>5874216</v>
    <v>6304232</v>
    <v>6874416</v>
    <v>5967406</v>
    <v>7497606</v>
    <v>5984993</v>
    <v>4026998</v>
    <v>4824078</v>
    <v>5780289</v>
    <v>5099956</v>
    <v>5614416</v>
    <v>4466696</v>
    <v>6414755</v>
    <v>7944740</v>
    <v>9820730</v>
    <v>9371051</v>
    <v>7836358</v>
    <v>9892347</v>
    <v>8202480</v>
    <v>9534010</v>
    <v>6593436</v>
    <v>5900747</v>
    <v>6864275</v>
    <v>7338782</v>
    <v>6180252</v>
    <v>7247416</v>
    <v>23162864</v>
    <v>6960639</v>
    <v>6014208</v>
    <v>7888444</v>
    <v>8046171</v>
    <v>8049155</v>
    <v>7494608</v>
    <v>9489121</v>
    <v>8105420</v>
    <v>6553282</v>
    <v>7895285</v>
    <v>5895852</v>
    <v>5892739</v>
    <v>4973453</v>
    <v>4420891</v>
    <v>5051314</v>
    <v>4214721</v>
    <v>6704610</v>
    <v>4303737</v>
    <v>6593136</v>
    <v>5208202</v>
    <v>5073999</v>
    <v>4416409</v>
    <v>5248853</v>
    <v>5474258</v>
    <v>6839894</v>
    <v>8892039</v>
    <v>6014676</v>
    <v>5784011</v>
    <v>8400855</v>
    <v>11727977</v>
    <v>6129961</v>
    <v>5978897</v>
    <v>12118908</v>
    <v>8143245</v>
    <v>6041457</v>
    <v>7771691</v>
    <v>5681869</v>
    <v>8824013</v>
    <v>10111234</v>
    <v>9022753</v>
    <v>6092141</v>
    <v>4657409</v>
    <v>6391252</v>
    <v>7945531</v>
    <v>7006293</v>
    <v>10702395</v>
    <v>7369944</v>
    <v>7674474</v>
    <v>5076953</v>
    <v>6229596</v>
    <v>5900066</v>
    <v>7862728</v>
    <v>6358358</v>
    <v>9701694</v>
    <v>9404473</v>
    <v>9126158</v>
    <v>13764742</v>
    <v>7621522</v>
    <v>5816180</v>
    <v>11961219</v>
    <v>11909333</v>
    <v>10174494</v>
    <v>16544329</v>
    <v>32209195</v>
    <v>8156466</v>
    <v>3556081</v>
    <v>4494424</v>
    <v>5296875</v>
    <v>6194835</v>
    <v>6137843</v>
    <v>7170257</v>
    <v>5813935</v>
    <v>5888731</v>
    <v>7735997</v>
    <v>7640885</v>
    <v>11074716</v>
    <v>11774073</v>
    <v>6830219</v>
    <v>7899997</v>
    <v>5578902</v>
    <v>9260428</v>
    <v>10131372</v>
    <v>7232227</v>
    <v>5979808</v>
    <v>8003778</v>
    <v>7140991</v>
    <v>6425353</v>
    <v>5630563</v>
    <v>6931918</v>
    <v>16731592</v>
    <v>7604961</v>
    <v>8458070</v>
    <v>6533680</v>
    <v>6420525</v>
    <v>4724947</v>
    <v>5653770</v>
    <v>6011842</v>
    <v>6693461</v>
    <v>7836362</v>
    <v>5828805</v>
    <v>5981480</v>
    <v>4945813</v>
    <v>6256154</v>
    <v>6689815</v>
    <v>5925047</v>
    <v>6811293</v>
    <v>6005232</v>
    <v>7517237</v>
    <v>8828547</v>
    <v>9059814</v>
    <v>8826344</v>
    <v>9288538</v>
    <v>7314687</v>
    <v>8562635</v>
    <v>11750302</v>
    <v>10466294</v>
    <v>9710223</v>
    <v>9022758</v>
    <v>6671549</v>
    <v>7615153</v>
    <v>9289469</v>
    <v>11503859</v>
    <v>9545886</v>
    <v>21625460</v>
    <v>8068002</v>
    <v>7869159</v>
    <v>10077764</v>
    <v>6862691</v>
    <v>4923025</v>
    <v>10675731</v>
    <v>6378587</v>
    <v>7044869</v>
    <v>15500988</v>
    <v>20374716</v>
    <v>17816954</v>
    <v>12904424</v>
    <v>16846839</v>
    <v>20991216</v>
    <v>17224405</v>
    <v>9628152</v>
    <v>9334825</v>
    <v>8637220</v>
    <v>8434434</v>
    <v>9967487</v>
    <v>7984676</v>
    <v>10001966</v>
    <v>7745778</v>
    <v>6878491</v>
    <v>6715539</v>
    <v>7343820</v>
    <v>13858040</v>
    <v>10199849</v>
    <v>12393235</v>
    <v>9664980</v>
    <v>9916241</v>
    <v>8423485</v>
    <v>8669305</v>
    <v>5965723</v>
    <v>8028200</v>
    <v>8536797</v>
    <v>6453620</v>
    <v>7545407</v>
    <v>8200079</v>
    <v>7713568</v>
    <v>6503930</v>
    <v>9073206</v>
    <v>8877579</v>
    <v>7025946</v>
    <v>8348877</v>
    <v>6876282</v>
    <v>7556199</v>
    <v>12858865</v>
    <v>9076639</v>
    <v>9001305</v>
    <v>8735619</v>
    <v>6350526</v>
    <v>6563518</v>
    <v>7159471</v>
    <v>9841523</v>
    <v>9256663</v>
    <v>6999389</v>
    <v>14148022</v>
    <v>10105077</v>
    <v>11330273</v>
    <v>9841924</v>
    <v>23705877</v>
    <v>10540614</v>
    <v>10778352</v>
    <v>7386088</v>
    <v>7415714</v>
    <v>9213512</v>
    <v>6980319</v>
    <v>8508150</v>
    <v>8228683</v>
    <v>5173309</v>
    <v>9460902</v>
    <v>14082097</v>
    <v>9495898</v>
    <v>8398810</v>
    <v>8333214</v>
    <v>10706325</v>
    <v>7346346</v>
    <v>7923427</v>
    <v>8359596</v>
    <v>45782636</v>
    <v>17982218</v>
    <v>26196489</v>
    <v>13162816</v>
    <v>15701024</v>
    <v>7875498</v>
    <v>8755412</v>
    <v>6446038</v>
    <v>9191661</v>
    <v>10237099</v>
    <v>10706494</v>
    <v>10116631</v>
    <v>8604079</v>
    <v>7840914</v>
    <v>6510670</v>
    <v>6332807</v>
    <v>6169716</v>
    <v>6645373</v>
    <v>6582191</v>
    <v>7337258</v>
    <v>11617047</v>
    <v>8174280</v>
    <v>8567476</v>
    <v>8076269</v>
    <v>7533625</v>
    <v>9084344</v>
    <v>7029967</v>
    <v>10270028</v>
    <v>7482961</v>
    <v>6502447</v>
    <v>6934840</v>
    <v>8947302</v>
    <v>9556116</v>
    <v>7242974</v>
    <v>11011667</v>
    <v>9461969</v>
    <v>7769177</v>
    <v>7440811</v>
    <v>6417408</v>
    <v>5546333</v>
    <v>5030461</v>
    <v>8011032</v>
    <v>5736777</v>
    <v>6244226</v>
    <v>16733988</v>
    <v>5244025</v>
    <v>7181383</v>
    <v>6285228</v>
    <v>6311040</v>
    <v>7015168</v>
    <v>8315073</v>
    <v>7755716</v>
    <v>6768358</v>
    <v>7562448</v>
    <v>7249291</v>
    <v>4778924</v>
    <v>5479593</v>
    <v>5678028</v>
    <v>6178601</v>
    <v>7796621</v>
    <v>5978755</v>
    <v>6419350</v>
    <v>5824931</v>
    <v>5276788</v>
    <v>7735462</v>
    <v>5676505</v>
    <v>6304917</v>
    <v>6036705</v>
    <v>9810894</v>
    <v>4979941</v>
    <v>4884434</v>
    <v>5066475</v>
    <v>7344432</v>
    <v>8971226</v>
    <v>11136109</v>
    <v>8512209</v>
    <v>6976838</v>
    <v>5894721</v>
    <v>6466257</v>
    <v>9835929</v>
    <v>8436797</v>
    <v>6361426</v>
    <v>11670947</v>
    <v>7998740</v>
    <v>8484812</v>
    <v>8744980</v>
    <v>10813365</v>
    <v>7539905</v>
    <v>7623448</v>
    <v>9248445</v>
    <v>14181131</v>
    <v>11447942</v>
    <v>7578938</v>
    <v>3848568</v>
    <v>8208972</v>
    <v>9196311</v>
    <v>8060175</v>
    <v>7254724</v>
    <v>12659762</v>
    <v>10237153</v>
    <v>8916749</v>
    <v>10976295</v>
    <v>8414160</v>
    <v>5848050</v>
    <v>7502951</v>
    <v>11290538</v>
    <v>8805268</v>
    <v>6998843</v>
    <v>21701435</v>
    <v>8143618</v>
    <v>4663665</v>
    <v>2227609</v>
    <v>3706915</v>
    <v>5589133</v>
    <v>5150514</v>
    <v>4953110</v>
    <v>6862097</v>
    <v>35094878</v>
    <v>20564935</v>
    <v>13537874</v>
    <v>12929635</v>
    <v>12549643</v>
    <v>9796786</v>
    <v>12068630</v>
    <v>16414917</v>
    <v>8097405</v>
    <v>9745753</v>
    <v>11142530</v>
    <v>10918539</v>
    <v>8957383</v>
    <v>8368686</v>
    <v>8912601</v>
    <v>9784855</v>
    <v>9200244</v>
    <v>16786612</v>
    <v>22946582</v>
    <v>14235347</v>
    <v>18425423</v>
  </a>
</arrayData>
</file>

<file path=xl/richData/rdrichvalue.xml><?xml version="1.0" encoding="utf-8"?>
<rvData xmlns="http://schemas.microsoft.com/office/spreadsheetml/2017/richdata" count="1531">
  <rv s="0">
    <fb>45293</fb>
    <v>0</v>
  </rv>
  <rv s="0">
    <fb>149.47999999999999</fb>
    <v>1</v>
  </rv>
  <rv s="0">
    <fb>8879710</fb>
    <v>2</v>
  </rv>
  <rv s="0">
    <fb>45294</fb>
    <v>0</v>
  </rv>
  <rv s="0">
    <fb>152.33000000000001</fb>
    <v>1</v>
  </rv>
  <rv s="0">
    <fb>10255276</fb>
    <v>2</v>
  </rv>
  <rv s="0">
    <fb>45295</fb>
    <v>0</v>
  </rv>
  <rv s="0">
    <fb>150.66</fb>
    <v>1</v>
  </rv>
  <rv s="0">
    <fb>8220280</fb>
    <v>2</v>
  </rv>
  <rv s="0">
    <fb>45296</fb>
    <v>0</v>
  </rv>
  <rv s="0">
    <fb>150.4</fb>
    <v>1</v>
  </rv>
  <rv s="0">
    <fb>7455430</fb>
    <v>2</v>
  </rv>
  <rv s="0">
    <fb>45299</fb>
    <v>0</v>
  </rv>
  <rv s="0">
    <fb>149.5</fb>
    <v>1</v>
  </rv>
  <rv s="0">
    <fb>10038193</fb>
    <v>2</v>
  </rv>
  <rv s="0">
    <fb>45300</fb>
    <v>0</v>
  </rv>
  <rv s="0">
    <fb>145.69999999999999</fb>
    <v>1</v>
  </rv>
  <rv s="0">
    <fb>11784672</fb>
    <v>2</v>
  </rv>
  <rv s="0">
    <fb>45301</fb>
    <v>0</v>
  </rv>
  <rv s="0">
    <fb>144.5</fb>
    <v>1</v>
  </rv>
  <rv s="0">
    <fb>8490407</fb>
    <v>2</v>
  </rv>
  <rv s="0">
    <fb>45302</fb>
    <v>0</v>
  </rv>
  <rv s="0">
    <fb>145.28</fb>
    <v>1</v>
  </rv>
  <rv s="0">
    <fb>8612493</fb>
    <v>2</v>
  </rv>
  <rv s="0">
    <fb>45303</fb>
    <v>0</v>
  </rv>
  <rv s="0">
    <fb>147.27000000000001</fb>
    <v>1</v>
  </rv>
  <rv s="0">
    <fb>9386923</fb>
    <v>2</v>
  </rv>
  <rv s="0">
    <fb>45307</fb>
    <v>0</v>
  </rv>
  <rv s="0">
    <fb>143.69</fb>
    <v>1</v>
  </rv>
  <rv s="0">
    <fb>9380352</fb>
    <v>2</v>
  </rv>
  <rv s="0">
    <fb>45308</fb>
    <v>0</v>
  </rv>
  <rv s="0">
    <fb>143.12</fb>
    <v>1</v>
  </rv>
  <rv s="0">
    <fb>8167002</fb>
    <v>2</v>
  </rv>
  <rv s="0">
    <fb>45309</fb>
    <v>0</v>
  </rv>
  <rv s="0">
    <fb>141.82</fb>
    <v>1</v>
  </rv>
  <rv s="0">
    <fb>11187839</fb>
    <v>2</v>
  </rv>
  <rv s="0">
    <fb>45310</fb>
    <v>0</v>
  </rv>
  <rv s="0">
    <fb>142.24</fb>
    <v>1</v>
  </rv>
  <rv s="0">
    <fb>11192463</fb>
    <v>2</v>
  </rv>
  <rv s="0">
    <fb>45313</fb>
    <v>0</v>
  </rv>
  <rv s="0">
    <fb>142.49</fb>
    <v>1</v>
  </rv>
  <rv s="0">
    <fb>9184626</fb>
    <v>2</v>
  </rv>
  <rv s="0">
    <fb>45314</fb>
    <v>0</v>
  </rv>
  <rv s="0">
    <fb>142.09</fb>
    <v>1</v>
  </rv>
  <rv s="0">
    <fb>6767179</fb>
    <v>2</v>
  </rv>
  <rv s="0">
    <fb>45315</fb>
    <v>0</v>
  </rv>
  <rv s="0">
    <fb>144.91999999999999</fb>
    <v>1</v>
  </rv>
  <rv s="0">
    <fb>8100014</fb>
    <v>2</v>
  </rv>
  <rv s="0">
    <fb>45316</fb>
    <v>0</v>
  </rv>
  <rv s="0">
    <fb>148.57</fb>
    <v>1</v>
  </rv>
  <rv s="0">
    <fb>9773620</fb>
    <v>2</v>
  </rv>
  <rv s="0">
    <fb>45317</fb>
    <v>0</v>
  </rv>
  <rv s="0">
    <fb>149.13999999999999</fb>
    <v>1</v>
  </rv>
  <rv s="0">
    <fb>9151896</fb>
    <v>2</v>
  </rv>
  <rv s="0">
    <fb>45320</fb>
    <v>0</v>
  </rv>
  <rv s="0">
    <fb>149.08000000000001</fb>
    <v>1</v>
  </rv>
  <rv s="0">
    <fb>10494818</fb>
    <v>2</v>
  </rv>
  <rv s="0">
    <fb>45321</fb>
    <v>0</v>
  </rv>
  <rv s="0">
    <fb>150.12</fb>
    <v>1</v>
  </rv>
  <rv s="0">
    <fb>9902881</fb>
    <v>2</v>
  </rv>
  <rv s="0">
    <fb>45322</fb>
    <v>0</v>
  </rv>
  <rv s="0">
    <fb>147.43</fb>
    <v>1</v>
  </rv>
  <rv s="0">
    <fb>10427972</fb>
    <v>2</v>
  </rv>
  <rv s="0">
    <fb>45323</fb>
    <v>0</v>
  </rv>
  <rv s="0">
    <fb>147.88999999999999</fb>
    <v>1</v>
  </rv>
  <rv s="0">
    <fb>8138669</fb>
    <v>2</v>
  </rv>
  <rv s="0">
    <fb>45324</fb>
    <v>0</v>
  </rv>
  <rv s="0">
    <fb>152.24</fb>
    <v>1</v>
  </rv>
  <rv s="0">
    <fb>12839063</fb>
    <v>2</v>
  </rv>
  <rv s="0">
    <fb>45327</fb>
    <v>0</v>
  </rv>
  <rv s="0">
    <fb>8277776</fb>
    <v>2</v>
  </rv>
  <rv s="0">
    <fb>45328</fb>
    <v>0</v>
  </rv>
  <rv s="0">
    <fb>152.35</fb>
    <v>1</v>
  </rv>
  <rv s="0">
    <fb>6198841</fb>
    <v>2</v>
  </rv>
  <rv s="0">
    <fb>45329</fb>
    <v>0</v>
  </rv>
  <rv s="0">
    <fb>152.13</fb>
    <v>1</v>
  </rv>
  <rv s="0">
    <fb>6252041</fb>
    <v>2</v>
  </rv>
  <rv s="0">
    <fb>45330</fb>
    <v>0</v>
  </rv>
  <rv s="0">
    <fb>154.06</fb>
    <v>1</v>
  </rv>
  <rv s="0">
    <fb>9236968</fb>
    <v>2</v>
  </rv>
  <rv s="0">
    <fb>45331</fb>
    <v>0</v>
  </rv>
  <rv s="0">
    <fb>151.04</fb>
    <v>1</v>
  </rv>
  <rv s="0">
    <fb>9194458</fb>
    <v>2</v>
  </rv>
  <rv s="0">
    <fb>45334</fb>
    <v>0</v>
  </rv>
  <rv s="0">
    <fb>152.08000000000001</fb>
    <v>1</v>
  </rv>
  <rv s="0">
    <fb>6713003</fb>
    <v>2</v>
  </rv>
  <rv s="0">
    <fb>45335</fb>
    <v>0</v>
  </rv>
  <rv s="0">
    <fb>150.6</fb>
    <v>1</v>
  </rv>
  <rv s="0">
    <fb>6987058</fb>
    <v>2</v>
  </rv>
  <rv s="0">
    <fb>45336</fb>
    <v>0</v>
  </rv>
  <rv s="0">
    <fb>151.01</fb>
    <v>1</v>
  </rv>
  <rv s="0">
    <fb>5995064</fb>
    <v>2</v>
  </rv>
  <rv s="0">
    <fb>45337</fb>
    <v>0</v>
  </rv>
  <rv s="0">
    <fb>154.46</fb>
    <v>1</v>
  </rv>
  <rv s="0">
    <fb>8950304</fb>
    <v>2</v>
  </rv>
  <rv s="0">
    <fb>45338</fb>
    <v>0</v>
  </rv>
  <rv s="0">
    <fb>154.63</fb>
    <v>1</v>
  </rv>
  <rv s="0">
    <fb>7570220</fb>
    <v>2</v>
  </rv>
  <rv s="0">
    <fb>45342</fb>
    <v>0</v>
  </rv>
  <rv s="0">
    <fb>154</fb>
    <v>1</v>
  </rv>
  <rv s="0">
    <fb>6977945</fb>
    <v>2</v>
  </rv>
  <rv s="0">
    <fb>45343</fb>
    <v>0</v>
  </rv>
  <rv s="0">
    <fb>155.44</fb>
    <v>1</v>
  </rv>
  <rv s="0">
    <fb>6630084</fb>
    <v>2</v>
  </rv>
  <rv s="0">
    <fb>45344</fb>
    <v>0</v>
  </rv>
  <rv s="0">
    <fb>155.43</fb>
    <v>1</v>
  </rv>
  <rv s="0">
    <fb>8874924</fb>
    <v>2</v>
  </rv>
  <rv s="0">
    <fb>45345</fb>
    <v>0</v>
  </rv>
  <rv s="0">
    <fb>154.66</fb>
    <v>1</v>
  </rv>
  <rv s="0">
    <fb>6561628</fb>
    <v>2</v>
  </rv>
  <rv s="0">
    <fb>45348</fb>
    <v>0</v>
  </rv>
  <rv s="0">
    <fb>154.44999999999999</fb>
    <v>1</v>
  </rv>
  <rv s="0">
    <fb>6900801</fb>
    <v>2</v>
  </rv>
  <rv s="0">
    <fb>45349</fb>
    <v>0</v>
  </rv>
  <rv s="0">
    <fb>152.16</fb>
    <v>1</v>
  </rv>
  <rv s="0">
    <fb>15093755</fb>
    <v>2</v>
  </rv>
  <rv s="0">
    <fb>45350</fb>
    <v>0</v>
  </rv>
  <rv s="0">
    <fb>152.34</fb>
    <v>1</v>
  </rv>
  <rv s="0">
    <fb>6715861</fb>
    <v>2</v>
  </rv>
  <rv s="0">
    <fb>45351</fb>
    <v>0</v>
  </rv>
  <rv s="0">
    <fb>152.01</fb>
    <v>1</v>
  </rv>
  <rv s="0">
    <fb>9334432</fb>
    <v>2</v>
  </rv>
  <rv s="0">
    <fb>45352</fb>
    <v>0</v>
  </rv>
  <rv s="0">
    <fb>152.81</fb>
    <v>1</v>
  </rv>
  <rv s="0">
    <fb>7459056</fb>
    <v>2</v>
  </rv>
  <rv s="0">
    <fb>45355</fb>
    <v>0</v>
  </rv>
  <rv s="0">
    <fb>148.88</fb>
    <v>1</v>
  </rv>
  <rv s="0">
    <fb>12503154</fb>
    <v>2</v>
  </rv>
  <rv s="0">
    <fb>45356</fb>
    <v>0</v>
  </rv>
  <rv s="0">
    <fb>149.59</fb>
    <v>1</v>
  </rv>
  <rv s="0">
    <fb>6985516</fb>
    <v>2</v>
  </rv>
  <rv s="0">
    <fb>45357</fb>
    <v>0</v>
  </rv>
  <rv s="0">
    <fb>148.33000000000001</fb>
    <v>1</v>
  </rv>
  <rv s="0">
    <fb>14692135</fb>
    <v>2</v>
  </rv>
  <rv s="0">
    <fb>45358</fb>
    <v>0</v>
  </rv>
  <rv s="0">
    <fb>149.37</fb>
    <v>1</v>
  </rv>
  <rv s="0">
    <fb>8739348</fb>
    <v>2</v>
  </rv>
  <rv s="0">
    <fb>45359</fb>
    <v>0</v>
  </rv>
  <rv s="0">
    <fb>149.88</fb>
    <v>1</v>
  </rv>
  <rv s="0">
    <fb>7528378</fb>
    <v>2</v>
  </rv>
  <rv s="0">
    <fb>45362</fb>
    <v>0</v>
  </rv>
  <rv s="0">
    <fb>152</fb>
    <v>1</v>
  </rv>
  <rv s="0">
    <fb>7577064</fb>
    <v>2</v>
  </rv>
  <rv s="0">
    <fb>45363</fb>
    <v>0</v>
  </rv>
  <rv s="0">
    <fb>151.88999999999999</fb>
    <v>1</v>
  </rv>
  <rv s="0">
    <fb>6432930</fb>
    <v>2</v>
  </rv>
  <rv s="0">
    <fb>45364</fb>
    <v>0</v>
  </rv>
  <rv s="0">
    <fb>153.88999999999999</fb>
    <v>1</v>
  </rv>
  <rv s="0">
    <fb>8065649</fb>
    <v>2</v>
  </rv>
  <rv s="0">
    <fb>45365</fb>
    <v>0</v>
  </rv>
  <rv s="0">
    <fb>155.69999999999999</fb>
    <v>1</v>
  </rv>
  <rv s="0">
    <fb>9047206</fb>
    <v>2</v>
  </rv>
  <rv s="0">
    <fb>45366</fb>
    <v>0</v>
  </rv>
  <rv s="0">
    <fb>155.55000000000001</fb>
    <v>1</v>
  </rv>
  <rv s="0">
    <fb>20387157</fb>
    <v>2</v>
  </rv>
  <rv s="0">
    <fb>45369</fb>
    <v>0</v>
  </rv>
  <rv s="0">
    <fb>155.41</fb>
    <v>1</v>
  </rv>
  <rv s="0">
    <fb>7242711</fb>
    <v>2</v>
  </rv>
  <rv s="0">
    <fb>45370</fb>
    <v>0</v>
  </rv>
  <rv s="0">
    <fb>156.62</fb>
    <v>1</v>
  </rv>
  <rv s="0">
    <fb>7736723</fb>
    <v>2</v>
  </rv>
  <rv s="0">
    <fb>45371</fb>
    <v>0</v>
  </rv>
  <rv s="0">
    <fb>154.55000000000001</fb>
    <v>1</v>
  </rv>
  <rv s="0">
    <fb>8449145</fb>
    <v>2</v>
  </rv>
  <rv s="0">
    <fb>45372</fb>
    <v>0</v>
  </rv>
  <rv s="0">
    <fb>154.86000000000001</fb>
    <v>1</v>
  </rv>
  <rv s="0">
    <fb>7899084</fb>
    <v>2</v>
  </rv>
  <rv s="0">
    <fb>45373</fb>
    <v>0</v>
  </rv>
  <rv s="0">
    <fb>5974745</fb>
    <v>2</v>
  </rv>
  <rv s="0">
    <fb>45376</fb>
    <v>0</v>
  </rv>
  <rv s="0">
    <fb>156.47</fb>
    <v>1</v>
  </rv>
  <rv s="0">
    <fb>6058745</fb>
    <v>2</v>
  </rv>
  <rv s="0">
    <fb>45377</fb>
    <v>0</v>
  </rv>
  <rv s="0">
    <fb>155.27000000000001</fb>
    <v>1</v>
  </rv>
  <rv s="0">
    <fb>6677938</fb>
    <v>2</v>
  </rv>
  <rv s="0">
    <fb>45378</fb>
    <v>0</v>
  </rv>
  <rv s="0">
    <fb>156.35</fb>
    <v>1</v>
  </rv>
  <rv s="0">
    <fb>7416870</fb>
    <v>2</v>
  </rv>
  <rv s="0">
    <fb>45379</fb>
    <v>0</v>
  </rv>
  <rv s="0">
    <fb>157.74</fb>
    <v>1</v>
  </rv>
  <rv s="0">
    <fb>8331627</fb>
    <v>2</v>
  </rv>
  <rv s="0">
    <fb>45383</fb>
    <v>0</v>
  </rv>
  <rv s="0">
    <fb>159.08000000000001</fb>
    <v>1</v>
  </rv>
  <rv s="0">
    <fb>6285717</fb>
    <v>2</v>
  </rv>
  <rv s="0">
    <fb>45384</fb>
    <v>0</v>
  </rv>
  <rv s="0">
    <fb>159.78</fb>
    <v>1</v>
  </rv>
  <rv s="0">
    <fb>8815351</fb>
    <v>2</v>
  </rv>
  <rv s="0">
    <fb>45385</fb>
    <v>0</v>
  </rv>
  <rv s="0">
    <fb>160.44</fb>
    <v>1</v>
  </rv>
  <rv s="0">
    <fb>7819734</fb>
    <v>2</v>
  </rv>
  <rv s="0">
    <fb>45386</fb>
    <v>0</v>
  </rv>
  <rv s="0">
    <fb>160.69</fb>
    <v>1</v>
  </rv>
  <rv s="0">
    <fb>9269716</fb>
    <v>2</v>
  </rv>
  <rv s="0">
    <fb>45387</fb>
    <v>0</v>
  </rv>
  <rv s="0">
    <fb>161.6</fb>
    <v>1</v>
  </rv>
  <rv s="0">
    <fb>7432807</fb>
    <v>2</v>
  </rv>
  <rv s="0">
    <fb>45390</fb>
    <v>0</v>
  </rv>
  <rv s="0">
    <fb>161.27000000000001</fb>
    <v>1</v>
  </rv>
  <rv s="0">
    <fb>7253196</fb>
    <v>2</v>
  </rv>
  <rv s="0">
    <fb>45391</fb>
    <v>0</v>
  </rv>
  <rv s="0">
    <fb>162</fb>
    <v>1</v>
  </rv>
  <rv s="0">
    <fb>6577437</fb>
    <v>2</v>
  </rv>
  <rv s="0">
    <fb>45392</fb>
    <v>0</v>
  </rv>
  <rv s="0">
    <fb>162.66999999999999</fb>
    <v>1</v>
  </rv>
  <rv s="0">
    <fb>7525837</fb>
    <v>2</v>
  </rv>
  <rv s="0">
    <fb>45393</fb>
    <v>0</v>
  </rv>
  <rv s="0">
    <fb>161.88999999999999</fb>
    <v>1</v>
  </rv>
  <rv s="0">
    <fb>7682512</fb>
    <v>2</v>
  </rv>
  <rv s="0">
    <fb>45394</fb>
    <v>0</v>
  </rv>
  <rv s="0">
    <fb>158.96</fb>
    <v>1</v>
  </rv>
  <rv s="0">
    <fb>11071045</fb>
    <v>2</v>
  </rv>
  <rv s="0">
    <fb>45397</fb>
    <v>0</v>
  </rv>
  <rv s="0">
    <fb>157.59</fb>
    <v>1</v>
  </rv>
  <rv s="0">
    <fb>7236857</fb>
    <v>2</v>
  </rv>
  <rv s="0">
    <fb>45398</fb>
    <v>0</v>
  </rv>
  <rv s="0">
    <fb>156.28</fb>
    <v>1</v>
  </rv>
  <rv s="0">
    <fb>5541895</fb>
    <v>2</v>
  </rv>
  <rv s="0">
    <fb>45399</fb>
    <v>0</v>
  </rv>
  <rv s="0">
    <fb>156.4</fb>
    <v>1</v>
  </rv>
  <rv s="0">
    <fb>6733879</fb>
    <v>2</v>
  </rv>
  <rv s="0">
    <fb>45400</fb>
    <v>0</v>
  </rv>
  <rv s="0">
    <fb>157.57</fb>
    <v>1</v>
  </rv>
  <rv s="0">
    <fb>4979193</fb>
    <v>2</v>
  </rv>
  <rv s="0">
    <fb>45401</fb>
    <v>0</v>
  </rv>
  <rv s="0">
    <fb>160</fb>
    <v>1</v>
  </rv>
  <rv s="0">
    <fb>7734654</fb>
    <v>2</v>
  </rv>
  <rv s="0">
    <fb>45404</fb>
    <v>0</v>
  </rv>
  <rv s="0">
    <fb>161.91999999999999</fb>
    <v>1</v>
  </rv>
  <rv s="0">
    <fb>6779221</fb>
    <v>2</v>
  </rv>
  <rv s="0">
    <fb>45405</fb>
    <v>0</v>
  </rv>
  <rv s="0">
    <fb>162.85</fb>
    <v>1</v>
  </rv>
  <rv s="0">
    <fb>5597617</fb>
    <v>2</v>
  </rv>
  <rv s="0">
    <fb>45406</fb>
    <v>0</v>
  </rv>
  <rv s="0">
    <fb>163.57</fb>
    <v>1</v>
  </rv>
  <rv s="0">
    <fb>7610335</fb>
    <v>2</v>
  </rv>
  <rv s="0">
    <fb>45407</fb>
    <v>0</v>
  </rv>
  <rv s="0">
    <fb>165.28</fb>
    <v>1</v>
  </rv>
  <rv s="0">
    <fb>9702581</fb>
    <v>2</v>
  </rv>
  <rv s="0">
    <fb>45408</fb>
    <v>0</v>
  </rv>
  <rv s="0">
    <fb>165.89</fb>
    <v>1</v>
  </rv>
  <rv s="0">
    <fb>9736350</fb>
    <v>2</v>
  </rv>
  <rv s="0">
    <fb>45411</fb>
    <v>0</v>
  </rv>
  <rv s="0">
    <fb>166.33</fb>
    <v>1</v>
  </rv>
  <rv s="0">
    <fb>6366752</fb>
    <v>2</v>
  </rv>
  <rv s="0">
    <fb>45412</fb>
    <v>0</v>
  </rv>
  <rv s="0">
    <fb>8457341</fb>
    <v>2</v>
  </rv>
  <rv s="0">
    <fb>45413</fb>
    <v>0</v>
  </rv>
  <rv s="0">
    <fb>159.63</fb>
    <v>1</v>
  </rv>
  <rv s="0">
    <fb>7714962</fb>
    <v>2</v>
  </rv>
  <rv s="0">
    <fb>45414</fb>
    <v>0</v>
  </rv>
  <rv s="0">
    <fb>160.72999999999999</fb>
    <v>1</v>
  </rv>
  <rv s="0">
    <fb>8597124</fb>
    <v>2</v>
  </rv>
  <rv s="0">
    <fb>45415</fb>
    <v>0</v>
  </rv>
  <rv s="0">
    <fb>160.25</fb>
    <v>1</v>
  </rv>
  <rv s="0">
    <fb>11664505</fb>
    <v>2</v>
  </rv>
  <rv s="0">
    <fb>45418</fb>
    <v>0</v>
  </rv>
  <rv s="0">
    <fb>162.30000000000001</fb>
    <v>1</v>
  </rv>
  <rv s="0">
    <fb>8430277</fb>
    <v>2</v>
  </rv>
  <rv s="0">
    <fb>45419</fb>
    <v>0</v>
  </rv>
  <rv s="0">
    <fb>6869948</fb>
    <v>2</v>
  </rv>
  <rv s="0">
    <fb>45420</fb>
    <v>0</v>
  </rv>
  <rv s="0">
    <fb>162.54</fb>
    <v>1</v>
  </rv>
  <rv s="0">
    <fb>6706361</fb>
    <v>2</v>
  </rv>
  <rv s="0">
    <fb>45421</fb>
    <v>0</v>
  </rv>
  <rv s="0">
    <fb>165.45</fb>
    <v>1</v>
  </rv>
  <rv s="0">
    <fb>6683313</fb>
    <v>2</v>
  </rv>
  <rv s="0">
    <fb>45422</fb>
    <v>0</v>
  </rv>
  <rv s="0">
    <fb>165.82</fb>
    <v>1</v>
  </rv>
  <rv s="0">
    <fb>5490944</fb>
    <v>2</v>
  </rv>
  <rv s="0">
    <fb>45425</fb>
    <v>0</v>
  </rv>
  <rv s="0">
    <fb>164.53</fb>
    <v>1</v>
  </rv>
  <rv s="0">
    <fb>6848303</fb>
    <v>2</v>
  </rv>
  <rv s="0">
    <fb>45426</fb>
    <v>0</v>
  </rv>
  <rv s="0">
    <fb>163.61000000000001</fb>
    <v>1</v>
  </rv>
  <rv s="0">
    <fb>4923968</fb>
    <v>2</v>
  </rv>
  <rv s="0">
    <fb>45427</fb>
    <v>0</v>
  </rv>
  <rv s="0">
    <fb>163.05000000000001</fb>
    <v>1</v>
  </rv>
  <rv s="0">
    <fb>7603063</fb>
    <v>2</v>
  </rv>
  <rv s="0">
    <fb>45428</fb>
    <v>0</v>
  </rv>
  <rv s="0">
    <fb>161.09</fb>
    <v>1</v>
  </rv>
  <rv s="0">
    <fb>6409418</fb>
    <v>2</v>
  </rv>
  <rv s="0">
    <fb>45429</fb>
    <v>0</v>
  </rv>
  <rv s="0">
    <fb>5497919</fb>
    <v>2</v>
  </rv>
  <rv s="0">
    <fb>45432</fb>
    <v>0</v>
  </rv>
  <rv s="0">
    <fb>161.13999999999999</fb>
    <v>1</v>
  </rv>
  <rv s="0">
    <fb>4913820</fb>
    <v>2</v>
  </rv>
  <rv s="0">
    <fb>45433</fb>
    <v>0</v>
  </rv>
  <rv s="0">
    <fb>159.97</fb>
    <v>1</v>
  </rv>
  <rv s="0">
    <fb>4783287</fb>
    <v>2</v>
  </rv>
  <rv s="0">
    <fb>45434</fb>
    <v>0</v>
  </rv>
  <rv s="0">
    <fb>6260509</fb>
    <v>2</v>
  </rv>
  <rv s="0">
    <fb>45435</fb>
    <v>0</v>
  </rv>
  <rv s="0">
    <fb>156.94</fb>
    <v>1</v>
  </rv>
  <rv s="0">
    <fb>6718378</fb>
    <v>2</v>
  </rv>
  <rv s="0">
    <fb>45436</fb>
    <v>0</v>
  </rv>
  <rv s="0">
    <fb>157.75</fb>
    <v>1</v>
  </rv>
  <rv s="0">
    <fb>4477720</fb>
    <v>2</v>
  </rv>
  <rv s="0">
    <fb>45440</fb>
    <v>0</v>
  </rv>
  <rv s="0">
    <fb>159.04</fb>
    <v>1</v>
  </rv>
  <rv s="0">
    <fb>6928298</fb>
    <v>2</v>
  </rv>
  <rv s="0">
    <fb>45441</fb>
    <v>0</v>
  </rv>
  <rv s="0">
    <fb>156.9</fb>
    <v>1</v>
  </rv>
  <rv s="0">
    <fb>5909632</fb>
    <v>2</v>
  </rv>
  <rv s="0">
    <fb>45442</fb>
    <v>0</v>
  </rv>
  <rv s="0">
    <fb>158.26</fb>
    <v>1</v>
  </rv>
  <rv s="0">
    <fb>6371243</fb>
    <v>2</v>
  </rv>
  <rv s="0">
    <fb>45443</fb>
    <v>0</v>
  </rv>
  <rv s="0">
    <fb>10334227</fb>
    <v>2</v>
  </rv>
  <rv s="0">
    <fb>45446</fb>
    <v>0</v>
  </rv>
  <rv s="0">
    <fb>157.46</fb>
    <v>1</v>
  </rv>
  <rv s="0">
    <fb>9009935</fb>
    <v>2</v>
  </rv>
  <rv s="0">
    <fb>45447</fb>
    <v>0</v>
  </rv>
  <rv s="0">
    <fb>156.13</fb>
    <v>1</v>
  </rv>
  <rv s="0">
    <fb>6360542</fb>
    <v>2</v>
  </rv>
  <rv s="0">
    <fb>45448</fb>
    <v>0</v>
  </rv>
  <rv s="0">
    <fb>154.97999999999999</fb>
    <v>1</v>
  </rv>
  <rv s="0">
    <fb>7058506</fb>
    <v>2</v>
  </rv>
  <rv s="0">
    <fb>45449</fb>
    <v>0</v>
  </rv>
  <rv s="0">
    <fb>155.93</fb>
    <v>1</v>
  </rv>
  <rv s="0">
    <fb>5215140</fb>
    <v>2</v>
  </rv>
  <rv s="0">
    <fb>45450</fb>
    <v>0</v>
  </rv>
  <rv s="0">
    <fb>156.08000000000001</fb>
    <v>1</v>
  </rv>
  <rv s="0">
    <fb>5887651</fb>
    <v>2</v>
  </rv>
  <rv s="0">
    <fb>45453</fb>
    <v>0</v>
  </rv>
  <rv s="0">
    <fb>156.74</fb>
    <v>1</v>
  </rv>
  <rv s="0">
    <fb>7075943</fb>
    <v>2</v>
  </rv>
  <rv s="0">
    <fb>45454</fb>
    <v>0</v>
  </rv>
  <rv s="0">
    <fb>156.49</fb>
    <v>1</v>
  </rv>
  <rv s="0">
    <fb>5132009</fb>
    <v>2</v>
  </rv>
  <rv s="0">
    <fb>45455</fb>
    <v>0</v>
  </rv>
  <rv s="0">
    <fb>154.22</fb>
    <v>1</v>
  </rv>
  <rv s="0">
    <fb>10017421</fb>
    <v>2</v>
  </rv>
  <rv s="0">
    <fb>45456</fb>
    <v>0</v>
  </rv>
  <rv s="0">
    <fb>152.84</fb>
    <v>1</v>
  </rv>
  <rv s="0">
    <fb>6163015</fb>
    <v>2</v>
  </rv>
  <rv s="0">
    <fb>45457</fb>
    <v>0</v>
  </rv>
  <rv s="0">
    <fb>152.57</fb>
    <v>1</v>
  </rv>
  <rv s="0">
    <fb>6159138</fb>
    <v>2</v>
  </rv>
  <rv s="0">
    <fb>45460</fb>
    <v>0</v>
  </rv>
  <rv s="0">
    <fb>153.19</fb>
    <v>1</v>
  </rv>
  <rv s="0">
    <fb>6321386</fb>
    <v>2</v>
  </rv>
  <rv s="0">
    <fb>45461</fb>
    <v>0</v>
  </rv>
  <rv s="0">
    <fb>153.33000000000001</fb>
    <v>1</v>
  </rv>
  <rv s="0">
    <fb>6942882</fb>
    <v>2</v>
  </rv>
  <rv s="0">
    <fb>45463</fb>
    <v>0</v>
  </rv>
  <rv s="0">
    <fb>156.63999999999999</fb>
    <v>1</v>
  </rv>
  <rv s="0">
    <fb>8336031</fb>
    <v>2</v>
  </rv>
  <rv s="0">
    <fb>45464</fb>
    <v>0</v>
  </rv>
  <rv s="0">
    <fb>155.28</fb>
    <v>1</v>
  </rv>
  <rv s="0">
    <fb>21292090</fb>
    <v>2</v>
  </rv>
  <rv s="0">
    <fb>45467</fb>
    <v>0</v>
  </rv>
  <rv s="0">
    <fb>159.31</fb>
    <v>1</v>
  </rv>
  <rv s="0">
    <fb>7971620</fb>
    <v>2</v>
  </rv>
  <rv s="0">
    <fb>45468</fb>
    <v>0</v>
  </rv>
  <rv s="0">
    <fb>158.46</fb>
    <v>1</v>
  </rv>
  <rv s="0">
    <fb>6056711</fb>
    <v>2</v>
  </rv>
  <rv s="0">
    <fb>45469</fb>
    <v>0</v>
  </rv>
  <rv s="0">
    <fb>155.94999999999999</fb>
    <v>1</v>
  </rv>
  <rv s="0">
    <fb>8637756</fb>
    <v>2</v>
  </rv>
  <rv s="0">
    <fb>45470</fb>
    <v>0</v>
  </rv>
  <rv s="0">
    <fb>156.32</fb>
    <v>1</v>
  </rv>
  <rv s="0">
    <fb>5568733</fb>
    <v>2</v>
  </rv>
  <rv s="0">
    <fb>45471</fb>
    <v>0</v>
  </rv>
  <rv s="0">
    <fb>156.41999999999999</fb>
    <v>1</v>
  </rv>
  <rv s="0">
    <fb>11283390</fb>
    <v>2</v>
  </rv>
  <rv s="0">
    <fb>45474</fb>
    <v>0</v>
  </rv>
  <rv s="0">
    <fb>156.52000000000001</fb>
    <v>1</v>
  </rv>
  <rv s="0">
    <fb>5584116</fb>
    <v>2</v>
  </rv>
  <rv s="0">
    <fb>45475</fb>
    <v>0</v>
  </rv>
  <rv s="0">
    <fb>156.75</fb>
    <v>1</v>
  </rv>
  <rv s="0">
    <fb>7216801</fb>
    <v>2</v>
  </rv>
  <rv s="0">
    <fb>45476</fb>
    <v>0</v>
  </rv>
  <rv s="0">
    <fb>156.71</fb>
    <v>1</v>
  </rv>
  <rv s="0">
    <fb>3264196</fb>
    <v>2</v>
  </rv>
  <rv s="0">
    <fb>45478</fb>
    <v>0</v>
  </rv>
  <rv s="0">
    <fb>154.31</fb>
    <v>1</v>
  </rv>
  <rv s="0">
    <fb>6183056</fb>
    <v>2</v>
  </rv>
  <rv s="0">
    <fb>45481</fb>
    <v>0</v>
  </rv>
  <rv s="0">
    <fb>154.33000000000001</fb>
    <v>1</v>
  </rv>
  <rv s="0">
    <fb>4990726</fb>
    <v>2</v>
  </rv>
  <rv s="0">
    <fb>45482</fb>
    <v>0</v>
  </rv>
  <rv s="0">
    <fb>152.97999999999999</fb>
    <v>1</v>
  </rv>
  <rv s="0">
    <fb>5303129</fb>
    <v>2</v>
  </rv>
  <rv s="0">
    <fb>45483</fb>
    <v>0</v>
  </rv>
  <rv s="0">
    <fb>155.13</fb>
    <v>1</v>
  </rv>
  <rv s="0">
    <fb>5416594</fb>
    <v>2</v>
  </rv>
  <rv s="0">
    <fb>45484</fb>
    <v>0</v>
  </rv>
  <rv s="0">
    <fb>155.26</fb>
    <v>1</v>
  </rv>
  <rv s="0">
    <fb>8323125</fb>
    <v>2</v>
  </rv>
  <rv s="0">
    <fb>45485</fb>
    <v>0</v>
  </rv>
  <rv s="0">
    <fb>155.59</fb>
    <v>1</v>
  </rv>
  <rv s="0">
    <fb>6446316</fb>
    <v>2</v>
  </rv>
  <rv s="0">
    <fb>45488</fb>
    <v>0</v>
  </rv>
  <rv s="0">
    <fb>158.04</fb>
    <v>1</v>
  </rv>
  <rv s="0">
    <fb>5661170</fb>
    <v>2</v>
  </rv>
  <rv s="0">
    <fb>45489</fb>
    <v>0</v>
  </rv>
  <rv s="0">
    <fb>157.77000000000001</fb>
    <v>1</v>
  </rv>
  <rv s="0">
    <fb>6924187</fb>
    <v>2</v>
  </rv>
  <rv s="0">
    <fb>45490</fb>
    <v>0</v>
  </rv>
  <rv s="0">
    <fb>161.22999999999999</fb>
    <v>1</v>
  </rv>
  <rv s="0">
    <fb>7296622</fb>
    <v>2</v>
  </rv>
  <rv s="0">
    <fb>45491</fb>
    <v>0</v>
  </rv>
  <rv s="0">
    <fb>161.97</fb>
    <v>1</v>
  </rv>
  <rv s="0">
    <fb>6577674</fb>
    <v>2</v>
  </rv>
  <rv s="0">
    <fb>45492</fb>
    <v>0</v>
  </rv>
  <rv s="0">
    <fb>159.15</fb>
    <v>1</v>
  </rv>
  <rv s="0">
    <fb>6427723</fb>
    <v>2</v>
  </rv>
  <rv s="0">
    <fb>45495</fb>
    <v>0</v>
  </rv>
  <rv s="0">
    <fb>156.99</fb>
    <v>1</v>
  </rv>
  <rv s="0">
    <fb>5577286</fb>
    <v>2</v>
  </rv>
  <rv s="0">
    <fb>45496</fb>
    <v>0</v>
  </rv>
  <rv s="0">
    <fb>154.09</fb>
    <v>1</v>
  </rv>
  <rv s="0">
    <fb>6238721</fb>
    <v>2</v>
  </rv>
  <rv s="0">
    <fb>45497</fb>
    <v>0</v>
  </rv>
  <rv s="0">
    <fb>155.07</fb>
    <v>1</v>
  </rv>
  <rv s="0">
    <fb>5971731</fb>
    <v>2</v>
  </rv>
  <rv s="0">
    <fb>45498</fb>
    <v>0</v>
  </rv>
  <rv s="0">
    <fb>157.54</fb>
    <v>1</v>
  </rv>
  <rv s="0">
    <fb>5432141</fb>
    <v>2</v>
  </rv>
  <rv s="0">
    <fb>45499</fb>
    <v>0</v>
  </rv>
  <rv s="0">
    <fb>157.84</fb>
    <v>1</v>
  </rv>
  <rv s="0">
    <fb>5232519</fb>
    <v>2</v>
  </rv>
  <rv s="0">
    <fb>45502</fb>
    <v>0</v>
  </rv>
  <rv s="0">
    <fb>156.6</fb>
    <v>1</v>
  </rv>
  <rv s="0">
    <fb>5071988</fb>
    <v>2</v>
  </rv>
  <rv s="0">
    <fb>45503</fb>
    <v>0</v>
  </rv>
  <rv s="0">
    <fb>159.57</fb>
    <v>1</v>
  </rv>
  <rv s="0">
    <fb>5740861</fb>
    <v>2</v>
  </rv>
  <rv s="0">
    <fb>45504</fb>
    <v>0</v>
  </rv>
  <rv s="0">
    <fb>160.47</fb>
    <v>1</v>
  </rv>
  <rv s="0">
    <fb>6209200</fb>
    <v>2</v>
  </rv>
  <rv s="0">
    <fb>45505</fb>
    <v>0</v>
  </rv>
  <rv s="0">
    <fb>152.62</fb>
    <v>1</v>
  </rv>
  <rv s="0">
    <fb>16689945</fb>
    <v>2</v>
  </rv>
  <rv s="0">
    <fb>45506</fb>
    <v>0</v>
  </rv>
  <rv s="0">
    <fb>148.55000000000001</fb>
    <v>1</v>
  </rv>
  <rv s="0">
    <fb>13278618</fb>
    <v>2</v>
  </rv>
  <rv s="0">
    <fb>45509</fb>
    <v>0</v>
  </rv>
  <rv s="0">
    <fb>144.66</fb>
    <v>1</v>
  </rv>
  <rv s="0">
    <fb>13037190</fb>
    <v>2</v>
  </rv>
  <rv s="0">
    <fb>45510</fb>
    <v>0</v>
  </rv>
  <rv s="0">
    <fb>143.22999999999999</fb>
    <v>1</v>
  </rv>
  <rv s="0">
    <fb>9692659</fb>
    <v>2</v>
  </rv>
  <rv s="0">
    <fb>45511</fb>
    <v>0</v>
  </rv>
  <rv s="0">
    <fb>142.41</fb>
    <v>1</v>
  </rv>
  <rv s="0">
    <fb>8867862</fb>
    <v>2</v>
  </rv>
  <rv s="0">
    <fb>45512</fb>
    <v>0</v>
  </rv>
  <rv s="0">
    <fb>144.49</fb>
    <v>1</v>
  </rv>
  <rv s="0">
    <fb>7531112</fb>
    <v>2</v>
  </rv>
  <rv s="0">
    <fb>45513</fb>
    <v>0</v>
  </rv>
  <rv s="0">
    <fb>144.99</fb>
    <v>1</v>
  </rv>
  <rv s="0">
    <fb>7653053</fb>
    <v>2</v>
  </rv>
  <rv s="0">
    <fb>45516</fb>
    <v>0</v>
  </rv>
  <rv s="0">
    <fb>145.02000000000001</fb>
    <v>1</v>
  </rv>
  <rv s="0">
    <fb>8442174</fb>
    <v>2</v>
  </rv>
  <rv s="0">
    <fb>45517</fb>
    <v>0</v>
  </rv>
  <rv s="0">
    <fb>144.15</fb>
    <v>1</v>
  </rv>
  <rv s="0">
    <fb>7794816</fb>
    <v>2</v>
  </rv>
  <rv s="0">
    <fb>45518</fb>
    <v>0</v>
  </rv>
  <rv s="0">
    <fb>144.66999999999999</fb>
    <v>1</v>
  </rv>
  <rv s="0">
    <fb>5874216</fb>
    <v>2</v>
  </rv>
  <rv s="0">
    <fb>45519</fb>
    <v>0</v>
  </rv>
  <rv s="0">
    <fb>146.80000000000001</fb>
    <v>1</v>
  </rv>
  <rv s="0">
    <fb>6304232</fb>
    <v>2</v>
  </rv>
  <rv s="0">
    <fb>45520</fb>
    <v>0</v>
  </rv>
  <rv s="0">
    <fb>6874416</fb>
    <v>2</v>
  </rv>
  <rv s="0">
    <fb>45523</fb>
    <v>0</v>
  </rv>
  <rv s="0">
    <fb>146.83000000000001</fb>
    <v>1</v>
  </rv>
  <rv s="0">
    <fb>5967406</fb>
    <v>2</v>
  </rv>
  <rv s="0">
    <fb>45524</fb>
    <v>0</v>
  </rv>
  <rv s="0">
    <fb>144.69</fb>
    <v>1</v>
  </rv>
  <rv s="0">
    <fb>7497606</fb>
    <v>2</v>
  </rv>
  <rv s="0">
    <fb>45525</fb>
    <v>0</v>
  </rv>
  <rv s="0">
    <fb>145.32</fb>
    <v>1</v>
  </rv>
  <rv s="0">
    <fb>5984993</fb>
    <v>2</v>
  </rv>
  <rv s="0">
    <fb>45526</fb>
    <v>0</v>
  </rv>
  <rv s="0">
    <fb>145.72999999999999</fb>
    <v>1</v>
  </rv>
  <rv s="0">
    <fb>4026998</fb>
    <v>2</v>
  </rv>
  <rv s="0">
    <fb>45527</fb>
    <v>0</v>
  </rv>
  <rv s="0">
    <fb>147.62</fb>
    <v>1</v>
  </rv>
  <rv s="0">
    <fb>4824078</fb>
    <v>2</v>
  </rv>
  <rv s="0">
    <fb>45530</fb>
    <v>0</v>
  </rv>
  <rv s="0">
    <fb>148.5</fb>
    <v>1</v>
  </rv>
  <rv s="0">
    <fb>5780289</fb>
    <v>2</v>
  </rv>
  <rv s="0">
    <fb>45531</fb>
    <v>0</v>
  </rv>
  <rv s="0">
    <fb>146.94999999999999</fb>
    <v>1</v>
  </rv>
  <rv s="0">
    <fb>5099956</fb>
    <v>2</v>
  </rv>
  <rv s="0">
    <fb>45532</fb>
    <v>0</v>
  </rv>
  <rv s="0">
    <fb>146</fb>
    <v>1</v>
  </rv>
  <rv s="0">
    <fb>5614416</fb>
    <v>2</v>
  </rv>
  <rv s="0">
    <fb>45533</fb>
    <v>0</v>
  </rv>
  <rv s="0">
    <fb>147.41999999999999</fb>
    <v>1</v>
  </rv>
  <rv s="0">
    <fb>4466696</fb>
    <v>2</v>
  </rv>
  <rv s="0">
    <fb>45534</fb>
    <v>0</v>
  </rv>
  <rv s="0">
    <fb>147.94999999999999</fb>
    <v>1</v>
  </rv>
  <rv s="0">
    <fb>6414755</fb>
    <v>2</v>
  </rv>
  <rv s="0">
    <fb>45538</fb>
    <v>0</v>
  </rv>
  <rv s="0">
    <fb>7944740</fb>
    <v>2</v>
  </rv>
  <rv s="0">
    <fb>45539</fb>
    <v>0</v>
  </rv>
  <rv s="0">
    <fb>142.07</fb>
    <v>1</v>
  </rv>
  <rv s="0">
    <fb>9820730</fb>
    <v>2</v>
  </rv>
  <rv s="0">
    <fb>45540</fb>
    <v>0</v>
  </rv>
  <rv s="0">
    <fb>140.93</fb>
    <v>1</v>
  </rv>
  <rv s="0">
    <fb>9371051</fb>
    <v>2</v>
  </rv>
  <rv s="0">
    <fb>45541</fb>
    <v>0</v>
  </rv>
  <rv s="0">
    <fb>138.56</fb>
    <v>1</v>
  </rv>
  <rv s="0">
    <fb>7836358</fb>
    <v>2</v>
  </rv>
  <rv s="0">
    <fb>45544</fb>
    <v>0</v>
  </rv>
  <rv s="0">
    <fb>140.30000000000001</fb>
    <v>1</v>
  </rv>
  <rv s="0">
    <fb>9892347</fb>
    <v>2</v>
  </rv>
  <rv s="0">
    <fb>45545</fb>
    <v>0</v>
  </rv>
  <rv s="0">
    <fb>138.22999999999999</fb>
    <v>1</v>
  </rv>
  <rv s="0">
    <fb>8202480</fb>
    <v>2</v>
  </rv>
  <rv s="0">
    <fb>45546</fb>
    <v>0</v>
  </rv>
  <rv s="0">
    <fb>137.88</fb>
    <v>1</v>
  </rv>
  <rv s="0">
    <fb>9534010</fb>
    <v>2</v>
  </rv>
  <rv s="0">
    <fb>45547</fb>
    <v>0</v>
  </rv>
  <rv s="0">
    <fb>139.21</fb>
    <v>1</v>
  </rv>
  <rv s="0">
    <fb>6593436</fb>
    <v>2</v>
  </rv>
  <rv s="0">
    <fb>45548</fb>
    <v>0</v>
  </rv>
  <rv s="0">
    <fb>140.61000000000001</fb>
    <v>1</v>
  </rv>
  <rv s="0">
    <fb>5900747</fb>
    <v>2</v>
  </rv>
  <rv s="0">
    <fb>45551</fb>
    <v>0</v>
  </rv>
  <rv s="0">
    <fb>6864275</fb>
    <v>2</v>
  </rv>
  <rv s="0">
    <fb>45552</fb>
    <v>0</v>
  </rv>
  <rv s="0">
    <fb>143.41</fb>
    <v>1</v>
  </rv>
  <rv s="0">
    <fb>7338782</fb>
    <v>2</v>
  </rv>
  <rv s="0">
    <fb>45553</fb>
    <v>0</v>
  </rv>
  <rv s="0">
    <fb>143.96</fb>
    <v>1</v>
  </rv>
  <rv s="0">
    <fb>6180252</fb>
    <v>2</v>
  </rv>
  <rv s="0">
    <fb>45554</fb>
    <v>0</v>
  </rv>
  <rv s="0">
    <fb>7247416</fb>
    <v>2</v>
  </rv>
  <rv s="0">
    <fb>45555</fb>
    <v>0</v>
  </rv>
  <rv s="0">
    <fb>145.68</fb>
    <v>1</v>
  </rv>
  <rv s="0">
    <fb>23162864</fb>
    <v>2</v>
  </rv>
  <rv s="0">
    <fb>45558</fb>
    <v>0</v>
  </rv>
  <rv s="0">
    <fb>147.54</fb>
    <v>1</v>
  </rv>
  <rv s="0">
    <fb>6960639</fb>
    <v>2</v>
  </rv>
  <rv s="0">
    <fb>45559</fb>
    <v>0</v>
  </rv>
  <rv s="0">
    <fb>147.44999999999999</fb>
    <v>1</v>
  </rv>
  <rv s="0">
    <fb>6014208</fb>
    <v>2</v>
  </rv>
  <rv s="0">
    <fb>45560</fb>
    <v>0</v>
  </rv>
  <rv s="0">
    <fb>143.97</fb>
    <v>1</v>
  </rv>
  <rv s="0">
    <fb>7888444</fb>
    <v>2</v>
  </rv>
  <rv s="0">
    <fb>45561</fb>
    <v>0</v>
  </rv>
  <rv s="0">
    <fb>141.99</fb>
    <v>1</v>
  </rv>
  <rv s="0">
    <fb>8046171</fb>
    <v>2</v>
  </rv>
  <rv s="0">
    <fb>45562</fb>
    <v>0</v>
  </rv>
  <rv s="0">
    <fb>145.49</fb>
    <v>1</v>
  </rv>
  <rv s="0">
    <fb>8049155</fb>
    <v>2</v>
  </rv>
  <rv s="0">
    <fb>45565</fb>
    <v>0</v>
  </rv>
  <rv s="0">
    <fb>7494608</fb>
    <v>2</v>
  </rv>
  <rv s="0">
    <fb>45566</fb>
    <v>0</v>
  </rv>
  <rv s="0">
    <fb>149.69999999999999</fb>
    <v>1</v>
  </rv>
  <rv s="0">
    <fb>9489121</fb>
    <v>2</v>
  </rv>
  <rv s="0">
    <fb>45567</fb>
    <v>0</v>
  </rv>
  <rv s="0">
    <fb>150.94999999999999</fb>
    <v>1</v>
  </rv>
  <rv s="0">
    <fb>8105420</fb>
    <v>2</v>
  </rv>
  <rv s="0">
    <fb>45568</fb>
    <v>0</v>
  </rv>
  <rv s="0">
    <fb>151.25</fb>
    <v>1</v>
  </rv>
  <rv s="0">
    <fb>6553282</fb>
    <v>2</v>
  </rv>
  <rv s="0">
    <fb>45569</fb>
    <v>0</v>
  </rv>
  <rv s="0">
    <fb>150.74</fb>
    <v>1</v>
  </rv>
  <rv s="0">
    <fb>7895285</fb>
    <v>2</v>
  </rv>
  <rv s="0">
    <fb>45572</fb>
    <v>0</v>
  </rv>
  <rv s="0">
    <fb>151.12</fb>
    <v>1</v>
  </rv>
  <rv s="0">
    <fb>5895852</fb>
    <v>2</v>
  </rv>
  <rv s="0">
    <fb>45573</fb>
    <v>0</v>
  </rv>
  <rv s="0">
    <fb>148.75</fb>
    <v>1</v>
  </rv>
  <rv s="0">
    <fb>5892739</fb>
    <v>2</v>
  </rv>
  <rv s="0">
    <fb>45574</fb>
    <v>0</v>
  </rv>
  <rv s="0">
    <fb>149.65</fb>
    <v>1</v>
  </rv>
  <rv s="0">
    <fb>4973453</fb>
    <v>2</v>
  </rv>
  <rv s="0">
    <fb>45575</fb>
    <v>0</v>
  </rv>
  <rv s="0">
    <fb>150.62</fb>
    <v>1</v>
  </rv>
  <rv s="0">
    <fb>4420891</fb>
    <v>2</v>
  </rv>
  <rv s="0">
    <fb>45576</fb>
    <v>0</v>
  </rv>
  <rv s="0">
    <fb>151.41999999999999</fb>
    <v>1</v>
  </rv>
  <rv s="0">
    <fb>5051314</fb>
    <v>2</v>
  </rv>
  <rv s="0">
    <fb>45579</fb>
    <v>0</v>
  </rv>
  <rv s="0">
    <fb>151.78</fb>
    <v>1</v>
  </rv>
  <rv s="0">
    <fb>4214721</fb>
    <v>2</v>
  </rv>
  <rv s="0">
    <fb>45580</fb>
    <v>0</v>
  </rv>
  <rv s="0">
    <fb>147.72999999999999</fb>
    <v>1</v>
  </rv>
  <rv s="0">
    <fb>6704610</fb>
    <v>2</v>
  </rv>
  <rv s="0">
    <fb>45581</fb>
    <v>0</v>
  </rv>
  <rv s="0">
    <fb>148.72999999999999</fb>
    <v>1</v>
  </rv>
  <rv s="0">
    <fb>4303737</fb>
    <v>2</v>
  </rv>
  <rv s="0">
    <fb>45582</fb>
    <v>0</v>
  </rv>
  <rv s="0">
    <fb>151.19999999999999</fb>
    <v>1</v>
  </rv>
  <rv s="0">
    <fb>6593136</fb>
    <v>2</v>
  </rv>
  <rv s="0">
    <fb>45583</fb>
    <v>0</v>
  </rv>
  <rv s="0">
    <fb>150.75</fb>
    <v>1</v>
  </rv>
  <rv s="0">
    <fb>5208202</fb>
    <v>2</v>
  </rv>
  <rv s="0">
    <fb>45586</fb>
    <v>0</v>
  </rv>
  <rv s="0">
    <fb>150.88</fb>
    <v>1</v>
  </rv>
  <rv s="0">
    <fb>5073999</fb>
    <v>2</v>
  </rv>
  <rv s="0">
    <fb>45587</fb>
    <v>0</v>
  </rv>
  <rv s="0">
    <fb>150.91999999999999</fb>
    <v>1</v>
  </rv>
  <rv s="0">
    <fb>4416409</fb>
    <v>2</v>
  </rv>
  <rv s="0">
    <fb>45588</fb>
    <v>0</v>
  </rv>
  <rv s="0">
    <fb>150.47999999999999</fb>
    <v>1</v>
  </rv>
  <rv s="0">
    <fb>5248853</fb>
    <v>2</v>
  </rv>
  <rv s="0">
    <fb>45589</fb>
    <v>0</v>
  </rv>
  <rv s="0">
    <fb>150.44999999999999</fb>
    <v>1</v>
  </rv>
  <rv s="0">
    <fb>5474258</fb>
    <v>2</v>
  </rv>
  <rv s="0">
    <fb>45590</fb>
    <v>0</v>
  </rv>
  <rv s="0">
    <fb>150.81</fb>
    <v>1</v>
  </rv>
  <rv s="0">
    <fb>6839894</fb>
    <v>2</v>
  </rv>
  <rv s="0">
    <fb>45593</fb>
    <v>0</v>
  </rv>
  <rv s="0">
    <fb>150.54</fb>
    <v>1</v>
  </rv>
  <rv s="0">
    <fb>8892039</fb>
    <v>2</v>
  </rv>
  <rv s="0">
    <fb>45594</fb>
    <v>0</v>
  </rv>
  <rv s="0">
    <fb>148.52000000000001</fb>
    <v>1</v>
  </rv>
  <rv s="0">
    <fb>6014676</fb>
    <v>2</v>
  </rv>
  <rv s="0">
    <fb>45595</fb>
    <v>0</v>
  </rv>
  <rv s="0">
    <fb>148.05000000000001</fb>
    <v>1</v>
  </rv>
  <rv s="0">
    <fb>5784011</fb>
    <v>2</v>
  </rv>
  <rv s="0">
    <fb>45596</fb>
    <v>0</v>
  </rv>
  <rv s="0">
    <fb>148.82</fb>
    <v>1</v>
  </rv>
  <rv s="0">
    <fb>8400855</fb>
    <v>2</v>
  </rv>
  <rv s="0">
    <fb>45597</fb>
    <v>0</v>
  </rv>
  <rv s="0">
    <fb>153.07</fb>
    <v>1</v>
  </rv>
  <rv s="0">
    <fb>11727977</fb>
    <v>2</v>
  </rv>
  <rv s="0">
    <fb>45600</fb>
    <v>0</v>
  </rv>
  <rv s="0">
    <fb>153.97</fb>
    <v>1</v>
  </rv>
  <rv s="0">
    <fb>6129961</fb>
    <v>2</v>
  </rv>
  <rv s="0">
    <fb>45601</fb>
    <v>0</v>
  </rv>
  <rv s="0">
    <fb>153.41</fb>
    <v>1</v>
  </rv>
  <rv s="0">
    <fb>5978897</fb>
    <v>2</v>
  </rv>
  <rv s="0">
    <fb>45602</fb>
    <v>0</v>
  </rv>
  <rv s="0">
    <fb>157.72</fb>
    <v>1</v>
  </rv>
  <rv s="0">
    <fb>12118908</fb>
    <v>2</v>
  </rv>
  <rv s="0">
    <fb>45603</fb>
    <v>0</v>
  </rv>
  <rv s="0">
    <fb>156.77000000000001</fb>
    <v>1</v>
  </rv>
  <rv s="0">
    <fb>8143245</fb>
    <v>2</v>
  </rv>
  <rv s="0">
    <fb>45604</fb>
    <v>0</v>
  </rv>
  <rv s="0">
    <fb>156.93</fb>
    <v>1</v>
  </rv>
  <rv s="0">
    <fb>6041457</fb>
    <v>2</v>
  </rv>
  <rv s="0">
    <fb>45607</fb>
    <v>0</v>
  </rv>
  <rv s="0">
    <fb>156.5</fb>
    <v>1</v>
  </rv>
  <rv s="0">
    <fb>7771691</fb>
    <v>2</v>
  </rv>
  <rv s="0">
    <fb>45608</fb>
    <v>0</v>
  </rv>
  <rv s="0">
    <fb>155.29</fb>
    <v>1</v>
  </rv>
  <rv s="0">
    <fb>5681869</fb>
    <v>2</v>
  </rv>
  <rv s="0">
    <fb>45609</fb>
    <v>0</v>
  </rv>
  <rv s="0">
    <fb>158.72</fb>
    <v>1</v>
  </rv>
  <rv s="0">
    <fb>8824013</fb>
    <v>2</v>
  </rv>
  <rv s="0">
    <fb>45610</fb>
    <v>0</v>
  </rv>
  <rv s="0">
    <fb>161.80000000000001</fb>
    <v>1</v>
  </rv>
  <rv s="0">
    <fb>10111234</fb>
    <v>2</v>
  </rv>
  <rv s="0">
    <fb>45611</fb>
    <v>0</v>
  </rv>
  <rv s="0">
    <fb>161.41999999999999</fb>
    <v>1</v>
  </rv>
  <rv s="0">
    <fb>9022753</fb>
    <v>2</v>
  </rv>
  <rv s="0">
    <fb>45614</fb>
    <v>0</v>
  </rv>
  <rv s="0">
    <fb>160.76</fb>
    <v>1</v>
  </rv>
  <rv s="0">
    <fb>6092141</fb>
    <v>2</v>
  </rv>
  <rv s="0">
    <fb>45615</fb>
    <v>0</v>
  </rv>
  <rv s="0">
    <fb>159.6</fb>
    <v>1</v>
  </rv>
  <rv s="0">
    <fb>4657409</fb>
    <v>2</v>
  </rv>
  <rv s="0">
    <fb>45616</fb>
    <v>0</v>
  </rv>
  <rv s="0">
    <fb>161.33000000000001</fb>
    <v>1</v>
  </rv>
  <rv s="0">
    <fb>6391252</fb>
    <v>2</v>
  </rv>
  <rv s="0">
    <fb>45617</fb>
    <v>0</v>
  </rv>
  <rv s="0">
    <fb>161.63</fb>
    <v>1</v>
  </rv>
  <rv s="0">
    <fb>7945531</fb>
    <v>2</v>
  </rv>
  <rv s="0">
    <fb>45618</fb>
    <v>0</v>
  </rv>
  <rv s="0">
    <fb>162.36000000000001</fb>
    <v>1</v>
  </rv>
  <rv s="0">
    <fb>7006293</fb>
    <v>2</v>
  </rv>
  <rv s="0">
    <fb>45621</fb>
    <v>0</v>
  </rv>
  <rv s="0">
    <fb>160.36000000000001</fb>
    <v>1</v>
  </rv>
  <rv s="0">
    <fb>10702395</fb>
    <v>2</v>
  </rv>
  <rv s="0">
    <fb>45622</fb>
    <v>0</v>
  </rv>
  <rv s="0">
    <fb>162.53</fb>
    <v>1</v>
  </rv>
  <rv s="0">
    <fb>7369944</fb>
    <v>2</v>
  </rv>
  <rv s="0">
    <fb>45623</fb>
    <v>0</v>
  </rv>
  <rv s="0">
    <fb>162.11000000000001</fb>
    <v>1</v>
  </rv>
  <rv s="0">
    <fb>7674474</fb>
    <v>2</v>
  </rv>
  <rv s="0">
    <fb>45625</fb>
    <v>0</v>
  </rv>
  <rv s="0">
    <fb>161.93</fb>
    <v>1</v>
  </rv>
  <rv s="0">
    <fb>5076953</fb>
    <v>2</v>
  </rv>
  <rv s="0">
    <fb>45628</fb>
    <v>0</v>
  </rv>
  <rv s="0">
    <fb>162.21</fb>
    <v>1</v>
  </rv>
  <rv s="0">
    <fb>6229596</fb>
    <v>2</v>
  </rv>
  <rv s="0">
    <fb>45629</fb>
    <v>0</v>
  </rv>
  <rv s="0">
    <fb>5900066</fb>
    <v>2</v>
  </rv>
  <rv s="0">
    <fb>45630</fb>
    <v>0</v>
  </rv>
  <rv s="0">
    <fb>158.32</fb>
    <v>1</v>
  </rv>
  <rv s="0">
    <fb>7862728</fb>
    <v>2</v>
  </rv>
  <rv s="0">
    <fb>45631</fb>
    <v>0</v>
  </rv>
  <rv s="0">
    <fb>159.33000000000001</fb>
    <v>1</v>
  </rv>
  <rv s="0">
    <fb>6358358</fb>
    <v>2</v>
  </rv>
  <rv s="0">
    <fb>45632</fb>
    <v>0</v>
  </rv>
  <rv s="0">
    <fb>155.24</fb>
    <v>1</v>
  </rv>
  <rv s="0">
    <fb>9701694</fb>
    <v>2</v>
  </rv>
  <rv s="0">
    <fb>45635</fb>
    <v>0</v>
  </rv>
  <rv s="0">
    <fb>157.08000000000001</fb>
    <v>1</v>
  </rv>
  <rv s="0">
    <fb>9404473</fb>
    <v>2</v>
  </rv>
  <rv s="0">
    <fb>45636</fb>
    <v>0</v>
  </rv>
  <rv s="0">
    <fb>157</fb>
    <v>1</v>
  </rv>
  <rv s="0">
    <fb>9126158</fb>
    <v>2</v>
  </rv>
  <rv s="0">
    <fb>45637</fb>
    <v>0</v>
  </rv>
  <rv s="0">
    <fb>156.21</fb>
    <v>1</v>
  </rv>
  <rv s="0">
    <fb>13764742</fb>
    <v>2</v>
  </rv>
  <rv s="0">
    <fb>45638</fb>
    <v>0</v>
  </rv>
  <rv s="0">
    <fb>154.71</fb>
    <v>1</v>
  </rv>
  <rv s="0">
    <fb>7621522</fb>
    <v>2</v>
  </rv>
  <rv s="0">
    <fb>45639</fb>
    <v>0</v>
  </rv>
  <rv s="0">
    <fb>153.87</fb>
    <v>1</v>
  </rv>
  <rv s="0">
    <fb>5816180</fb>
    <v>2</v>
  </rv>
  <rv s="0">
    <fb>45642</fb>
    <v>0</v>
  </rv>
  <rv s="0">
    <fb>149.36000000000001</fb>
    <v>1</v>
  </rv>
  <rv s="0">
    <fb>11961219</fb>
    <v>2</v>
  </rv>
  <rv s="0">
    <fb>45643</fb>
    <v>0</v>
  </rv>
  <rv s="0">
    <fb>148.11000000000001</fb>
    <v>1</v>
  </rv>
  <rv s="0">
    <fb>11909333</fb>
    <v>2</v>
  </rv>
  <rv s="0">
    <fb>45644</fb>
    <v>0</v>
  </rv>
  <rv s="0">
    <fb>144.08000000000001</fb>
    <v>1</v>
  </rv>
  <rv s="0">
    <fb>10174494</fb>
    <v>2</v>
  </rv>
  <rv s="0">
    <fb>45645</fb>
    <v>0</v>
  </rv>
  <rv s="0">
    <fb>141.15</fb>
    <v>1</v>
  </rv>
  <rv s="0">
    <fb>16544329</fb>
    <v>2</v>
  </rv>
  <rv s="0">
    <fb>45646</fb>
    <v>0</v>
  </rv>
  <rv s="0">
    <fb>142.85</fb>
    <v>1</v>
  </rv>
  <rv s="0">
    <fb>32209195</fb>
    <v>2</v>
  </rv>
  <rv s="0">
    <fb>45649</fb>
    <v>0</v>
  </rv>
  <rv s="0">
    <fb>142.97</fb>
    <v>1</v>
  </rv>
  <rv s="0">
    <fb>8156466</fb>
    <v>2</v>
  </rv>
  <rv s="0">
    <fb>45650</fb>
    <v>0</v>
  </rv>
  <rv s="0">
    <fb>143.84</fb>
    <v>1</v>
  </rv>
  <rv s="0">
    <fb>3556081</fb>
    <v>2</v>
  </rv>
  <rv s="0">
    <fb>45652</fb>
    <v>0</v>
  </rv>
  <rv s="0">
    <fb>143.97999999999999</fb>
    <v>1</v>
  </rv>
  <rv s="0">
    <fb>4494424</fb>
    <v>2</v>
  </rv>
  <rv s="0">
    <fb>45653</fb>
    <v>0</v>
  </rv>
  <rv s="0">
    <fb>144</fb>
    <v>1</v>
  </rv>
  <rv s="0">
    <fb>5296875</fb>
    <v>2</v>
  </rv>
  <rv s="0">
    <fb>45656</fb>
    <v>0</v>
  </rv>
  <rv s="0">
    <fb>143.07</fb>
    <v>1</v>
  </rv>
  <rv s="0">
    <fb>6194835</fb>
    <v>2</v>
  </rv>
  <rv s="0">
    <fb>45657</fb>
    <v>0</v>
  </rv>
  <rv s="0">
    <fb>144.84</fb>
    <v>1</v>
  </rv>
  <rv s="0">
    <fb>6137843</fb>
    <v>2</v>
  </rv>
  <rv s="0">
    <fb>45659</fb>
    <v>0</v>
  </rv>
  <rv s="0">
    <fb>146.71</fb>
    <v>1</v>
  </rv>
  <rv s="0">
    <fb>7170257</fb>
    <v>2</v>
  </rv>
  <rv s="0">
    <fb>45660</fb>
    <v>0</v>
  </rv>
  <rv s="0">
    <fb>147.85</fb>
    <v>1</v>
  </rv>
  <rv s="0">
    <fb>5813935</fb>
    <v>2</v>
  </rv>
  <rv s="0">
    <fb>45663</fb>
    <v>0</v>
  </rv>
  <rv s="0">
    <fb>147.26</fb>
    <v>1</v>
  </rv>
  <rv s="0">
    <fb>5888731</fb>
    <v>2</v>
  </rv>
  <rv s="0">
    <fb>45664</fb>
    <v>0</v>
  </rv>
  <rv s="0">
    <fb>7735997</fb>
    <v>2</v>
  </rv>
  <rv s="0">
    <fb>45665</fb>
    <v>0</v>
  </rv>
  <rv s="0">
    <fb>150.30000000000001</fb>
    <v>1</v>
  </rv>
  <rv s="0">
    <fb>7640885</fb>
    <v>2</v>
  </rv>
  <rv s="0">
    <fb>45667</fb>
    <v>0</v>
  </rv>
  <rv s="0">
    <fb>153.13999999999999</fb>
    <v>1</v>
  </rv>
  <rv s="0">
    <fb>11074716</fb>
    <v>2</v>
  </rv>
  <rv s="0">
    <fb>45670</fb>
    <v>0</v>
  </rv>
  <rv s="0">
    <fb>155.35</fb>
    <v>1</v>
  </rv>
  <rv s="0">
    <fb>11774073</fb>
    <v>2</v>
  </rv>
  <rv s="0">
    <fb>45671</fb>
    <v>0</v>
  </rv>
  <rv s="0">
    <fb>6830219</fb>
    <v>2</v>
  </rv>
  <rv s="0">
    <fb>45672</fb>
    <v>0</v>
  </rv>
  <rv s="0">
    <fb>158.33000000000001</fb>
    <v>1</v>
  </rv>
  <rv s="0">
    <fb>7899997</fb>
    <v>2</v>
  </rv>
  <rv s="0">
    <fb>45673</fb>
    <v>0</v>
  </rv>
  <rv s="0">
    <fb>159.38</fb>
    <v>1</v>
  </rv>
  <rv s="0">
    <fb>5578902</fb>
    <v>2</v>
  </rv>
  <rv s="0">
    <fb>45674</fb>
    <v>0</v>
  </rv>
  <rv s="0">
    <fb>161.47</fb>
    <v>1</v>
  </rv>
  <rv s="0">
    <fb>9260428</fb>
    <v>2</v>
  </rv>
  <rv s="0">
    <fb>45678</fb>
    <v>0</v>
  </rv>
  <rv s="0">
    <fb>158.24</fb>
    <v>1</v>
  </rv>
  <rv s="0">
    <fb>10131372</fb>
    <v>2</v>
  </rv>
  <rv s="0">
    <fb>45679</fb>
    <v>0</v>
  </rv>
  <rv s="0">
    <fb>156.41</fb>
    <v>1</v>
  </rv>
  <rv s="0">
    <fb>7232227</fb>
    <v>2</v>
  </rv>
  <rv s="0">
    <fb>45680</fb>
    <v>0</v>
  </rv>
  <rv s="0">
    <fb>156.01</fb>
    <v>1</v>
  </rv>
  <rv s="0">
    <fb>5979808</fb>
    <v>2</v>
  </rv>
  <rv s="0">
    <fb>45681</fb>
    <v>0</v>
  </rv>
  <rv s="0">
    <fb>155.65</fb>
    <v>1</v>
  </rv>
  <rv s="0">
    <fb>8003778</fb>
    <v>2</v>
  </rv>
  <rv s="0">
    <fb>45684</fb>
    <v>0</v>
  </rv>
  <rv s="0">
    <fb>157.22999999999999</fb>
    <v>1</v>
  </rv>
  <rv s="0">
    <fb>7140991</fb>
    <v>2</v>
  </rv>
  <rv s="0">
    <fb>45685</fb>
    <v>0</v>
  </rv>
  <rv s="0">
    <fb>6425353</fb>
    <v>2</v>
  </rv>
  <rv s="0">
    <fb>45686</fb>
    <v>0</v>
  </rv>
  <rv s="0">
    <fb>155.69</fb>
    <v>1</v>
  </rv>
  <rv s="0">
    <fb>5630563</fb>
    <v>2</v>
  </rv>
  <rv s="0">
    <fb>45687</fb>
    <v>0</v>
  </rv>
  <rv s="0">
    <fb>6931918</fb>
    <v>2</v>
  </rv>
  <rv s="0">
    <fb>45688</fb>
    <v>0</v>
  </rv>
  <rv s="0">
    <fb>149.19</fb>
    <v>1</v>
  </rv>
  <rv s="0">
    <fb>16731592</fb>
    <v>2</v>
  </rv>
  <rv s="0">
    <fb>45691</fb>
    <v>0</v>
  </rv>
  <rv s="0">
    <fb>149.34</fb>
    <v>1</v>
  </rv>
  <rv s="0">
    <fb>7604961</fb>
    <v>2</v>
  </rv>
  <rv s="0">
    <fb>45692</fb>
    <v>0</v>
  </rv>
  <rv s="0">
    <fb>153.22</fb>
    <v>1</v>
  </rv>
  <rv s="0">
    <fb>8458070</fb>
    <v>2</v>
  </rv>
  <rv s="0">
    <fb>45693</fb>
    <v>0</v>
  </rv>
  <rv s="0">
    <fb>152.99</fb>
    <v>1</v>
  </rv>
  <rv s="0">
    <fb>6533680</fb>
    <v>2</v>
  </rv>
  <rv s="0">
    <fb>45694</fb>
    <v>0</v>
  </rv>
  <rv s="0">
    <fb>151.9</fb>
    <v>1</v>
  </rv>
  <rv s="0">
    <fb>6420525</fb>
    <v>2</v>
  </rv>
  <rv s="0">
    <fb>45695</fb>
    <v>0</v>
  </rv>
  <rv s="0">
    <fb>4724947</fb>
    <v>2</v>
  </rv>
  <rv s="0">
    <fb>45698</fb>
    <v>0</v>
  </rv>
  <rv s="0">
    <fb>155.77000000000001</fb>
    <v>1</v>
  </rv>
  <rv s="0">
    <fb>5653770</fb>
    <v>2</v>
  </rv>
  <rv s="0">
    <fb>45699</fb>
    <v>0</v>
  </rv>
  <rv s="0">
    <fb>157.44</fb>
    <v>1</v>
  </rv>
  <rv s="0">
    <fb>6011842</fb>
    <v>2</v>
  </rv>
  <rv s="0">
    <fb>45700</fb>
    <v>0</v>
  </rv>
  <rv s="0">
    <fb>154.9</fb>
    <v>1</v>
  </rv>
  <rv s="0">
    <fb>6693461</fb>
    <v>2</v>
  </rv>
  <rv s="0">
    <fb>45701</fb>
    <v>0</v>
  </rv>
  <rv s="0">
    <fb>155.88</fb>
    <v>1</v>
  </rv>
  <rv s="0">
    <fb>7836362</fb>
    <v>2</v>
  </rv>
  <rv s="0">
    <fb>45702</fb>
    <v>0</v>
  </rv>
  <rv s="0">
    <fb>155.34</fb>
    <v>1</v>
  </rv>
  <rv s="0">
    <fb>5828805</fb>
    <v>2</v>
  </rv>
  <rv s="0">
    <fb>45706</fb>
    <v>0</v>
  </rv>
  <rv s="0">
    <fb>156.16</fb>
    <v>1</v>
  </rv>
  <rv s="0">
    <fb>5981480</fb>
    <v>2</v>
  </rv>
  <rv s="0">
    <fb>45707</fb>
    <v>0</v>
  </rv>
  <rv s="0">
    <fb>4945813</fb>
    <v>2</v>
  </rv>
  <rv s="0">
    <fb>45708</fb>
    <v>0</v>
  </rv>
  <rv s="0">
    <fb>158.79</fb>
    <v>1</v>
  </rv>
  <rv s="0">
    <fb>6256154</fb>
    <v>2</v>
  </rv>
  <rv s="0">
    <fb>45709</fb>
    <v>0</v>
  </rv>
  <rv s="0">
    <fb>156.91999999999999</fb>
    <v>1</v>
  </rv>
  <rv s="0">
    <fb>6689815</fb>
    <v>2</v>
  </rv>
  <rv s="0">
    <fb>45712</fb>
    <v>0</v>
  </rv>
  <rv s="0">
    <fb>157.88999999999999</fb>
    <v>1</v>
  </rv>
  <rv s="0">
    <fb>5925047</fb>
    <v>2</v>
  </rv>
  <rv s="0">
    <fb>45713</fb>
    <v>0</v>
  </rv>
  <rv s="0">
    <fb>6811293</fb>
    <v>2</v>
  </rv>
  <rv s="0">
    <fb>45714</fb>
    <v>0</v>
  </rv>
  <rv s="0">
    <fb>155.13999999999999</fb>
    <v>1</v>
  </rv>
  <rv s="0">
    <fb>6005232</fb>
    <v>2</v>
  </rv>
  <rv s="0">
    <fb>45715</fb>
    <v>0</v>
  </rv>
  <rv s="0">
    <fb>156.66999999999999</fb>
    <v>1</v>
  </rv>
  <rv s="0">
    <fb>7517237</fb>
    <v>2</v>
  </rv>
  <rv s="0">
    <fb>45716</fb>
    <v>0</v>
  </rv>
  <rv s="0">
    <fb>158.62</fb>
    <v>1</v>
  </rv>
  <rv s="0">
    <fb>8828547</fb>
    <v>2</v>
  </rv>
  <rv s="0">
    <fb>45719</fb>
    <v>0</v>
  </rv>
  <rv s="0">
    <fb>153.09</fb>
    <v>1</v>
  </rv>
  <rv s="0">
    <fb>9059814</fb>
    <v>2</v>
  </rv>
  <rv s="0">
    <fb>45720</fb>
    <v>0</v>
  </rv>
  <rv s="0">
    <fb>8826344</fb>
    <v>2</v>
  </rv>
  <rv s="0">
    <fb>45721</fb>
    <v>0</v>
  </rv>
  <rv s="0">
    <fb>9288538</fb>
    <v>2</v>
  </rv>
  <rv s="0">
    <fb>45722</fb>
    <v>0</v>
  </rv>
  <rv s="0">
    <fb>152.94999999999999</fb>
    <v>1</v>
  </rv>
  <rv s="0">
    <fb>7314687</fb>
    <v>2</v>
  </rv>
  <rv s="0">
    <fb>45723</fb>
    <v>0</v>
  </rv>
  <rv s="0">
    <fb>156.34</fb>
    <v>1</v>
  </rv>
  <rv s="0">
    <fb>8562635</fb>
    <v>2</v>
  </rv>
  <rv s="0">
    <fb>45726</fb>
    <v>0</v>
  </rv>
  <rv s="0">
    <fb>11750302</fb>
    <v>2</v>
  </rv>
  <rv s="0">
    <fb>45727</fb>
    <v>0</v>
  </rv>
  <rv s="0">
    <fb>154.08000000000001</fb>
    <v>1</v>
  </rv>
  <rv s="0">
    <fb>10466294</fb>
    <v>2</v>
  </rv>
  <rv s="0">
    <fb>45728</fb>
    <v>0</v>
  </rv>
  <rv s="0">
    <fb>152.66999999999999</fb>
    <v>1</v>
  </rv>
  <rv s="0">
    <fb>9710223</fb>
    <v>2</v>
  </rv>
  <rv s="0">
    <fb>45729</fb>
    <v>0</v>
  </rv>
  <rv s="0">
    <fb>153.61000000000001</fb>
    <v>1</v>
  </rv>
  <rv s="0">
    <fb>9022758</fb>
    <v>2</v>
  </rv>
  <rv s="0">
    <fb>45730</fb>
    <v>0</v>
  </rv>
  <rv s="0">
    <fb>157.02000000000001</fb>
    <v>1</v>
  </rv>
  <rv s="0">
    <fb>6671549</fb>
    <v>2</v>
  </rv>
  <rv s="0">
    <fb>45733</fb>
    <v>0</v>
  </rv>
  <rv s="0">
    <fb>7615153</fb>
    <v>2</v>
  </rv>
  <rv s="0">
    <fb>45734</fb>
    <v>0</v>
  </rv>
  <rv s="0">
    <fb>160.81</fb>
    <v>1</v>
  </rv>
  <rv s="0">
    <fb>9289469</fb>
    <v>2</v>
  </rv>
  <rv s="0">
    <fb>45735</fb>
    <v>0</v>
  </rv>
  <rv s="0">
    <fb>164.05</fb>
    <v>1</v>
  </rv>
  <rv s="0">
    <fb>11503859</fb>
    <v>2</v>
  </rv>
  <rv s="0">
    <fb>45736</fb>
    <v>0</v>
  </rv>
  <rv s="0">
    <fb>164.77</fb>
    <v>1</v>
  </rv>
  <rv s="0">
    <fb>9545886</fb>
    <v>2</v>
  </rv>
  <rv s="0">
    <fb>45737</fb>
    <v>0</v>
  </rv>
  <rv s="0">
    <fb>164.75</fb>
    <v>1</v>
  </rv>
  <rv s="0">
    <fb>21625460</fb>
    <v>2</v>
  </rv>
  <rv s="0">
    <fb>45740</fb>
    <v>0</v>
  </rv>
  <rv s="0">
    <fb>165.02</fb>
    <v>1</v>
  </rv>
  <rv s="0">
    <fb>8068002</fb>
    <v>2</v>
  </rv>
  <rv s="0">
    <fb>45741</fb>
    <v>0</v>
  </rv>
  <rv s="0">
    <fb>165.94</fb>
    <v>1</v>
  </rv>
  <rv s="0">
    <fb>7869159</fb>
    <v>2</v>
  </rv>
  <rv s="0">
    <fb>45742</fb>
    <v>0</v>
  </rv>
  <rv s="0">
    <fb>167.97</fb>
    <v>1</v>
  </rv>
  <rv s="0">
    <fb>10077764</fb>
    <v>2</v>
  </rv>
  <rv s="0">
    <fb>45743</fb>
    <v>0</v>
  </rv>
  <rv s="0">
    <fb>166.65</fb>
    <v>1</v>
  </rv>
  <rv s="0">
    <fb>6862691</fb>
    <v>2</v>
  </rv>
  <rv s="0">
    <fb>45744</fb>
    <v>0</v>
  </rv>
  <rv s="0">
    <fb>166.09</fb>
    <v>1</v>
  </rv>
  <rv s="0">
    <fb>4923025</fb>
    <v>2</v>
  </rv>
  <rv s="0">
    <fb>45747</fb>
    <v>0</v>
  </rv>
  <rv s="0">
    <fb>167.29</fb>
    <v>1</v>
  </rv>
  <rv s="0">
    <fb>10675731</fb>
    <v>2</v>
  </rv>
  <rv s="0">
    <fb>45748</fb>
    <v>0</v>
  </rv>
  <rv s="0">
    <fb>168.51</fb>
    <v>1</v>
  </rv>
  <rv s="0">
    <fb>6378587</fb>
    <v>2</v>
  </rv>
  <rv s="0">
    <fb>45749</fb>
    <v>0</v>
  </rv>
  <rv s="0">
    <fb>166.47</fb>
    <v>1</v>
  </rv>
  <rv s="0">
    <fb>7044869</fb>
    <v>2</v>
  </rv>
  <rv s="0">
    <fb>45750</fb>
    <v>0</v>
  </rv>
  <rv s="0">
    <fb>156.12</fb>
    <v>1</v>
  </rv>
  <rv s="0">
    <fb>15500988</fb>
    <v>2</v>
  </rv>
  <rv s="0">
    <fb>45751</fb>
    <v>0</v>
  </rv>
  <rv s="0">
    <fb>143.28</fb>
    <v>1</v>
  </rv>
  <rv s="0">
    <fb>20374716</fb>
    <v>2</v>
  </rv>
  <rv s="0">
    <fb>45754</fb>
    <v>0</v>
  </rv>
  <rv s="0">
    <fb>140.15</fb>
    <v>1</v>
  </rv>
  <rv s="0">
    <fb>17816954</fb>
    <v>2</v>
  </rv>
  <rv s="0">
    <fb>45755</fb>
    <v>0</v>
  </rv>
  <rv s="0">
    <fb>136.93</fb>
    <v>1</v>
  </rv>
  <rv s="0">
    <fb>12904424</fb>
    <v>2</v>
  </rv>
  <rv s="0">
    <fb>45756</fb>
    <v>0</v>
  </rv>
  <rv s="0">
    <fb>146.03</fb>
    <v>1</v>
  </rv>
  <rv s="0">
    <fb>16846839</fb>
    <v>2</v>
  </rv>
  <rv s="0">
    <fb>45757</fb>
    <v>0</v>
  </rv>
  <rv s="0">
    <fb>134.97999999999999</fb>
    <v>1</v>
  </rv>
  <rv s="0">
    <fb>20991216</fb>
    <v>2</v>
  </rv>
  <rv s="0">
    <fb>45758</fb>
    <v>0</v>
  </rv>
  <rv s="0">
    <fb>135.63</fb>
    <v>1</v>
  </rv>
  <rv s="0">
    <fb>17224405</fb>
    <v>2</v>
  </rv>
  <rv s="0">
    <fb>45761</fb>
    <v>0</v>
  </rv>
  <rv s="0">
    <fb>135.32</fb>
    <v>1</v>
  </rv>
  <rv s="0">
    <fb>9628152</fb>
    <v>2</v>
  </rv>
  <rv s="0">
    <fb>45762</fb>
    <v>0</v>
  </rv>
  <rv s="0">
    <fb>134.54</fb>
    <v>1</v>
  </rv>
  <rv s="0">
    <fb>9334825</fb>
    <v>2</v>
  </rv>
  <rv s="0">
    <fb>45763</fb>
    <v>0</v>
  </rv>
  <rv s="0">
    <fb>135.36000000000001</fb>
    <v>1</v>
  </rv>
  <rv s="0">
    <fb>8637220</fb>
    <v>2</v>
  </rv>
  <rv s="0">
    <fb>45764</fb>
    <v>0</v>
  </rv>
  <rv s="0">
    <fb>137.87</fb>
    <v>1</v>
  </rv>
  <rv s="0">
    <fb>8434434</fb>
    <v>2</v>
  </rv>
  <rv s="0">
    <fb>45768</fb>
    <v>0</v>
  </rv>
  <rv s="0">
    <fb>133.72999999999999</fb>
    <v>1</v>
  </rv>
  <rv s="0">
    <fb>9967487</fb>
    <v>2</v>
  </rv>
  <rv s="0">
    <fb>45769</fb>
    <v>0</v>
  </rv>
  <rv s="0">
    <fb>137.30000000000001</fb>
    <v>1</v>
  </rv>
  <rv s="0">
    <fb>7984676</fb>
    <v>2</v>
  </rv>
  <rv s="0">
    <fb>45770</fb>
    <v>0</v>
  </rv>
  <rv s="0">
    <fb>136.68</fb>
    <v>1</v>
  </rv>
  <rv s="0">
    <fb>10001966</fb>
    <v>2</v>
  </rv>
  <rv s="0">
    <fb>45771</fb>
    <v>0</v>
  </rv>
  <rv s="0">
    <fb>139.07</fb>
    <v>1</v>
  </rv>
  <rv s="0">
    <fb>7745778</fb>
    <v>2</v>
  </rv>
  <rv s="0">
    <fb>45772</fb>
    <v>0</v>
  </rv>
  <rv s="0">
    <fb>138.72999999999999</fb>
    <v>1</v>
  </rv>
  <rv s="0">
    <fb>6878491</fb>
    <v>2</v>
  </rv>
  <rv s="0">
    <fb>45775</fb>
    <v>0</v>
  </rv>
  <rv s="0">
    <fb>140.1</fb>
    <v>1</v>
  </rv>
  <rv s="0">
    <fb>6715539</fb>
    <v>2</v>
  </rv>
  <rv s="0">
    <fb>45776</fb>
    <v>0</v>
  </rv>
  <rv s="0">
    <fb>139.30000000000001</fb>
    <v>1</v>
  </rv>
  <rv s="0">
    <fb>7343820</fb>
    <v>2</v>
  </rv>
  <rv s="0">
    <fb>45777</fb>
    <v>0</v>
  </rv>
  <rv s="0">
    <fb>136.06</fb>
    <v>1</v>
  </rv>
  <rv s="0">
    <fb>13858040</fb>
    <v>2</v>
  </rv>
  <rv s="0">
    <fb>45778</fb>
    <v>0</v>
  </rv>
  <rv s="0">
    <fb>136.26</fb>
    <v>1</v>
  </rv>
  <rv s="0">
    <fb>10199849</fb>
    <v>2</v>
  </rv>
  <rv s="0">
    <fb>45779</fb>
    <v>0</v>
  </rv>
  <rv s="0">
    <fb>138.5</fb>
    <v>1</v>
  </rv>
  <rv s="0">
    <fb>12393235</fb>
    <v>2</v>
  </rv>
  <rv s="0">
    <fb>45782</fb>
    <v>0</v>
  </rv>
  <rv s="0">
    <fb>135.5</fb>
    <v>1</v>
  </rv>
  <rv s="0">
    <fb>9664980</fb>
    <v>2</v>
  </rv>
  <rv s="0">
    <fb>45783</fb>
    <v>0</v>
  </rv>
  <rv s="0">
    <fb>135.6</fb>
    <v>1</v>
  </rv>
  <rv s="0">
    <fb>9916241</fb>
    <v>2</v>
  </rv>
  <rv s="0">
    <fb>45784</fb>
    <v>0</v>
  </rv>
  <rv s="0">
    <fb>135.79</fb>
    <v>1</v>
  </rv>
  <rv s="0">
    <fb>8423485</fb>
    <v>2</v>
  </rv>
  <rv s="0">
    <fb>45785</fb>
    <v>0</v>
  </rv>
  <rv s="0">
    <fb>137.04</fb>
    <v>1</v>
  </rv>
  <rv s="0">
    <fb>8669305</fb>
    <v>2</v>
  </rv>
  <rv s="0">
    <fb>45786</fb>
    <v>0</v>
  </rv>
  <rv s="0">
    <fb>138.49</fb>
    <v>1</v>
  </rv>
  <rv s="0">
    <fb>5965723</fb>
    <v>2</v>
  </rv>
  <rv s="0">
    <fb>45789</fb>
    <v>0</v>
  </rv>
  <rv s="0">
    <fb>141.62</fb>
    <v>1</v>
  </rv>
  <rv s="0">
    <fb>8028200</fb>
    <v>2</v>
  </rv>
  <rv s="0">
    <fb>45790</fb>
    <v>0</v>
  </rv>
  <rv s="0">
    <fb>142.35</fb>
    <v>1</v>
  </rv>
  <rv s="0">
    <fb>8536797</fb>
    <v>2</v>
  </rv>
  <rv s="0">
    <fb>45791</fb>
    <v>0</v>
  </rv>
  <rv s="0">
    <fb>141.66999999999999</fb>
    <v>1</v>
  </rv>
  <rv s="0">
    <fb>6453620</fb>
    <v>2</v>
  </rv>
  <rv s="0">
    <fb>45792</fb>
    <v>0</v>
  </rv>
  <rv s="0">
    <fb>142.26</fb>
    <v>1</v>
  </rv>
  <rv s="0">
    <fb>7545407</fb>
    <v>2</v>
  </rv>
  <rv s="0">
    <fb>45793</fb>
    <v>0</v>
  </rv>
  <rv s="0">
    <fb>142.1</fb>
    <v>1</v>
  </rv>
  <rv s="0">
    <fb>8200079</fb>
    <v>2</v>
  </rv>
  <rv s="0">
    <fb>45796</fb>
    <v>0</v>
  </rv>
  <rv s="0">
    <fb>7713568</fb>
    <v>2</v>
  </rv>
  <rv s="0">
    <fb>45797</fb>
    <v>0</v>
  </rv>
  <rv s="0">
    <fb>137.27000000000001</fb>
    <v>1</v>
  </rv>
  <rv s="0">
    <fb>6503930</fb>
    <v>2</v>
  </rv>
  <rv s="0">
    <fb>45798</fb>
    <v>0</v>
  </rv>
  <rv s="0">
    <fb>135.56</fb>
    <v>1</v>
  </rv>
  <rv s="0">
    <fb>9073206</fb>
    <v>2</v>
  </rv>
  <rv s="0">
    <fb>45799</fb>
    <v>0</v>
  </rv>
  <rv s="0">
    <fb>135.29</fb>
    <v>1</v>
  </rv>
  <rv s="0">
    <fb>8877579</fb>
    <v>2</v>
  </rv>
  <rv s="0">
    <fb>45800</fb>
    <v>0</v>
  </rv>
  <rv s="0">
    <fb>136.54</fb>
    <v>1</v>
  </rv>
  <rv s="0">
    <fb>7025946</fb>
    <v>2</v>
  </rv>
  <rv s="0">
    <fb>45804</fb>
    <v>0</v>
  </rv>
  <rv s="0">
    <fb>137.83000000000001</fb>
    <v>1</v>
  </rv>
  <rv s="0">
    <fb>8348877</fb>
    <v>2</v>
  </rv>
  <rv s="0">
    <fb>45805</fb>
    <v>0</v>
  </rv>
  <rv s="0">
    <fb>136.02000000000001</fb>
    <v>1</v>
  </rv>
  <rv s="0">
    <fb>6876282</fb>
    <v>2</v>
  </rv>
  <rv s="0">
    <fb>45806</fb>
    <v>0</v>
  </rv>
  <rv s="0">
    <fb>137.91</fb>
    <v>1</v>
  </rv>
  <rv s="0">
    <fb>7556199</fb>
    <v>2</v>
  </rv>
  <rv s="0">
    <fb>45807</fb>
    <v>0</v>
  </rv>
  <rv s="0">
    <fb>136.69999999999999</fb>
    <v>1</v>
  </rv>
  <rv s="0">
    <fb>12858865</fb>
    <v>2</v>
  </rv>
  <rv s="0">
    <fb>45810</fb>
    <v>0</v>
  </rv>
  <rv s="0">
    <fb>137.84</fb>
    <v>1</v>
  </rv>
  <rv s="0">
    <fb>9076639</fb>
    <v>2</v>
  </rv>
  <rv s="0">
    <fb>45811</fb>
    <v>0</v>
  </rv>
  <rv s="0">
    <fb>139.55000000000001</fb>
    <v>1</v>
  </rv>
  <rv s="0">
    <fb>9001305</fb>
    <v>2</v>
  </rv>
  <rv s="0">
    <fb>45812</fb>
    <v>0</v>
  </rv>
  <rv s="0">
    <fb>137.37</fb>
    <v>1</v>
  </rv>
  <rv s="0">
    <fb>8735619</fb>
    <v>2</v>
  </rv>
  <rv s="0">
    <fb>45813</fb>
    <v>0</v>
  </rv>
  <rv s="0">
    <fb>136.9</fb>
    <v>1</v>
  </rv>
  <rv s="0">
    <fb>6350526</fb>
    <v>2</v>
  </rv>
  <rv s="0">
    <fb>45814</fb>
    <v>0</v>
  </rv>
  <rv s="0">
    <fb>140.21</fb>
    <v>1</v>
  </rv>
  <rv s="0">
    <fb>6563518</fb>
    <v>2</v>
  </rv>
  <rv s="0">
    <fb>45817</fb>
    <v>0</v>
  </rv>
  <rv s="0">
    <fb>140.76</fb>
    <v>1</v>
  </rv>
  <rv s="0">
    <fb>7159471</fb>
    <v>2</v>
  </rv>
  <rv s="0">
    <fb>45818</fb>
    <v>0</v>
  </rv>
  <rv s="0">
    <fb>143.35</fb>
    <v>1</v>
  </rv>
  <rv s="0">
    <fb>9841523</fb>
    <v>2</v>
  </rv>
  <rv s="0">
    <fb>45819</fb>
    <v>0</v>
  </rv>
  <rv s="0">
    <fb>144.78</fb>
    <v>1</v>
  </rv>
  <rv s="0">
    <fb>9256663</fb>
    <v>2</v>
  </rv>
  <rv s="0">
    <fb>45820</fb>
    <v>0</v>
  </rv>
  <rv s="0">
    <fb>144.97</fb>
    <v>1</v>
  </rv>
  <rv s="0">
    <fb>6999389</fb>
    <v>2</v>
  </rv>
  <rv s="0">
    <fb>45821</fb>
    <v>0</v>
  </rv>
  <rv s="0">
    <fb>145.91</fb>
    <v>1</v>
  </rv>
  <rv s="0">
    <fb>14148022</fb>
    <v>2</v>
  </rv>
  <rv s="0">
    <fb>45824</fb>
    <v>0</v>
  </rv>
  <rv s="0">
    <fb>10105077</fb>
    <v>2</v>
  </rv>
  <rv s="0">
    <fb>45825</fb>
    <v>0</v>
  </rv>
  <rv s="0">
    <fb>148.85</fb>
    <v>1</v>
  </rv>
  <rv s="0">
    <fb>11330273</fb>
    <v>2</v>
  </rv>
  <rv s="0">
    <fb>45826</fb>
    <v>0</v>
  </rv>
  <rv s="0">
    <fb>148.19</fb>
    <v>1</v>
  </rv>
  <rv s="0">
    <fb>9841924</fb>
    <v>2</v>
  </rv>
  <rv s="0">
    <fb>45828</fb>
    <v>0</v>
  </rv>
  <rv s="0">
    <fb>149.55000000000001</fb>
    <v>1</v>
  </rv>
  <rv s="0">
    <fb>23705877</fb>
    <v>2</v>
  </rv>
  <rv s="0">
    <fb>45831</fb>
    <v>0</v>
  </rv>
  <rv s="0">
    <fb>146.86000000000001</fb>
    <v>1</v>
  </rv>
  <rv s="0">
    <fb>10540614</fb>
    <v>2</v>
  </rv>
  <rv s="0">
    <fb>45832</fb>
    <v>0</v>
  </rv>
  <rv s="0">
    <fb>143.55000000000001</fb>
    <v>1</v>
  </rv>
  <rv s="0">
    <fb>10778352</fb>
    <v>2</v>
  </rv>
  <rv s="0">
    <fb>45833</fb>
    <v>0</v>
  </rv>
  <rv s="0">
    <fb>7386088</fb>
    <v>2</v>
  </rv>
  <rv s="0">
    <fb>45834</fb>
    <v>0</v>
  </rv>
  <rv s="0">
    <fb>144.44</fb>
    <v>1</v>
  </rv>
  <rv s="0">
    <fb>7415714</fb>
    <v>2</v>
  </rv>
  <rv s="0">
    <fb>45835</fb>
    <v>0</v>
  </rv>
  <rv s="0">
    <fb>143.79</fb>
    <v>1</v>
  </rv>
  <rv s="0">
    <fb>9213512</fb>
    <v>2</v>
  </rv>
  <rv s="0">
    <fb>45838</fb>
    <v>0</v>
  </rv>
  <rv s="0">
    <fb>143.19</fb>
    <v>1</v>
  </rv>
  <rv s="0">
    <fb>6980319</fb>
    <v>2</v>
  </rv>
  <rv s="0">
    <fb>45839</fb>
    <v>0</v>
  </rv>
  <rv s="0">
    <fb>145.57</fb>
    <v>1</v>
  </rv>
  <rv s="0">
    <fb>8508150</fb>
    <v>2</v>
  </rv>
  <rv s="0">
    <fb>45840</fb>
    <v>0</v>
  </rv>
  <rv s="0">
    <fb>147.97999999999999</fb>
    <v>1</v>
  </rv>
  <rv s="0">
    <fb>8228683</fb>
    <v>2</v>
  </rv>
  <rv s="0">
    <fb>45841</fb>
    <v>0</v>
  </rv>
  <rv s="0">
    <fb>148.37</fb>
    <v>1</v>
  </rv>
  <rv s="0">
    <fb>5173309</fb>
    <v>2</v>
  </rv>
  <rv s="0">
    <fb>45845</fb>
    <v>0</v>
  </rv>
  <rv s="0">
    <fb>147.4</fb>
    <v>1</v>
  </rv>
  <rv s="0">
    <fb>9460902</fb>
    <v>2</v>
  </rv>
  <rv s="0">
    <fb>45846</fb>
    <v>0</v>
  </rv>
  <rv s="0">
    <fb>153.24</fb>
    <v>1</v>
  </rv>
  <rv s="0">
    <fb>14082097</fb>
    <v>2</v>
  </rv>
  <rv s="0">
    <fb>45847</fb>
    <v>0</v>
  </rv>
  <rv s="0">
    <fb>153.02000000000001</fb>
    <v>1</v>
  </rv>
  <rv s="0">
    <fb>9495898</fb>
    <v>2</v>
  </rv>
  <rv s="0">
    <fb>45848</fb>
    <v>0</v>
  </rv>
  <rv s="0">
    <fb>154.16999999999999</fb>
    <v>1</v>
  </rv>
  <rv s="0">
    <fb>8398810</fb>
    <v>2</v>
  </rv>
  <rv s="0">
    <fb>45849</fb>
    <v>0</v>
  </rv>
  <rv s="0">
    <fb>155.31</fb>
    <v>1</v>
  </rv>
  <rv s="0">
    <fb>8333214</fb>
    <v>2</v>
  </rv>
  <rv s="0">
    <fb>45852</fb>
    <v>0</v>
  </rv>
  <rv s="0">
    <fb>151.65</fb>
    <v>1</v>
  </rv>
  <rv s="0">
    <fb>10706325</fb>
    <v>2</v>
  </rv>
  <rv s="0">
    <fb>45853</fb>
    <v>0</v>
  </rv>
  <rv s="0">
    <fb>150.69</fb>
    <v>1</v>
  </rv>
  <rv s="0">
    <fb>7346346</fb>
    <v>2</v>
  </rv>
  <rv s="0">
    <fb>45854</fb>
    <v>0</v>
  </rv>
  <rv s="0">
    <fb>149.91999999999999</fb>
    <v>1</v>
  </rv>
  <rv s="0">
    <fb>7923427</fb>
    <v>2</v>
  </rv>
  <rv s="0">
    <fb>45855</fb>
    <v>0</v>
  </rv>
  <rv s="0">
    <fb>151.38</fb>
    <v>1</v>
  </rv>
  <rv s="0">
    <fb>8359596</fb>
    <v>2</v>
  </rv>
  <rv s="0">
    <fb>45856</fb>
    <v>0</v>
  </rv>
  <rv s="0">
    <fb>150.04</fb>
    <v>1</v>
  </rv>
  <rv s="0">
    <fb>45782636</fb>
    <v>2</v>
  </rv>
  <rv s="0">
    <fb>45859</fb>
    <v>0</v>
  </rv>
  <rv s="0">
    <fb>149.68</fb>
    <v>1</v>
  </rv>
  <rv s="0">
    <fb>17982218</fb>
    <v>2</v>
  </rv>
  <rv s="0">
    <fb>45860</fb>
    <v>0</v>
  </rv>
  <rv s="0">
    <fb>26196489</fb>
    <v>2</v>
  </rv>
  <rv s="0">
    <fb>45861</fb>
    <v>0</v>
  </rv>
  <rv s="0">
    <fb>153.12</fb>
    <v>1</v>
  </rv>
  <rv s="0">
    <fb>13162816</fb>
    <v>2</v>
  </rv>
  <rv s="0">
    <fb>45862</fb>
    <v>0</v>
  </rv>
  <rv s="0">
    <fb>155.83000000000001</fb>
    <v>1</v>
  </rv>
  <rv s="0">
    <fb>15701024</fb>
    <v>2</v>
  </rv>
  <rv s="0">
    <fb>45863</fb>
    <v>0</v>
  </rv>
  <rv s="0">
    <fb>154.84</fb>
    <v>1</v>
  </rv>
  <rv s="0">
    <fb>7875498</fb>
    <v>2</v>
  </rv>
  <rv s="0">
    <fb>45866</fb>
    <v>0</v>
  </rv>
  <rv s="0">
    <fb>8755412</fb>
    <v>2</v>
  </rv>
  <rv s="0">
    <fb>45867</fb>
    <v>0</v>
  </rv>
  <rv s="0">
    <fb>157.03</fb>
    <v>1</v>
  </rv>
  <rv s="0">
    <fb>6446038</fb>
    <v>2</v>
  </rv>
  <rv s="0">
    <fb>45868</fb>
    <v>0</v>
  </rv>
  <rv s="0">
    <fb>153.56</fb>
    <v>1</v>
  </rv>
  <rv s="0">
    <fb>9191661</fb>
    <v>2</v>
  </rv>
  <rv s="0">
    <fb>45869</fb>
    <v>0</v>
  </rv>
  <rv s="0">
    <fb>151.63999999999999</fb>
    <v>1</v>
  </rv>
  <rv s="0">
    <fb>10237099</fb>
    <v>2</v>
  </rv>
  <rv s="0">
    <fb>45870</fb>
    <v>0</v>
  </rv>
  <rv s="0">
    <fb>151.4</fb>
    <v>1</v>
  </rv>
  <rv s="0">
    <fb>10706494</fb>
    <v>2</v>
  </rv>
  <rv s="0">
    <fb>45873</fb>
    <v>0</v>
  </rv>
  <rv s="0">
    <fb>10116631</fb>
    <v>2</v>
  </rv>
  <rv s="0">
    <fb>45874</fb>
    <v>0</v>
  </rv>
  <rv s="0">
    <fb>153.04</fb>
    <v>1</v>
  </rv>
  <rv s="0">
    <fb>8604079</fb>
    <v>2</v>
  </rv>
  <rv s="0">
    <fb>45875</fb>
    <v>0</v>
  </rv>
  <rv s="0">
    <fb>152.78</fb>
    <v>1</v>
  </rv>
  <rv s="0">
    <fb>7840914</fb>
    <v>2</v>
  </rv>
  <rv s="0">
    <fb>45876</fb>
    <v>0</v>
  </rv>
  <rv s="0">
    <fb>153.16</fb>
    <v>1</v>
  </rv>
  <rv s="0">
    <fb>6510670</fb>
    <v>2</v>
  </rv>
  <rv s="0">
    <fb>45877</fb>
    <v>0</v>
  </rv>
  <rv s="0">
    <fb>155.01</fb>
    <v>1</v>
  </rv>
  <rv s="0">
    <fb>6332807</fb>
    <v>2</v>
  </rv>
  <rv s="0">
    <fb>45880</fb>
    <v>0</v>
  </rv>
  <rv s="0">
    <fb>153.44999999999999</fb>
    <v>1</v>
  </rv>
  <rv s="0">
    <fb>6169716</fb>
    <v>2</v>
  </rv>
  <rv s="0">
    <fb>45881</fb>
    <v>0</v>
  </rv>
  <rv s="0">
    <fb>154.44</fb>
    <v>1</v>
  </rv>
  <rv s="0">
    <fb>6645373</fb>
    <v>2</v>
  </rv>
  <rv s="0">
    <fb>45882</fb>
    <v>0</v>
  </rv>
  <rv s="0">
    <fb>155.87</fb>
    <v>1</v>
  </rv>
  <rv s="0">
    <fb>6582191</fb>
    <v>2</v>
  </rv>
  <rv s="0">
    <fb>45883</fb>
    <v>0</v>
  </rv>
  <rv s="0">
    <fb>155.16</fb>
    <v>1</v>
  </rv>
  <rv s="0">
    <fb>7337258</fb>
    <v>2</v>
  </rv>
  <rv s="0">
    <fb>45884</fb>
    <v>0</v>
  </rv>
  <rv s="0">
    <fb>156.55000000000001</fb>
    <v>1</v>
  </rv>
  <rv s="0">
    <fb>11617047</fb>
    <v>2</v>
  </rv>
  <rv s="0">
    <fb>45887</fb>
    <v>0</v>
  </rv>
  <rv s="0">
    <fb>155.32</fb>
    <v>1</v>
  </rv>
  <rv s="0">
    <fb>8174280</fb>
    <v>2</v>
  </rv>
  <rv s="0">
    <fb>45888</fb>
    <v>0</v>
  </rv>
  <rv s="0">
    <fb>8567476</fb>
    <v>2</v>
  </rv>
  <rv s="0">
    <fb>45889</fb>
    <v>0</v>
  </rv>
  <rv s="0">
    <fb>8076269</fb>
    <v>2</v>
  </rv>
  <rv s="0">
    <fb>45890</fb>
    <v>0</v>
  </rv>
  <rv s="0">
    <fb>7533625</fb>
    <v>2</v>
  </rv>
  <rv s="0">
    <fb>45891</fb>
    <v>0</v>
  </rv>
  <rv s="0">
    <fb>158.18</fb>
    <v>1</v>
  </rv>
  <rv s="0">
    <fb>9084344</fb>
    <v>2</v>
  </rv>
  <rv s="0">
    <fb>45894</fb>
    <v>0</v>
  </rv>
  <rv s="0">
    <fb>158.19999999999999</fb>
    <v>1</v>
  </rv>
  <rv s="0">
    <fb>7029967</fb>
    <v>2</v>
  </rv>
  <rv s="0">
    <fb>45895</fb>
    <v>0</v>
  </rv>
  <rv s="0">
    <fb>157.36000000000001</fb>
    <v>1</v>
  </rv>
  <rv s="0">
    <fb>10270028</fb>
    <v>2</v>
  </rv>
  <rv s="0">
    <fb>45896</fb>
    <v>0</v>
  </rv>
  <rv s="0">
    <fb>159.24</fb>
    <v>1</v>
  </rv>
  <rv s="0">
    <fb>7482961</fb>
    <v>2</v>
  </rv>
  <rv s="0">
    <fb>45897</fb>
    <v>0</v>
  </rv>
  <rv s="0">
    <fb>159.32</fb>
    <v>1</v>
  </rv>
  <rv s="0">
    <fb>6502447</fb>
    <v>2</v>
  </rv>
  <rv s="0">
    <fb>45898</fb>
    <v>0</v>
  </rv>
  <rv s="0">
    <fb>160.6</fb>
    <v>1</v>
  </rv>
  <rv s="0">
    <fb>6934840</fb>
    <v>2</v>
  </rv>
  <rv s="0">
    <fb>45902</fb>
    <v>0</v>
  </rv>
  <rv s="0">
    <fb>161.83000000000001</fb>
    <v>1</v>
  </rv>
  <rv s="0">
    <fb>8947302</fb>
    <v>2</v>
  </rv>
  <rv s="0">
    <fb>45903</fb>
    <v>0</v>
  </rv>
  <rv s="0">
    <fb>158.06</fb>
    <v>1</v>
  </rv>
  <rv s="0">
    <fb>9556116</fb>
    <v>2</v>
  </rv>
  <rv s="0">
    <fb>45904</fb>
    <v>0</v>
  </rv>
  <rv s="0">
    <fb>157.69</fb>
    <v>1</v>
  </rv>
  <rv s="0">
    <fb>7242974</fb>
    <v>2</v>
  </rv>
  <rv s="0">
    <fb>45905</fb>
    <v>0</v>
  </rv>
  <rv s="0">
    <fb>153.66</fb>
    <v>1</v>
  </rv>
  <rv s="0">
    <fb>11011667</fb>
    <v>2</v>
  </rv>
  <rv s="0">
    <fb>45908</fb>
    <v>0</v>
  </rv>
  <rv s="0">
    <fb>9461969</fb>
    <v>2</v>
  </rv>
  <rv s="0">
    <fb>45909</fb>
    <v>0</v>
  </rv>
  <rv s="0">
    <fb>154.85</fb>
    <v>1</v>
  </rv>
  <rv s="0">
    <fb>7769177</fb>
    <v>2</v>
  </rv>
  <rv s="0">
    <fb>45910</fb>
    <v>0</v>
  </rv>
  <rv s="0">
    <fb>157.79</fb>
    <v>1</v>
  </rv>
  <rv s="0">
    <fb>7440811</fb>
    <v>2</v>
  </rv>
  <rv s="0">
    <fb>45911</fb>
    <v>0</v>
  </rv>
  <rv s="0">
    <fb>158.25</fb>
    <v>1</v>
  </rv>
  <rv s="0">
    <fb>6417408</fb>
    <v>2</v>
  </rv>
  <rv s="0">
    <fb>45912</fb>
    <v>0</v>
  </rv>
  <rv s="0">
    <fb>157.11000000000001</fb>
    <v>1</v>
  </rv>
  <rv s="0">
    <fb>5546333</fb>
    <v>2</v>
  </rv>
  <rv s="0">
    <fb>45915</fb>
    <v>0</v>
  </rv>
  <rv s="0">
    <fb>157.31</fb>
    <v>1</v>
  </rv>
  <rv s="0">
    <fb>5030461</fb>
    <v>2</v>
  </rv>
  <rv s="0">
    <fb>45916</fb>
    <v>0</v>
  </rv>
  <rv s="0">
    <fb>159.54</fb>
    <v>1</v>
  </rv>
  <rv s="0">
    <fb>8011032</fb>
    <v>2</v>
  </rv>
  <rv s="0">
    <fb>45917</fb>
    <v>0</v>
  </rv>
  <rv s="0">
    <fb>160.09</fb>
    <v>1</v>
  </rv>
  <rv s="0">
    <fb>5736777</fb>
    <v>2</v>
  </rv>
  <rv s="0">
    <fb>45918</fb>
    <v>0</v>
  </rv>
  <rv s="0">
    <fb>158.84</fb>
    <v>1</v>
  </rv>
  <rv s="0">
    <fb>6244226</fb>
    <v>2</v>
  </rv>
  <rv s="0">
    <fb>45919</fb>
    <v>0</v>
  </rv>
  <rv s="0">
    <fb>16733988</fb>
    <v>2</v>
  </rv>
  <rv s="0">
    <fb>45922</fb>
    <v>0</v>
  </rv>
  <rv s="0">
    <fb>156.05000000000001</fb>
    <v>1</v>
  </rv>
  <rv s="0">
    <fb>5244025</fb>
    <v>2</v>
  </rv>
  <rv s="0">
    <fb>45923</fb>
    <v>0</v>
  </rv>
  <rv s="0">
    <fb>157.41999999999999</fb>
    <v>1</v>
  </rv>
  <rv s="0">
    <fb>7181383</fb>
    <v>2</v>
  </rv>
  <rv s="0">
    <fb>45924</fb>
    <v>0</v>
  </rv>
  <rv s="0">
    <fb>159.18</fb>
    <v>1</v>
  </rv>
  <rv s="0">
    <fb>6285228</fb>
    <v>2</v>
  </rv>
  <rv s="0">
    <fb>45925</fb>
    <v>0</v>
  </rv>
  <rv s="0">
    <fb>160.72</fb>
    <v>1</v>
  </rv>
  <rv s="0">
    <fb>6311040</fb>
    <v>2</v>
  </rv>
  <rv s="0">
    <fb>45926</fb>
    <v>0</v>
  </rv>
  <rv s="0">
    <fb>160.16</fb>
    <v>1</v>
  </rv>
  <rv s="0">
    <fb>7015168</fb>
    <v>2</v>
  </rv>
  <rv s="0">
    <fb>45929</fb>
    <v>0</v>
  </rv>
  <rv s="0">
    <fb>156.1</fb>
    <v>1</v>
  </rv>
  <rv s="0">
    <fb>8315073</fb>
    <v>2</v>
  </rv>
  <rv s="0">
    <fb>45930</fb>
    <v>0</v>
  </rv>
  <rv s="0">
    <fb>7755716</fb>
    <v>2</v>
  </rv>
  <rv s="0">
    <fb>45931</fb>
    <v>0</v>
  </rv>
  <rv s="0">
    <fb>154.58000000000001</fb>
    <v>1</v>
  </rv>
  <rv s="0">
    <fb>6768358</fb>
    <v>2</v>
  </rv>
  <rv s="0">
    <fb>45932</fb>
    <v>0</v>
  </rv>
  <rv s="0">
    <fb>153.37</fb>
    <v>1</v>
  </rv>
  <rv s="0">
    <fb>7562448</fb>
    <v>2</v>
  </rv>
  <rv s="0">
    <fb>45933</fb>
    <v>0</v>
  </rv>
  <rv s="0">
    <fb>153.55000000000001</fb>
    <v>1</v>
  </rv>
  <rv s="0">
    <fb>7249291</fb>
    <v>2</v>
  </rv>
  <rv s="0">
    <fb>45936</fb>
    <v>0</v>
  </rv>
  <rv s="0">
    <fb>154.02000000000001</fb>
    <v>1</v>
  </rv>
  <rv s="0">
    <fb>4778924</fb>
    <v>2</v>
  </rv>
  <rv s="0">
    <fb>45937</fb>
    <v>0</v>
  </rv>
  <rv s="0">
    <fb>154.91</fb>
    <v>1</v>
  </rv>
  <rv s="0">
    <fb>5479593</fb>
    <v>2</v>
  </rv>
  <rv s="0">
    <fb>45938</fb>
    <v>0</v>
  </rv>
  <rv s="0">
    <fb>153.74</fb>
    <v>1</v>
  </rv>
  <rv s="0">
    <fb>5678028</fb>
    <v>2</v>
  </rv>
  <rv s="0">
    <fb>45939</fb>
    <v>0</v>
  </rv>
  <rv s="0">
    <fb>6178601</fb>
    <v>2</v>
  </rv>
  <rv s="0">
    <fb>45940</fb>
    <v>0</v>
  </rv>
  <rv s="0">
    <fb>148.9</fb>
    <v>1</v>
  </rv>
  <rv s="0">
    <fb>7796621</fb>
    <v>2</v>
  </rv>
  <rv s="0">
    <fb>45943</fb>
    <v>0</v>
  </rv>
  <rv s="0">
    <fb>151.94</fb>
    <v>1</v>
  </rv>
  <rv s="0">
    <fb>5978755</fb>
    <v>2</v>
  </rv>
  <rv s="0">
    <fb>45944</fb>
    <v>0</v>
  </rv>
  <rv s="0">
    <fb>152.38999999999999</fb>
    <v>1</v>
  </rv>
  <rv s="0">
    <fb>6419350</fb>
    <v>2</v>
  </rv>
  <rv s="0">
    <fb>45945</fb>
    <v>0</v>
  </rv>
  <rv s="0">
    <fb>152.11000000000001</fb>
    <v>1</v>
  </rv>
  <rv s="0">
    <fb>5824931</fb>
    <v>2</v>
  </rv>
  <rv s="0">
    <fb>45946</fb>
    <v>0</v>
  </rv>
  <rv s="0">
    <fb>151.71</fb>
    <v>1</v>
  </rv>
  <rv s="0">
    <fb>5276788</fb>
    <v>2</v>
  </rv>
  <rv s="0">
    <fb>45947</fb>
    <v>0</v>
  </rv>
  <rv s="0">
    <fb>153.08000000000001</fb>
    <v>1</v>
  </rv>
  <rv s="0">
    <fb>7735462</fb>
    <v>2</v>
  </rv>
  <rv s="0">
    <fb>45950</fb>
    <v>0</v>
  </rv>
  <rv s="0">
    <fb>154.47999999999999</fb>
    <v>1</v>
  </rv>
  <rv s="0">
    <fb>5676505</fb>
    <v>2</v>
  </rv>
  <rv s="0">
    <fb>45951</fb>
    <v>0</v>
  </rv>
  <rv s="0">
    <fb>153.79</fb>
    <v>1</v>
  </rv>
  <rv s="0">
    <fb>6304917</fb>
    <v>2</v>
  </rv>
  <rv s="0">
    <fb>45952</fb>
    <v>0</v>
  </rv>
  <rv s="0">
    <fb>155.57</fb>
    <v>1</v>
  </rv>
  <rv s="0">
    <fb>6036705</fb>
    <v>2</v>
  </rv>
  <rv s="0">
    <fb>45953</fb>
    <v>0</v>
  </rv>
  <rv s="0">
    <fb>156.56</fb>
    <v>1</v>
  </rv>
  <rv s="0">
    <fb>9810894</fb>
    <v>2</v>
  </rv>
  <rv s="0">
    <fb>45954</fb>
    <v>0</v>
  </rv>
  <rv s="0">
    <fb>155.56</fb>
    <v>1</v>
  </rv>
  <rv s="0">
    <fb>4979941</fb>
    <v>2</v>
  </rv>
  <rv s="0">
    <fb>45957</fb>
    <v>0</v>
  </rv>
  <rv s="0">
    <fb>4884434</fb>
    <v>2</v>
  </rv>
  <rv s="0">
    <fb>45958</fb>
    <v>0</v>
  </rv>
  <rv s="0">
    <fb>154.13</fb>
    <v>1</v>
  </rv>
  <rv s="0">
    <fb>5066475</fb>
    <v>2</v>
  </rv>
  <rv s="0">
    <fb>45959</fb>
    <v>0</v>
  </rv>
  <rv s="0">
    <fb>155.1</fb>
    <v>1</v>
  </rv>
  <rv s="0">
    <fb>7344432</fb>
    <v>2</v>
  </rv>
  <rv s="0">
    <fb>45960</fb>
    <v>0</v>
  </rv>
  <rv s="0">
    <fb>153.52000000000001</fb>
    <v>1</v>
  </rv>
  <rv s="0">
    <fb>8971226</fb>
    <v>2</v>
  </rv>
  <rv s="0">
    <fb>45961</fb>
    <v>0</v>
  </rv>
  <rv s="0">
    <fb>11136109</fb>
    <v>2</v>
  </rv>
  <rv s="0">
    <fb>45964</fb>
    <v>0</v>
  </rv>
  <rv s="0">
    <fb>154.04</fb>
    <v>1</v>
  </rv>
  <rv s="0">
    <fb>8512209</fb>
    <v>2</v>
  </rv>
  <rv s="0">
    <fb>45965</fb>
    <v>0</v>
  </rv>
  <rv s="0">
    <fb>153.38999999999999</fb>
    <v>1</v>
  </rv>
  <rv s="0">
    <fb>6976838</fb>
    <v>2</v>
  </rv>
  <rv s="0">
    <fb>45966</fb>
    <v>0</v>
  </rv>
  <rv s="0">
    <fb>152.66</fb>
    <v>1</v>
  </rv>
  <rv s="0">
    <fb>5894721</fb>
    <v>2</v>
  </rv>
  <rv s="0">
    <fb>45967</fb>
    <v>0</v>
  </rv>
  <rv s="0">
    <fb>152.94</fb>
    <v>1</v>
  </rv>
  <rv s="0">
    <fb>6466257</fb>
    <v>2</v>
  </rv>
  <rv s="0">
    <fb>45968</fb>
    <v>0</v>
  </rv>
  <rv s="0">
    <fb>155.02000000000001</fb>
    <v>1</v>
  </rv>
  <rv s="0">
    <fb>9835929</fb>
    <v>2</v>
  </rv>
  <rv s="0">
    <fb>45971</fb>
    <v>0</v>
  </rv>
  <rv s="0">
    <fb>8436797</fb>
    <v>2</v>
  </rv>
  <rv s="0">
    <fb>45972</fb>
    <v>0</v>
  </rv>
  <rv s="0">
    <fb>156.24</fb>
    <v>1</v>
  </rv>
  <rv s="0">
    <fb>6361426</fb>
    <v>2</v>
  </rv>
  <rv s="0">
    <fb>45973</fb>
    <v>0</v>
  </rv>
  <rv s="0">
    <fb>153.32</fb>
    <v>1</v>
  </rv>
  <rv s="0">
    <fb>11670947</fb>
    <v>2</v>
  </rv>
  <rv s="0">
    <fb>45974</fb>
    <v>0</v>
  </rv>
  <rv s="0">
    <fb>155.58000000000001</fb>
    <v>1</v>
  </rv>
  <rv s="0">
    <fb>7998740</fb>
    <v>2</v>
  </rv>
  <rv s="0">
    <fb>45975</fb>
    <v>0</v>
  </rv>
  <rv s="0">
    <fb>157.62</fb>
    <v>1</v>
  </rv>
  <rv s="0">
    <fb>8484812</fb>
    <v>2</v>
  </rv>
  <rv s="0">
    <fb>45978</fb>
    <v>0</v>
  </rv>
  <rv s="0">
    <fb>154.82</fb>
    <v>1</v>
  </rv>
  <rv s="0">
    <fb>8744980</fb>
    <v>2</v>
  </rv>
  <rv s="0">
    <fb>45979</fb>
    <v>0</v>
  </rv>
  <rv s="0">
    <fb>153.62</fb>
    <v>1</v>
  </rv>
  <rv s="0">
    <fb>10813365</fb>
    <v>2</v>
  </rv>
  <rv s="0">
    <fb>45980</fb>
    <v>0</v>
  </rv>
  <rv s="0">
    <fb>151.69999999999999</fb>
    <v>1</v>
  </rv>
  <rv s="0">
    <fb>7539905</fb>
    <v>2</v>
  </rv>
  <rv s="0">
    <fb>45981</fb>
    <v>0</v>
  </rv>
  <rv s="0">
    <fb>150.31</fb>
    <v>1</v>
  </rv>
  <rv s="0">
    <fb>7623448</fb>
    <v>2</v>
  </rv>
  <rv s="0">
    <fb>45982</fb>
    <v>0</v>
  </rv>
  <rv s="0">
    <fb>149.97999999999999</fb>
    <v>1</v>
  </rv>
  <rv s="0">
    <fb>9248445</fb>
    <v>2</v>
  </rv>
  <rv s="0">
    <fb>45985</fb>
    <v>0</v>
  </rv>
  <rv s="0">
    <fb>149.75</fb>
    <v>1</v>
  </rv>
  <rv s="0">
    <fb>14181131</fb>
    <v>2</v>
  </rv>
  <rv s="0">
    <fb>45986</fb>
    <v>0</v>
  </rv>
  <rv s="0">
    <fb>148.53</fb>
    <v>1</v>
  </rv>
  <rv s="0">
    <fb>11447942</fb>
    <v>2</v>
  </rv>
  <rv s="0">
    <fb>45987</fb>
    <v>0</v>
  </rv>
  <rv s="0">
    <fb>149.51</fb>
    <v>1</v>
  </rv>
  <rv s="0">
    <fb>7578938</fb>
    <v>2</v>
  </rv>
  <rv s="0">
    <fb>45989</fb>
    <v>0</v>
  </rv>
  <rv s="0">
    <fb>151.13</fb>
    <v>1</v>
  </rv>
  <rv s="0">
    <fb>3848568</fb>
    <v>2</v>
  </rv>
  <rv s="0">
    <fb>45992</fb>
    <v>0</v>
  </rv>
  <rv s="0">
    <fb>152.54</fb>
    <v>1</v>
  </rv>
  <rv s="0">
    <fb>8208972</fb>
    <v>2</v>
  </rv>
  <rv s="0">
    <fb>45993</fb>
    <v>0</v>
  </rv>
  <rv s="0">
    <fb>150.25</fb>
    <v>1</v>
  </rv>
  <rv s="0">
    <fb>9196311</fb>
    <v>2</v>
  </rv>
  <rv s="0">
    <fb>45994</fb>
    <v>0</v>
  </rv>
  <rv s="0">
    <fb>151.59</fb>
    <v>1</v>
  </rv>
  <rv s="0">
    <fb>8060175</fb>
    <v>2</v>
  </rv>
  <rv s="0">
    <fb>45995</fb>
    <v>0</v>
  </rv>
  <rv s="0">
    <fb>152.26</fb>
    <v>1</v>
  </rv>
  <rv s="0">
    <fb>7254724</fb>
    <v>2</v>
  </rv>
  <rv s="0">
    <fb>45996</fb>
    <v>0</v>
  </rv>
  <rv s="0">
    <fb>150</fb>
    <v>1</v>
  </rv>
  <rv s="0">
    <fb>12659762</fb>
    <v>2</v>
  </rv>
  <rv s="0">
    <fb>45999</fb>
    <v>0</v>
  </rv>
  <rv s="0">
    <fb>148.71</fb>
    <v>1</v>
  </rv>
  <rv s="0">
    <fb>10237153</fb>
    <v>2</v>
  </rv>
  <rv s="0">
    <fb>46000</fb>
    <v>0</v>
  </rv>
  <rv s="0">
    <fb>148.49</fb>
    <v>1</v>
  </rv>
  <rv s="0">
    <fb>8916749</fb>
    <v>2</v>
  </rv>
  <rv s="0">
    <fb>46001</fb>
    <v>0</v>
  </rv>
  <rv s="0">
    <fb>151.41</fb>
    <v>1</v>
  </rv>
  <rv s="0">
    <fb>10976295</fb>
    <v>2</v>
  </rv>
  <rv s="0">
    <fb>46002</fb>
    <v>0</v>
  </rv>
  <rv s="0">
    <fb>150.72</fb>
    <v>1</v>
  </rv>
  <rv s="0">
    <fb>8414160</fb>
    <v>2</v>
  </rv>
  <rv s="0">
    <fb>46003</fb>
    <v>0</v>
  </rv>
  <rv s="0">
    <fb>149.99</fb>
    <v>1</v>
  </rv>
  <rv s="0">
    <fb>5848050</fb>
    <v>2</v>
  </rv>
  <rv s="0">
    <fb>46006</fb>
    <v>0</v>
  </rv>
  <rv s="0">
    <fb>149.80000000000001</fb>
    <v>1</v>
  </rv>
  <rv s="0">
    <fb>7502951</fb>
    <v>2</v>
  </rv>
  <rv s="0">
    <fb>46007</fb>
    <v>0</v>
  </rv>
  <rv s="0">
    <fb>146.75</fb>
    <v>1</v>
  </rv>
  <rv s="0">
    <fb>11290538</fb>
    <v>2</v>
  </rv>
  <rv s="0">
    <fb>46008</fb>
    <v>0</v>
  </rv>
  <rv s="0">
    <fb>149.52000000000001</fb>
    <v>1</v>
  </rv>
  <rv s="0">
    <fb>8805268</fb>
    <v>2</v>
  </rv>
  <rv s="0">
    <fb>46009</fb>
    <v>0</v>
  </rv>
  <rv s="0">
    <fb>147.69</fb>
    <v>1</v>
  </rv>
  <rv s="0">
    <fb>6998843</fb>
    <v>2</v>
  </rv>
  <rv s="0">
    <fb>46010</fb>
    <v>0</v>
  </rv>
  <rv s="0">
    <fb>147.75</fb>
    <v>1</v>
  </rv>
  <rv s="0">
    <fb>21701435</fb>
    <v>2</v>
  </rv>
  <rv s="0">
    <fb>46013</fb>
    <v>0</v>
  </rv>
  <rv s="0">
    <fb>8143618</fb>
    <v>2</v>
  </rv>
  <rv s="0">
    <fb>46014</fb>
    <v>0</v>
  </rv>
  <rv s="0">
    <fb>150.51</fb>
    <v>1</v>
  </rv>
  <rv s="0">
    <fb>4663665</fb>
    <v>2</v>
  </rv>
  <rv s="0">
    <fb>46015</fb>
    <v>0</v>
  </rv>
  <rv s="0">
    <fb>150.5</fb>
    <v>1</v>
  </rv>
  <rv s="0">
    <fb>2227609</fb>
    <v>2</v>
  </rv>
  <rv s="0">
    <fb>46017</fb>
    <v>0</v>
  </rv>
  <rv s="0">
    <fb>150.02000000000001</fb>
    <v>1</v>
  </rv>
  <rv s="0">
    <fb>3706915</fb>
    <v>2</v>
  </rv>
  <rv s="0">
    <fb>46020</fb>
    <v>0</v>
  </rv>
  <rv s="0">
    <fb>150.99</fb>
    <v>1</v>
  </rv>
  <rv s="0">
    <fb>5589133</fb>
    <v>2</v>
  </rv>
  <rv s="0">
    <fb>46021</fb>
    <v>0</v>
  </rv>
  <rv s="0">
    <fb>152.31</fb>
    <v>1</v>
  </rv>
  <rv s="0">
    <fb>5150514</fb>
    <v>2</v>
  </rv>
  <rv s="0">
    <fb>46022</fb>
    <v>0</v>
  </rv>
  <rv s="0">
    <fb>152.41</fb>
    <v>1</v>
  </rv>
  <rv s="0">
    <fb>4953110</fb>
    <v>2</v>
  </rv>
  <rv s="0">
    <fb>46024</fb>
    <v>0</v>
  </rv>
  <rv s="0">
    <fb>155.9</fb>
    <v>1</v>
  </rv>
  <rv s="0">
    <fb>6862097</fb>
    <v>2</v>
  </rv>
  <rv s="0">
    <fb>46027</fb>
    <v>0</v>
  </rv>
  <rv s="0">
    <fb>163.85</fb>
    <v>1</v>
  </rv>
  <rv s="0">
    <fb>35094878</fb>
    <v>2</v>
  </rv>
  <rv s="0">
    <fb>46028</fb>
    <v>0</v>
  </rv>
  <rv s="0">
    <fb>156.54</fb>
    <v>1</v>
  </rv>
  <rv s="0">
    <fb>20564935</fb>
    <v>2</v>
  </rv>
  <rv s="0">
    <fb>46029</fb>
    <v>0</v>
  </rv>
  <rv s="0">
    <fb>155.19999999999999</fb>
    <v>1</v>
  </rv>
  <rv s="0">
    <fb>13537874</fb>
    <v>2</v>
  </rv>
  <rv s="0">
    <fb>46030</fb>
    <v>0</v>
  </rv>
  <rv s="0">
    <fb>159.25</fb>
    <v>1</v>
  </rv>
  <rv s="0">
    <fb>12929635</fb>
    <v>2</v>
  </rv>
  <rv s="0">
    <fb>46031</fb>
    <v>0</v>
  </rv>
  <rv s="0">
    <fb>12549643</fb>
    <v>2</v>
  </rv>
  <rv s="0">
    <fb>46034</fb>
    <v>0</v>
  </rv>
  <rv s="0">
    <fb>162.34</fb>
    <v>1</v>
  </rv>
  <rv s="0">
    <fb>9796786</fb>
    <v>2</v>
  </rv>
  <rv s="0">
    <fb>46035</fb>
    <v>0</v>
  </rv>
  <rv s="0">
    <fb>163.87</fb>
    <v>1</v>
  </rv>
  <rv s="0">
    <fb>12068630</fb>
    <v>2</v>
  </rv>
  <rv s="0">
    <fb>46036</fb>
    <v>0</v>
  </rv>
  <rv s="0">
    <fb>167.24</fb>
    <v>1</v>
  </rv>
  <rv s="0">
    <fb>16414917</fb>
    <v>2</v>
  </rv>
  <rv s="0">
    <fb>46037</fb>
    <v>0</v>
  </rv>
  <rv s="0">
    <fb>166.16</fb>
    <v>1</v>
  </rv>
  <rv s="0">
    <fb>8097405</fb>
    <v>2</v>
  </rv>
  <rv s="0">
    <fb>46038</fb>
    <v>0</v>
  </rv>
  <rv s="0">
    <fb>166.26</fb>
    <v>1</v>
  </rv>
  <rv s="0">
    <fb>9745753</fb>
    <v>2</v>
  </rv>
  <rv s="0">
    <fb>46042</fb>
    <v>0</v>
  </rv>
  <rv s="0">
    <fb>165.3</fb>
    <v>1</v>
  </rv>
  <rv s="0">
    <fb>11142530</fb>
    <v>2</v>
  </rv>
  <rv s="0">
    <fb>46043</fb>
    <v>0</v>
  </rv>
  <rv s="0">
    <fb>166.73</fb>
    <v>1</v>
  </rv>
  <rv s="0">
    <fb>10918539</fb>
    <v>2</v>
  </rv>
  <rv s="0">
    <fb>46044</fb>
    <v>0</v>
  </rv>
  <rv s="0">
    <fb>166.66</fb>
    <v>1</v>
  </rv>
  <rv s="0">
    <fb>8957383</fb>
    <v>2</v>
  </rv>
  <rv s="0">
    <fb>46045</fb>
    <v>0</v>
  </rv>
  <rv s="0">
    <fb>166.72</fb>
    <v>1</v>
  </rv>
  <rv s="0">
    <fb>8368686</fb>
    <v>2</v>
  </rv>
  <rv s="0">
    <fb>46048</fb>
    <v>0</v>
  </rv>
  <rv s="0">
    <fb>167.5</fb>
    <v>1</v>
  </rv>
  <rv s="0">
    <fb>8912601</fb>
    <v>2</v>
  </rv>
  <rv s="0">
    <fb>46049</fb>
    <v>0</v>
  </rv>
  <rv s="0">
    <fb>169.05</fb>
    <v>1</v>
  </rv>
  <rv s="0">
    <fb>9784855</fb>
    <v>2</v>
  </rv>
  <rv s="0">
    <fb>46050</fb>
    <v>0</v>
  </rv>
  <rv s="0">
    <fb>169.93</fb>
    <v>1</v>
  </rv>
  <rv s="0">
    <fb>9200244</fb>
    <v>2</v>
  </rv>
  <rv s="0">
    <fb>46051</fb>
    <v>0</v>
  </rv>
  <rv s="0">
    <fb>171.19</fb>
    <v>1</v>
  </rv>
  <rv s="0">
    <fb>16786612</fb>
    <v>2</v>
  </rv>
  <rv s="0">
    <fb>46052</fb>
    <v>0</v>
  </rv>
  <rv s="0">
    <fb>176.9</fb>
    <v>1</v>
  </rv>
  <rv s="0">
    <fb>22946582</fb>
    <v>2</v>
  </rv>
  <rv s="0">
    <fb>46055</fb>
    <v>0</v>
  </rv>
  <rv s="0">
    <fb>174.03</fb>
    <v>1</v>
  </rv>
  <rv s="0">
    <fb>14235347</fb>
    <v>2</v>
  </rv>
  <rv s="0">
    <fb>46056</fb>
    <v>0</v>
  </rv>
  <rv s="0">
    <fb>178.04</fb>
    <v>1</v>
  </rv>
  <rv s="0">
    <fb>18425423</fb>
    <v>2</v>
  </rv>
  <rv s="1">
    <v>3</v>
    <v>CVX</v>
    <v>Daily</v>
    <v>45292</v>
    <v>46057</v>
    <v>0</v>
    <v>1</v>
    <v>639056736000000000,639058476599887104,0</v>
    <v>0</v>
    <v>a1qlz2</v>
    <v>XNYS:CVX</v>
    <v>1</v>
    <v>2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  <k n="Volume" t="a"/>
  </s>
</rvStructures>
</file>

<file path=xl/richData/rdsupportingpropertybag.xml><?xml version="1.0" encoding="utf-8"?>
<supportingPropertyBags xmlns="http://schemas.microsoft.com/office/spreadsheetml/2017/richdata2">
  <spbData count="4">
    <spb s="0">
      <v>1</v>
    </spb>
    <spb s="0">
      <v>2</v>
    </spb>
    <spb s="0">
      <v>3</v>
    </spb>
    <spb s="1">
      <v>1</v>
      <v>2</v>
      <v>3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  <k n="Volum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3">
    <x:dxf>
      <x:numFmt numFmtId="19" formatCode="m/d/yyyy"/>
    </x:dxf>
    <x:dxf>
      <x:numFmt numFmtId="0" formatCode="General"/>
    </x:dxf>
    <x:dxf>
      <x:numFmt numFmtId="3" formatCode="#,##0"/>
    </x:dxf>
  </dxfs>
  <richProperties>
    <rPr n="NumberFormat" t="s"/>
  </richProperties>
  <richStyles>
    <rSty dxfid="0"/>
    <rSty dxfid="1">
      <rpv i="0">_([$$-en-US]* #,##0.00_);_([$$-en-US]* (#,##0.00);_([$$-en-US]* "-"??_);_(@_)</rpv>
    </rSty>
    <rSty dxfid="2">
      <rpv i="0">#,##0</rpv>
    </rSty>
  </richStyles>
</richStyleSheet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8181DA4-C323-415D-AE5D-CC585439E82C}" name="Forecast" displayName="Forecast" ref="A1:D120" tableType="queryTable" totalsRowShown="0">
  <autoFilter ref="A1:D120" xr:uid="{58181DA4-C323-415D-AE5D-CC585439E82C}"/>
  <tableColumns count="4">
    <tableColumn id="1" xr3:uid="{1AF967FC-2693-475E-890F-FEC226F62B6E}" uniqueName="1" name="Week" queryTableFieldId="1" dataDxfId="1"/>
    <tableColumn id="2" xr3:uid="{67585FD9-96D2-408D-AEAA-4C1CF262E76A}" uniqueName="2" name="Average" queryTableFieldId="2"/>
    <tableColumn id="3" xr3:uid="{D92DBE96-8A18-4109-B6AB-C5A02F6028D4}" uniqueName="3" name="XL Forecast" queryTableFieldId="3"/>
    <tableColumn id="4" xr3:uid="{29CF37A2-A61E-45FE-9903-D3824B915721}" uniqueName="4" name="Calc Forecast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448C0C-3CAF-4F59-BEF6-EAB031CF15F4}" name="Table1" displayName="Table1" ref="A1:B525" totalsRowShown="0">
  <autoFilter ref="A1:B525" xr:uid="{7A448C0C-3CAF-4F59-BEF6-EAB031CF15F4}"/>
  <tableColumns count="2">
    <tableColumn id="1" xr3:uid="{6A61442E-68E6-4253-AD7A-B3844BD2A8EF}" name="Week" dataDxfId="0"/>
    <tableColumn id="2" xr3:uid="{41F51856-7DA0-46AE-B1E2-181445730C41}" name="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B0CA-D215-4909-9549-33E0F6F82D2C}">
  <dimension ref="A1:B9"/>
  <sheetViews>
    <sheetView workbookViewId="0">
      <selection activeCell="A3" sqref="A3:B3"/>
    </sheetView>
  </sheetViews>
  <sheetFormatPr defaultRowHeight="15" x14ac:dyDescent="0.25"/>
  <cols>
    <col min="1" max="1" width="15" bestFit="1" customWidth="1"/>
    <col min="2" max="2" width="14.5703125" bestFit="1" customWidth="1"/>
  </cols>
  <sheetData>
    <row r="1" spans="1:2" x14ac:dyDescent="0.25">
      <c r="A1" t="s">
        <v>24</v>
      </c>
      <c r="B1" t="s">
        <v>25</v>
      </c>
    </row>
    <row r="2" spans="1:2" x14ac:dyDescent="0.25">
      <c r="A2" s="12" t="s">
        <v>26</v>
      </c>
      <c r="B2" s="12" t="s">
        <v>27</v>
      </c>
    </row>
    <row r="3" spans="1:2" x14ac:dyDescent="0.25">
      <c r="A3" s="13" t="s">
        <v>1</v>
      </c>
      <c r="B3" s="13" t="s">
        <v>28</v>
      </c>
    </row>
    <row r="4" spans="1:2" x14ac:dyDescent="0.25">
      <c r="A4" s="14" t="s">
        <v>29</v>
      </c>
      <c r="B4" s="14" t="s">
        <v>30</v>
      </c>
    </row>
    <row r="5" spans="1:2" x14ac:dyDescent="0.25">
      <c r="A5" s="15" t="s">
        <v>15</v>
      </c>
      <c r="B5" s="15" t="s">
        <v>31</v>
      </c>
    </row>
    <row r="6" spans="1:2" x14ac:dyDescent="0.25">
      <c r="A6" s="9" t="s">
        <v>20</v>
      </c>
      <c r="B6" s="9" t="s">
        <v>32</v>
      </c>
    </row>
    <row r="7" spans="1:2" x14ac:dyDescent="0.25">
      <c r="A7" s="16" t="s">
        <v>23</v>
      </c>
      <c r="B7" s="16" t="s">
        <v>33</v>
      </c>
    </row>
    <row r="8" spans="1:2" x14ac:dyDescent="0.25">
      <c r="A8" t="s">
        <v>34</v>
      </c>
      <c r="B8" t="s">
        <v>35</v>
      </c>
    </row>
    <row r="9" spans="1:2" x14ac:dyDescent="0.25">
      <c r="A9" t="s">
        <v>36</v>
      </c>
      <c r="B9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0F43F9-2C8F-4F53-A4E1-034AE0838EB4}">
  <dimension ref="A1:AE525"/>
  <sheetViews>
    <sheetView topLeftCell="F1" zoomScale="70" zoomScaleNormal="70" workbookViewId="0">
      <selection activeCell="AC3" sqref="AC3"/>
    </sheetView>
  </sheetViews>
  <sheetFormatPr defaultRowHeight="15" x14ac:dyDescent="0.25"/>
  <cols>
    <col min="1" max="1" width="13.140625" style="20" customWidth="1"/>
    <col min="2" max="2" width="12" bestFit="1" customWidth="1"/>
    <col min="3" max="3" width="10.5703125" bestFit="1" customWidth="1"/>
    <col min="4" max="4" width="12.42578125" bestFit="1" customWidth="1"/>
    <col min="5" max="5" width="14.85546875" bestFit="1" customWidth="1"/>
    <col min="8" max="8" width="14.85546875" bestFit="1" customWidth="1"/>
    <col min="9" max="9" width="13.5703125" bestFit="1" customWidth="1"/>
    <col min="10" max="10" width="11.7109375" bestFit="1" customWidth="1"/>
    <col min="14" max="14" width="10.5703125" bestFit="1" customWidth="1"/>
    <col min="15" max="15" width="10" bestFit="1" customWidth="1"/>
    <col min="17" max="18" width="11.42578125" bestFit="1" customWidth="1"/>
    <col min="23" max="23" width="9.7109375" bestFit="1" customWidth="1"/>
    <col min="24" max="24" width="10.140625" bestFit="1" customWidth="1"/>
    <col min="25" max="25" width="8.5703125" bestFit="1" customWidth="1"/>
    <col min="26" max="26" width="8.85546875" bestFit="1" customWidth="1"/>
    <col min="27" max="27" width="13" bestFit="1" customWidth="1"/>
    <col min="28" max="28" width="12.85546875" bestFit="1" customWidth="1"/>
    <col min="31" max="31" width="16.85546875" style="18" bestFit="1" customWidth="1"/>
  </cols>
  <sheetData>
    <row r="1" spans="1:31" s="8" customFormat="1" x14ac:dyDescent="0.25">
      <c r="A1" s="19" t="s">
        <v>45</v>
      </c>
      <c r="B1" s="4" t="str" cm="1">
        <f t="array" aca="1" ref="B1:D525" ca="1">_xlfn.STOCKHISTORY("CVX","2024-01-01",TODAY(),0,1,0,1,5)</f>
        <v>Date</v>
      </c>
      <c r="C1" s="4" t="str">
        <f ca="1"/>
        <v>Close</v>
      </c>
      <c r="D1" s="4" t="str">
        <f ca="1"/>
        <v>Volume</v>
      </c>
      <c r="E1" s="5" t="s">
        <v>0</v>
      </c>
      <c r="F1" s="5" t="s">
        <v>1</v>
      </c>
      <c r="G1" s="6" t="s">
        <v>2</v>
      </c>
      <c r="H1" s="6" t="s">
        <v>3</v>
      </c>
      <c r="I1" s="6" t="s">
        <v>4</v>
      </c>
      <c r="J1" s="7" t="s">
        <v>7</v>
      </c>
      <c r="K1" s="7" t="s">
        <v>8</v>
      </c>
      <c r="L1" s="7" t="s">
        <v>6</v>
      </c>
      <c r="M1" s="7" t="s">
        <v>5</v>
      </c>
      <c r="N1" s="3" t="s">
        <v>9</v>
      </c>
      <c r="O1" s="3" t="s">
        <v>10</v>
      </c>
      <c r="P1" s="3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1" t="s">
        <v>16</v>
      </c>
      <c r="V1" s="3" t="s">
        <v>17</v>
      </c>
      <c r="W1" s="10" t="s">
        <v>18</v>
      </c>
      <c r="X1" s="10" t="s">
        <v>19</v>
      </c>
      <c r="Y1" s="10" t="s">
        <v>20</v>
      </c>
      <c r="Z1" s="10" t="s">
        <v>21</v>
      </c>
      <c r="AA1" s="10" t="s">
        <v>22</v>
      </c>
      <c r="AB1" s="11" t="s">
        <v>23</v>
      </c>
      <c r="AC1" s="7" t="s">
        <v>38</v>
      </c>
      <c r="AD1" s="7" t="s">
        <v>43</v>
      </c>
      <c r="AE1" s="17" t="s">
        <v>44</v>
      </c>
    </row>
    <row r="2" spans="1:31" x14ac:dyDescent="0.25">
      <c r="A2" s="20">
        <f ca="1">B2 - WEEKDAY(B2, 2) + 1</f>
        <v>45292</v>
      </c>
      <c r="B2" vm="1">
        <f ca="1"/>
        <v>45293</v>
      </c>
      <c r="C2" vm="2">
        <f ca="1"/>
        <v>149.47999999999999</v>
      </c>
      <c r="D2" vm="3">
        <f ca="1"/>
        <v>8879710</v>
      </c>
      <c r="E2">
        <f ca="1">C2*D2</f>
        <v>1327339050.8</v>
      </c>
      <c r="F2">
        <f ca="1">SUM($E$2:E2)/SUM($D$2:D2)</f>
        <v>149.47999999999999</v>
      </c>
      <c r="G2">
        <f ca="1">_xlfn.STDEV.P($C$2:C2)</f>
        <v>0</v>
      </c>
      <c r="H2">
        <f ca="1">F2 + G2</f>
        <v>149.47999999999999</v>
      </c>
      <c r="I2">
        <f ca="1">F2 - G2</f>
        <v>149.47999999999999</v>
      </c>
      <c r="AC2" t="s">
        <v>39</v>
      </c>
      <c r="AD2">
        <f ca="1">MIN(C:C)</f>
        <v>133.72999999999999</v>
      </c>
      <c r="AE2" s="18">
        <f ca="1">MIN(D:D)</f>
        <v>2227609</v>
      </c>
    </row>
    <row r="3" spans="1:31" x14ac:dyDescent="0.25">
      <c r="A3" s="20">
        <f t="shared" ref="A3:A66" ca="1" si="0">B3 - WEEKDAY(B3, 2) + 1</f>
        <v>45292</v>
      </c>
      <c r="B3" vm="4">
        <f ca="1"/>
        <v>45294</v>
      </c>
      <c r="C3" vm="5">
        <f ca="1"/>
        <v>152.33000000000001</v>
      </c>
      <c r="D3" vm="6">
        <f ca="1"/>
        <v>10255276</v>
      </c>
      <c r="E3">
        <f t="shared" ref="E3:E66" ca="1" si="1">C3*D3</f>
        <v>1562186193.0800002</v>
      </c>
      <c r="F3">
        <f ca="1">SUM($E$2:E3)/SUM($D$2:D3)</f>
        <v>151.00743966470631</v>
      </c>
      <c r="G3">
        <f ca="1">_xlfn.STDEV.P($C$2:C3)</f>
        <v>1.4250000000000114</v>
      </c>
      <c r="H3">
        <f t="shared" ref="H3:H66" ca="1" si="2">F3 + G3</f>
        <v>152.43243966470632</v>
      </c>
      <c r="I3">
        <f t="shared" ref="I3:I66" ca="1" si="3">F3 - G3</f>
        <v>149.5824396647063</v>
      </c>
      <c r="N3">
        <f ca="1">C3-C2</f>
        <v>2.8500000000000227</v>
      </c>
      <c r="O3">
        <f ca="1">MAX(N3,0)</f>
        <v>2.8500000000000227</v>
      </c>
      <c r="P3">
        <f ca="1">MAX(-N3,0)</f>
        <v>0</v>
      </c>
      <c r="AC3" t="s">
        <v>40</v>
      </c>
      <c r="AD3">
        <f ca="1">MAX(C:C)</f>
        <v>178.04</v>
      </c>
      <c r="AE3" s="18">
        <f ca="1">MAX(D:D)</f>
        <v>45782636</v>
      </c>
    </row>
    <row r="4" spans="1:31" x14ac:dyDescent="0.25">
      <c r="A4" s="20">
        <f t="shared" ca="1" si="0"/>
        <v>45292</v>
      </c>
      <c r="B4" vm="7">
        <f ca="1"/>
        <v>45295</v>
      </c>
      <c r="C4" vm="8">
        <f ca="1"/>
        <v>150.66</v>
      </c>
      <c r="D4" vm="9">
        <f ca="1"/>
        <v>8220280</v>
      </c>
      <c r="E4">
        <f t="shared" ca="1" si="1"/>
        <v>1238467384.8</v>
      </c>
      <c r="F4">
        <f ca="1">SUM($E$2:E4)/SUM($D$2:D4)</f>
        <v>150.90303375883826</v>
      </c>
      <c r="G4">
        <f ca="1">_xlfn.STDEV.P($C$2:C4)</f>
        <v>1.1692257647216429</v>
      </c>
      <c r="H4">
        <f t="shared" ca="1" si="2"/>
        <v>152.07225952355989</v>
      </c>
      <c r="I4">
        <f t="shared" ca="1" si="3"/>
        <v>149.73380799411663</v>
      </c>
      <c r="N4">
        <f t="shared" ref="N4:N67" ca="1" si="4">C4-C3</f>
        <v>-1.6700000000000159</v>
      </c>
      <c r="O4">
        <f t="shared" ref="O4:O67" ca="1" si="5">MAX(N4,0)</f>
        <v>0</v>
      </c>
      <c r="P4">
        <f t="shared" ref="P4:P67" ca="1" si="6">MAX(-N4,0)</f>
        <v>1.6700000000000159</v>
      </c>
      <c r="AC4" t="s">
        <v>41</v>
      </c>
      <c r="AD4">
        <f ca="1">MEDIAN(C:C)</f>
        <v>153.39999999999998</v>
      </c>
      <c r="AE4" s="18">
        <f ca="1">MEDIAN(D:D)</f>
        <v>7646969</v>
      </c>
    </row>
    <row r="5" spans="1:31" x14ac:dyDescent="0.25">
      <c r="A5" s="20">
        <f t="shared" ca="1" si="0"/>
        <v>45292</v>
      </c>
      <c r="B5" vm="10">
        <f ca="1"/>
        <v>45296</v>
      </c>
      <c r="C5" vm="11">
        <f ca="1"/>
        <v>150.4</v>
      </c>
      <c r="D5" vm="12">
        <f ca="1"/>
        <v>7455430</v>
      </c>
      <c r="E5">
        <f t="shared" ca="1" si="1"/>
        <v>1121296672</v>
      </c>
      <c r="F5">
        <f ca="1">SUM($E$2:E5)/SUM($D$2:D5)</f>
        <v>150.79529868291058</v>
      </c>
      <c r="G5">
        <f ca="1">_xlfn.STDEV.P($C$2:C5)</f>
        <v>1.0290377787039773</v>
      </c>
      <c r="H5">
        <f t="shared" ca="1" si="2"/>
        <v>151.82433646161456</v>
      </c>
      <c r="I5">
        <f t="shared" ca="1" si="3"/>
        <v>149.7662609042066</v>
      </c>
      <c r="N5">
        <f t="shared" ca="1" si="4"/>
        <v>-0.25999999999999091</v>
      </c>
      <c r="O5">
        <f t="shared" ca="1" si="5"/>
        <v>0</v>
      </c>
      <c r="P5">
        <f t="shared" ca="1" si="6"/>
        <v>0.25999999999999091</v>
      </c>
      <c r="AC5" t="s">
        <v>42</v>
      </c>
      <c r="AD5">
        <f ca="1">AVERAGE(C:C)</f>
        <v>152.70248091603065</v>
      </c>
      <c r="AE5" s="18">
        <f ca="1">AVERAGE(D:D)</f>
        <v>8504215.4446564894</v>
      </c>
    </row>
    <row r="6" spans="1:31" x14ac:dyDescent="0.25">
      <c r="A6" s="20">
        <f t="shared" ca="1" si="0"/>
        <v>45299</v>
      </c>
      <c r="B6" vm="13">
        <f ca="1"/>
        <v>45299</v>
      </c>
      <c r="C6" vm="14">
        <f ca="1"/>
        <v>149.5</v>
      </c>
      <c r="D6" vm="15">
        <f ca="1"/>
        <v>10038193</v>
      </c>
      <c r="E6">
        <f t="shared" ca="1" si="1"/>
        <v>1500709853.5</v>
      </c>
      <c r="F6">
        <f ca="1">SUM($E$2:E6)/SUM($D$2:D6)</f>
        <v>150.50538162004415</v>
      </c>
      <c r="G6">
        <f ca="1">_xlfn.STDEV.P($C$2:C6)</f>
        <v>1.041299188514047</v>
      </c>
      <c r="H6">
        <f t="shared" ca="1" si="2"/>
        <v>151.54668080855819</v>
      </c>
      <c r="I6">
        <f t="shared" ca="1" si="3"/>
        <v>149.4640824315301</v>
      </c>
      <c r="N6">
        <f t="shared" ca="1" si="4"/>
        <v>-0.90000000000000568</v>
      </c>
      <c r="O6">
        <f t="shared" ca="1" si="5"/>
        <v>0</v>
      </c>
      <c r="P6">
        <f t="shared" ca="1" si="6"/>
        <v>0.90000000000000568</v>
      </c>
    </row>
    <row r="7" spans="1:31" x14ac:dyDescent="0.25">
      <c r="A7" s="20">
        <f t="shared" ca="1" si="0"/>
        <v>45299</v>
      </c>
      <c r="B7" vm="16">
        <f ca="1"/>
        <v>45300</v>
      </c>
      <c r="C7" vm="17">
        <f ca="1"/>
        <v>145.69999999999999</v>
      </c>
      <c r="D7" vm="18">
        <f ca="1"/>
        <v>11784672</v>
      </c>
      <c r="E7">
        <f t="shared" ca="1" si="1"/>
        <v>1717026710.3999999</v>
      </c>
      <c r="F7">
        <f ca="1">SUM($E$2:E7)/SUM($D$2:D7)</f>
        <v>149.50544721318158</v>
      </c>
      <c r="G7">
        <f ca="1">_xlfn.STDEV.P($C$2:C7)</f>
        <v>2.0171796868124852</v>
      </c>
      <c r="H7">
        <f t="shared" ca="1" si="2"/>
        <v>151.52262689999407</v>
      </c>
      <c r="I7">
        <f t="shared" ca="1" si="3"/>
        <v>147.4882675263691</v>
      </c>
      <c r="N7">
        <f t="shared" ca="1" si="4"/>
        <v>-3.8000000000000114</v>
      </c>
      <c r="O7">
        <f t="shared" ca="1" si="5"/>
        <v>0</v>
      </c>
      <c r="P7">
        <f t="shared" ca="1" si="6"/>
        <v>3.8000000000000114</v>
      </c>
    </row>
    <row r="8" spans="1:31" x14ac:dyDescent="0.25">
      <c r="A8" s="20">
        <f t="shared" ca="1" si="0"/>
        <v>45299</v>
      </c>
      <c r="B8" vm="19">
        <f ca="1"/>
        <v>45301</v>
      </c>
      <c r="C8" vm="20">
        <f ca="1"/>
        <v>144.5</v>
      </c>
      <c r="D8" vm="21">
        <f ca="1"/>
        <v>8490407</v>
      </c>
      <c r="E8">
        <f t="shared" ca="1" si="1"/>
        <v>1226863811.5</v>
      </c>
      <c r="F8">
        <f ca="1">SUM($E$2:E8)/SUM($D$2:D8)</f>
        <v>148.85287204981122</v>
      </c>
      <c r="G8">
        <f ca="1">_xlfn.STDEV.P($C$2:C8)</f>
        <v>2.6021553076052131</v>
      </c>
      <c r="H8">
        <f t="shared" ca="1" si="2"/>
        <v>151.45502735741644</v>
      </c>
      <c r="I8">
        <f t="shared" ca="1" si="3"/>
        <v>146.25071674220601</v>
      </c>
      <c r="N8">
        <f t="shared" ca="1" si="4"/>
        <v>-1.1999999999999886</v>
      </c>
      <c r="O8">
        <f t="shared" ca="1" si="5"/>
        <v>0</v>
      </c>
      <c r="P8">
        <f t="shared" ca="1" si="6"/>
        <v>1.1999999999999886</v>
      </c>
    </row>
    <row r="9" spans="1:31" x14ac:dyDescent="0.25">
      <c r="A9" s="20">
        <f t="shared" ca="1" si="0"/>
        <v>45299</v>
      </c>
      <c r="B9" vm="22">
        <f ca="1"/>
        <v>45302</v>
      </c>
      <c r="C9" vm="23">
        <f ca="1"/>
        <v>145.28</v>
      </c>
      <c r="D9" vm="24">
        <f ca="1"/>
        <v>8612493</v>
      </c>
      <c r="E9">
        <f t="shared" ca="1" si="1"/>
        <v>1251222983.04</v>
      </c>
      <c r="F9">
        <f ca="1">SUM($E$2:E9)/SUM($D$2:D9)</f>
        <v>148.43555699154044</v>
      </c>
      <c r="G9">
        <f ca="1">_xlfn.STDEV.P($C$2:C9)</f>
        <v>2.7182367331599391</v>
      </c>
      <c r="H9">
        <f t="shared" ca="1" si="2"/>
        <v>151.15379372470036</v>
      </c>
      <c r="I9">
        <f t="shared" ca="1" si="3"/>
        <v>145.71732025838051</v>
      </c>
      <c r="N9">
        <f t="shared" ca="1" si="4"/>
        <v>0.78000000000000114</v>
      </c>
      <c r="O9">
        <f t="shared" ca="1" si="5"/>
        <v>0.78000000000000114</v>
      </c>
      <c r="P9">
        <f t="shared" ca="1" si="6"/>
        <v>0</v>
      </c>
    </row>
    <row r="10" spans="1:31" x14ac:dyDescent="0.25">
      <c r="A10" s="20">
        <f t="shared" ca="1" si="0"/>
        <v>45299</v>
      </c>
      <c r="B10" vm="25">
        <f ca="1"/>
        <v>45303</v>
      </c>
      <c r="C10" vm="26">
        <f ca="1"/>
        <v>147.27000000000001</v>
      </c>
      <c r="D10" vm="27">
        <f ca="1"/>
        <v>9386923</v>
      </c>
      <c r="E10">
        <f t="shared" ca="1" si="1"/>
        <v>1382412150.21</v>
      </c>
      <c r="F10">
        <f ca="1">SUM($E$2:E10)/SUM($D$2:D10)</f>
        <v>148.30393345547623</v>
      </c>
      <c r="G10">
        <f ca="1">_xlfn.STDEV.P($C$2:C10)</f>
        <v>2.590894311494266</v>
      </c>
      <c r="H10">
        <f t="shared" ca="1" si="2"/>
        <v>150.89482776697048</v>
      </c>
      <c r="I10">
        <f t="shared" ca="1" si="3"/>
        <v>145.71303914398197</v>
      </c>
      <c r="N10">
        <f t="shared" ca="1" si="4"/>
        <v>1.9900000000000091</v>
      </c>
      <c r="O10">
        <f t="shared" ca="1" si="5"/>
        <v>1.9900000000000091</v>
      </c>
      <c r="P10">
        <f t="shared" ca="1" si="6"/>
        <v>0</v>
      </c>
    </row>
    <row r="11" spans="1:31" x14ac:dyDescent="0.25">
      <c r="A11" s="20">
        <f t="shared" ca="1" si="0"/>
        <v>45306</v>
      </c>
      <c r="B11" vm="28">
        <f ca="1"/>
        <v>45307</v>
      </c>
      <c r="C11" vm="29">
        <f ca="1"/>
        <v>143.69</v>
      </c>
      <c r="D11" vm="30">
        <f ca="1"/>
        <v>9380352</v>
      </c>
      <c r="E11">
        <f t="shared" ca="1" si="1"/>
        <v>1347862778.8799999</v>
      </c>
      <c r="F11">
        <f ca="1">SUM($E$2:E11)/SUM($D$2:D11)</f>
        <v>147.83605700217336</v>
      </c>
      <c r="G11">
        <f ca="1">_xlfn.STDEV.P($C$2:C11)</f>
        <v>2.827201619976901</v>
      </c>
      <c r="H11">
        <f t="shared" ca="1" si="2"/>
        <v>150.66325862215027</v>
      </c>
      <c r="I11">
        <f t="shared" ca="1" si="3"/>
        <v>145.00885538219646</v>
      </c>
      <c r="N11">
        <f t="shared" ca="1" si="4"/>
        <v>-3.5800000000000125</v>
      </c>
      <c r="O11">
        <f t="shared" ca="1" si="5"/>
        <v>0</v>
      </c>
      <c r="P11">
        <f t="shared" ca="1" si="6"/>
        <v>3.5800000000000125</v>
      </c>
    </row>
    <row r="12" spans="1:31" x14ac:dyDescent="0.25">
      <c r="A12" s="20">
        <f t="shared" ca="1" si="0"/>
        <v>45306</v>
      </c>
      <c r="B12" vm="31">
        <f ca="1"/>
        <v>45308</v>
      </c>
      <c r="C12" vm="32">
        <f ca="1"/>
        <v>143.12</v>
      </c>
      <c r="D12" vm="33">
        <f ca="1"/>
        <v>8167002</v>
      </c>
      <c r="E12">
        <f t="shared" ca="1" si="1"/>
        <v>1168861326.24</v>
      </c>
      <c r="F12">
        <f ca="1">SUM($E$2:E12)/SUM($D$2:D12)</f>
        <v>147.45346273760302</v>
      </c>
      <c r="G12">
        <f ca="1">_xlfn.STDEV.P($C$2:C12)</f>
        <v>3.0232006464606913</v>
      </c>
      <c r="H12">
        <f t="shared" ca="1" si="2"/>
        <v>150.4766633840637</v>
      </c>
      <c r="I12">
        <f t="shared" ca="1" si="3"/>
        <v>144.43026209114234</v>
      </c>
      <c r="N12">
        <f t="shared" ca="1" si="4"/>
        <v>-0.56999999999999318</v>
      </c>
      <c r="O12">
        <f t="shared" ca="1" si="5"/>
        <v>0</v>
      </c>
      <c r="P12">
        <f t="shared" ca="1" si="6"/>
        <v>0.56999999999999318</v>
      </c>
    </row>
    <row r="13" spans="1:31" x14ac:dyDescent="0.25">
      <c r="A13" s="20">
        <f t="shared" ca="1" si="0"/>
        <v>45306</v>
      </c>
      <c r="B13" vm="34">
        <f ca="1"/>
        <v>45309</v>
      </c>
      <c r="C13" vm="35">
        <f ca="1"/>
        <v>141.82</v>
      </c>
      <c r="D13" vm="36">
        <f ca="1"/>
        <v>11187839</v>
      </c>
      <c r="E13">
        <f t="shared" ca="1" si="1"/>
        <v>1586659326.98</v>
      </c>
      <c r="F13">
        <f ca="1">SUM($E$2:E13)/SUM($D$2:D13)</f>
        <v>146.89001668088443</v>
      </c>
      <c r="G13">
        <f ca="1">_xlfn.STDEV.P($C$2:C13)</f>
        <v>3.2860043069898084</v>
      </c>
      <c r="H13">
        <f t="shared" ca="1" si="2"/>
        <v>150.17602098787424</v>
      </c>
      <c r="I13">
        <f t="shared" ca="1" si="3"/>
        <v>143.60401237389462</v>
      </c>
      <c r="N13">
        <f t="shared" ca="1" si="4"/>
        <v>-1.3000000000000114</v>
      </c>
      <c r="O13">
        <f t="shared" ca="1" si="5"/>
        <v>0</v>
      </c>
      <c r="P13">
        <f t="shared" ca="1" si="6"/>
        <v>1.3000000000000114</v>
      </c>
      <c r="W13" s="9">
        <f ca="1">AVERAGE(C2:C13)</f>
        <v>146.97916666666666</v>
      </c>
    </row>
    <row r="14" spans="1:31" x14ac:dyDescent="0.25">
      <c r="A14" s="20">
        <f t="shared" ca="1" si="0"/>
        <v>45306</v>
      </c>
      <c r="B14" vm="37">
        <f ca="1"/>
        <v>45310</v>
      </c>
      <c r="C14" vm="38">
        <f ca="1"/>
        <v>142.24</v>
      </c>
      <c r="D14" vm="39">
        <f ca="1"/>
        <v>11192463</v>
      </c>
      <c r="E14">
        <f t="shared" ca="1" si="1"/>
        <v>1592015937.1200001</v>
      </c>
      <c r="F14">
        <f ca="1">SUM($E$2:E14)/SUM($D$2:D14)</f>
        <v>146.46706097364148</v>
      </c>
      <c r="G14">
        <f ca="1">_xlfn.STDEV.P($C$2:C14)</f>
        <v>3.4002932348314086</v>
      </c>
      <c r="H14">
        <f t="shared" ca="1" si="2"/>
        <v>149.86735420847288</v>
      </c>
      <c r="I14">
        <f t="shared" ca="1" si="3"/>
        <v>143.06676773881009</v>
      </c>
      <c r="N14">
        <f t="shared" ca="1" si="4"/>
        <v>0.42000000000001592</v>
      </c>
      <c r="O14">
        <f t="shared" ca="1" si="5"/>
        <v>0.42000000000001592</v>
      </c>
      <c r="P14">
        <f t="shared" ca="1" si="6"/>
        <v>0</v>
      </c>
      <c r="W14">
        <f ca="1">C14*(2/(12+1)) + W13*(1-(2/(12+1)))</f>
        <v>146.2500641025641</v>
      </c>
    </row>
    <row r="15" spans="1:31" x14ac:dyDescent="0.25">
      <c r="A15" s="20">
        <f t="shared" ca="1" si="0"/>
        <v>45313</v>
      </c>
      <c r="B15" vm="40">
        <f ca="1"/>
        <v>45313</v>
      </c>
      <c r="C15" vm="41">
        <f ca="1"/>
        <v>142.49</v>
      </c>
      <c r="D15" vm="42">
        <f ca="1"/>
        <v>9184626</v>
      </c>
      <c r="E15">
        <f t="shared" ca="1" si="1"/>
        <v>1308717358.74</v>
      </c>
      <c r="F15">
        <f ca="1">SUM($E$2:E15)/SUM($D$2:D15)</f>
        <v>146.19082825423209</v>
      </c>
      <c r="G15">
        <f ca="1">_xlfn.STDEV.P($C$2:C15)</f>
        <v>3.4444904246803021</v>
      </c>
      <c r="H15">
        <f t="shared" ca="1" si="2"/>
        <v>149.6353186789124</v>
      </c>
      <c r="I15">
        <f t="shared" ca="1" si="3"/>
        <v>142.74633782955178</v>
      </c>
      <c r="N15">
        <f t="shared" ca="1" si="4"/>
        <v>0.25</v>
      </c>
      <c r="O15">
        <f t="shared" ca="1" si="5"/>
        <v>0.25</v>
      </c>
      <c r="P15">
        <f t="shared" ca="1" si="6"/>
        <v>0</v>
      </c>
      <c r="Q15" s="2">
        <f ca="1">AVERAGE(O3:O16)</f>
        <v>0.44928571428571779</v>
      </c>
      <c r="R15" s="2">
        <f ca="1">AVERAGE(P3:P16)</f>
        <v>0.97714285714285964</v>
      </c>
      <c r="S15">
        <f ca="1">IF(R15=0,NA(),Q15/R15)</f>
        <v>0.45979532163742931</v>
      </c>
      <c r="T15">
        <f ca="1">100-(100/(1+S15))</f>
        <v>31.497245868803319</v>
      </c>
      <c r="U15">
        <f>70</f>
        <v>70</v>
      </c>
      <c r="V15">
        <f>30</f>
        <v>30</v>
      </c>
      <c r="W15">
        <f t="shared" ref="W15:W78" ca="1" si="7">C15*(2/(12+1)) + W14*(1-(2/(12+1)))</f>
        <v>145.67159270216962</v>
      </c>
    </row>
    <row r="16" spans="1:31" x14ac:dyDescent="0.25">
      <c r="A16" s="20">
        <f t="shared" ca="1" si="0"/>
        <v>45313</v>
      </c>
      <c r="B16" vm="43">
        <f ca="1"/>
        <v>45314</v>
      </c>
      <c r="C16" vm="44">
        <f ca="1"/>
        <v>142.09</v>
      </c>
      <c r="D16" vm="45">
        <f ca="1"/>
        <v>6767179</v>
      </c>
      <c r="E16">
        <f t="shared" ca="1" si="1"/>
        <v>961548464.11000001</v>
      </c>
      <c r="F16">
        <f ca="1">SUM($E$2:E16)/SUM($D$2:D16)</f>
        <v>145.99118457899186</v>
      </c>
      <c r="G16">
        <f ca="1">_xlfn.STDEV.P($C$2:C16)</f>
        <v>3.4909715935061216</v>
      </c>
      <c r="H16">
        <f t="shared" ca="1" si="2"/>
        <v>149.48215617249798</v>
      </c>
      <c r="I16">
        <f t="shared" ca="1" si="3"/>
        <v>142.50021298548575</v>
      </c>
      <c r="N16">
        <f t="shared" ca="1" si="4"/>
        <v>-0.40000000000000568</v>
      </c>
      <c r="O16">
        <f t="shared" ca="1" si="5"/>
        <v>0</v>
      </c>
      <c r="P16">
        <f t="shared" ca="1" si="6"/>
        <v>0.40000000000000568</v>
      </c>
      <c r="Q16">
        <f ca="1">(Q15*13+O16)/14</f>
        <v>0.41719387755102366</v>
      </c>
      <c r="R16">
        <f ca="1">(R15*13+P16)/14</f>
        <v>0.93591836734694145</v>
      </c>
      <c r="S16">
        <f t="shared" ref="S16:S79" ca="1" si="8">IF(R16=0,NA(),Q16/R16)</f>
        <v>0.445758831225471</v>
      </c>
      <c r="T16">
        <f t="shared" ref="T16:T79" ca="1" si="9">100-(100/(1+S16))</f>
        <v>30.832170732627077</v>
      </c>
      <c r="U16">
        <f>70</f>
        <v>70</v>
      </c>
      <c r="V16">
        <f>30</f>
        <v>30</v>
      </c>
      <c r="W16">
        <f t="shared" ca="1" si="7"/>
        <v>145.12057844029738</v>
      </c>
    </row>
    <row r="17" spans="1:25" x14ac:dyDescent="0.25">
      <c r="A17" s="20">
        <f t="shared" ca="1" si="0"/>
        <v>45313</v>
      </c>
      <c r="B17" vm="46">
        <f ca="1"/>
        <v>45315</v>
      </c>
      <c r="C17" vm="47">
        <f ca="1"/>
        <v>144.91999999999999</v>
      </c>
      <c r="D17" vm="48">
        <f ca="1"/>
        <v>8100014</v>
      </c>
      <c r="E17">
        <f t="shared" ca="1" si="1"/>
        <v>1173854028.8799999</v>
      </c>
      <c r="F17">
        <f ca="1">SUM($E$2:E17)/SUM($D$2:D17)</f>
        <v>145.93220129243034</v>
      </c>
      <c r="G17">
        <f ca="1">_xlfn.STDEV.P($C$2:C17)</f>
        <v>3.3909350088692354</v>
      </c>
      <c r="H17">
        <f t="shared" ca="1" si="2"/>
        <v>149.32313630129957</v>
      </c>
      <c r="I17">
        <f t="shared" ca="1" si="3"/>
        <v>142.5412662835611</v>
      </c>
      <c r="N17">
        <f t="shared" ca="1" si="4"/>
        <v>2.8299999999999841</v>
      </c>
      <c r="O17">
        <f t="shared" ca="1" si="5"/>
        <v>2.8299999999999841</v>
      </c>
      <c r="P17">
        <f t="shared" ca="1" si="6"/>
        <v>0</v>
      </c>
      <c r="Q17">
        <f t="shared" ref="Q17:Q80" ca="1" si="10">(Q16*13+O17)/14</f>
        <v>0.58953717201166367</v>
      </c>
      <c r="R17">
        <f t="shared" ref="R17:R80" ca="1" si="11">(R16*13+P17)/14</f>
        <v>0.86906705539358853</v>
      </c>
      <c r="S17">
        <f t="shared" ca="1" si="8"/>
        <v>0.67835636888188144</v>
      </c>
      <c r="T17">
        <f t="shared" ca="1" si="9"/>
        <v>40.417898216324666</v>
      </c>
      <c r="U17">
        <f>70</f>
        <v>70</v>
      </c>
      <c r="V17">
        <f>30</f>
        <v>30</v>
      </c>
      <c r="W17">
        <f t="shared" ca="1" si="7"/>
        <v>145.08972021871315</v>
      </c>
    </row>
    <row r="18" spans="1:25" x14ac:dyDescent="0.25">
      <c r="A18" s="20">
        <f t="shared" ca="1" si="0"/>
        <v>45313</v>
      </c>
      <c r="B18" vm="49">
        <f ca="1"/>
        <v>45316</v>
      </c>
      <c r="C18" vm="50">
        <f ca="1"/>
        <v>148.57</v>
      </c>
      <c r="D18" vm="51">
        <f ca="1"/>
        <v>9773620</v>
      </c>
      <c r="E18">
        <f t="shared" ca="1" si="1"/>
        <v>1452066723.3999999</v>
      </c>
      <c r="F18">
        <f ca="1">SUM($E$2:E18)/SUM($D$2:D18)</f>
        <v>146.09653977305291</v>
      </c>
      <c r="G18">
        <f ca="1">_xlfn.STDEV.P($C$2:C18)</f>
        <v>3.3461705634122074</v>
      </c>
      <c r="H18">
        <f t="shared" ca="1" si="2"/>
        <v>149.44271033646513</v>
      </c>
      <c r="I18">
        <f t="shared" ca="1" si="3"/>
        <v>142.7503692096407</v>
      </c>
      <c r="N18">
        <f t="shared" ca="1" si="4"/>
        <v>3.6500000000000057</v>
      </c>
      <c r="O18">
        <f t="shared" ca="1" si="5"/>
        <v>3.6500000000000057</v>
      </c>
      <c r="P18">
        <f t="shared" ca="1" si="6"/>
        <v>0</v>
      </c>
      <c r="Q18">
        <f t="shared" ca="1" si="10"/>
        <v>0.80814165972511665</v>
      </c>
      <c r="R18">
        <f t="shared" ca="1" si="11"/>
        <v>0.80699083715118936</v>
      </c>
      <c r="S18">
        <f t="shared" ca="1" si="8"/>
        <v>1.0014260664693417</v>
      </c>
      <c r="T18">
        <f t="shared" ca="1" si="9"/>
        <v>50.035626259026827</v>
      </c>
      <c r="U18">
        <f>70</f>
        <v>70</v>
      </c>
      <c r="V18">
        <f>30</f>
        <v>30</v>
      </c>
      <c r="W18">
        <f t="shared" ca="1" si="7"/>
        <v>145.62514787737265</v>
      </c>
    </row>
    <row r="19" spans="1:25" x14ac:dyDescent="0.25">
      <c r="A19" s="20">
        <f t="shared" ca="1" si="0"/>
        <v>45313</v>
      </c>
      <c r="B19" vm="52">
        <f ca="1"/>
        <v>45317</v>
      </c>
      <c r="C19" vm="53">
        <f ca="1"/>
        <v>149.13999999999999</v>
      </c>
      <c r="D19" vm="54">
        <f ca="1"/>
        <v>9151896</v>
      </c>
      <c r="E19">
        <f t="shared" ca="1" si="1"/>
        <v>1364913769.4399998</v>
      </c>
      <c r="F19">
        <f ca="1">SUM($E$2:E19)/SUM($D$2:D19)</f>
        <v>146.26430285256961</v>
      </c>
      <c r="G19">
        <f ca="1">_xlfn.STDEV.P($C$2:C19)</f>
        <v>3.3246017119663933</v>
      </c>
      <c r="H19">
        <f t="shared" ca="1" si="2"/>
        <v>149.58890456453599</v>
      </c>
      <c r="I19">
        <f t="shared" ca="1" si="3"/>
        <v>142.93970114060323</v>
      </c>
      <c r="N19">
        <f t="shared" ca="1" si="4"/>
        <v>0.56999999999999318</v>
      </c>
      <c r="O19">
        <f t="shared" ca="1" si="5"/>
        <v>0.56999999999999318</v>
      </c>
      <c r="P19">
        <f t="shared" ca="1" si="6"/>
        <v>0</v>
      </c>
      <c r="Q19">
        <f t="shared" ca="1" si="10"/>
        <v>0.79113154117332207</v>
      </c>
      <c r="R19">
        <f t="shared" ca="1" si="11"/>
        <v>0.74934863449753297</v>
      </c>
      <c r="S19">
        <f t="shared" ca="1" si="8"/>
        <v>1.0557589681921635</v>
      </c>
      <c r="T19">
        <f t="shared" ca="1" si="9"/>
        <v>51.356165023597057</v>
      </c>
      <c r="U19">
        <f>70</f>
        <v>70</v>
      </c>
      <c r="V19">
        <f>30</f>
        <v>30</v>
      </c>
      <c r="W19">
        <f t="shared" ca="1" si="7"/>
        <v>146.16589435777686</v>
      </c>
    </row>
    <row r="20" spans="1:25" x14ac:dyDescent="0.25">
      <c r="A20" s="20">
        <f t="shared" ca="1" si="0"/>
        <v>45320</v>
      </c>
      <c r="B20" vm="55">
        <f ca="1"/>
        <v>45320</v>
      </c>
      <c r="C20" vm="56">
        <f ca="1"/>
        <v>149.08000000000001</v>
      </c>
      <c r="D20" vm="57">
        <f ca="1"/>
        <v>10494818</v>
      </c>
      <c r="E20">
        <f t="shared" ca="1" si="1"/>
        <v>1564567467.4400001</v>
      </c>
      <c r="F20">
        <f ca="1">SUM($E$2:E20)/SUM($D$2:D20)</f>
        <v>146.43170424953732</v>
      </c>
      <c r="G20">
        <f ca="1">_xlfn.STDEV.P($C$2:C20)</f>
        <v>3.2954024046101336</v>
      </c>
      <c r="H20">
        <f t="shared" ca="1" si="2"/>
        <v>149.72710665414746</v>
      </c>
      <c r="I20">
        <f t="shared" ca="1" si="3"/>
        <v>143.13630184492717</v>
      </c>
      <c r="N20">
        <f t="shared" ca="1" si="4"/>
        <v>-5.9999999999973852E-2</v>
      </c>
      <c r="O20">
        <f t="shared" ca="1" si="5"/>
        <v>0</v>
      </c>
      <c r="P20">
        <f t="shared" ca="1" si="6"/>
        <v>5.9999999999973852E-2</v>
      </c>
      <c r="Q20">
        <f t="shared" ca="1" si="10"/>
        <v>0.73462214537522763</v>
      </c>
      <c r="R20">
        <f t="shared" ca="1" si="11"/>
        <v>0.70010944631913585</v>
      </c>
      <c r="S20">
        <f t="shared" ca="1" si="8"/>
        <v>1.0492961482487406</v>
      </c>
      <c r="T20">
        <f t="shared" ca="1" si="9"/>
        <v>51.202758036969598</v>
      </c>
      <c r="U20">
        <f>70</f>
        <v>70</v>
      </c>
      <c r="V20">
        <f>30</f>
        <v>30</v>
      </c>
      <c r="W20">
        <f t="shared" ca="1" si="7"/>
        <v>146.61421830273426</v>
      </c>
    </row>
    <row r="21" spans="1:25" x14ac:dyDescent="0.25">
      <c r="A21" s="20">
        <f t="shared" ca="1" si="0"/>
        <v>45320</v>
      </c>
      <c r="B21" vm="58">
        <f ca="1"/>
        <v>45321</v>
      </c>
      <c r="C21" vm="59">
        <f ca="1"/>
        <v>150.12</v>
      </c>
      <c r="D21" vm="60">
        <f ca="1"/>
        <v>9902881</v>
      </c>
      <c r="E21">
        <f t="shared" ca="1" si="1"/>
        <v>1486620495.72</v>
      </c>
      <c r="F21">
        <f ca="1">SUM($E$2:E21)/SUM($D$2:D21)</f>
        <v>146.62762509433094</v>
      </c>
      <c r="G21">
        <f ca="1">_xlfn.STDEV.P($C$2:C21)</f>
        <v>3.3108050380534344</v>
      </c>
      <c r="H21">
        <f t="shared" ca="1" si="2"/>
        <v>149.93843013238438</v>
      </c>
      <c r="I21">
        <f t="shared" ca="1" si="3"/>
        <v>143.31682005627749</v>
      </c>
      <c r="J21">
        <f ca="1">AVERAGE(C2:C21)</f>
        <v>146.61999999999998</v>
      </c>
      <c r="K21">
        <f ca="1">_xlfn.STDEV.S(C2:C21)</f>
        <v>3.3968142970172881</v>
      </c>
      <c r="L21">
        <f ca="1">J21 + 2*K21</f>
        <v>153.41362859403455</v>
      </c>
      <c r="M21">
        <f ca="1">J21-2*K21</f>
        <v>139.8263714059654</v>
      </c>
      <c r="N21">
        <f t="shared" ca="1" si="4"/>
        <v>1.039999999999992</v>
      </c>
      <c r="O21">
        <f t="shared" ca="1" si="5"/>
        <v>1.039999999999992</v>
      </c>
      <c r="P21">
        <f t="shared" ca="1" si="6"/>
        <v>0</v>
      </c>
      <c r="Q21">
        <f t="shared" ca="1" si="10"/>
        <v>0.75643484927699656</v>
      </c>
      <c r="R21">
        <f t="shared" ca="1" si="11"/>
        <v>0.65010162872491184</v>
      </c>
      <c r="S21">
        <f t="shared" ca="1" si="8"/>
        <v>1.163563996541038</v>
      </c>
      <c r="T21">
        <f t="shared" ca="1" si="9"/>
        <v>53.779966684658582</v>
      </c>
      <c r="U21">
        <f>70</f>
        <v>70</v>
      </c>
      <c r="V21">
        <f>30</f>
        <v>30</v>
      </c>
      <c r="W21">
        <f t="shared" ca="1" si="7"/>
        <v>147.15356933308283</v>
      </c>
    </row>
    <row r="22" spans="1:25" x14ac:dyDescent="0.25">
      <c r="A22" s="20">
        <f t="shared" ca="1" si="0"/>
        <v>45320</v>
      </c>
      <c r="B22" vm="61">
        <f ca="1"/>
        <v>45322</v>
      </c>
      <c r="C22" vm="62">
        <f ca="1"/>
        <v>147.43</v>
      </c>
      <c r="D22" vm="63">
        <f ca="1"/>
        <v>10427972</v>
      </c>
      <c r="E22">
        <f t="shared" ca="1" si="1"/>
        <v>1537395911.96</v>
      </c>
      <c r="F22">
        <f ca="1">SUM($E$2:E22)/SUM($D$2:D22)</f>
        <v>146.67012939241289</v>
      </c>
      <c r="G22">
        <f ca="1">_xlfn.STDEV.P($C$2:C22)</f>
        <v>3.2356162079112476</v>
      </c>
      <c r="H22">
        <f t="shared" ca="1" si="2"/>
        <v>149.90574560032414</v>
      </c>
      <c r="I22">
        <f t="shared" ca="1" si="3"/>
        <v>143.43451318450164</v>
      </c>
      <c r="J22">
        <f t="shared" ref="J22:J85" ca="1" si="12">AVERAGE(C3:C22)</f>
        <v>146.51749999999998</v>
      </c>
      <c r="K22">
        <f t="shared" ref="K22:K85" ca="1" si="13">_xlfn.STDEV.S(C3:C22)</f>
        <v>3.336362461376793</v>
      </c>
      <c r="L22">
        <f t="shared" ref="L22:L85" ca="1" si="14">J22 + 2*K22</f>
        <v>153.19022492275357</v>
      </c>
      <c r="M22">
        <f t="shared" ref="M22:M85" ca="1" si="15">J22-2*K22</f>
        <v>139.8447750772464</v>
      </c>
      <c r="N22">
        <f t="shared" ca="1" si="4"/>
        <v>-2.6899999999999977</v>
      </c>
      <c r="O22">
        <f t="shared" ca="1" si="5"/>
        <v>0</v>
      </c>
      <c r="P22">
        <f t="shared" ca="1" si="6"/>
        <v>2.6899999999999977</v>
      </c>
      <c r="Q22">
        <f t="shared" ca="1" si="10"/>
        <v>0.70240378861435393</v>
      </c>
      <c r="R22">
        <f t="shared" ca="1" si="11"/>
        <v>0.79580865524456079</v>
      </c>
      <c r="S22">
        <f t="shared" ca="1" si="8"/>
        <v>0.88262898874666984</v>
      </c>
      <c r="T22">
        <f t="shared" ca="1" si="9"/>
        <v>46.882789653327606</v>
      </c>
      <c r="U22">
        <f>70</f>
        <v>70</v>
      </c>
      <c r="V22">
        <f>30</f>
        <v>30</v>
      </c>
      <c r="W22">
        <f t="shared" ca="1" si="7"/>
        <v>147.19609712799317</v>
      </c>
    </row>
    <row r="23" spans="1:25" x14ac:dyDescent="0.25">
      <c r="A23" s="20">
        <f t="shared" ca="1" si="0"/>
        <v>45320</v>
      </c>
      <c r="B23" vm="64">
        <f ca="1"/>
        <v>45323</v>
      </c>
      <c r="C23" vm="65">
        <f ca="1"/>
        <v>147.88999999999999</v>
      </c>
      <c r="D23" vm="66">
        <f ca="1"/>
        <v>8138669</v>
      </c>
      <c r="E23">
        <f t="shared" ca="1" si="1"/>
        <v>1203627758.4099998</v>
      </c>
      <c r="F23">
        <f ca="1">SUM($E$2:E23)/SUM($D$2:D23)</f>
        <v>146.71856098227684</v>
      </c>
      <c r="G23">
        <f ca="1">_xlfn.STDEV.P($C$2:C23)</f>
        <v>3.1716137665701858</v>
      </c>
      <c r="H23">
        <f t="shared" ca="1" si="2"/>
        <v>149.89017474884702</v>
      </c>
      <c r="I23">
        <f t="shared" ca="1" si="3"/>
        <v>143.54694721570667</v>
      </c>
      <c r="J23">
        <f t="shared" ca="1" si="12"/>
        <v>146.29549999999998</v>
      </c>
      <c r="K23">
        <f t="shared" ca="1" si="13"/>
        <v>3.0660097074725297</v>
      </c>
      <c r="L23">
        <f t="shared" ca="1" si="14"/>
        <v>152.42751941494504</v>
      </c>
      <c r="M23">
        <f t="shared" ca="1" si="15"/>
        <v>140.16348058505491</v>
      </c>
      <c r="N23">
        <f t="shared" ca="1" si="4"/>
        <v>0.45999999999997954</v>
      </c>
      <c r="O23">
        <f t="shared" ca="1" si="5"/>
        <v>0.45999999999997954</v>
      </c>
      <c r="P23">
        <f t="shared" ca="1" si="6"/>
        <v>0</v>
      </c>
      <c r="Q23">
        <f t="shared" ca="1" si="10"/>
        <v>0.68508923228475571</v>
      </c>
      <c r="R23">
        <f t="shared" ca="1" si="11"/>
        <v>0.73896517986994936</v>
      </c>
      <c r="S23">
        <f t="shared" ca="1" si="8"/>
        <v>0.92709271146622185</v>
      </c>
      <c r="T23">
        <f t="shared" ca="1" si="9"/>
        <v>48.108360638282242</v>
      </c>
      <c r="U23">
        <f>70</f>
        <v>70</v>
      </c>
      <c r="V23">
        <f>30</f>
        <v>30</v>
      </c>
      <c r="W23">
        <f t="shared" ca="1" si="7"/>
        <v>147.30285141599421</v>
      </c>
    </row>
    <row r="24" spans="1:25" x14ac:dyDescent="0.25">
      <c r="A24" s="20">
        <f t="shared" ca="1" si="0"/>
        <v>45320</v>
      </c>
      <c r="B24" vm="67">
        <f ca="1"/>
        <v>45324</v>
      </c>
      <c r="C24" vm="68">
        <f ca="1"/>
        <v>152.24</v>
      </c>
      <c r="D24" vm="69">
        <f ca="1"/>
        <v>12839063</v>
      </c>
      <c r="E24">
        <f t="shared" ca="1" si="1"/>
        <v>1954618951.1200001</v>
      </c>
      <c r="F24">
        <f ca="1">SUM($E$2:E24)/SUM($D$2:D24)</f>
        <v>147.04399606824123</v>
      </c>
      <c r="G24">
        <f ca="1">_xlfn.STDEV.P($C$2:C24)</f>
        <v>3.3002251169134262</v>
      </c>
      <c r="H24">
        <f t="shared" ca="1" si="2"/>
        <v>150.34422118515465</v>
      </c>
      <c r="I24">
        <f t="shared" ca="1" si="3"/>
        <v>143.7437709513278</v>
      </c>
      <c r="J24">
        <f t="shared" ca="1" si="12"/>
        <v>146.37449999999998</v>
      </c>
      <c r="K24">
        <f t="shared" ca="1" si="13"/>
        <v>3.2017371518401831</v>
      </c>
      <c r="L24">
        <f t="shared" ca="1" si="14"/>
        <v>152.77797430368034</v>
      </c>
      <c r="M24">
        <f t="shared" ca="1" si="15"/>
        <v>139.97102569631963</v>
      </c>
      <c r="N24">
        <f t="shared" ca="1" si="4"/>
        <v>4.3500000000000227</v>
      </c>
      <c r="O24">
        <f t="shared" ca="1" si="5"/>
        <v>4.3500000000000227</v>
      </c>
      <c r="P24">
        <f t="shared" ca="1" si="6"/>
        <v>0</v>
      </c>
      <c r="Q24">
        <f t="shared" ca="1" si="10"/>
        <v>0.94686857283584625</v>
      </c>
      <c r="R24">
        <f t="shared" ca="1" si="11"/>
        <v>0.68618195273638161</v>
      </c>
      <c r="S24">
        <f t="shared" ca="1" si="8"/>
        <v>1.3799088843125193</v>
      </c>
      <c r="T24">
        <f t="shared" ca="1" si="9"/>
        <v>57.981584648402688</v>
      </c>
      <c r="U24">
        <f>70</f>
        <v>70</v>
      </c>
      <c r="V24">
        <f>30</f>
        <v>30</v>
      </c>
      <c r="W24">
        <f t="shared" ca="1" si="7"/>
        <v>148.0624127366105</v>
      </c>
    </row>
    <row r="25" spans="1:25" x14ac:dyDescent="0.25">
      <c r="A25" s="20">
        <f t="shared" ca="1" si="0"/>
        <v>45327</v>
      </c>
      <c r="B25" vm="70">
        <f ca="1"/>
        <v>45327</v>
      </c>
      <c r="C25" vm="5">
        <f ca="1"/>
        <v>152.33000000000001</v>
      </c>
      <c r="D25" vm="71">
        <f ca="1"/>
        <v>8277776</v>
      </c>
      <c r="E25">
        <f t="shared" ca="1" si="1"/>
        <v>1260953618.0800002</v>
      </c>
      <c r="F25">
        <f ca="1">SUM($E$2:E25)/SUM($D$2:D25)</f>
        <v>147.23751445659832</v>
      </c>
      <c r="G25">
        <f ca="1">_xlfn.STDEV.P($C$2:C25)</f>
        <v>3.4046124504119426</v>
      </c>
      <c r="H25">
        <f t="shared" ca="1" si="2"/>
        <v>150.64212690701027</v>
      </c>
      <c r="I25">
        <f t="shared" ca="1" si="3"/>
        <v>143.83290200618637</v>
      </c>
      <c r="J25">
        <f t="shared" ca="1" si="12"/>
        <v>146.47099999999995</v>
      </c>
      <c r="K25">
        <f t="shared" ca="1" si="13"/>
        <v>3.354873752428972</v>
      </c>
      <c r="L25">
        <f t="shared" ca="1" si="14"/>
        <v>153.18074750485789</v>
      </c>
      <c r="M25">
        <f t="shared" ca="1" si="15"/>
        <v>139.761252495142</v>
      </c>
      <c r="N25">
        <f t="shared" ca="1" si="4"/>
        <v>9.0000000000003411E-2</v>
      </c>
      <c r="O25">
        <f t="shared" ca="1" si="5"/>
        <v>9.0000000000003411E-2</v>
      </c>
      <c r="P25">
        <f t="shared" ca="1" si="6"/>
        <v>0</v>
      </c>
      <c r="Q25">
        <f t="shared" ca="1" si="10"/>
        <v>0.88566367477614327</v>
      </c>
      <c r="R25">
        <f t="shared" ca="1" si="11"/>
        <v>0.63716895611235436</v>
      </c>
      <c r="S25">
        <f t="shared" ca="1" si="8"/>
        <v>1.3899981571292543</v>
      </c>
      <c r="T25">
        <f t="shared" ca="1" si="9"/>
        <v>58.158963553296218</v>
      </c>
      <c r="U25">
        <f>70</f>
        <v>70</v>
      </c>
      <c r="V25">
        <f>30</f>
        <v>30</v>
      </c>
      <c r="W25">
        <f t="shared" ca="1" si="7"/>
        <v>148.71896462328581</v>
      </c>
    </row>
    <row r="26" spans="1:25" x14ac:dyDescent="0.25">
      <c r="A26" s="20">
        <f t="shared" ca="1" si="0"/>
        <v>45327</v>
      </c>
      <c r="B26" vm="72">
        <f ca="1"/>
        <v>45328</v>
      </c>
      <c r="C26" vm="73">
        <f ca="1"/>
        <v>152.35</v>
      </c>
      <c r="D26" vm="74">
        <f ca="1"/>
        <v>6198841</v>
      </c>
      <c r="E26">
        <f t="shared" ca="1" si="1"/>
        <v>944393426.35000002</v>
      </c>
      <c r="F26">
        <f ca="1">SUM($E$2:E26)/SUM($D$2:D26)</f>
        <v>147.37393434361249</v>
      </c>
      <c r="G26">
        <f ca="1">_xlfn.STDEV.P($C$2:C26)</f>
        <v>3.4863471772042449</v>
      </c>
      <c r="H26">
        <f t="shared" ca="1" si="2"/>
        <v>150.86028152081673</v>
      </c>
      <c r="I26">
        <f t="shared" ca="1" si="3"/>
        <v>143.88758716640825</v>
      </c>
      <c r="J26">
        <f t="shared" ca="1" si="12"/>
        <v>146.61349999999996</v>
      </c>
      <c r="K26">
        <f t="shared" ca="1" si="13"/>
        <v>3.5454199884832889</v>
      </c>
      <c r="L26">
        <f t="shared" ca="1" si="14"/>
        <v>153.70433997696654</v>
      </c>
      <c r="M26">
        <f t="shared" ca="1" si="15"/>
        <v>139.52266002303338</v>
      </c>
      <c r="N26">
        <f t="shared" ca="1" si="4"/>
        <v>1.999999999998181E-2</v>
      </c>
      <c r="O26">
        <f t="shared" ca="1" si="5"/>
        <v>1.999999999998181E-2</v>
      </c>
      <c r="P26">
        <f t="shared" ca="1" si="6"/>
        <v>0</v>
      </c>
      <c r="Q26">
        <f t="shared" ca="1" si="10"/>
        <v>0.8238305551492745</v>
      </c>
      <c r="R26">
        <f t="shared" ca="1" si="11"/>
        <v>0.5916568878186147</v>
      </c>
      <c r="S26">
        <f t="shared" ca="1" si="8"/>
        <v>1.3924126839571886</v>
      </c>
      <c r="T26">
        <f t="shared" ca="1" si="9"/>
        <v>58.201191345217993</v>
      </c>
      <c r="U26">
        <f>70</f>
        <v>70</v>
      </c>
      <c r="V26">
        <f>30</f>
        <v>30</v>
      </c>
      <c r="W26">
        <f t="shared" ca="1" si="7"/>
        <v>149.2775854504726</v>
      </c>
    </row>
    <row r="27" spans="1:25" x14ac:dyDescent="0.25">
      <c r="A27" s="20">
        <f t="shared" ca="1" si="0"/>
        <v>45327</v>
      </c>
      <c r="B27" vm="75">
        <f ca="1"/>
        <v>45329</v>
      </c>
      <c r="C27" vm="76">
        <f ca="1"/>
        <v>152.13</v>
      </c>
      <c r="D27" vm="77">
        <f ca="1"/>
        <v>6252041</v>
      </c>
      <c r="E27">
        <f t="shared" ca="1" si="1"/>
        <v>951122997.32999992</v>
      </c>
      <c r="F27">
        <f ca="1">SUM($E$2:E27)/SUM($D$2:D27)</f>
        <v>147.49857830378042</v>
      </c>
      <c r="G27">
        <f ca="1">_xlfn.STDEV.P($C$2:C27)</f>
        <v>3.5383014386857892</v>
      </c>
      <c r="H27">
        <f t="shared" ca="1" si="2"/>
        <v>151.0368797424662</v>
      </c>
      <c r="I27">
        <f t="shared" ca="1" si="3"/>
        <v>143.96027686509464</v>
      </c>
      <c r="J27">
        <f t="shared" ca="1" si="12"/>
        <v>146.93499999999997</v>
      </c>
      <c r="K27">
        <f t="shared" ca="1" si="13"/>
        <v>3.7441891821299502</v>
      </c>
      <c r="L27">
        <f t="shared" ca="1" si="14"/>
        <v>154.42337836425986</v>
      </c>
      <c r="M27">
        <f t="shared" ca="1" si="15"/>
        <v>139.44662163574009</v>
      </c>
      <c r="N27">
        <f t="shared" ca="1" si="4"/>
        <v>-0.21999999999999886</v>
      </c>
      <c r="O27">
        <f t="shared" ca="1" si="5"/>
        <v>0</v>
      </c>
      <c r="P27">
        <f t="shared" ca="1" si="6"/>
        <v>0.21999999999999886</v>
      </c>
      <c r="Q27">
        <f t="shared" ca="1" si="10"/>
        <v>0.76498551549575489</v>
      </c>
      <c r="R27">
        <f t="shared" ca="1" si="11"/>
        <v>0.56510996726014218</v>
      </c>
      <c r="S27">
        <f t="shared" ca="1" si="8"/>
        <v>1.3536931921492763</v>
      </c>
      <c r="T27">
        <f t="shared" ca="1" si="9"/>
        <v>57.513578943275547</v>
      </c>
      <c r="U27">
        <f>70</f>
        <v>70</v>
      </c>
      <c r="V27">
        <f>30</f>
        <v>30</v>
      </c>
      <c r="W27">
        <f t="shared" ca="1" si="7"/>
        <v>149.71641845809219</v>
      </c>
      <c r="X27" s="9">
        <f ca="1">AVERAGE(C2:C27)</f>
        <v>147.56807692307689</v>
      </c>
      <c r="Y27">
        <f ca="1">W28-X28</f>
        <v>2.3357016582717733</v>
      </c>
    </row>
    <row r="28" spans="1:25" x14ac:dyDescent="0.25">
      <c r="A28" s="20">
        <f t="shared" ca="1" si="0"/>
        <v>45327</v>
      </c>
      <c r="B28" vm="78">
        <f ca="1"/>
        <v>45330</v>
      </c>
      <c r="C28" vm="79">
        <f ca="1"/>
        <v>154.06</v>
      </c>
      <c r="D28" vm="80">
        <f ca="1"/>
        <v>9236968</v>
      </c>
      <c r="E28">
        <f t="shared" ca="1" si="1"/>
        <v>1423047290.0799999</v>
      </c>
      <c r="F28">
        <f ca="1">SUM($E$2:E28)/SUM($D$2:D28)</f>
        <v>147.74316376458086</v>
      </c>
      <c r="G28">
        <f ca="1">_xlfn.STDEV.P($C$2:C28)</f>
        <v>3.6822554518419865</v>
      </c>
      <c r="H28">
        <f t="shared" ca="1" si="2"/>
        <v>151.42541921642285</v>
      </c>
      <c r="I28">
        <f t="shared" ca="1" si="3"/>
        <v>144.06090831273886</v>
      </c>
      <c r="J28">
        <f t="shared" ca="1" si="12"/>
        <v>147.41300000000001</v>
      </c>
      <c r="K28">
        <f t="shared" ca="1" si="13"/>
        <v>4.0172445387616778</v>
      </c>
      <c r="L28">
        <f t="shared" ca="1" si="14"/>
        <v>155.44748907752336</v>
      </c>
      <c r="M28">
        <f t="shared" ca="1" si="15"/>
        <v>139.37851092247666</v>
      </c>
      <c r="N28">
        <f t="shared" ca="1" si="4"/>
        <v>1.9300000000000068</v>
      </c>
      <c r="O28">
        <f t="shared" ca="1" si="5"/>
        <v>1.9300000000000068</v>
      </c>
      <c r="P28">
        <f t="shared" ca="1" si="6"/>
        <v>0</v>
      </c>
      <c r="Q28">
        <f t="shared" ca="1" si="10"/>
        <v>0.84820083581748718</v>
      </c>
      <c r="R28">
        <f t="shared" ca="1" si="11"/>
        <v>0.52474496959870343</v>
      </c>
      <c r="S28">
        <f t="shared" ca="1" si="8"/>
        <v>1.6164058446642096</v>
      </c>
      <c r="T28">
        <f t="shared" ca="1" si="9"/>
        <v>61.779629791021954</v>
      </c>
      <c r="U28">
        <f>70</f>
        <v>70</v>
      </c>
      <c r="V28">
        <f>30</f>
        <v>30</v>
      </c>
      <c r="W28">
        <f t="shared" ca="1" si="7"/>
        <v>150.38466177223185</v>
      </c>
      <c r="X28">
        <f ca="1">C28*(2/(26+1)) + X27*(1-(2/(26+1)))</f>
        <v>148.04896011396008</v>
      </c>
      <c r="Y28">
        <f t="shared" ref="Y28:Y91" ca="1" si="16">W29-X29</f>
        <v>2.2149644140052374</v>
      </c>
    </row>
    <row r="29" spans="1:25" x14ac:dyDescent="0.25">
      <c r="A29" s="20">
        <f t="shared" ca="1" si="0"/>
        <v>45327</v>
      </c>
      <c r="B29" vm="81">
        <f ca="1"/>
        <v>45331</v>
      </c>
      <c r="C29" vm="82">
        <f ca="1"/>
        <v>151.04</v>
      </c>
      <c r="D29" vm="83">
        <f ca="1"/>
        <v>9194458</v>
      </c>
      <c r="E29">
        <f t="shared" ca="1" si="1"/>
        <v>1388730936.3199999</v>
      </c>
      <c r="F29">
        <f ca="1">SUM($E$2:E29)/SUM($D$2:D29)</f>
        <v>147.86111544625487</v>
      </c>
      <c r="G29">
        <f ca="1">_xlfn.STDEV.P($C$2:C29)</f>
        <v>3.6652941211992749</v>
      </c>
      <c r="H29">
        <f t="shared" ca="1" si="2"/>
        <v>151.52640956745415</v>
      </c>
      <c r="I29">
        <f t="shared" ca="1" si="3"/>
        <v>144.19582132505559</v>
      </c>
      <c r="J29">
        <f t="shared" ca="1" si="12"/>
        <v>147.70099999999996</v>
      </c>
      <c r="K29">
        <f t="shared" ca="1" si="13"/>
        <v>4.0624945667979864</v>
      </c>
      <c r="L29">
        <f t="shared" ca="1" si="14"/>
        <v>155.82598913359593</v>
      </c>
      <c r="M29">
        <f t="shared" ca="1" si="15"/>
        <v>139.576010866404</v>
      </c>
      <c r="N29">
        <f t="shared" ca="1" si="4"/>
        <v>-3.0200000000000102</v>
      </c>
      <c r="O29">
        <f t="shared" ca="1" si="5"/>
        <v>0</v>
      </c>
      <c r="P29">
        <f t="shared" ca="1" si="6"/>
        <v>3.0200000000000102</v>
      </c>
      <c r="Q29">
        <f t="shared" ca="1" si="10"/>
        <v>0.78761506183052377</v>
      </c>
      <c r="R29">
        <f t="shared" ca="1" si="11"/>
        <v>0.70297747177022529</v>
      </c>
      <c r="S29">
        <f t="shared" ca="1" si="8"/>
        <v>1.1203987232295873</v>
      </c>
      <c r="T29">
        <f t="shared" ca="1" si="9"/>
        <v>52.839058567395462</v>
      </c>
      <c r="U29">
        <f>70</f>
        <v>70</v>
      </c>
      <c r="V29">
        <f>30</f>
        <v>30</v>
      </c>
      <c r="W29">
        <f t="shared" ca="1" si="7"/>
        <v>150.48548303804233</v>
      </c>
      <c r="X29">
        <f t="shared" ref="X29:X92" ca="1" si="17">C29*(2/(26+1)) + X28*(1-(2/(26+1)))</f>
        <v>148.27051862403709</v>
      </c>
      <c r="Y29">
        <f t="shared" ca="1" si="16"/>
        <v>2.1780909102180033</v>
      </c>
    </row>
    <row r="30" spans="1:25" x14ac:dyDescent="0.25">
      <c r="A30" s="20">
        <f t="shared" ca="1" si="0"/>
        <v>45334</v>
      </c>
      <c r="B30" vm="84">
        <f ca="1"/>
        <v>45334</v>
      </c>
      <c r="C30" vm="85">
        <f ca="1"/>
        <v>152.08000000000001</v>
      </c>
      <c r="D30" vm="86">
        <f ca="1"/>
        <v>6713003</v>
      </c>
      <c r="E30">
        <f t="shared" ca="1" si="1"/>
        <v>1020913496.2400001</v>
      </c>
      <c r="F30">
        <f ca="1">SUM($E$2:E30)/SUM($D$2:D30)</f>
        <v>147.96851348256317</v>
      </c>
      <c r="G30">
        <f ca="1">_xlfn.STDEV.P($C$2:C30)</f>
        <v>3.6805171081133894</v>
      </c>
      <c r="H30">
        <f t="shared" ca="1" si="2"/>
        <v>151.64903059067655</v>
      </c>
      <c r="I30">
        <f t="shared" ca="1" si="3"/>
        <v>144.28799637444979</v>
      </c>
      <c r="J30">
        <f t="shared" ca="1" si="12"/>
        <v>147.94149999999999</v>
      </c>
      <c r="K30">
        <f t="shared" ca="1" si="13"/>
        <v>4.176415328963345</v>
      </c>
      <c r="L30">
        <f t="shared" ca="1" si="14"/>
        <v>156.29433065792668</v>
      </c>
      <c r="M30">
        <f t="shared" ca="1" si="15"/>
        <v>139.5886693420733</v>
      </c>
      <c r="N30">
        <f t="shared" ca="1" si="4"/>
        <v>1.0400000000000205</v>
      </c>
      <c r="O30">
        <f t="shared" ca="1" si="5"/>
        <v>1.0400000000000205</v>
      </c>
      <c r="P30">
        <f t="shared" ca="1" si="6"/>
        <v>0</v>
      </c>
      <c r="Q30">
        <f t="shared" ca="1" si="10"/>
        <v>0.80564255741405932</v>
      </c>
      <c r="R30">
        <f t="shared" ca="1" si="11"/>
        <v>0.65276479521520925</v>
      </c>
      <c r="S30">
        <f t="shared" ca="1" si="8"/>
        <v>1.2342003786347699</v>
      </c>
      <c r="T30">
        <f t="shared" ca="1" si="9"/>
        <v>55.241257249671591</v>
      </c>
      <c r="U30">
        <f>70</f>
        <v>70</v>
      </c>
      <c r="V30">
        <f>30</f>
        <v>30</v>
      </c>
      <c r="W30">
        <f t="shared" ca="1" si="7"/>
        <v>150.73079333988198</v>
      </c>
      <c r="X30">
        <f t="shared" ca="1" si="17"/>
        <v>148.55270242966398</v>
      </c>
      <c r="Y30">
        <f t="shared" ca="1" si="16"/>
        <v>2.0063171860517173</v>
      </c>
    </row>
    <row r="31" spans="1:25" x14ac:dyDescent="0.25">
      <c r="A31" s="20">
        <f t="shared" ca="1" si="0"/>
        <v>45334</v>
      </c>
      <c r="B31" vm="87">
        <f ca="1"/>
        <v>45335</v>
      </c>
      <c r="C31" vm="88">
        <f ca="1"/>
        <v>150.6</v>
      </c>
      <c r="D31" vm="89">
        <f ca="1"/>
        <v>6987058</v>
      </c>
      <c r="E31">
        <f t="shared" ca="1" si="1"/>
        <v>1052250934.8</v>
      </c>
      <c r="F31">
        <f ca="1">SUM($E$2:E31)/SUM($D$2:D31)</f>
        <v>148.0364370050672</v>
      </c>
      <c r="G31">
        <f ca="1">_xlfn.STDEV.P($C$2:C31)</f>
        <v>3.6471039500159885</v>
      </c>
      <c r="H31">
        <f t="shared" ca="1" si="2"/>
        <v>151.68354095508317</v>
      </c>
      <c r="I31">
        <f t="shared" ca="1" si="3"/>
        <v>144.38933305505122</v>
      </c>
      <c r="J31">
        <f t="shared" ca="1" si="12"/>
        <v>148.28699999999998</v>
      </c>
      <c r="K31">
        <f t="shared" ca="1" si="13"/>
        <v>4.0911420358983799</v>
      </c>
      <c r="L31">
        <f t="shared" ca="1" si="14"/>
        <v>156.46928407179675</v>
      </c>
      <c r="M31">
        <f t="shared" ca="1" si="15"/>
        <v>140.10471592820321</v>
      </c>
      <c r="N31">
        <f t="shared" ca="1" si="4"/>
        <v>-1.4800000000000182</v>
      </c>
      <c r="O31">
        <f t="shared" ca="1" si="5"/>
        <v>0</v>
      </c>
      <c r="P31">
        <f t="shared" ca="1" si="6"/>
        <v>1.4800000000000182</v>
      </c>
      <c r="Q31">
        <f t="shared" ca="1" si="10"/>
        <v>0.74809666045591228</v>
      </c>
      <c r="R31">
        <f t="shared" ca="1" si="11"/>
        <v>0.71185302412840989</v>
      </c>
      <c r="S31">
        <f t="shared" ca="1" si="8"/>
        <v>1.0509144937213395</v>
      </c>
      <c r="T31">
        <f t="shared" ca="1" si="9"/>
        <v>51.241263199348602</v>
      </c>
      <c r="U31">
        <f>70</f>
        <v>70</v>
      </c>
      <c r="V31">
        <f>30</f>
        <v>30</v>
      </c>
      <c r="W31">
        <f t="shared" ca="1" si="7"/>
        <v>150.71067128759245</v>
      </c>
      <c r="X31">
        <f t="shared" ca="1" si="17"/>
        <v>148.70435410154073</v>
      </c>
      <c r="Y31">
        <f t="shared" ca="1" si="16"/>
        <v>1.881579172120297</v>
      </c>
    </row>
    <row r="32" spans="1:25" x14ac:dyDescent="0.25">
      <c r="A32" s="20">
        <f t="shared" ca="1" si="0"/>
        <v>45334</v>
      </c>
      <c r="B32" vm="90">
        <f ca="1"/>
        <v>45336</v>
      </c>
      <c r="C32" vm="91">
        <f ca="1"/>
        <v>151.01</v>
      </c>
      <c r="D32" vm="92">
        <f ca="1"/>
        <v>5995064</v>
      </c>
      <c r="E32">
        <f t="shared" ca="1" si="1"/>
        <v>905314614.63999999</v>
      </c>
      <c r="F32">
        <f ca="1">SUM($E$2:E32)/SUM($D$2:D32)</f>
        <v>148.10086613003597</v>
      </c>
      <c r="G32">
        <f ca="1">_xlfn.STDEV.P($C$2:C32)</f>
        <v>3.6231671027318666</v>
      </c>
      <c r="H32">
        <f t="shared" ca="1" si="2"/>
        <v>151.72403323276782</v>
      </c>
      <c r="I32">
        <f t="shared" ca="1" si="3"/>
        <v>144.47769902730411</v>
      </c>
      <c r="J32">
        <f t="shared" ca="1" si="12"/>
        <v>148.6815</v>
      </c>
      <c r="K32">
        <f t="shared" ca="1" si="13"/>
        <v>3.9444541680960787</v>
      </c>
      <c r="L32">
        <f t="shared" ca="1" si="14"/>
        <v>156.57040833619214</v>
      </c>
      <c r="M32">
        <f t="shared" ca="1" si="15"/>
        <v>140.79259166380785</v>
      </c>
      <c r="N32">
        <f t="shared" ca="1" si="4"/>
        <v>0.40999999999999659</v>
      </c>
      <c r="O32">
        <f t="shared" ca="1" si="5"/>
        <v>0.40999999999999659</v>
      </c>
      <c r="P32">
        <f t="shared" ca="1" si="6"/>
        <v>0</v>
      </c>
      <c r="Q32">
        <f t="shared" ca="1" si="10"/>
        <v>0.72394689899477538</v>
      </c>
      <c r="R32">
        <f t="shared" ca="1" si="11"/>
        <v>0.66100637954780928</v>
      </c>
      <c r="S32">
        <f t="shared" ca="1" si="8"/>
        <v>1.0952192314543521</v>
      </c>
      <c r="T32">
        <f t="shared" ca="1" si="9"/>
        <v>52.272297572131805</v>
      </c>
      <c r="U32">
        <f>70</f>
        <v>70</v>
      </c>
      <c r="V32">
        <f>30</f>
        <v>30</v>
      </c>
      <c r="W32">
        <f t="shared" ca="1" si="7"/>
        <v>150.75672185873208</v>
      </c>
      <c r="X32">
        <f t="shared" ca="1" si="17"/>
        <v>148.87514268661178</v>
      </c>
      <c r="Y32">
        <f t="shared" ca="1" si="16"/>
        <v>2.037621136451861</v>
      </c>
    </row>
    <row r="33" spans="1:27" x14ac:dyDescent="0.25">
      <c r="A33" s="20">
        <f t="shared" ca="1" si="0"/>
        <v>45334</v>
      </c>
      <c r="B33" vm="93">
        <f ca="1"/>
        <v>45337</v>
      </c>
      <c r="C33" vm="94">
        <f ca="1"/>
        <v>154.46</v>
      </c>
      <c r="D33" vm="95">
        <f ca="1"/>
        <v>8950304</v>
      </c>
      <c r="E33">
        <f t="shared" ca="1" si="1"/>
        <v>1382463955.8400002</v>
      </c>
      <c r="F33">
        <f ca="1">SUM($E$2:E33)/SUM($D$2:D33)</f>
        <v>148.30012646160407</v>
      </c>
      <c r="G33">
        <f ca="1">_xlfn.STDEV.P($C$2:C33)</f>
        <v>3.7265109666248142</v>
      </c>
      <c r="H33">
        <f t="shared" ca="1" si="2"/>
        <v>152.02663742822887</v>
      </c>
      <c r="I33">
        <f t="shared" ca="1" si="3"/>
        <v>144.57361549497926</v>
      </c>
      <c r="J33">
        <f t="shared" ca="1" si="12"/>
        <v>149.31349999999998</v>
      </c>
      <c r="K33">
        <f t="shared" ca="1" si="13"/>
        <v>3.7970768188727835</v>
      </c>
      <c r="L33">
        <f t="shared" ca="1" si="14"/>
        <v>156.90765363774554</v>
      </c>
      <c r="M33">
        <f t="shared" ca="1" si="15"/>
        <v>141.71934636225441</v>
      </c>
      <c r="N33">
        <f t="shared" ca="1" si="4"/>
        <v>3.4500000000000171</v>
      </c>
      <c r="O33">
        <f t="shared" ca="1" si="5"/>
        <v>3.4500000000000171</v>
      </c>
      <c r="P33">
        <f t="shared" ca="1" si="6"/>
        <v>0</v>
      </c>
      <c r="Q33">
        <f t="shared" ca="1" si="10"/>
        <v>0.91866497763800692</v>
      </c>
      <c r="R33">
        <f t="shared" ca="1" si="11"/>
        <v>0.61379163815153714</v>
      </c>
      <c r="S33">
        <f t="shared" ca="1" si="8"/>
        <v>1.4967049411174946</v>
      </c>
      <c r="T33">
        <f t="shared" ca="1" si="9"/>
        <v>59.947209478729498</v>
      </c>
      <c r="U33">
        <f>70</f>
        <v>70</v>
      </c>
      <c r="V33">
        <f>30</f>
        <v>30</v>
      </c>
      <c r="W33">
        <f t="shared" ca="1" si="7"/>
        <v>151.3264569573887</v>
      </c>
      <c r="X33">
        <f t="shared" ca="1" si="17"/>
        <v>149.28883582093684</v>
      </c>
      <c r="Y33">
        <f t="shared" ca="1" si="16"/>
        <v>2.1502167365810863</v>
      </c>
    </row>
    <row r="34" spans="1:27" x14ac:dyDescent="0.25">
      <c r="A34" s="20">
        <f t="shared" ca="1" si="0"/>
        <v>45334</v>
      </c>
      <c r="B34" vm="96">
        <f ca="1"/>
        <v>45338</v>
      </c>
      <c r="C34" vm="97">
        <f ca="1"/>
        <v>154.63</v>
      </c>
      <c r="D34" vm="98">
        <f ca="1"/>
        <v>7570220</v>
      </c>
      <c r="E34">
        <f t="shared" ca="1" si="1"/>
        <v>1170583118.5999999</v>
      </c>
      <c r="F34">
        <f ca="1">SUM($E$2:E34)/SUM($D$2:D34)</f>
        <v>148.46355520561681</v>
      </c>
      <c r="G34">
        <f ca="1">_xlfn.STDEV.P($C$2:C34)</f>
        <v>3.8200341346269853</v>
      </c>
      <c r="H34">
        <f t="shared" ca="1" si="2"/>
        <v>152.28358934024379</v>
      </c>
      <c r="I34">
        <f t="shared" ca="1" si="3"/>
        <v>144.64352107098983</v>
      </c>
      <c r="J34">
        <f t="shared" ca="1" si="12"/>
        <v>149.93299999999999</v>
      </c>
      <c r="K34">
        <f t="shared" ca="1" si="13"/>
        <v>3.5872084147044374</v>
      </c>
      <c r="L34">
        <f t="shared" ca="1" si="14"/>
        <v>157.10741682940886</v>
      </c>
      <c r="M34">
        <f t="shared" ca="1" si="15"/>
        <v>142.75858317059112</v>
      </c>
      <c r="N34">
        <f t="shared" ca="1" si="4"/>
        <v>0.16999999999998749</v>
      </c>
      <c r="O34">
        <f t="shared" ca="1" si="5"/>
        <v>0.16999999999998749</v>
      </c>
      <c r="P34">
        <f t="shared" ca="1" si="6"/>
        <v>0</v>
      </c>
      <c r="Q34">
        <f t="shared" ca="1" si="10"/>
        <v>0.86518890780671975</v>
      </c>
      <c r="R34">
        <f t="shared" ca="1" si="11"/>
        <v>0.56994937828357017</v>
      </c>
      <c r="S34">
        <f t="shared" ca="1" si="8"/>
        <v>1.5180100913738648</v>
      </c>
      <c r="T34">
        <f t="shared" ca="1" si="9"/>
        <v>60.286100384356097</v>
      </c>
      <c r="U34">
        <f>70</f>
        <v>70</v>
      </c>
      <c r="V34">
        <f>30</f>
        <v>30</v>
      </c>
      <c r="W34">
        <f t="shared" ca="1" si="7"/>
        <v>151.83469434855965</v>
      </c>
      <c r="X34">
        <f t="shared" ca="1" si="17"/>
        <v>149.68447761197856</v>
      </c>
      <c r="Y34">
        <f t="shared" ca="1" si="16"/>
        <v>2.1636723579179034</v>
      </c>
    </row>
    <row r="35" spans="1:27" x14ac:dyDescent="0.25">
      <c r="A35" s="20">
        <f t="shared" ca="1" si="0"/>
        <v>45341</v>
      </c>
      <c r="B35" vm="99">
        <f ca="1"/>
        <v>45342</v>
      </c>
      <c r="C35" vm="100">
        <f ca="1"/>
        <v>154</v>
      </c>
      <c r="D35" vm="101">
        <f ca="1"/>
        <v>6977945</v>
      </c>
      <c r="E35">
        <f t="shared" ca="1" si="1"/>
        <v>1074603530</v>
      </c>
      <c r="F35">
        <f ca="1">SUM($E$2:E35)/SUM($D$2:D35)</f>
        <v>148.59225233766821</v>
      </c>
      <c r="G35">
        <f ca="1">_xlfn.STDEV.P($C$2:C35)</f>
        <v>3.8714292958011707</v>
      </c>
      <c r="H35">
        <f t="shared" ca="1" si="2"/>
        <v>152.46368163346938</v>
      </c>
      <c r="I35">
        <f t="shared" ca="1" si="3"/>
        <v>144.72082304186705</v>
      </c>
      <c r="J35">
        <f t="shared" ca="1" si="12"/>
        <v>150.5085</v>
      </c>
      <c r="K35">
        <f t="shared" ca="1" si="13"/>
        <v>3.2364003314273666</v>
      </c>
      <c r="L35">
        <f t="shared" ca="1" si="14"/>
        <v>156.98130066285472</v>
      </c>
      <c r="M35">
        <f t="shared" ca="1" si="15"/>
        <v>144.03569933714527</v>
      </c>
      <c r="N35">
        <f t="shared" ca="1" si="4"/>
        <v>-0.62999999999999545</v>
      </c>
      <c r="O35">
        <f t="shared" ca="1" si="5"/>
        <v>0</v>
      </c>
      <c r="P35">
        <f t="shared" ca="1" si="6"/>
        <v>0.62999999999999545</v>
      </c>
      <c r="Q35">
        <f t="shared" ca="1" si="10"/>
        <v>0.80338970010623978</v>
      </c>
      <c r="R35">
        <f t="shared" ca="1" si="11"/>
        <v>0.57423870840617197</v>
      </c>
      <c r="S35">
        <f t="shared" ca="1" si="8"/>
        <v>1.3990518025789096</v>
      </c>
      <c r="T35">
        <f t="shared" ca="1" si="9"/>
        <v>58.316865066230349</v>
      </c>
      <c r="U35">
        <f>70</f>
        <v>70</v>
      </c>
      <c r="V35">
        <f>30</f>
        <v>30</v>
      </c>
      <c r="W35">
        <f t="shared" ca="1" si="7"/>
        <v>152.1678182949351</v>
      </c>
      <c r="X35">
        <f t="shared" ca="1" si="17"/>
        <v>150.0041459370172</v>
      </c>
      <c r="Y35">
        <f t="shared" ca="1" si="16"/>
        <v>2.2644290714106319</v>
      </c>
    </row>
    <row r="36" spans="1:27" x14ac:dyDescent="0.25">
      <c r="A36" s="20">
        <f t="shared" ca="1" si="0"/>
        <v>45341</v>
      </c>
      <c r="B36" vm="102">
        <f ca="1"/>
        <v>45343</v>
      </c>
      <c r="C36" vm="103">
        <f ca="1"/>
        <v>155.44</v>
      </c>
      <c r="D36" vm="104">
        <f ca="1"/>
        <v>6630084</v>
      </c>
      <c r="E36">
        <f t="shared" ca="1" si="1"/>
        <v>1030580256.96</v>
      </c>
      <c r="F36">
        <f ca="1">SUM($E$2:E36)/SUM($D$2:D36)</f>
        <v>148.74022770492653</v>
      </c>
      <c r="G36">
        <f ca="1">_xlfn.STDEV.P($C$2:C36)</f>
        <v>3.9735901003644409</v>
      </c>
      <c r="H36">
        <f t="shared" ca="1" si="2"/>
        <v>152.71381780529097</v>
      </c>
      <c r="I36">
        <f t="shared" ca="1" si="3"/>
        <v>144.76663760456208</v>
      </c>
      <c r="J36">
        <f t="shared" ca="1" si="12"/>
        <v>151.17599999999999</v>
      </c>
      <c r="K36">
        <f t="shared" ca="1" si="13"/>
        <v>2.7486731727374085</v>
      </c>
      <c r="L36">
        <f t="shared" ca="1" si="14"/>
        <v>156.67334634547481</v>
      </c>
      <c r="M36">
        <f t="shared" ca="1" si="15"/>
        <v>145.67865365452516</v>
      </c>
      <c r="N36">
        <f t="shared" ca="1" si="4"/>
        <v>1.4399999999999977</v>
      </c>
      <c r="O36">
        <f t="shared" ca="1" si="5"/>
        <v>1.4399999999999977</v>
      </c>
      <c r="P36">
        <f t="shared" ca="1" si="6"/>
        <v>0</v>
      </c>
      <c r="Q36">
        <f t="shared" ca="1" si="10"/>
        <v>0.84886186438436539</v>
      </c>
      <c r="R36">
        <f t="shared" ca="1" si="11"/>
        <v>0.53322165780573116</v>
      </c>
      <c r="S36">
        <f t="shared" ca="1" si="8"/>
        <v>1.5919493365620785</v>
      </c>
      <c r="T36">
        <f t="shared" ca="1" si="9"/>
        <v>61.418998979108729</v>
      </c>
      <c r="U36">
        <f>70</f>
        <v>70</v>
      </c>
      <c r="V36">
        <f>30</f>
        <v>30</v>
      </c>
      <c r="W36">
        <f t="shared" ca="1" si="7"/>
        <v>152.67123086494507</v>
      </c>
      <c r="X36">
        <f t="shared" ca="1" si="17"/>
        <v>150.40680179353444</v>
      </c>
      <c r="Y36">
        <f t="shared" ca="1" si="16"/>
        <v>2.3167663361538473</v>
      </c>
      <c r="Z36" s="9">
        <f ca="1">AVERAGE(Y28:Y36)</f>
        <v>2.1348508134345092</v>
      </c>
    </row>
    <row r="37" spans="1:27" x14ac:dyDescent="0.25">
      <c r="A37" s="20">
        <f t="shared" ca="1" si="0"/>
        <v>45341</v>
      </c>
      <c r="B37" vm="105">
        <f ca="1"/>
        <v>45344</v>
      </c>
      <c r="C37" vm="106">
        <f ca="1"/>
        <v>155.43</v>
      </c>
      <c r="D37" vm="107">
        <f ca="1"/>
        <v>8874924</v>
      </c>
      <c r="E37">
        <f t="shared" ca="1" si="1"/>
        <v>1379429437.3200002</v>
      </c>
      <c r="F37">
        <f ca="1">SUM($E$2:E37)/SUM($D$2:D37)</f>
        <v>148.92829553549643</v>
      </c>
      <c r="G37">
        <f ca="1">_xlfn.STDEV.P($C$2:C37)</f>
        <v>4.0591179939598812</v>
      </c>
      <c r="H37">
        <f t="shared" ca="1" si="2"/>
        <v>152.98741352945632</v>
      </c>
      <c r="I37">
        <f t="shared" ca="1" si="3"/>
        <v>144.86917754153654</v>
      </c>
      <c r="J37">
        <f t="shared" ca="1" si="12"/>
        <v>151.70149999999998</v>
      </c>
      <c r="K37">
        <f t="shared" ca="1" si="13"/>
        <v>2.4813499615287959</v>
      </c>
      <c r="L37">
        <f t="shared" ca="1" si="14"/>
        <v>156.66419992305757</v>
      </c>
      <c r="M37">
        <f t="shared" ca="1" si="15"/>
        <v>146.7388000769424</v>
      </c>
      <c r="N37">
        <f t="shared" ca="1" si="4"/>
        <v>-9.9999999999909051E-3</v>
      </c>
      <c r="O37">
        <f t="shared" ca="1" si="5"/>
        <v>0</v>
      </c>
      <c r="P37">
        <f t="shared" ca="1" si="6"/>
        <v>9.9999999999909051E-3</v>
      </c>
      <c r="Q37">
        <f t="shared" ca="1" si="10"/>
        <v>0.78822887407119635</v>
      </c>
      <c r="R37">
        <f t="shared" ca="1" si="11"/>
        <v>0.4958486822481783</v>
      </c>
      <c r="S37">
        <f t="shared" ca="1" si="8"/>
        <v>1.5896560831771622</v>
      </c>
      <c r="T37">
        <f t="shared" ca="1" si="9"/>
        <v>61.384833820360676</v>
      </c>
      <c r="U37">
        <f>70</f>
        <v>70</v>
      </c>
      <c r="V37">
        <f>30</f>
        <v>30</v>
      </c>
      <c r="W37">
        <f t="shared" ca="1" si="7"/>
        <v>153.09565688572278</v>
      </c>
      <c r="X37">
        <f t="shared" ca="1" si="17"/>
        <v>150.77889054956893</v>
      </c>
      <c r="Y37">
        <f t="shared" ca="1" si="16"/>
        <v>2.2699449186602578</v>
      </c>
      <c r="Z37">
        <f ca="1">Y37*(2/(9+1)) + Z36*(1-(2/(9+1)))</f>
        <v>2.1618696344796589</v>
      </c>
      <c r="AA37">
        <f ca="1">Y37-Z37</f>
        <v>0.10807528418059897</v>
      </c>
    </row>
    <row r="38" spans="1:27" x14ac:dyDescent="0.25">
      <c r="A38" s="20">
        <f t="shared" ca="1" si="0"/>
        <v>45341</v>
      </c>
      <c r="B38" vm="108">
        <f ca="1"/>
        <v>45345</v>
      </c>
      <c r="C38" vm="109">
        <f ca="1"/>
        <v>154.66</v>
      </c>
      <c r="D38" vm="110">
        <f ca="1"/>
        <v>6561628</v>
      </c>
      <c r="E38">
        <f t="shared" ca="1" si="1"/>
        <v>1014821386.48</v>
      </c>
      <c r="F38">
        <f ca="1">SUM($E$2:E38)/SUM($D$2:D38)</f>
        <v>149.04500327281039</v>
      </c>
      <c r="G38">
        <f ca="1">_xlfn.STDEV.P($C$2:C38)</f>
        <v>4.1022591897867597</v>
      </c>
      <c r="H38">
        <f t="shared" ca="1" si="2"/>
        <v>153.14726246259715</v>
      </c>
      <c r="I38">
        <f t="shared" ca="1" si="3"/>
        <v>144.94274408302363</v>
      </c>
      <c r="J38">
        <f t="shared" ca="1" si="12"/>
        <v>152.006</v>
      </c>
      <c r="K38">
        <f t="shared" ca="1" si="13"/>
        <v>2.4503155543295807</v>
      </c>
      <c r="L38">
        <f t="shared" ca="1" si="14"/>
        <v>156.90663110865916</v>
      </c>
      <c r="M38">
        <f t="shared" ca="1" si="15"/>
        <v>147.10536889134085</v>
      </c>
      <c r="N38">
        <f t="shared" ca="1" si="4"/>
        <v>-0.77000000000001023</v>
      </c>
      <c r="O38">
        <f t="shared" ca="1" si="5"/>
        <v>0</v>
      </c>
      <c r="P38">
        <f t="shared" ca="1" si="6"/>
        <v>0.77000000000001023</v>
      </c>
      <c r="Q38">
        <f t="shared" ca="1" si="10"/>
        <v>0.73192681163753937</v>
      </c>
      <c r="R38">
        <f t="shared" ca="1" si="11"/>
        <v>0.51543091923045203</v>
      </c>
      <c r="S38">
        <f t="shared" ca="1" si="8"/>
        <v>1.4200289201321483</v>
      </c>
      <c r="T38">
        <f t="shared" ca="1" si="9"/>
        <v>58.678179765496608</v>
      </c>
      <c r="U38">
        <f>70</f>
        <v>70</v>
      </c>
      <c r="V38">
        <f>30</f>
        <v>30</v>
      </c>
      <c r="W38">
        <f t="shared" ca="1" si="7"/>
        <v>153.33632505715002</v>
      </c>
      <c r="X38">
        <f t="shared" ca="1" si="17"/>
        <v>151.06638013848976</v>
      </c>
      <c r="Y38">
        <f t="shared" ca="1" si="16"/>
        <v>2.1906410169925152</v>
      </c>
      <c r="Z38">
        <f t="shared" ref="Z38:Z101" ca="1" si="18">Y38*(2/(9+1)) + Z37*(1-(2/(9+1)))</f>
        <v>2.1676239109822304</v>
      </c>
      <c r="AA38">
        <f t="shared" ref="AA38:AA101" ca="1" si="19">Y38-Z38</f>
        <v>2.3017106010284838E-2</v>
      </c>
    </row>
    <row r="39" spans="1:27" x14ac:dyDescent="0.25">
      <c r="A39" s="20">
        <f t="shared" ca="1" si="0"/>
        <v>45348</v>
      </c>
      <c r="B39" vm="111">
        <f ca="1"/>
        <v>45348</v>
      </c>
      <c r="C39" vm="112">
        <f ca="1"/>
        <v>154.44999999999999</v>
      </c>
      <c r="D39" vm="113">
        <f ca="1"/>
        <v>6900801</v>
      </c>
      <c r="E39">
        <f t="shared" ca="1" si="1"/>
        <v>1065828714.4499999</v>
      </c>
      <c r="F39">
        <f ca="1">SUM($E$2:E39)/SUM($D$2:D39)</f>
        <v>149.15832084532215</v>
      </c>
      <c r="G39">
        <f ca="1">_xlfn.STDEV.P($C$2:C39)</f>
        <v>4.1309438415646209</v>
      </c>
      <c r="H39">
        <f t="shared" ca="1" si="2"/>
        <v>153.28926468688678</v>
      </c>
      <c r="I39">
        <f t="shared" ca="1" si="3"/>
        <v>145.02737700375752</v>
      </c>
      <c r="J39">
        <f t="shared" ca="1" si="12"/>
        <v>152.27149999999997</v>
      </c>
      <c r="K39">
        <f t="shared" ca="1" si="13"/>
        <v>2.4107899447887902</v>
      </c>
      <c r="L39">
        <f t="shared" ca="1" si="14"/>
        <v>157.09307988957755</v>
      </c>
      <c r="M39">
        <f t="shared" ca="1" si="15"/>
        <v>147.4499201104224</v>
      </c>
      <c r="N39">
        <f t="shared" ca="1" si="4"/>
        <v>-0.21000000000000796</v>
      </c>
      <c r="O39">
        <f t="shared" ca="1" si="5"/>
        <v>0</v>
      </c>
      <c r="P39">
        <f t="shared" ca="1" si="6"/>
        <v>0.21000000000000796</v>
      </c>
      <c r="Q39">
        <f t="shared" ca="1" si="10"/>
        <v>0.67964632509200074</v>
      </c>
      <c r="R39">
        <f t="shared" ca="1" si="11"/>
        <v>0.49361442499970604</v>
      </c>
      <c r="S39">
        <f t="shared" ca="1" si="8"/>
        <v>1.3768769522738431</v>
      </c>
      <c r="T39">
        <f t="shared" ca="1" si="9"/>
        <v>57.927986173480775</v>
      </c>
      <c r="U39">
        <f>70</f>
        <v>70</v>
      </c>
      <c r="V39">
        <f>30</f>
        <v>30</v>
      </c>
      <c r="W39">
        <f t="shared" ca="1" si="7"/>
        <v>153.50765966374232</v>
      </c>
      <c r="X39">
        <f t="shared" ca="1" si="17"/>
        <v>151.3170186467498</v>
      </c>
      <c r="Y39">
        <f t="shared" ca="1" si="16"/>
        <v>1.9208656978284182</v>
      </c>
      <c r="Z39">
        <f t="shared" ca="1" si="18"/>
        <v>2.1182722683514679</v>
      </c>
      <c r="AA39">
        <f t="shared" ca="1" si="19"/>
        <v>-0.19740657052304966</v>
      </c>
    </row>
    <row r="40" spans="1:27" x14ac:dyDescent="0.25">
      <c r="A40" s="20">
        <f t="shared" ca="1" si="0"/>
        <v>45348</v>
      </c>
      <c r="B40" vm="114">
        <f ca="1"/>
        <v>45349</v>
      </c>
      <c r="C40" vm="115">
        <f ca="1"/>
        <v>152.16</v>
      </c>
      <c r="D40" vm="116">
        <f ca="1"/>
        <v>15093755</v>
      </c>
      <c r="E40">
        <f t="shared" ca="1" si="1"/>
        <v>2296665760.7999997</v>
      </c>
      <c r="F40">
        <f ca="1">SUM($E$2:E40)/SUM($D$2:D40)</f>
        <v>149.28993174120899</v>
      </c>
      <c r="G40">
        <f ca="1">_xlfn.STDEV.P($C$2:C40)</f>
        <v>4.1002806145050288</v>
      </c>
      <c r="H40">
        <f t="shared" ca="1" si="2"/>
        <v>153.39021235571403</v>
      </c>
      <c r="I40">
        <f t="shared" ca="1" si="3"/>
        <v>145.18965112670395</v>
      </c>
      <c r="J40">
        <f t="shared" ca="1" si="12"/>
        <v>152.42549999999997</v>
      </c>
      <c r="K40">
        <f t="shared" ca="1" si="13"/>
        <v>2.29161739021982</v>
      </c>
      <c r="L40">
        <f t="shared" ca="1" si="14"/>
        <v>157.00873478043962</v>
      </c>
      <c r="M40">
        <f t="shared" ca="1" si="15"/>
        <v>147.84226521956032</v>
      </c>
      <c r="N40">
        <f t="shared" ca="1" si="4"/>
        <v>-2.289999999999992</v>
      </c>
      <c r="O40">
        <f t="shared" ca="1" si="5"/>
        <v>0</v>
      </c>
      <c r="P40">
        <f t="shared" ca="1" si="6"/>
        <v>2.289999999999992</v>
      </c>
      <c r="Q40">
        <f t="shared" ca="1" si="10"/>
        <v>0.63110015901400074</v>
      </c>
      <c r="R40">
        <f t="shared" ca="1" si="11"/>
        <v>0.62192768035686929</v>
      </c>
      <c r="S40">
        <f t="shared" ca="1" si="8"/>
        <v>1.014748465049615</v>
      </c>
      <c r="T40">
        <f t="shared" ca="1" si="9"/>
        <v>50.366012564482872</v>
      </c>
      <c r="U40">
        <f>70</f>
        <v>70</v>
      </c>
      <c r="V40">
        <f>30</f>
        <v>30</v>
      </c>
      <c r="W40">
        <f t="shared" ca="1" si="7"/>
        <v>153.30032740778194</v>
      </c>
      <c r="X40">
        <f t="shared" ca="1" si="17"/>
        <v>151.37946170995352</v>
      </c>
      <c r="Y40">
        <f t="shared" ca="1" si="16"/>
        <v>1.7019720352602405</v>
      </c>
      <c r="Z40">
        <f t="shared" ca="1" si="18"/>
        <v>2.0350122217332225</v>
      </c>
      <c r="AA40">
        <f t="shared" ca="1" si="19"/>
        <v>-0.33304018647298195</v>
      </c>
    </row>
    <row r="41" spans="1:27" x14ac:dyDescent="0.25">
      <c r="A41" s="20">
        <f t="shared" ca="1" si="0"/>
        <v>45348</v>
      </c>
      <c r="B41" vm="117">
        <f ca="1"/>
        <v>45350</v>
      </c>
      <c r="C41" vm="118">
        <f ca="1"/>
        <v>152.34</v>
      </c>
      <c r="D41" vm="119">
        <f ca="1"/>
        <v>6715861</v>
      </c>
      <c r="E41">
        <f t="shared" ca="1" si="1"/>
        <v>1023094264.74</v>
      </c>
      <c r="F41">
        <f ca="1">SUM($E$2:E41)/SUM($D$2:D41)</f>
        <v>149.34829647801496</v>
      </c>
      <c r="G41">
        <f ca="1">_xlfn.STDEV.P($C$2:C41)</f>
        <v>4.0727833771881361</v>
      </c>
      <c r="H41">
        <f t="shared" ca="1" si="2"/>
        <v>153.42107985520309</v>
      </c>
      <c r="I41">
        <f t="shared" ca="1" si="3"/>
        <v>145.27551310082683</v>
      </c>
      <c r="J41">
        <f t="shared" ca="1" si="12"/>
        <v>152.53649999999999</v>
      </c>
      <c r="K41">
        <f t="shared" ca="1" si="13"/>
        <v>2.2269196922631673</v>
      </c>
      <c r="L41">
        <f t="shared" ca="1" si="14"/>
        <v>156.99033938452632</v>
      </c>
      <c r="M41">
        <f t="shared" ca="1" si="15"/>
        <v>148.08266061547366</v>
      </c>
      <c r="N41">
        <f t="shared" ca="1" si="4"/>
        <v>0.18000000000000682</v>
      </c>
      <c r="O41">
        <f t="shared" ca="1" si="5"/>
        <v>0.18000000000000682</v>
      </c>
      <c r="P41">
        <f t="shared" ca="1" si="6"/>
        <v>0</v>
      </c>
      <c r="Q41">
        <f t="shared" ca="1" si="10"/>
        <v>0.59887871908442969</v>
      </c>
      <c r="R41">
        <f t="shared" ca="1" si="11"/>
        <v>0.57750427461709286</v>
      </c>
      <c r="S41">
        <f t="shared" ca="1" si="8"/>
        <v>1.0370117510931134</v>
      </c>
      <c r="T41">
        <f t="shared" ca="1" si="9"/>
        <v>50.908481531175561</v>
      </c>
      <c r="U41">
        <f>70</f>
        <v>70</v>
      </c>
      <c r="V41">
        <f>30</f>
        <v>30</v>
      </c>
      <c r="W41">
        <f t="shared" ca="1" si="7"/>
        <v>153.15258472966164</v>
      </c>
      <c r="X41">
        <f t="shared" ca="1" si="17"/>
        <v>151.4506126944014</v>
      </c>
      <c r="Y41">
        <f t="shared" ca="1" si="16"/>
        <v>1.4847536724474537</v>
      </c>
      <c r="Z41">
        <f t="shared" ca="1" si="18"/>
        <v>1.9249605118760689</v>
      </c>
      <c r="AA41">
        <f t="shared" ca="1" si="19"/>
        <v>-0.44020683942861516</v>
      </c>
    </row>
    <row r="42" spans="1:27" x14ac:dyDescent="0.25">
      <c r="A42" s="20">
        <f t="shared" ca="1" si="0"/>
        <v>45348</v>
      </c>
      <c r="B42" vm="120">
        <f ca="1"/>
        <v>45351</v>
      </c>
      <c r="C42" vm="121">
        <f ca="1"/>
        <v>152.01</v>
      </c>
      <c r="D42" vm="122">
        <f ca="1"/>
        <v>9334432</v>
      </c>
      <c r="E42">
        <f t="shared" ca="1" si="1"/>
        <v>1418927008.3199999</v>
      </c>
      <c r="F42">
        <f ca="1">SUM($E$2:E42)/SUM($D$2:D42)</f>
        <v>149.41725485013205</v>
      </c>
      <c r="G42">
        <f ca="1">_xlfn.STDEV.P($C$2:C42)</f>
        <v>4.040260061955566</v>
      </c>
      <c r="H42">
        <f t="shared" ca="1" si="2"/>
        <v>153.45751491208762</v>
      </c>
      <c r="I42">
        <f t="shared" ca="1" si="3"/>
        <v>145.37699478817649</v>
      </c>
      <c r="J42">
        <f t="shared" ca="1" si="12"/>
        <v>152.76549999999997</v>
      </c>
      <c r="K42">
        <f t="shared" ca="1" si="13"/>
        <v>1.8831146511759962</v>
      </c>
      <c r="L42">
        <f t="shared" ca="1" si="14"/>
        <v>156.53172930235198</v>
      </c>
      <c r="M42">
        <f t="shared" ca="1" si="15"/>
        <v>148.99927069764797</v>
      </c>
      <c r="N42">
        <f t="shared" ca="1" si="4"/>
        <v>-0.33000000000001251</v>
      </c>
      <c r="O42">
        <f t="shared" ca="1" si="5"/>
        <v>0</v>
      </c>
      <c r="P42">
        <f t="shared" ca="1" si="6"/>
        <v>0.33000000000001251</v>
      </c>
      <c r="Q42">
        <f t="shared" ca="1" si="10"/>
        <v>0.55610166772125613</v>
      </c>
      <c r="R42">
        <f t="shared" ca="1" si="11"/>
        <v>0.55982539785872998</v>
      </c>
      <c r="S42">
        <f t="shared" ca="1" si="8"/>
        <v>0.99334840800057178</v>
      </c>
      <c r="T42">
        <f t="shared" ca="1" si="9"/>
        <v>49.833155308607083</v>
      </c>
      <c r="U42">
        <f>70</f>
        <v>70</v>
      </c>
      <c r="V42">
        <f>30</f>
        <v>30</v>
      </c>
      <c r="W42">
        <f t="shared" ca="1" si="7"/>
        <v>152.97680246355986</v>
      </c>
      <c r="X42">
        <f t="shared" ca="1" si="17"/>
        <v>151.49204879111241</v>
      </c>
      <c r="Y42">
        <f t="shared" ca="1" si="16"/>
        <v>1.3614657395035579</v>
      </c>
      <c r="Z42">
        <f t="shared" ca="1" si="18"/>
        <v>1.8122615574015668</v>
      </c>
      <c r="AA42">
        <f t="shared" ca="1" si="19"/>
        <v>-0.45079581789800893</v>
      </c>
    </row>
    <row r="43" spans="1:27" x14ac:dyDescent="0.25">
      <c r="A43" s="20">
        <f t="shared" ca="1" si="0"/>
        <v>45348</v>
      </c>
      <c r="B43" vm="123">
        <f ca="1"/>
        <v>45352</v>
      </c>
      <c r="C43" vm="124">
        <f ca="1"/>
        <v>152.81</v>
      </c>
      <c r="D43" vm="125">
        <f ca="1"/>
        <v>7459056</v>
      </c>
      <c r="E43">
        <f t="shared" ca="1" si="1"/>
        <v>1139818347.3600001</v>
      </c>
      <c r="F43">
        <f ca="1">SUM($E$2:E43)/SUM($D$2:D43)</f>
        <v>149.48606861869882</v>
      </c>
      <c r="G43">
        <f ca="1">_xlfn.STDEV.P($C$2:C43)</f>
        <v>4.0210650615259818</v>
      </c>
      <c r="H43">
        <f t="shared" ca="1" si="2"/>
        <v>153.5071336802248</v>
      </c>
      <c r="I43">
        <f t="shared" ca="1" si="3"/>
        <v>145.46500355717285</v>
      </c>
      <c r="J43">
        <f t="shared" ca="1" si="12"/>
        <v>153.01149999999996</v>
      </c>
      <c r="K43">
        <f t="shared" ca="1" si="13"/>
        <v>1.4938021957407894</v>
      </c>
      <c r="L43">
        <f t="shared" ca="1" si="14"/>
        <v>155.99910439148152</v>
      </c>
      <c r="M43">
        <f t="shared" ca="1" si="15"/>
        <v>150.02389560851839</v>
      </c>
      <c r="N43">
        <f t="shared" ca="1" si="4"/>
        <v>0.80000000000001137</v>
      </c>
      <c r="O43">
        <f t="shared" ca="1" si="5"/>
        <v>0.80000000000001137</v>
      </c>
      <c r="P43">
        <f t="shared" ca="1" si="6"/>
        <v>0</v>
      </c>
      <c r="Q43">
        <f t="shared" ca="1" si="10"/>
        <v>0.57352297716973866</v>
      </c>
      <c r="R43">
        <f t="shared" ca="1" si="11"/>
        <v>0.51983786944024923</v>
      </c>
      <c r="S43">
        <f t="shared" ca="1" si="8"/>
        <v>1.1032727911633227</v>
      </c>
      <c r="T43">
        <f t="shared" ca="1" si="9"/>
        <v>52.455049853666452</v>
      </c>
      <c r="U43">
        <f>70</f>
        <v>70</v>
      </c>
      <c r="V43">
        <f>30</f>
        <v>30</v>
      </c>
      <c r="W43">
        <f t="shared" ca="1" si="7"/>
        <v>152.95114054608914</v>
      </c>
      <c r="X43">
        <f t="shared" ca="1" si="17"/>
        <v>151.58967480658558</v>
      </c>
      <c r="Y43">
        <f t="shared" ca="1" si="16"/>
        <v>0.93585307706030108</v>
      </c>
      <c r="Z43">
        <f t="shared" ca="1" si="18"/>
        <v>1.6369798613333137</v>
      </c>
      <c r="AA43">
        <f t="shared" ca="1" si="19"/>
        <v>-0.70112678427301267</v>
      </c>
    </row>
    <row r="44" spans="1:27" x14ac:dyDescent="0.25">
      <c r="A44" s="20">
        <f t="shared" ca="1" si="0"/>
        <v>45355</v>
      </c>
      <c r="B44" vm="126">
        <f ca="1"/>
        <v>45355</v>
      </c>
      <c r="C44" vm="127">
        <f ca="1"/>
        <v>148.88</v>
      </c>
      <c r="D44" vm="128">
        <f ca="1"/>
        <v>12503154</v>
      </c>
      <c r="E44">
        <f t="shared" ca="1" si="1"/>
        <v>1861469567.52</v>
      </c>
      <c r="F44">
        <f ca="1">SUM($E$2:E44)/SUM($D$2:D44)</f>
        <v>149.46614071097002</v>
      </c>
      <c r="G44">
        <f ca="1">_xlfn.STDEV.P($C$2:C44)</f>
        <v>3.9760164844867987</v>
      </c>
      <c r="H44">
        <f t="shared" ca="1" si="2"/>
        <v>153.44215719545682</v>
      </c>
      <c r="I44">
        <f t="shared" ca="1" si="3"/>
        <v>145.49012422648323</v>
      </c>
      <c r="J44">
        <f t="shared" ca="1" si="12"/>
        <v>152.84350000000001</v>
      </c>
      <c r="K44">
        <f t="shared" ca="1" si="13"/>
        <v>1.7517968970234701</v>
      </c>
      <c r="L44">
        <f t="shared" ca="1" si="14"/>
        <v>156.34709379404694</v>
      </c>
      <c r="M44">
        <f t="shared" ca="1" si="15"/>
        <v>149.33990620595307</v>
      </c>
      <c r="N44">
        <f t="shared" ca="1" si="4"/>
        <v>-3.9300000000000068</v>
      </c>
      <c r="O44">
        <f t="shared" ca="1" si="5"/>
        <v>0</v>
      </c>
      <c r="P44">
        <f t="shared" ca="1" si="6"/>
        <v>3.9300000000000068</v>
      </c>
      <c r="Q44">
        <f t="shared" ca="1" si="10"/>
        <v>0.53255705022904309</v>
      </c>
      <c r="R44">
        <f t="shared" ca="1" si="11"/>
        <v>0.76342087876594622</v>
      </c>
      <c r="S44">
        <f t="shared" ca="1" si="8"/>
        <v>0.69759298578512863</v>
      </c>
      <c r="T44">
        <f t="shared" ca="1" si="9"/>
        <v>41.093064805666316</v>
      </c>
      <c r="U44">
        <f>70</f>
        <v>70</v>
      </c>
      <c r="V44">
        <f>30</f>
        <v>30</v>
      </c>
      <c r="W44">
        <f t="shared" ca="1" si="7"/>
        <v>152.3248112313062</v>
      </c>
      <c r="X44">
        <f t="shared" ca="1" si="17"/>
        <v>151.3889581542459</v>
      </c>
      <c r="Y44">
        <f t="shared" ca="1" si="16"/>
        <v>0.64836904720232269</v>
      </c>
      <c r="Z44">
        <f t="shared" ca="1" si="18"/>
        <v>1.4392576985071157</v>
      </c>
      <c r="AA44">
        <f t="shared" ca="1" si="19"/>
        <v>-0.79088865130479302</v>
      </c>
    </row>
    <row r="45" spans="1:27" x14ac:dyDescent="0.25">
      <c r="A45" s="20">
        <f t="shared" ca="1" si="0"/>
        <v>45355</v>
      </c>
      <c r="B45" vm="129">
        <f ca="1"/>
        <v>45356</v>
      </c>
      <c r="C45" vm="130">
        <f ca="1"/>
        <v>149.59</v>
      </c>
      <c r="D45" vm="131">
        <f ca="1"/>
        <v>6985516</v>
      </c>
      <c r="E45">
        <f t="shared" ca="1" si="1"/>
        <v>1044963338.4400001</v>
      </c>
      <c r="F45">
        <f ca="1">SUM($E$2:E45)/SUM($D$2:D45)</f>
        <v>149.46837501170802</v>
      </c>
      <c r="G45">
        <f ca="1">_xlfn.STDEV.P($C$2:C45)</f>
        <v>3.930605199127096</v>
      </c>
      <c r="H45">
        <f t="shared" ca="1" si="2"/>
        <v>153.39898021083511</v>
      </c>
      <c r="I45">
        <f t="shared" ca="1" si="3"/>
        <v>145.53776981258093</v>
      </c>
      <c r="J45">
        <f t="shared" ca="1" si="12"/>
        <v>152.70650000000003</v>
      </c>
      <c r="K45">
        <f t="shared" ca="1" si="13"/>
        <v>1.8953302031433394</v>
      </c>
      <c r="L45">
        <f t="shared" ca="1" si="14"/>
        <v>156.49716040628672</v>
      </c>
      <c r="M45">
        <f t="shared" ca="1" si="15"/>
        <v>148.91583959371334</v>
      </c>
      <c r="N45">
        <f t="shared" ca="1" si="4"/>
        <v>0.71000000000000796</v>
      </c>
      <c r="O45">
        <f t="shared" ca="1" si="5"/>
        <v>0.71000000000000796</v>
      </c>
      <c r="P45">
        <f t="shared" ca="1" si="6"/>
        <v>0</v>
      </c>
      <c r="Q45">
        <f t="shared" ca="1" si="10"/>
        <v>0.54523154664125484</v>
      </c>
      <c r="R45">
        <f t="shared" ca="1" si="11"/>
        <v>0.70889081599695003</v>
      </c>
      <c r="S45">
        <f t="shared" ca="1" si="8"/>
        <v>0.76913331974045585</v>
      </c>
      <c r="T45">
        <f t="shared" ca="1" si="9"/>
        <v>43.475147472395868</v>
      </c>
      <c r="U45">
        <f>70</f>
        <v>70</v>
      </c>
      <c r="V45">
        <f>30</f>
        <v>30</v>
      </c>
      <c r="W45">
        <f t="shared" ca="1" si="7"/>
        <v>151.90407104187446</v>
      </c>
      <c r="X45">
        <f t="shared" ca="1" si="17"/>
        <v>151.25570199467214</v>
      </c>
      <c r="Y45">
        <f t="shared" ca="1" si="16"/>
        <v>0.31523063010902774</v>
      </c>
      <c r="Z45">
        <f t="shared" ca="1" si="18"/>
        <v>1.2144522848274981</v>
      </c>
      <c r="AA45">
        <f t="shared" ca="1" si="19"/>
        <v>-0.89922165471847038</v>
      </c>
    </row>
    <row r="46" spans="1:27" x14ac:dyDescent="0.25">
      <c r="A46" s="20">
        <f t="shared" ca="1" si="0"/>
        <v>45355</v>
      </c>
      <c r="B46" vm="132">
        <f ca="1"/>
        <v>45357</v>
      </c>
      <c r="C46" vm="133">
        <f ca="1"/>
        <v>148.33000000000001</v>
      </c>
      <c r="D46" vm="134">
        <f ca="1"/>
        <v>14692135</v>
      </c>
      <c r="E46">
        <f t="shared" ca="1" si="1"/>
        <v>2179284384.5500002</v>
      </c>
      <c r="F46">
        <f ca="1">SUM($E$2:E46)/SUM($D$2:D46)</f>
        <v>149.42676359600929</v>
      </c>
      <c r="G46">
        <f ca="1">_xlfn.STDEV.P($C$2:C46)</f>
        <v>3.8918634338391582</v>
      </c>
      <c r="H46">
        <f t="shared" ca="1" si="2"/>
        <v>153.31862702984844</v>
      </c>
      <c r="I46">
        <f t="shared" ca="1" si="3"/>
        <v>145.53490016217015</v>
      </c>
      <c r="J46">
        <f t="shared" ca="1" si="12"/>
        <v>152.50550000000004</v>
      </c>
      <c r="K46">
        <f t="shared" ca="1" si="13"/>
        <v>2.1333430029934357</v>
      </c>
      <c r="L46">
        <f t="shared" ca="1" si="14"/>
        <v>156.77218600598692</v>
      </c>
      <c r="M46">
        <f t="shared" ca="1" si="15"/>
        <v>148.23881399401316</v>
      </c>
      <c r="N46">
        <f t="shared" ca="1" si="4"/>
        <v>-1.2599999999999909</v>
      </c>
      <c r="O46">
        <f t="shared" ca="1" si="5"/>
        <v>0</v>
      </c>
      <c r="P46">
        <f t="shared" ca="1" si="6"/>
        <v>1.2599999999999909</v>
      </c>
      <c r="Q46">
        <f t="shared" ca="1" si="10"/>
        <v>0.50628643616687952</v>
      </c>
      <c r="R46">
        <f t="shared" ca="1" si="11"/>
        <v>0.74825575771145292</v>
      </c>
      <c r="S46">
        <f t="shared" ca="1" si="8"/>
        <v>0.67662217223073728</v>
      </c>
      <c r="T46">
        <f t="shared" ca="1" si="9"/>
        <v>40.35627009098269</v>
      </c>
      <c r="U46">
        <f>70</f>
        <v>70</v>
      </c>
      <c r="V46">
        <f>30</f>
        <v>30</v>
      </c>
      <c r="W46">
        <f t="shared" ca="1" si="7"/>
        <v>151.35421395850915</v>
      </c>
      <c r="X46">
        <f t="shared" ca="1" si="17"/>
        <v>151.03898332840012</v>
      </c>
      <c r="Y46">
        <f t="shared" ca="1" si="16"/>
        <v>0.13359533888083774</v>
      </c>
      <c r="Z46">
        <f t="shared" ca="1" si="18"/>
        <v>0.99828089563816602</v>
      </c>
      <c r="AA46">
        <f t="shared" ca="1" si="19"/>
        <v>-0.86468555675732828</v>
      </c>
    </row>
    <row r="47" spans="1:27" x14ac:dyDescent="0.25">
      <c r="A47" s="20">
        <f t="shared" ca="1" si="0"/>
        <v>45355</v>
      </c>
      <c r="B47" vm="135">
        <f ca="1"/>
        <v>45358</v>
      </c>
      <c r="C47" vm="136">
        <f ca="1"/>
        <v>149.37</v>
      </c>
      <c r="D47" vm="137">
        <f ca="1"/>
        <v>8739348</v>
      </c>
      <c r="E47">
        <f t="shared" ca="1" si="1"/>
        <v>1305396410.76</v>
      </c>
      <c r="F47">
        <f ca="1">SUM($E$2:E47)/SUM($D$2:D47)</f>
        <v>149.42555564463629</v>
      </c>
      <c r="G47">
        <f ca="1">_xlfn.STDEV.P($C$2:C47)</f>
        <v>3.8495622219373349</v>
      </c>
      <c r="H47">
        <f t="shared" ca="1" si="2"/>
        <v>153.27511786657362</v>
      </c>
      <c r="I47">
        <f t="shared" ca="1" si="3"/>
        <v>145.57599342269896</v>
      </c>
      <c r="J47">
        <f t="shared" ca="1" si="12"/>
        <v>152.36750000000004</v>
      </c>
      <c r="K47">
        <f t="shared" ca="1" si="13"/>
        <v>2.2452449754982187</v>
      </c>
      <c r="L47">
        <f t="shared" ca="1" si="14"/>
        <v>156.85798995099648</v>
      </c>
      <c r="M47">
        <f t="shared" ca="1" si="15"/>
        <v>147.87701004900359</v>
      </c>
      <c r="N47">
        <f t="shared" ca="1" si="4"/>
        <v>1.039999999999992</v>
      </c>
      <c r="O47">
        <f t="shared" ca="1" si="5"/>
        <v>1.039999999999992</v>
      </c>
      <c r="P47">
        <f t="shared" ca="1" si="6"/>
        <v>0</v>
      </c>
      <c r="Q47">
        <f t="shared" ca="1" si="10"/>
        <v>0.54440883358353043</v>
      </c>
      <c r="R47">
        <f t="shared" ca="1" si="11"/>
        <v>0.6948089178749205</v>
      </c>
      <c r="S47">
        <f t="shared" ca="1" si="8"/>
        <v>0.78353748718224558</v>
      </c>
      <c r="T47">
        <f t="shared" ca="1" si="9"/>
        <v>43.931652281675987</v>
      </c>
      <c r="U47">
        <f>70</f>
        <v>70</v>
      </c>
      <c r="V47">
        <f>30</f>
        <v>30</v>
      </c>
      <c r="W47">
        <f t="shared" ca="1" si="7"/>
        <v>151.04895027258465</v>
      </c>
      <c r="X47">
        <f t="shared" ca="1" si="17"/>
        <v>150.91535493370381</v>
      </c>
      <c r="Y47">
        <f t="shared" ca="1" si="16"/>
        <v>3.044979345838783E-2</v>
      </c>
      <c r="Z47">
        <f t="shared" ca="1" si="18"/>
        <v>0.80471467520221052</v>
      </c>
      <c r="AA47">
        <f t="shared" ca="1" si="19"/>
        <v>-0.77426488174382269</v>
      </c>
    </row>
    <row r="48" spans="1:27" x14ac:dyDescent="0.25">
      <c r="A48" s="20">
        <f t="shared" ca="1" si="0"/>
        <v>45355</v>
      </c>
      <c r="B48" vm="138">
        <f ca="1"/>
        <v>45359</v>
      </c>
      <c r="C48" vm="139">
        <f ca="1"/>
        <v>149.88</v>
      </c>
      <c r="D48" vm="140">
        <f ca="1"/>
        <v>7528378</v>
      </c>
      <c r="E48">
        <f t="shared" ca="1" si="1"/>
        <v>1128353294.6399999</v>
      </c>
      <c r="F48">
        <f ca="1">SUM($E$2:E48)/SUM($D$2:D48)</f>
        <v>149.43373639988422</v>
      </c>
      <c r="G48">
        <f ca="1">_xlfn.STDEV.P($C$2:C48)</f>
        <v>3.808527921035314</v>
      </c>
      <c r="H48">
        <f t="shared" ca="1" si="2"/>
        <v>153.24226432091953</v>
      </c>
      <c r="I48">
        <f t="shared" ca="1" si="3"/>
        <v>145.62520847884892</v>
      </c>
      <c r="J48">
        <f t="shared" ca="1" si="12"/>
        <v>152.15850000000003</v>
      </c>
      <c r="K48">
        <f t="shared" ca="1" si="13"/>
        <v>2.2737732956475667</v>
      </c>
      <c r="L48">
        <f t="shared" ca="1" si="14"/>
        <v>156.70604659129518</v>
      </c>
      <c r="M48">
        <f t="shared" ca="1" si="15"/>
        <v>147.61095340870489</v>
      </c>
      <c r="N48">
        <f t="shared" ca="1" si="4"/>
        <v>0.50999999999999091</v>
      </c>
      <c r="O48">
        <f t="shared" ca="1" si="5"/>
        <v>0.50999999999999091</v>
      </c>
      <c r="P48">
        <f t="shared" ca="1" si="6"/>
        <v>0</v>
      </c>
      <c r="Q48">
        <f t="shared" ca="1" si="10"/>
        <v>0.54195105975613467</v>
      </c>
      <c r="R48">
        <f t="shared" ca="1" si="11"/>
        <v>0.64517970945528336</v>
      </c>
      <c r="S48">
        <f t="shared" ca="1" si="8"/>
        <v>0.84000016090663598</v>
      </c>
      <c r="T48">
        <f t="shared" ca="1" si="9"/>
        <v>45.652178665720164</v>
      </c>
      <c r="U48">
        <f>70</f>
        <v>70</v>
      </c>
      <c r="V48">
        <f>30</f>
        <v>30</v>
      </c>
      <c r="W48">
        <f t="shared" ca="1" si="7"/>
        <v>150.86911176911008</v>
      </c>
      <c r="X48">
        <f t="shared" ca="1" si="17"/>
        <v>150.83866197565169</v>
      </c>
      <c r="Y48">
        <f t="shared" ca="1" si="16"/>
        <v>0.11840755937006975</v>
      </c>
      <c r="Z48">
        <f t="shared" ca="1" si="18"/>
        <v>0.66745325203578232</v>
      </c>
      <c r="AA48">
        <f t="shared" ca="1" si="19"/>
        <v>-0.54904569266571257</v>
      </c>
    </row>
    <row r="49" spans="1:27" x14ac:dyDescent="0.25">
      <c r="A49" s="20">
        <f t="shared" ca="1" si="0"/>
        <v>45362</v>
      </c>
      <c r="B49" vm="141">
        <f ca="1"/>
        <v>45362</v>
      </c>
      <c r="C49" vm="142">
        <f ca="1"/>
        <v>152</v>
      </c>
      <c r="D49" vm="143">
        <f ca="1"/>
        <v>7577064</v>
      </c>
      <c r="E49">
        <f t="shared" ca="1" si="1"/>
        <v>1151713728</v>
      </c>
      <c r="F49">
        <f ca="1">SUM($E$2:E49)/SUM($D$2:D49)</f>
        <v>149.47940475169719</v>
      </c>
      <c r="G49">
        <f ca="1">_xlfn.STDEV.P($C$2:C49)</f>
        <v>3.783442729695917</v>
      </c>
      <c r="H49">
        <f t="shared" ca="1" si="2"/>
        <v>153.26284748139309</v>
      </c>
      <c r="I49">
        <f t="shared" ca="1" si="3"/>
        <v>145.69596202200128</v>
      </c>
      <c r="J49">
        <f t="shared" ca="1" si="12"/>
        <v>152.20650000000003</v>
      </c>
      <c r="K49">
        <f t="shared" ca="1" si="13"/>
        <v>2.2590036811787058</v>
      </c>
      <c r="L49">
        <f t="shared" ca="1" si="14"/>
        <v>156.72450736235746</v>
      </c>
      <c r="M49">
        <f t="shared" ca="1" si="15"/>
        <v>147.68849263764261</v>
      </c>
      <c r="N49">
        <f t="shared" ca="1" si="4"/>
        <v>2.1200000000000045</v>
      </c>
      <c r="O49">
        <f t="shared" ca="1" si="5"/>
        <v>2.1200000000000045</v>
      </c>
      <c r="P49">
        <f t="shared" ca="1" si="6"/>
        <v>0</v>
      </c>
      <c r="Q49">
        <f t="shared" ca="1" si="10"/>
        <v>0.65466884120212543</v>
      </c>
      <c r="R49">
        <f t="shared" ca="1" si="11"/>
        <v>0.59909544449419172</v>
      </c>
      <c r="S49">
        <f t="shared" ca="1" si="8"/>
        <v>1.092762175407382</v>
      </c>
      <c r="T49">
        <f t="shared" ca="1" si="9"/>
        <v>52.216261754380298</v>
      </c>
      <c r="U49">
        <f>70</f>
        <v>70</v>
      </c>
      <c r="V49">
        <f>30</f>
        <v>30</v>
      </c>
      <c r="W49">
        <f t="shared" ca="1" si="7"/>
        <v>151.04309457386239</v>
      </c>
      <c r="X49">
        <f t="shared" ca="1" si="17"/>
        <v>150.92468701449232</v>
      </c>
      <c r="Y49">
        <f t="shared" ca="1" si="16"/>
        <v>0.17719603625963032</v>
      </c>
      <c r="Z49">
        <f t="shared" ca="1" si="18"/>
        <v>0.56940180888055192</v>
      </c>
      <c r="AA49">
        <f t="shared" ca="1" si="19"/>
        <v>-0.3922057726209216</v>
      </c>
    </row>
    <row r="50" spans="1:27" x14ac:dyDescent="0.25">
      <c r="A50" s="20">
        <f t="shared" ca="1" si="0"/>
        <v>45362</v>
      </c>
      <c r="B50" vm="144">
        <f ca="1"/>
        <v>45363</v>
      </c>
      <c r="C50" vm="145">
        <f ca="1"/>
        <v>151.88999999999999</v>
      </c>
      <c r="D50" vm="146">
        <f ca="1"/>
        <v>6432930</v>
      </c>
      <c r="E50">
        <f t="shared" ca="1" si="1"/>
        <v>977097737.69999993</v>
      </c>
      <c r="F50">
        <f ca="1">SUM($E$2:E50)/SUM($D$2:D50)</f>
        <v>149.51528320950308</v>
      </c>
      <c r="G50">
        <f ca="1">_xlfn.STDEV.P($C$2:C50)</f>
        <v>3.7573210169600624</v>
      </c>
      <c r="H50">
        <f t="shared" ca="1" si="2"/>
        <v>153.27260422646313</v>
      </c>
      <c r="I50">
        <f t="shared" ca="1" si="3"/>
        <v>145.75796219254303</v>
      </c>
      <c r="J50">
        <f t="shared" ca="1" si="12"/>
        <v>152.197</v>
      </c>
      <c r="K50">
        <f t="shared" ca="1" si="13"/>
        <v>2.2599629712849154</v>
      </c>
      <c r="L50">
        <f t="shared" ca="1" si="14"/>
        <v>156.71692594256984</v>
      </c>
      <c r="M50">
        <f t="shared" ca="1" si="15"/>
        <v>147.67707405743016</v>
      </c>
      <c r="N50">
        <f t="shared" ca="1" si="4"/>
        <v>-0.11000000000001364</v>
      </c>
      <c r="O50">
        <f t="shared" ca="1" si="5"/>
        <v>0</v>
      </c>
      <c r="P50">
        <f t="shared" ca="1" si="6"/>
        <v>0.11000000000001364</v>
      </c>
      <c r="Q50">
        <f t="shared" ca="1" si="10"/>
        <v>0.6079067811162594</v>
      </c>
      <c r="R50">
        <f t="shared" ca="1" si="11"/>
        <v>0.56416005560175042</v>
      </c>
      <c r="S50">
        <f t="shared" ca="1" si="8"/>
        <v>1.0775431104703919</v>
      </c>
      <c r="T50">
        <f t="shared" ca="1" si="9"/>
        <v>51.866221453590796</v>
      </c>
      <c r="U50">
        <f>70</f>
        <v>70</v>
      </c>
      <c r="V50">
        <f>30</f>
        <v>30</v>
      </c>
      <c r="W50">
        <f t="shared" ca="1" si="7"/>
        <v>151.1733877163451</v>
      </c>
      <c r="X50">
        <f t="shared" ca="1" si="17"/>
        <v>150.99619168008547</v>
      </c>
      <c r="Y50">
        <f t="shared" ca="1" si="16"/>
        <v>0.38078021574563081</v>
      </c>
      <c r="Z50">
        <f t="shared" ca="1" si="18"/>
        <v>0.5316774902535677</v>
      </c>
      <c r="AA50">
        <f t="shared" ca="1" si="19"/>
        <v>-0.15089727450793688</v>
      </c>
    </row>
    <row r="51" spans="1:27" x14ac:dyDescent="0.25">
      <c r="A51" s="20">
        <f t="shared" ca="1" si="0"/>
        <v>45362</v>
      </c>
      <c r="B51" vm="147">
        <f ca="1"/>
        <v>45364</v>
      </c>
      <c r="C51" vm="148">
        <f ca="1"/>
        <v>153.88999999999999</v>
      </c>
      <c r="D51" vm="149">
        <f ca="1"/>
        <v>8065649</v>
      </c>
      <c r="E51">
        <f t="shared" ca="1" si="1"/>
        <v>1241222724.6099999</v>
      </c>
      <c r="F51">
        <f ca="1">SUM($E$2:E51)/SUM($D$2:D51)</f>
        <v>149.59542520187674</v>
      </c>
      <c r="G51">
        <f ca="1">_xlfn.STDEV.P($C$2:C51)</f>
        <v>3.7643836998903288</v>
      </c>
      <c r="H51">
        <f t="shared" ca="1" si="2"/>
        <v>153.35980890176705</v>
      </c>
      <c r="I51">
        <f t="shared" ca="1" si="3"/>
        <v>145.83104150198642</v>
      </c>
      <c r="J51">
        <f t="shared" ca="1" si="12"/>
        <v>152.36150000000001</v>
      </c>
      <c r="K51">
        <f t="shared" ca="1" si="13"/>
        <v>2.2573372180047597</v>
      </c>
      <c r="L51">
        <f t="shared" ca="1" si="14"/>
        <v>156.87617443600953</v>
      </c>
      <c r="M51">
        <f t="shared" ca="1" si="15"/>
        <v>147.84682556399048</v>
      </c>
      <c r="N51">
        <f t="shared" ca="1" si="4"/>
        <v>2</v>
      </c>
      <c r="O51">
        <f t="shared" ca="1" si="5"/>
        <v>2</v>
      </c>
      <c r="P51">
        <f t="shared" ca="1" si="6"/>
        <v>0</v>
      </c>
      <c r="Q51">
        <f t="shared" ca="1" si="10"/>
        <v>0.70734201103652661</v>
      </c>
      <c r="R51">
        <f t="shared" ca="1" si="11"/>
        <v>0.52386290877305397</v>
      </c>
      <c r="S51">
        <f t="shared" ca="1" si="8"/>
        <v>1.3502425905533213</v>
      </c>
      <c r="T51">
        <f t="shared" ca="1" si="9"/>
        <v>57.451200824142653</v>
      </c>
      <c r="U51">
        <f>70</f>
        <v>70</v>
      </c>
      <c r="V51">
        <f>30</f>
        <v>30</v>
      </c>
      <c r="W51">
        <f t="shared" ca="1" si="7"/>
        <v>151.59132806767661</v>
      </c>
      <c r="X51">
        <f t="shared" ca="1" si="17"/>
        <v>151.21054785193098</v>
      </c>
      <c r="Y51">
        <f t="shared" ca="1" si="16"/>
        <v>0.68033157898113927</v>
      </c>
      <c r="Z51">
        <f t="shared" ca="1" si="18"/>
        <v>0.56140830799908203</v>
      </c>
      <c r="AA51">
        <f t="shared" ca="1" si="19"/>
        <v>0.11892327098205724</v>
      </c>
    </row>
    <row r="52" spans="1:27" x14ac:dyDescent="0.25">
      <c r="A52" s="20">
        <f t="shared" ca="1" si="0"/>
        <v>45362</v>
      </c>
      <c r="B52" vm="150">
        <f ca="1"/>
        <v>45365</v>
      </c>
      <c r="C52" vm="151">
        <f ca="1"/>
        <v>155.69999999999999</v>
      </c>
      <c r="D52" vm="152">
        <f ca="1"/>
        <v>9047206</v>
      </c>
      <c r="E52">
        <f t="shared" ca="1" si="1"/>
        <v>1408649974.1999998</v>
      </c>
      <c r="F52">
        <f ca="1">SUM($E$2:E52)/SUM($D$2:D52)</f>
        <v>149.71834080543906</v>
      </c>
      <c r="G52">
        <f ca="1">_xlfn.STDEV.P($C$2:C52)</f>
        <v>3.8149501637660292</v>
      </c>
      <c r="H52">
        <f t="shared" ca="1" si="2"/>
        <v>153.5332909692051</v>
      </c>
      <c r="I52">
        <f t="shared" ca="1" si="3"/>
        <v>145.90339064167301</v>
      </c>
      <c r="J52">
        <f t="shared" ca="1" si="12"/>
        <v>152.59599999999998</v>
      </c>
      <c r="K52">
        <f t="shared" ca="1" si="13"/>
        <v>2.3512043946163308</v>
      </c>
      <c r="L52">
        <f t="shared" ca="1" si="14"/>
        <v>157.29840878923264</v>
      </c>
      <c r="M52">
        <f t="shared" ca="1" si="15"/>
        <v>147.89359121076731</v>
      </c>
      <c r="N52">
        <f t="shared" ca="1" si="4"/>
        <v>1.8100000000000023</v>
      </c>
      <c r="O52">
        <f t="shared" ca="1" si="5"/>
        <v>1.8100000000000023</v>
      </c>
      <c r="P52">
        <f t="shared" ca="1" si="6"/>
        <v>0</v>
      </c>
      <c r="Q52">
        <f t="shared" ca="1" si="10"/>
        <v>0.78610329596248918</v>
      </c>
      <c r="R52">
        <f t="shared" ca="1" si="11"/>
        <v>0.48644412957497873</v>
      </c>
      <c r="S52">
        <f t="shared" ca="1" si="8"/>
        <v>1.616019699218761</v>
      </c>
      <c r="T52">
        <f t="shared" ca="1" si="9"/>
        <v>61.773988158474623</v>
      </c>
      <c r="U52">
        <f>70</f>
        <v>70</v>
      </c>
      <c r="V52">
        <f>30</f>
        <v>30</v>
      </c>
      <c r="W52">
        <f t="shared" ca="1" si="7"/>
        <v>152.22343144188019</v>
      </c>
      <c r="X52">
        <f t="shared" ca="1" si="17"/>
        <v>151.54309986289906</v>
      </c>
      <c r="Y52">
        <f t="shared" ca="1" si="16"/>
        <v>0.89530393959040566</v>
      </c>
      <c r="Z52">
        <f t="shared" ca="1" si="18"/>
        <v>0.6281874343173468</v>
      </c>
      <c r="AA52">
        <f t="shared" ca="1" si="19"/>
        <v>0.26711650527305886</v>
      </c>
    </row>
    <row r="53" spans="1:27" x14ac:dyDescent="0.25">
      <c r="A53" s="20">
        <f t="shared" ca="1" si="0"/>
        <v>45362</v>
      </c>
      <c r="B53" vm="153">
        <f ca="1"/>
        <v>45366</v>
      </c>
      <c r="C53" vm="154">
        <f ca="1"/>
        <v>155.55000000000001</v>
      </c>
      <c r="D53" vm="155">
        <f ca="1"/>
        <v>20387157</v>
      </c>
      <c r="E53">
        <f t="shared" ca="1" si="1"/>
        <v>3171222271.3500004</v>
      </c>
      <c r="F53">
        <f ca="1">SUM($E$2:E53)/SUM($D$2:D53)</f>
        <v>149.97145401136342</v>
      </c>
      <c r="G53">
        <f ca="1">_xlfn.STDEV.P($C$2:C53)</f>
        <v>3.855556789658793</v>
      </c>
      <c r="H53">
        <f t="shared" ca="1" si="2"/>
        <v>153.82701080102223</v>
      </c>
      <c r="I53">
        <f t="shared" ca="1" si="3"/>
        <v>146.11589722170461</v>
      </c>
      <c r="J53">
        <f t="shared" ca="1" si="12"/>
        <v>152.65049999999999</v>
      </c>
      <c r="K53">
        <f t="shared" ca="1" si="13"/>
        <v>2.4086171507625203</v>
      </c>
      <c r="L53">
        <f t="shared" ca="1" si="14"/>
        <v>157.46773430152504</v>
      </c>
      <c r="M53">
        <f t="shared" ca="1" si="15"/>
        <v>147.83326569847495</v>
      </c>
      <c r="N53">
        <f t="shared" ca="1" si="4"/>
        <v>-0.14999999999997726</v>
      </c>
      <c r="O53">
        <f t="shared" ca="1" si="5"/>
        <v>0</v>
      </c>
      <c r="P53">
        <f t="shared" ca="1" si="6"/>
        <v>0.14999999999997726</v>
      </c>
      <c r="Q53">
        <f t="shared" ca="1" si="10"/>
        <v>0.72995306053659714</v>
      </c>
      <c r="R53">
        <f t="shared" ca="1" si="11"/>
        <v>0.46241240603390715</v>
      </c>
      <c r="S53">
        <f t="shared" ca="1" si="8"/>
        <v>1.5785758578524645</v>
      </c>
      <c r="T53">
        <f t="shared" ca="1" si="9"/>
        <v>61.218903180423098</v>
      </c>
      <c r="U53">
        <f>70</f>
        <v>70</v>
      </c>
      <c r="V53">
        <f>30</f>
        <v>30</v>
      </c>
      <c r="W53">
        <f t="shared" ca="1" si="7"/>
        <v>152.73521122005249</v>
      </c>
      <c r="X53">
        <f t="shared" ca="1" si="17"/>
        <v>151.83990728046209</v>
      </c>
      <c r="Y53">
        <f t="shared" ca="1" si="16"/>
        <v>1.0423585931778234</v>
      </c>
      <c r="Z53">
        <f t="shared" ca="1" si="18"/>
        <v>0.71102166608944217</v>
      </c>
      <c r="AA53">
        <f t="shared" ca="1" si="19"/>
        <v>0.33133692708838125</v>
      </c>
    </row>
    <row r="54" spans="1:27" x14ac:dyDescent="0.25">
      <c r="A54" s="20">
        <f t="shared" ca="1" si="0"/>
        <v>45369</v>
      </c>
      <c r="B54" vm="156">
        <f ca="1"/>
        <v>45369</v>
      </c>
      <c r="C54" vm="157">
        <f ca="1"/>
        <v>155.41</v>
      </c>
      <c r="D54" vm="158">
        <f ca="1"/>
        <v>7242711</v>
      </c>
      <c r="E54">
        <f t="shared" ca="1" si="1"/>
        <v>1125589716.51</v>
      </c>
      <c r="F54">
        <f ca="1">SUM($E$2:E54)/SUM($D$2:D54)</f>
        <v>150.05403964617415</v>
      </c>
      <c r="G54">
        <f ca="1">_xlfn.STDEV.P($C$2:C54)</f>
        <v>3.8878067004207195</v>
      </c>
      <c r="H54">
        <f t="shared" ca="1" si="2"/>
        <v>153.94184634659487</v>
      </c>
      <c r="I54">
        <f t="shared" ca="1" si="3"/>
        <v>146.16623294575342</v>
      </c>
      <c r="J54">
        <f t="shared" ca="1" si="12"/>
        <v>152.68949999999998</v>
      </c>
      <c r="K54">
        <f t="shared" ca="1" si="13"/>
        <v>2.4483431024610121</v>
      </c>
      <c r="L54">
        <f t="shared" ca="1" si="14"/>
        <v>157.586186204922</v>
      </c>
      <c r="M54">
        <f t="shared" ca="1" si="15"/>
        <v>147.79281379507796</v>
      </c>
      <c r="N54">
        <f t="shared" ca="1" si="4"/>
        <v>-0.14000000000001478</v>
      </c>
      <c r="O54">
        <f t="shared" ca="1" si="5"/>
        <v>0</v>
      </c>
      <c r="P54">
        <f t="shared" ca="1" si="6"/>
        <v>0.14000000000001478</v>
      </c>
      <c r="Q54">
        <f t="shared" ca="1" si="10"/>
        <v>0.67781355621255457</v>
      </c>
      <c r="R54">
        <f t="shared" ca="1" si="11"/>
        <v>0.43938294846005771</v>
      </c>
      <c r="S54">
        <f t="shared" ca="1" si="8"/>
        <v>1.54264874999848</v>
      </c>
      <c r="T54">
        <f t="shared" ca="1" si="9"/>
        <v>60.670934198024881</v>
      </c>
      <c r="U54">
        <f>70</f>
        <v>70</v>
      </c>
      <c r="V54">
        <f>30</f>
        <v>30</v>
      </c>
      <c r="W54">
        <f t="shared" ca="1" si="7"/>
        <v>153.14671718619826</v>
      </c>
      <c r="X54">
        <f t="shared" ca="1" si="17"/>
        <v>152.10435859302044</v>
      </c>
      <c r="Y54">
        <f t="shared" ca="1" si="16"/>
        <v>1.2422178392286014</v>
      </c>
      <c r="Z54">
        <f t="shared" ca="1" si="18"/>
        <v>0.81726090071727409</v>
      </c>
      <c r="AA54">
        <f t="shared" ca="1" si="19"/>
        <v>0.42495693851132732</v>
      </c>
    </row>
    <row r="55" spans="1:27" x14ac:dyDescent="0.25">
      <c r="A55" s="20">
        <f t="shared" ca="1" si="0"/>
        <v>45369</v>
      </c>
      <c r="B55" vm="159">
        <f ca="1"/>
        <v>45370</v>
      </c>
      <c r="C55" vm="160">
        <f ca="1"/>
        <v>156.62</v>
      </c>
      <c r="D55" vm="161">
        <f ca="1"/>
        <v>7736723</v>
      </c>
      <c r="E55">
        <f t="shared" ca="1" si="1"/>
        <v>1211725556.26</v>
      </c>
      <c r="F55">
        <f ca="1">SUM($E$2:E55)/SUM($D$2:D55)</f>
        <v>150.15884601852522</v>
      </c>
      <c r="G55">
        <f ca="1">_xlfn.STDEV.P($C$2:C55)</f>
        <v>3.948899362207082</v>
      </c>
      <c r="H55">
        <f t="shared" ca="1" si="2"/>
        <v>154.1077453807323</v>
      </c>
      <c r="I55">
        <f t="shared" ca="1" si="3"/>
        <v>146.20994665631815</v>
      </c>
      <c r="J55">
        <f t="shared" ca="1" si="12"/>
        <v>152.82049999999998</v>
      </c>
      <c r="K55">
        <f t="shared" ca="1" si="13"/>
        <v>2.5882476799239238</v>
      </c>
      <c r="L55">
        <f t="shared" ca="1" si="14"/>
        <v>157.99699535984783</v>
      </c>
      <c r="M55">
        <f t="shared" ca="1" si="15"/>
        <v>147.64400464015213</v>
      </c>
      <c r="N55">
        <f t="shared" ca="1" si="4"/>
        <v>1.210000000000008</v>
      </c>
      <c r="O55">
        <f t="shared" ca="1" si="5"/>
        <v>1.210000000000008</v>
      </c>
      <c r="P55">
        <f t="shared" ca="1" si="6"/>
        <v>0</v>
      </c>
      <c r="Q55">
        <f t="shared" ca="1" si="10"/>
        <v>0.7158268736259441</v>
      </c>
      <c r="R55">
        <f t="shared" ca="1" si="11"/>
        <v>0.40799845214148217</v>
      </c>
      <c r="S55">
        <f t="shared" ca="1" si="8"/>
        <v>1.7544842875475317</v>
      </c>
      <c r="T55">
        <f t="shared" ca="1" si="9"/>
        <v>63.695563466424609</v>
      </c>
      <c r="U55">
        <f>70</f>
        <v>70</v>
      </c>
      <c r="V55">
        <f>30</f>
        <v>30</v>
      </c>
      <c r="W55">
        <f t="shared" ca="1" si="7"/>
        <v>153.68106838832159</v>
      </c>
      <c r="X55">
        <f t="shared" ca="1" si="17"/>
        <v>152.43885054909299</v>
      </c>
      <c r="Y55">
        <f t="shared" ca="1" si="16"/>
        <v>1.219518184832765</v>
      </c>
      <c r="Z55">
        <f t="shared" ca="1" si="18"/>
        <v>0.89771235754037237</v>
      </c>
      <c r="AA55">
        <f t="shared" ca="1" si="19"/>
        <v>0.3218058272923926</v>
      </c>
    </row>
    <row r="56" spans="1:27" x14ac:dyDescent="0.25">
      <c r="A56" s="20">
        <f t="shared" ca="1" si="0"/>
        <v>45369</v>
      </c>
      <c r="B56" vm="162">
        <f ca="1"/>
        <v>45371</v>
      </c>
      <c r="C56" vm="163">
        <f ca="1"/>
        <v>154.55000000000001</v>
      </c>
      <c r="D56" vm="164">
        <f ca="1"/>
        <v>8449145</v>
      </c>
      <c r="E56">
        <f t="shared" ca="1" si="1"/>
        <v>1305815359.75</v>
      </c>
      <c r="F56">
        <f ca="1">SUM($E$2:E56)/SUM($D$2:D56)</f>
        <v>150.23408076423848</v>
      </c>
      <c r="G56">
        <f ca="1">_xlfn.STDEV.P($C$2:C56)</f>
        <v>3.9542295965812784</v>
      </c>
      <c r="H56">
        <f t="shared" ca="1" si="2"/>
        <v>154.18831036081977</v>
      </c>
      <c r="I56">
        <f t="shared" ca="1" si="3"/>
        <v>146.2798511676572</v>
      </c>
      <c r="J56">
        <f t="shared" ca="1" si="12"/>
        <v>152.77600000000001</v>
      </c>
      <c r="K56">
        <f t="shared" ca="1" si="13"/>
        <v>2.5481807752115806</v>
      </c>
      <c r="L56">
        <f t="shared" ca="1" si="14"/>
        <v>157.87236155042316</v>
      </c>
      <c r="M56">
        <f t="shared" ca="1" si="15"/>
        <v>147.67963844957686</v>
      </c>
      <c r="N56">
        <f t="shared" ca="1" si="4"/>
        <v>-2.0699999999999932</v>
      </c>
      <c r="O56">
        <f t="shared" ca="1" si="5"/>
        <v>0</v>
      </c>
      <c r="P56">
        <f t="shared" ca="1" si="6"/>
        <v>2.0699999999999932</v>
      </c>
      <c r="Q56">
        <f t="shared" ca="1" si="10"/>
        <v>0.6646963826526624</v>
      </c>
      <c r="R56">
        <f t="shared" ca="1" si="11"/>
        <v>0.5267128484170901</v>
      </c>
      <c r="S56">
        <f t="shared" ca="1" si="8"/>
        <v>1.2619710809224589</v>
      </c>
      <c r="T56">
        <f t="shared" ca="1" si="9"/>
        <v>55.790769898252279</v>
      </c>
      <c r="U56">
        <f>70</f>
        <v>70</v>
      </c>
      <c r="V56">
        <f>30</f>
        <v>30</v>
      </c>
      <c r="W56">
        <f t="shared" ca="1" si="7"/>
        <v>153.81475017473366</v>
      </c>
      <c r="X56">
        <f t="shared" ca="1" si="17"/>
        <v>152.5952319899009</v>
      </c>
      <c r="Y56">
        <f t="shared" ca="1" si="16"/>
        <v>1.212565256917685</v>
      </c>
      <c r="Z56">
        <f t="shared" ca="1" si="18"/>
        <v>0.96068293741583499</v>
      </c>
      <c r="AA56">
        <f t="shared" ca="1" si="19"/>
        <v>0.25188231950185003</v>
      </c>
    </row>
    <row r="57" spans="1:27" x14ac:dyDescent="0.25">
      <c r="A57" s="20">
        <f t="shared" ca="1" si="0"/>
        <v>45369</v>
      </c>
      <c r="B57" vm="165">
        <f ca="1"/>
        <v>45372</v>
      </c>
      <c r="C57" vm="166">
        <f ca="1"/>
        <v>154.86000000000001</v>
      </c>
      <c r="D57" vm="167">
        <f ca="1"/>
        <v>7899084</v>
      </c>
      <c r="E57">
        <f t="shared" ca="1" si="1"/>
        <v>1223252148.24</v>
      </c>
      <c r="F57">
        <f ca="1">SUM($E$2:E57)/SUM($D$2:D57)</f>
        <v>150.30700980063361</v>
      </c>
      <c r="G57">
        <f ca="1">_xlfn.STDEV.P($C$2:C57)</f>
        <v>3.9638887470165569</v>
      </c>
      <c r="H57">
        <f t="shared" ca="1" si="2"/>
        <v>154.27089854765018</v>
      </c>
      <c r="I57">
        <f t="shared" ca="1" si="3"/>
        <v>146.34312105361704</v>
      </c>
      <c r="J57">
        <f t="shared" ca="1" si="12"/>
        <v>152.7475</v>
      </c>
      <c r="K57">
        <f t="shared" ca="1" si="13"/>
        <v>2.5199663218300938</v>
      </c>
      <c r="L57">
        <f t="shared" ca="1" si="14"/>
        <v>157.7874326436602</v>
      </c>
      <c r="M57">
        <f t="shared" ca="1" si="15"/>
        <v>147.70756735633981</v>
      </c>
      <c r="N57">
        <f t="shared" ca="1" si="4"/>
        <v>0.31000000000000227</v>
      </c>
      <c r="O57">
        <f t="shared" ca="1" si="5"/>
        <v>0.31000000000000227</v>
      </c>
      <c r="P57">
        <f t="shared" ca="1" si="6"/>
        <v>0</v>
      </c>
      <c r="Q57">
        <f t="shared" ca="1" si="10"/>
        <v>0.63936092674890088</v>
      </c>
      <c r="R57">
        <f t="shared" ca="1" si="11"/>
        <v>0.48909050210158361</v>
      </c>
      <c r="S57">
        <f t="shared" ca="1" si="8"/>
        <v>1.3072446183305892</v>
      </c>
      <c r="T57">
        <f t="shared" ca="1" si="9"/>
        <v>56.658258424130523</v>
      </c>
      <c r="U57">
        <f>70</f>
        <v>70</v>
      </c>
      <c r="V57">
        <f>30</f>
        <v>30</v>
      </c>
      <c r="W57">
        <f t="shared" ca="1" si="7"/>
        <v>153.97555784015924</v>
      </c>
      <c r="X57">
        <f t="shared" ca="1" si="17"/>
        <v>152.76299258324156</v>
      </c>
      <c r="Y57">
        <f t="shared" ca="1" si="16"/>
        <v>1.1773449828313005</v>
      </c>
      <c r="Z57">
        <f t="shared" ca="1" si="18"/>
        <v>1.0040153464989281</v>
      </c>
      <c r="AA57">
        <f t="shared" ca="1" si="19"/>
        <v>0.17332963633237242</v>
      </c>
    </row>
    <row r="58" spans="1:27" x14ac:dyDescent="0.25">
      <c r="A58" s="20">
        <f t="shared" ca="1" si="0"/>
        <v>45369</v>
      </c>
      <c r="B58" vm="168">
        <f ca="1"/>
        <v>45373</v>
      </c>
      <c r="C58" vm="109">
        <f ca="1"/>
        <v>154.66</v>
      </c>
      <c r="D58" vm="169">
        <f ca="1"/>
        <v>5974745</v>
      </c>
      <c r="E58">
        <f t="shared" ca="1" si="1"/>
        <v>924054061.69999993</v>
      </c>
      <c r="F58">
        <f ca="1">SUM($E$2:E58)/SUM($D$2:D58)</f>
        <v>150.3583059295679</v>
      </c>
      <c r="G58">
        <f ca="1">_xlfn.STDEV.P($C$2:C58)</f>
        <v>3.9678893961888373</v>
      </c>
      <c r="H58">
        <f t="shared" ca="1" si="2"/>
        <v>154.32619532575674</v>
      </c>
      <c r="I58">
        <f t="shared" ca="1" si="3"/>
        <v>146.39041653337907</v>
      </c>
      <c r="J58">
        <f t="shared" ca="1" si="12"/>
        <v>152.7475</v>
      </c>
      <c r="K58">
        <f t="shared" ca="1" si="13"/>
        <v>2.5199663218300938</v>
      </c>
      <c r="L58">
        <f t="shared" ca="1" si="14"/>
        <v>157.7874326436602</v>
      </c>
      <c r="M58">
        <f t="shared" ca="1" si="15"/>
        <v>147.70756735633981</v>
      </c>
      <c r="N58">
        <f t="shared" ca="1" si="4"/>
        <v>-0.20000000000001705</v>
      </c>
      <c r="O58">
        <f t="shared" ca="1" si="5"/>
        <v>0</v>
      </c>
      <c r="P58">
        <f t="shared" ca="1" si="6"/>
        <v>0.20000000000001705</v>
      </c>
      <c r="Q58">
        <f t="shared" ca="1" si="10"/>
        <v>0.59369228912397942</v>
      </c>
      <c r="R58">
        <f t="shared" ca="1" si="11"/>
        <v>0.46844118052290024</v>
      </c>
      <c r="S58">
        <f t="shared" ca="1" si="8"/>
        <v>1.2673785179630597</v>
      </c>
      <c r="T58">
        <f t="shared" ca="1" si="9"/>
        <v>55.896203828447312</v>
      </c>
      <c r="U58">
        <f>70</f>
        <v>70</v>
      </c>
      <c r="V58">
        <f>30</f>
        <v>30</v>
      </c>
      <c r="W58">
        <f t="shared" ca="1" si="7"/>
        <v>154.08085663398089</v>
      </c>
      <c r="X58">
        <f t="shared" ca="1" si="17"/>
        <v>152.90351165114959</v>
      </c>
      <c r="Y58">
        <f t="shared" ca="1" si="16"/>
        <v>1.280721178543331</v>
      </c>
      <c r="Z58">
        <f t="shared" ca="1" si="18"/>
        <v>1.0593565129078089</v>
      </c>
      <c r="AA58">
        <f t="shared" ca="1" si="19"/>
        <v>0.22136466563552215</v>
      </c>
    </row>
    <row r="59" spans="1:27" x14ac:dyDescent="0.25">
      <c r="A59" s="20">
        <f t="shared" ca="1" si="0"/>
        <v>45376</v>
      </c>
      <c r="B59" vm="170">
        <f ca="1"/>
        <v>45376</v>
      </c>
      <c r="C59" vm="171">
        <f ca="1"/>
        <v>156.47</v>
      </c>
      <c r="D59" vm="172">
        <f ca="1"/>
        <v>6058745</v>
      </c>
      <c r="E59">
        <f t="shared" ca="1" si="1"/>
        <v>948011830.14999998</v>
      </c>
      <c r="F59">
        <f ca="1">SUM($E$2:E59)/SUM($D$2:D59)</f>
        <v>150.43047695000209</v>
      </c>
      <c r="G59">
        <f ca="1">_xlfn.STDEV.P($C$2:C59)</f>
        <v>4.0092848393087586</v>
      </c>
      <c r="H59">
        <f t="shared" ca="1" si="2"/>
        <v>154.43976178931084</v>
      </c>
      <c r="I59">
        <f t="shared" ca="1" si="3"/>
        <v>146.42119211069334</v>
      </c>
      <c r="J59">
        <f t="shared" ca="1" si="12"/>
        <v>152.84849999999997</v>
      </c>
      <c r="K59">
        <f t="shared" ca="1" si="13"/>
        <v>2.6298774736317641</v>
      </c>
      <c r="L59">
        <f t="shared" ca="1" si="14"/>
        <v>158.1082549472635</v>
      </c>
      <c r="M59">
        <f t="shared" ca="1" si="15"/>
        <v>147.58874505273644</v>
      </c>
      <c r="N59">
        <f t="shared" ca="1" si="4"/>
        <v>1.8100000000000023</v>
      </c>
      <c r="O59">
        <f t="shared" ca="1" si="5"/>
        <v>1.8100000000000023</v>
      </c>
      <c r="P59">
        <f t="shared" ca="1" si="6"/>
        <v>0</v>
      </c>
      <c r="Q59">
        <f t="shared" ca="1" si="10"/>
        <v>0.68057141132940957</v>
      </c>
      <c r="R59">
        <f t="shared" ca="1" si="11"/>
        <v>0.43498109619983588</v>
      </c>
      <c r="S59">
        <f t="shared" ca="1" si="8"/>
        <v>1.5645999729072051</v>
      </c>
      <c r="T59">
        <f t="shared" ca="1" si="9"/>
        <v>61.007564120559124</v>
      </c>
      <c r="U59">
        <f>70</f>
        <v>70</v>
      </c>
      <c r="V59">
        <f>30</f>
        <v>30</v>
      </c>
      <c r="W59">
        <f t="shared" ca="1" si="7"/>
        <v>154.44841715183</v>
      </c>
      <c r="X59">
        <f t="shared" ca="1" si="17"/>
        <v>153.16769597328667</v>
      </c>
      <c r="Y59">
        <f t="shared" ca="1" si="16"/>
        <v>1.2513923155992757</v>
      </c>
      <c r="Z59">
        <f t="shared" ca="1" si="18"/>
        <v>1.0977636734461023</v>
      </c>
      <c r="AA59">
        <f t="shared" ca="1" si="19"/>
        <v>0.1536286421531734</v>
      </c>
    </row>
    <row r="60" spans="1:27" x14ac:dyDescent="0.25">
      <c r="A60" s="20">
        <f t="shared" ca="1" si="0"/>
        <v>45376</v>
      </c>
      <c r="B60" vm="173">
        <f ca="1"/>
        <v>45377</v>
      </c>
      <c r="C60" vm="174">
        <f ca="1"/>
        <v>155.27000000000001</v>
      </c>
      <c r="D60" vm="175">
        <f ca="1"/>
        <v>6677938</v>
      </c>
      <c r="E60">
        <f t="shared" ca="1" si="1"/>
        <v>1036883433.2600001</v>
      </c>
      <c r="F60">
        <f ca="1">SUM($E$2:E60)/SUM($D$2:D60)</f>
        <v>150.4926564776147</v>
      </c>
      <c r="G60">
        <f ca="1">_xlfn.STDEV.P($C$2:C60)</f>
        <v>4.0203422699846509</v>
      </c>
      <c r="H60">
        <f t="shared" ca="1" si="2"/>
        <v>154.51299874759934</v>
      </c>
      <c r="I60">
        <f t="shared" ca="1" si="3"/>
        <v>146.47231420763006</v>
      </c>
      <c r="J60">
        <f t="shared" ca="1" si="12"/>
        <v>153.00399999999996</v>
      </c>
      <c r="K60">
        <f t="shared" ca="1" si="13"/>
        <v>2.6785196225566565</v>
      </c>
      <c r="L60">
        <f t="shared" ca="1" si="14"/>
        <v>158.36103924511326</v>
      </c>
      <c r="M60">
        <f t="shared" ca="1" si="15"/>
        <v>147.64696075488666</v>
      </c>
      <c r="N60">
        <f t="shared" ca="1" si="4"/>
        <v>-1.1999999999999886</v>
      </c>
      <c r="O60">
        <f t="shared" ca="1" si="5"/>
        <v>0</v>
      </c>
      <c r="P60">
        <f t="shared" ca="1" si="6"/>
        <v>1.1999999999999886</v>
      </c>
      <c r="Q60">
        <f t="shared" ca="1" si="10"/>
        <v>0.63195916766302318</v>
      </c>
      <c r="R60">
        <f t="shared" ca="1" si="11"/>
        <v>0.48962530361413253</v>
      </c>
      <c r="S60">
        <f t="shared" ca="1" si="8"/>
        <v>1.2906995676045823</v>
      </c>
      <c r="T60">
        <f t="shared" ca="1" si="9"/>
        <v>56.345213744213758</v>
      </c>
      <c r="U60">
        <f>70</f>
        <v>70</v>
      </c>
      <c r="V60">
        <f>30</f>
        <v>30</v>
      </c>
      <c r="W60">
        <f t="shared" ca="1" si="7"/>
        <v>154.57481451308692</v>
      </c>
      <c r="X60">
        <f t="shared" ca="1" si="17"/>
        <v>153.32342219748764</v>
      </c>
      <c r="Y60">
        <f t="shared" ca="1" si="16"/>
        <v>1.3003068267901199</v>
      </c>
      <c r="Z60">
        <f t="shared" ca="1" si="18"/>
        <v>1.1382723041149059</v>
      </c>
      <c r="AA60">
        <f t="shared" ca="1" si="19"/>
        <v>0.16203452267521401</v>
      </c>
    </row>
    <row r="61" spans="1:27" x14ac:dyDescent="0.25">
      <c r="A61" s="20">
        <f t="shared" ca="1" si="0"/>
        <v>45376</v>
      </c>
      <c r="B61" vm="176">
        <f ca="1"/>
        <v>45378</v>
      </c>
      <c r="C61" vm="177">
        <f ca="1"/>
        <v>156.35</v>
      </c>
      <c r="D61" vm="178">
        <f ca="1"/>
        <v>7416870</v>
      </c>
      <c r="E61">
        <f t="shared" ca="1" si="1"/>
        <v>1159627624.5</v>
      </c>
      <c r="F61">
        <f ca="1">SUM($E$2:E61)/SUM($D$2:D61)</f>
        <v>150.57506464700757</v>
      </c>
      <c r="G61">
        <f ca="1">_xlfn.STDEV.P($C$2:C61)</f>
        <v>4.0519490371918545</v>
      </c>
      <c r="H61">
        <f t="shared" ca="1" si="2"/>
        <v>154.62701368419943</v>
      </c>
      <c r="I61">
        <f t="shared" ca="1" si="3"/>
        <v>146.5231156098157</v>
      </c>
      <c r="J61">
        <f t="shared" ca="1" si="12"/>
        <v>153.2045</v>
      </c>
      <c r="K61">
        <f t="shared" ca="1" si="13"/>
        <v>2.774562032769174</v>
      </c>
      <c r="L61">
        <f t="shared" ca="1" si="14"/>
        <v>158.75362406553833</v>
      </c>
      <c r="M61">
        <f t="shared" ca="1" si="15"/>
        <v>147.65537593446166</v>
      </c>
      <c r="N61">
        <f t="shared" ca="1" si="4"/>
        <v>1.0799999999999841</v>
      </c>
      <c r="O61">
        <f t="shared" ca="1" si="5"/>
        <v>1.0799999999999841</v>
      </c>
      <c r="P61">
        <f t="shared" ca="1" si="6"/>
        <v>0</v>
      </c>
      <c r="Q61">
        <f t="shared" ca="1" si="10"/>
        <v>0.66396208425852044</v>
      </c>
      <c r="R61">
        <f t="shared" ca="1" si="11"/>
        <v>0.45465206764169447</v>
      </c>
      <c r="S61">
        <f t="shared" ca="1" si="8"/>
        <v>1.4603740563691454</v>
      </c>
      <c r="T61">
        <f t="shared" ca="1" si="9"/>
        <v>59.355773671433823</v>
      </c>
      <c r="U61">
        <f>70</f>
        <v>70</v>
      </c>
      <c r="V61">
        <f>30</f>
        <v>30</v>
      </c>
      <c r="W61">
        <f t="shared" ca="1" si="7"/>
        <v>154.84791997261203</v>
      </c>
      <c r="X61">
        <f t="shared" ca="1" si="17"/>
        <v>153.54761314582191</v>
      </c>
      <c r="Y61">
        <f t="shared" ca="1" si="16"/>
        <v>1.4346950412354715</v>
      </c>
      <c r="Z61">
        <f t="shared" ca="1" si="18"/>
        <v>1.1975568515390191</v>
      </c>
      <c r="AA61">
        <f t="shared" ca="1" si="19"/>
        <v>0.23713818969645239</v>
      </c>
    </row>
    <row r="62" spans="1:27" x14ac:dyDescent="0.25">
      <c r="A62" s="20">
        <f t="shared" ca="1" si="0"/>
        <v>45376</v>
      </c>
      <c r="B62" vm="179">
        <f ca="1"/>
        <v>45379</v>
      </c>
      <c r="C62" vm="180">
        <f ca="1"/>
        <v>157.74</v>
      </c>
      <c r="D62" vm="181">
        <f ca="1"/>
        <v>8331627</v>
      </c>
      <c r="E62">
        <f t="shared" ca="1" si="1"/>
        <v>1314230842.98</v>
      </c>
      <c r="F62">
        <f ca="1">SUM($E$2:E62)/SUM($D$2:D62)</f>
        <v>150.68654052429687</v>
      </c>
      <c r="G62">
        <f ca="1">_xlfn.STDEV.P($C$2:C62)</f>
        <v>4.1144470396827577</v>
      </c>
      <c r="H62">
        <f t="shared" ca="1" si="2"/>
        <v>154.80098756397962</v>
      </c>
      <c r="I62">
        <f t="shared" ca="1" si="3"/>
        <v>146.57209348461413</v>
      </c>
      <c r="J62">
        <f t="shared" ca="1" si="12"/>
        <v>153.49099999999999</v>
      </c>
      <c r="K62">
        <f t="shared" ca="1" si="13"/>
        <v>2.9358759116183806</v>
      </c>
      <c r="L62">
        <f t="shared" ca="1" si="14"/>
        <v>159.36275182323675</v>
      </c>
      <c r="M62">
        <f t="shared" ca="1" si="15"/>
        <v>147.61924817676322</v>
      </c>
      <c r="N62">
        <f t="shared" ca="1" si="4"/>
        <v>1.3900000000000148</v>
      </c>
      <c r="O62">
        <f t="shared" ca="1" si="5"/>
        <v>1.3900000000000148</v>
      </c>
      <c r="P62">
        <f t="shared" ca="1" si="6"/>
        <v>0</v>
      </c>
      <c r="Q62">
        <f t="shared" ca="1" si="10"/>
        <v>0.71582193538291283</v>
      </c>
      <c r="R62">
        <f t="shared" ca="1" si="11"/>
        <v>0.42217691995300199</v>
      </c>
      <c r="S62">
        <f t="shared" ca="1" si="8"/>
        <v>1.695549665440262</v>
      </c>
      <c r="T62">
        <f t="shared" ca="1" si="9"/>
        <v>62.901815061282839</v>
      </c>
      <c r="U62">
        <f>70</f>
        <v>70</v>
      </c>
      <c r="V62">
        <f>30</f>
        <v>30</v>
      </c>
      <c r="W62">
        <f t="shared" ca="1" si="7"/>
        <v>155.29285536144093</v>
      </c>
      <c r="X62">
        <f t="shared" ca="1" si="17"/>
        <v>153.85816032020546</v>
      </c>
      <c r="Y62">
        <f t="shared" ca="1" si="16"/>
        <v>1.630529738692843</v>
      </c>
      <c r="Z62">
        <f t="shared" ca="1" si="18"/>
        <v>1.284151428969784</v>
      </c>
      <c r="AA62">
        <f t="shared" ca="1" si="19"/>
        <v>0.34637830972305905</v>
      </c>
    </row>
    <row r="63" spans="1:27" x14ac:dyDescent="0.25">
      <c r="A63" s="20">
        <f t="shared" ca="1" si="0"/>
        <v>45383</v>
      </c>
      <c r="B63" vm="182">
        <f ca="1"/>
        <v>45383</v>
      </c>
      <c r="C63" vm="183">
        <f ca="1"/>
        <v>159.08000000000001</v>
      </c>
      <c r="D63" vm="184">
        <f ca="1"/>
        <v>6285717</v>
      </c>
      <c r="E63">
        <f t="shared" ca="1" si="1"/>
        <v>999931860.36000013</v>
      </c>
      <c r="F63">
        <f ca="1">SUM($E$2:E63)/SUM($D$2:D63)</f>
        <v>150.78391980658682</v>
      </c>
      <c r="G63">
        <f ca="1">_xlfn.STDEV.P($C$2:C63)</f>
        <v>4.2091805911245093</v>
      </c>
      <c r="H63">
        <f t="shared" ca="1" si="2"/>
        <v>154.99310039771134</v>
      </c>
      <c r="I63">
        <f t="shared" ca="1" si="3"/>
        <v>146.5747392154623</v>
      </c>
      <c r="J63">
        <f t="shared" ca="1" si="12"/>
        <v>153.80449999999996</v>
      </c>
      <c r="K63">
        <f t="shared" ca="1" si="13"/>
        <v>3.1836382282572657</v>
      </c>
      <c r="L63">
        <f t="shared" ca="1" si="14"/>
        <v>160.17177645651449</v>
      </c>
      <c r="M63">
        <f t="shared" ca="1" si="15"/>
        <v>147.43722354348543</v>
      </c>
      <c r="N63">
        <f t="shared" ca="1" si="4"/>
        <v>1.3400000000000034</v>
      </c>
      <c r="O63">
        <f t="shared" ca="1" si="5"/>
        <v>1.3400000000000034</v>
      </c>
      <c r="P63">
        <f t="shared" ca="1" si="6"/>
        <v>0</v>
      </c>
      <c r="Q63">
        <f t="shared" ca="1" si="10"/>
        <v>0.7604060828555621</v>
      </c>
      <c r="R63">
        <f t="shared" ca="1" si="11"/>
        <v>0.39202142567064469</v>
      </c>
      <c r="S63">
        <f t="shared" ca="1" si="8"/>
        <v>1.9397054167503958</v>
      </c>
      <c r="T63">
        <f t="shared" ca="1" si="9"/>
        <v>65.982986107995202</v>
      </c>
      <c r="U63">
        <f>70</f>
        <v>70</v>
      </c>
      <c r="V63">
        <f>30</f>
        <v>30</v>
      </c>
      <c r="W63">
        <f t="shared" ca="1" si="7"/>
        <v>155.87549299814233</v>
      </c>
      <c r="X63">
        <f t="shared" ca="1" si="17"/>
        <v>154.24496325944949</v>
      </c>
      <c r="Y63">
        <f t="shared" ca="1" si="16"/>
        <v>1.8212204020717593</v>
      </c>
      <c r="Z63">
        <f t="shared" ca="1" si="18"/>
        <v>1.391565223590179</v>
      </c>
      <c r="AA63">
        <f t="shared" ca="1" si="19"/>
        <v>0.4296551784815803</v>
      </c>
    </row>
    <row r="64" spans="1:27" x14ac:dyDescent="0.25">
      <c r="A64" s="20">
        <f t="shared" ca="1" si="0"/>
        <v>45383</v>
      </c>
      <c r="B64" vm="185">
        <f ca="1"/>
        <v>45384</v>
      </c>
      <c r="C64" vm="186">
        <f ca="1"/>
        <v>159.78</v>
      </c>
      <c r="D64" vm="187">
        <f ca="1"/>
        <v>8815351</v>
      </c>
      <c r="E64">
        <f t="shared" ca="1" si="1"/>
        <v>1408516782.78</v>
      </c>
      <c r="F64">
        <f ca="1">SUM($E$2:E64)/SUM($D$2:D64)</f>
        <v>150.92795021899522</v>
      </c>
      <c r="G64">
        <f ca="1">_xlfn.STDEV.P($C$2:C64)</f>
        <v>4.3163838994285681</v>
      </c>
      <c r="H64">
        <f t="shared" ca="1" si="2"/>
        <v>155.24433411842378</v>
      </c>
      <c r="I64">
        <f t="shared" ca="1" si="3"/>
        <v>146.61156631956666</v>
      </c>
      <c r="J64">
        <f t="shared" ca="1" si="12"/>
        <v>154.34949999999998</v>
      </c>
      <c r="K64">
        <f t="shared" ca="1" si="13"/>
        <v>3.2289064060370922</v>
      </c>
      <c r="L64">
        <f t="shared" ca="1" si="14"/>
        <v>160.80731281207417</v>
      </c>
      <c r="M64">
        <f t="shared" ca="1" si="15"/>
        <v>147.89168718792578</v>
      </c>
      <c r="N64">
        <f t="shared" ca="1" si="4"/>
        <v>0.69999999999998863</v>
      </c>
      <c r="O64">
        <f t="shared" ca="1" si="5"/>
        <v>0.69999999999998863</v>
      </c>
      <c r="P64">
        <f t="shared" ca="1" si="6"/>
        <v>0</v>
      </c>
      <c r="Q64">
        <f t="shared" ca="1" si="10"/>
        <v>0.7560913626515926</v>
      </c>
      <c r="R64">
        <f t="shared" ca="1" si="11"/>
        <v>0.36401989526559869</v>
      </c>
      <c r="S64">
        <f t="shared" ca="1" si="8"/>
        <v>2.0770605466493199</v>
      </c>
      <c r="T64">
        <f t="shared" ca="1" si="9"/>
        <v>67.501451959113297</v>
      </c>
      <c r="U64">
        <f>70</f>
        <v>70</v>
      </c>
      <c r="V64">
        <f>30</f>
        <v>30</v>
      </c>
      <c r="W64">
        <f t="shared" ca="1" si="7"/>
        <v>156.47618638304351</v>
      </c>
      <c r="X64">
        <f t="shared" ca="1" si="17"/>
        <v>154.65496598097175</v>
      </c>
      <c r="Y64">
        <f t="shared" ca="1" si="16"/>
        <v>2.0025168431569682</v>
      </c>
      <c r="Z64">
        <f t="shared" ca="1" si="18"/>
        <v>1.5137555475035369</v>
      </c>
      <c r="AA64">
        <f t="shared" ca="1" si="19"/>
        <v>0.48876129565343129</v>
      </c>
    </row>
    <row r="65" spans="1:27" x14ac:dyDescent="0.25">
      <c r="A65" s="20">
        <f t="shared" ca="1" si="0"/>
        <v>45383</v>
      </c>
      <c r="B65" vm="188">
        <f ca="1"/>
        <v>45385</v>
      </c>
      <c r="C65" vm="189">
        <f ca="1"/>
        <v>160.44</v>
      </c>
      <c r="D65" vm="190">
        <f ca="1"/>
        <v>7819734</v>
      </c>
      <c r="E65">
        <f t="shared" ca="1" si="1"/>
        <v>1254598122.96</v>
      </c>
      <c r="F65">
        <f ca="1">SUM($E$2:E65)/SUM($D$2:D65)</f>
        <v>151.06114979925141</v>
      </c>
      <c r="G65">
        <f ca="1">_xlfn.STDEV.P($C$2:C65)</f>
        <v>4.4341044116702699</v>
      </c>
      <c r="H65">
        <f t="shared" ca="1" si="2"/>
        <v>155.49525421092167</v>
      </c>
      <c r="I65">
        <f t="shared" ca="1" si="3"/>
        <v>146.62704538758115</v>
      </c>
      <c r="J65">
        <f t="shared" ca="1" si="12"/>
        <v>154.892</v>
      </c>
      <c r="K65">
        <f t="shared" ca="1" si="13"/>
        <v>3.2978950224267862</v>
      </c>
      <c r="L65">
        <f t="shared" ca="1" si="14"/>
        <v>161.48779004485357</v>
      </c>
      <c r="M65">
        <f t="shared" ca="1" si="15"/>
        <v>148.29620995514642</v>
      </c>
      <c r="N65">
        <f t="shared" ca="1" si="4"/>
        <v>0.65999999999999659</v>
      </c>
      <c r="O65">
        <f t="shared" ca="1" si="5"/>
        <v>0.65999999999999659</v>
      </c>
      <c r="P65">
        <f t="shared" ca="1" si="6"/>
        <v>0</v>
      </c>
      <c r="Q65">
        <f t="shared" ca="1" si="10"/>
        <v>0.74922769389076438</v>
      </c>
      <c r="R65">
        <f t="shared" ca="1" si="11"/>
        <v>0.33801847417519876</v>
      </c>
      <c r="S65">
        <f t="shared" ca="1" si="8"/>
        <v>2.2165288323928451</v>
      </c>
      <c r="T65">
        <f t="shared" ca="1" si="9"/>
        <v>68.910584915973587</v>
      </c>
      <c r="U65">
        <f>70</f>
        <v>70</v>
      </c>
      <c r="V65">
        <f>30</f>
        <v>30</v>
      </c>
      <c r="W65">
        <f t="shared" ca="1" si="7"/>
        <v>157.08600386257527</v>
      </c>
      <c r="X65">
        <f t="shared" ca="1" si="17"/>
        <v>155.0834870194183</v>
      </c>
      <c r="Y65">
        <f t="shared" ca="1" si="16"/>
        <v>2.1416805295552876</v>
      </c>
      <c r="Z65">
        <f t="shared" ca="1" si="18"/>
        <v>1.6393405439138871</v>
      </c>
      <c r="AA65">
        <f t="shared" ca="1" si="19"/>
        <v>0.50233998564140059</v>
      </c>
    </row>
    <row r="66" spans="1:27" x14ac:dyDescent="0.25">
      <c r="A66" s="20">
        <f t="shared" ca="1" si="0"/>
        <v>45383</v>
      </c>
      <c r="B66" vm="191">
        <f ca="1"/>
        <v>45386</v>
      </c>
      <c r="C66" vm="192">
        <f ca="1"/>
        <v>160.69</v>
      </c>
      <c r="D66" vm="193">
        <f ca="1"/>
        <v>9269716</v>
      </c>
      <c r="E66">
        <f t="shared" ca="1" si="1"/>
        <v>1489550664.04</v>
      </c>
      <c r="F66">
        <f ca="1">SUM($E$2:E66)/SUM($D$2:D66)</f>
        <v>151.21837696845949</v>
      </c>
      <c r="G66">
        <f ca="1">_xlfn.STDEV.P($C$2:C66)</f>
        <v>4.5485951534317151</v>
      </c>
      <c r="H66">
        <f t="shared" ca="1" si="2"/>
        <v>155.7669721218912</v>
      </c>
      <c r="I66">
        <f t="shared" ca="1" si="3"/>
        <v>146.66978181502779</v>
      </c>
      <c r="J66">
        <f t="shared" ca="1" si="12"/>
        <v>155.51000000000002</v>
      </c>
      <c r="K66">
        <f t="shared" ca="1" si="13"/>
        <v>3.1586522775586308</v>
      </c>
      <c r="L66">
        <f t="shared" ca="1" si="14"/>
        <v>161.82730455511728</v>
      </c>
      <c r="M66">
        <f t="shared" ca="1" si="15"/>
        <v>149.19269544488276</v>
      </c>
      <c r="N66">
        <f t="shared" ca="1" si="4"/>
        <v>0.25</v>
      </c>
      <c r="O66">
        <f t="shared" ca="1" si="5"/>
        <v>0.25</v>
      </c>
      <c r="P66">
        <f t="shared" ca="1" si="6"/>
        <v>0</v>
      </c>
      <c r="Q66">
        <f t="shared" ca="1" si="10"/>
        <v>0.71356857289856701</v>
      </c>
      <c r="R66">
        <f t="shared" ca="1" si="11"/>
        <v>0.31387429744839884</v>
      </c>
      <c r="S66">
        <f t="shared" ca="1" si="8"/>
        <v>2.2734214897474305</v>
      </c>
      <c r="T66">
        <f t="shared" ca="1" si="9"/>
        <v>69.45092457136775</v>
      </c>
      <c r="U66">
        <f>70</f>
        <v>70</v>
      </c>
      <c r="V66">
        <f>30</f>
        <v>30</v>
      </c>
      <c r="W66">
        <f t="shared" ca="1" si="7"/>
        <v>157.64046480679445</v>
      </c>
      <c r="X66">
        <f t="shared" ca="1" si="17"/>
        <v>155.49878427723917</v>
      </c>
      <c r="Y66">
        <f t="shared" ca="1" si="16"/>
        <v>2.2988978846587429</v>
      </c>
      <c r="Z66">
        <f t="shared" ca="1" si="18"/>
        <v>1.7712520120628583</v>
      </c>
      <c r="AA66">
        <f t="shared" ca="1" si="19"/>
        <v>0.52764587259588458</v>
      </c>
    </row>
    <row r="67" spans="1:27" x14ac:dyDescent="0.25">
      <c r="A67" s="20">
        <f t="shared" ref="A67:A130" ca="1" si="20">B67 - WEEKDAY(B67, 2) + 1</f>
        <v>45383</v>
      </c>
      <c r="B67" vm="194">
        <f ca="1"/>
        <v>45387</v>
      </c>
      <c r="C67" vm="195">
        <f ca="1"/>
        <v>161.6</v>
      </c>
      <c r="D67" vm="196">
        <f ca="1"/>
        <v>7432807</v>
      </c>
      <c r="E67">
        <f t="shared" ref="E67:E130" ca="1" si="21">C67*D67</f>
        <v>1201141611.2</v>
      </c>
      <c r="F67">
        <f ca="1">SUM($E$2:E67)/SUM($D$2:D67)</f>
        <v>151.35254700169781</v>
      </c>
      <c r="G67">
        <f ca="1">_xlfn.STDEV.P($C$2:C67)</f>
        <v>4.6808410694595288</v>
      </c>
      <c r="H67">
        <f t="shared" ref="H67:H130" ca="1" si="22">F67 + G67</f>
        <v>156.03338807115733</v>
      </c>
      <c r="I67">
        <f t="shared" ref="I67:I130" ca="1" si="23">F67 - G67</f>
        <v>146.6717059322383</v>
      </c>
      <c r="J67">
        <f t="shared" ca="1" si="12"/>
        <v>156.12150000000003</v>
      </c>
      <c r="K67">
        <f t="shared" ca="1" si="13"/>
        <v>3.0905156697973832</v>
      </c>
      <c r="L67">
        <f t="shared" ca="1" si="14"/>
        <v>162.30253133959479</v>
      </c>
      <c r="M67">
        <f t="shared" ca="1" si="15"/>
        <v>149.94046866040526</v>
      </c>
      <c r="N67">
        <f t="shared" ca="1" si="4"/>
        <v>0.90999999999999659</v>
      </c>
      <c r="O67">
        <f t="shared" ca="1" si="5"/>
        <v>0.90999999999999659</v>
      </c>
      <c r="P67">
        <f t="shared" ca="1" si="6"/>
        <v>0</v>
      </c>
      <c r="Q67">
        <f t="shared" ca="1" si="10"/>
        <v>0.72759938912009769</v>
      </c>
      <c r="R67">
        <f t="shared" ca="1" si="11"/>
        <v>0.29145470477351321</v>
      </c>
      <c r="S67">
        <f t="shared" ca="1" si="8"/>
        <v>2.496440706577403</v>
      </c>
      <c r="T67">
        <f t="shared" ca="1" si="9"/>
        <v>71.399486394297242</v>
      </c>
      <c r="U67">
        <f>70</f>
        <v>70</v>
      </c>
      <c r="V67">
        <f>30</f>
        <v>30</v>
      </c>
      <c r="W67">
        <f t="shared" ca="1" si="7"/>
        <v>158.24962406728761</v>
      </c>
      <c r="X67">
        <f t="shared" ca="1" si="17"/>
        <v>155.95072618262887</v>
      </c>
      <c r="Y67">
        <f t="shared" ca="1" si="16"/>
        <v>2.3695508223077866</v>
      </c>
      <c r="Z67">
        <f t="shared" ca="1" si="18"/>
        <v>1.890911774111844</v>
      </c>
      <c r="AA67">
        <f t="shared" ca="1" si="19"/>
        <v>0.47863904819594261</v>
      </c>
    </row>
    <row r="68" spans="1:27" x14ac:dyDescent="0.25">
      <c r="A68" s="20">
        <f t="shared" ca="1" si="20"/>
        <v>45390</v>
      </c>
      <c r="B68" vm="197">
        <f ca="1"/>
        <v>45390</v>
      </c>
      <c r="C68" vm="198">
        <f ca="1"/>
        <v>161.27000000000001</v>
      </c>
      <c r="D68" vm="199">
        <f ca="1"/>
        <v>7253196</v>
      </c>
      <c r="E68">
        <f t="shared" ca="1" si="21"/>
        <v>1169722918.9200001</v>
      </c>
      <c r="F68">
        <f ca="1">SUM($E$2:E68)/SUM($D$2:D68)</f>
        <v>151.47606325917411</v>
      </c>
      <c r="G68">
        <f ca="1">_xlfn.STDEV.P($C$2:C68)</f>
        <v>4.7910321244079013</v>
      </c>
      <c r="H68">
        <f t="shared" ca="1" si="22"/>
        <v>156.26709538358202</v>
      </c>
      <c r="I68">
        <f t="shared" ca="1" si="23"/>
        <v>146.68503113476621</v>
      </c>
      <c r="J68">
        <f t="shared" ca="1" si="12"/>
        <v>156.691</v>
      </c>
      <c r="K68">
        <f t="shared" ca="1" si="13"/>
        <v>2.9248353979776653</v>
      </c>
      <c r="L68">
        <f t="shared" ca="1" si="14"/>
        <v>162.54067079595532</v>
      </c>
      <c r="M68">
        <f t="shared" ca="1" si="15"/>
        <v>150.84132920404468</v>
      </c>
      <c r="N68">
        <f t="shared" ref="N68:N131" ca="1" si="24">C68-C67</f>
        <v>-0.32999999999998408</v>
      </c>
      <c r="O68">
        <f t="shared" ref="O68:O131" ca="1" si="25">MAX(N68,0)</f>
        <v>0</v>
      </c>
      <c r="P68">
        <f t="shared" ref="P68:P131" ca="1" si="26">MAX(-N68,0)</f>
        <v>0.32999999999998408</v>
      </c>
      <c r="Q68">
        <f t="shared" ca="1" si="10"/>
        <v>0.67562800418294788</v>
      </c>
      <c r="R68">
        <f t="shared" ca="1" si="11"/>
        <v>0.29420794014683255</v>
      </c>
      <c r="S68">
        <f t="shared" ca="1" si="8"/>
        <v>2.2964302181843128</v>
      </c>
      <c r="T68">
        <f t="shared" ca="1" si="9"/>
        <v>69.664153832723812</v>
      </c>
      <c r="U68">
        <f>70</f>
        <v>70</v>
      </c>
      <c r="V68">
        <f>30</f>
        <v>30</v>
      </c>
      <c r="W68">
        <f t="shared" ca="1" si="7"/>
        <v>158.71429728770491</v>
      </c>
      <c r="X68">
        <f t="shared" ca="1" si="17"/>
        <v>156.34474646539712</v>
      </c>
      <c r="Y68">
        <f t="shared" ca="1" si="16"/>
        <v>2.4561358780464388</v>
      </c>
      <c r="Z68">
        <f t="shared" ca="1" si="18"/>
        <v>2.0039565948987632</v>
      </c>
      <c r="AA68">
        <f t="shared" ca="1" si="19"/>
        <v>0.45217928314767564</v>
      </c>
    </row>
    <row r="69" spans="1:27" x14ac:dyDescent="0.25">
      <c r="A69" s="20">
        <f t="shared" ca="1" si="20"/>
        <v>45390</v>
      </c>
      <c r="B69" vm="200">
        <f ca="1"/>
        <v>45391</v>
      </c>
      <c r="C69" vm="201">
        <f ca="1"/>
        <v>162</v>
      </c>
      <c r="D69" vm="202">
        <f ca="1"/>
        <v>6577437</v>
      </c>
      <c r="E69">
        <f t="shared" ca="1" si="21"/>
        <v>1065544794</v>
      </c>
      <c r="F69">
        <f ca="1">SUM($E$2:E69)/SUM($D$2:D69)</f>
        <v>151.59359414688439</v>
      </c>
      <c r="G69">
        <f ca="1">_xlfn.STDEV.P($C$2:C69)</f>
        <v>4.9128626898874943</v>
      </c>
      <c r="H69">
        <f t="shared" ca="1" si="22"/>
        <v>156.50645683677189</v>
      </c>
      <c r="I69">
        <f t="shared" ca="1" si="23"/>
        <v>146.68073145699688</v>
      </c>
      <c r="J69">
        <f t="shared" ca="1" si="12"/>
        <v>157.191</v>
      </c>
      <c r="K69">
        <f t="shared" ca="1" si="13"/>
        <v>2.9354330802150921</v>
      </c>
      <c r="L69">
        <f t="shared" ca="1" si="14"/>
        <v>163.06186616043018</v>
      </c>
      <c r="M69">
        <f t="shared" ca="1" si="15"/>
        <v>151.32013383956982</v>
      </c>
      <c r="N69">
        <f t="shared" ca="1" si="24"/>
        <v>0.72999999999998977</v>
      </c>
      <c r="O69">
        <f t="shared" ca="1" si="25"/>
        <v>0.72999999999998977</v>
      </c>
      <c r="P69">
        <f t="shared" ca="1" si="26"/>
        <v>0</v>
      </c>
      <c r="Q69">
        <f t="shared" ca="1" si="10"/>
        <v>0.67951171816987943</v>
      </c>
      <c r="R69">
        <f t="shared" ca="1" si="11"/>
        <v>0.27319308727920166</v>
      </c>
      <c r="S69">
        <f t="shared" ca="1" si="8"/>
        <v>2.4872947003795254</v>
      </c>
      <c r="T69">
        <f t="shared" ca="1" si="9"/>
        <v>71.324476824652379</v>
      </c>
      <c r="U69">
        <f>70</f>
        <v>70</v>
      </c>
      <c r="V69">
        <f>30</f>
        <v>30</v>
      </c>
      <c r="W69">
        <f t="shared" ca="1" si="7"/>
        <v>159.2197900126734</v>
      </c>
      <c r="X69">
        <f t="shared" ca="1" si="17"/>
        <v>156.76365413462696</v>
      </c>
      <c r="Y69">
        <f t="shared" ca="1" si="16"/>
        <v>2.5494303134194638</v>
      </c>
      <c r="Z69">
        <f t="shared" ca="1" si="18"/>
        <v>2.1130513386029035</v>
      </c>
      <c r="AA69">
        <f t="shared" ca="1" si="19"/>
        <v>0.43637897481656029</v>
      </c>
    </row>
    <row r="70" spans="1:27" x14ac:dyDescent="0.25">
      <c r="A70" s="20">
        <f t="shared" ca="1" si="20"/>
        <v>45390</v>
      </c>
      <c r="B70" vm="203">
        <f ca="1"/>
        <v>45392</v>
      </c>
      <c r="C70" vm="204">
        <f ca="1"/>
        <v>162.66999999999999</v>
      </c>
      <c r="D70" vm="205">
        <f ca="1"/>
        <v>7525837</v>
      </c>
      <c r="E70">
        <f t="shared" ca="1" si="21"/>
        <v>1224227904.79</v>
      </c>
      <c r="F70">
        <f ca="1">SUM($E$2:E70)/SUM($D$2:D70)</f>
        <v>151.73334561733236</v>
      </c>
      <c r="G70">
        <f ca="1">_xlfn.STDEV.P($C$2:C70)</f>
        <v>5.0438387219180605</v>
      </c>
      <c r="H70">
        <f t="shared" ca="1" si="22"/>
        <v>156.77718433925043</v>
      </c>
      <c r="I70">
        <f t="shared" ca="1" si="23"/>
        <v>146.6895068954143</v>
      </c>
      <c r="J70">
        <f t="shared" ca="1" si="12"/>
        <v>157.72999999999999</v>
      </c>
      <c r="K70">
        <f t="shared" ca="1" si="13"/>
        <v>2.9003357337420517</v>
      </c>
      <c r="L70">
        <f t="shared" ca="1" si="14"/>
        <v>163.5306714674841</v>
      </c>
      <c r="M70">
        <f t="shared" ca="1" si="15"/>
        <v>151.92932853251588</v>
      </c>
      <c r="N70">
        <f t="shared" ca="1" si="24"/>
        <v>0.66999999999998749</v>
      </c>
      <c r="O70">
        <f t="shared" ca="1" si="25"/>
        <v>0.66999999999998749</v>
      </c>
      <c r="P70">
        <f t="shared" ca="1" si="26"/>
        <v>0</v>
      </c>
      <c r="Q70">
        <f t="shared" ca="1" si="10"/>
        <v>0.67883230972917286</v>
      </c>
      <c r="R70">
        <f t="shared" ca="1" si="11"/>
        <v>0.25367929533068728</v>
      </c>
      <c r="S70">
        <f t="shared" ca="1" si="8"/>
        <v>2.6759468440034544</v>
      </c>
      <c r="T70">
        <f t="shared" ca="1" si="9"/>
        <v>72.796124578588703</v>
      </c>
      <c r="U70">
        <f>70</f>
        <v>70</v>
      </c>
      <c r="V70">
        <f>30</f>
        <v>30</v>
      </c>
      <c r="W70">
        <f t="shared" ca="1" si="7"/>
        <v>159.75059154918517</v>
      </c>
      <c r="X70">
        <f t="shared" ca="1" si="17"/>
        <v>157.20116123576571</v>
      </c>
      <c r="Y70">
        <f t="shared" ca="1" si="16"/>
        <v>2.5312486851399854</v>
      </c>
      <c r="Z70">
        <f t="shared" ca="1" si="18"/>
        <v>2.1966908079103202</v>
      </c>
      <c r="AA70">
        <f t="shared" ca="1" si="19"/>
        <v>0.33455787722966512</v>
      </c>
    </row>
    <row r="71" spans="1:27" x14ac:dyDescent="0.25">
      <c r="A71" s="20">
        <f t="shared" ca="1" si="20"/>
        <v>45390</v>
      </c>
      <c r="B71" vm="206">
        <f ca="1"/>
        <v>45393</v>
      </c>
      <c r="C71" vm="207">
        <f ca="1"/>
        <v>161.88999999999999</v>
      </c>
      <c r="D71" vm="208">
        <f ca="1"/>
        <v>7682512</v>
      </c>
      <c r="E71">
        <f t="shared" ca="1" si="21"/>
        <v>1243721867.6799998</v>
      </c>
      <c r="F71">
        <f ca="1">SUM($E$2:E71)/SUM($D$2:D71)</f>
        <v>151.86249691361746</v>
      </c>
      <c r="G71">
        <f ca="1">_xlfn.STDEV.P($C$2:C71)</f>
        <v>5.1416111109579772</v>
      </c>
      <c r="H71">
        <f t="shared" ca="1" si="22"/>
        <v>157.00410802457543</v>
      </c>
      <c r="I71">
        <f t="shared" ca="1" si="23"/>
        <v>146.7208858026595</v>
      </c>
      <c r="J71">
        <f t="shared" ca="1" si="12"/>
        <v>158.12999999999997</v>
      </c>
      <c r="K71">
        <f t="shared" ca="1" si="13"/>
        <v>2.8945229586055654</v>
      </c>
      <c r="L71">
        <f t="shared" ca="1" si="14"/>
        <v>163.91904591721109</v>
      </c>
      <c r="M71">
        <f t="shared" ca="1" si="15"/>
        <v>152.34095408278884</v>
      </c>
      <c r="N71">
        <f t="shared" ca="1" si="24"/>
        <v>-0.78000000000000114</v>
      </c>
      <c r="O71">
        <f t="shared" ca="1" si="25"/>
        <v>0</v>
      </c>
      <c r="P71">
        <f t="shared" ca="1" si="26"/>
        <v>0.78000000000000114</v>
      </c>
      <c r="Q71">
        <f t="shared" ca="1" si="10"/>
        <v>0.63034428760566052</v>
      </c>
      <c r="R71">
        <f t="shared" ca="1" si="11"/>
        <v>0.29127363137849543</v>
      </c>
      <c r="S71">
        <f t="shared" ca="1" si="8"/>
        <v>2.1640966421246688</v>
      </c>
      <c r="T71">
        <f t="shared" ca="1" si="9"/>
        <v>68.395402760880685</v>
      </c>
      <c r="U71">
        <f>70</f>
        <v>70</v>
      </c>
      <c r="V71">
        <f>30</f>
        <v>30</v>
      </c>
      <c r="W71">
        <f t="shared" ca="1" si="7"/>
        <v>160.07973131084898</v>
      </c>
      <c r="X71">
        <f t="shared" ca="1" si="17"/>
        <v>157.548482625709</v>
      </c>
      <c r="Y71">
        <f t="shared" ca="1" si="16"/>
        <v>2.2544254870846601</v>
      </c>
      <c r="Z71">
        <f t="shared" ca="1" si="18"/>
        <v>2.2082377437451886</v>
      </c>
      <c r="AA71">
        <f t="shared" ca="1" si="19"/>
        <v>4.618774333947151E-2</v>
      </c>
    </row>
    <row r="72" spans="1:27" x14ac:dyDescent="0.25">
      <c r="A72" s="20">
        <f t="shared" ca="1" si="20"/>
        <v>45390</v>
      </c>
      <c r="B72" vm="209">
        <f ca="1"/>
        <v>45394</v>
      </c>
      <c r="C72" vm="210">
        <f ca="1"/>
        <v>158.96</v>
      </c>
      <c r="D72" vm="211">
        <f ca="1"/>
        <v>11071045</v>
      </c>
      <c r="E72">
        <f t="shared" ca="1" si="21"/>
        <v>1759853313.2</v>
      </c>
      <c r="F72">
        <f ca="1">SUM($E$2:E72)/SUM($D$2:D72)</f>
        <v>151.99021512782593</v>
      </c>
      <c r="G72">
        <f ca="1">_xlfn.STDEV.P($C$2:C72)</f>
        <v>5.1669496510694941</v>
      </c>
      <c r="H72">
        <f t="shared" ca="1" si="22"/>
        <v>157.15716477889544</v>
      </c>
      <c r="I72">
        <f t="shared" ca="1" si="23"/>
        <v>146.82326547675643</v>
      </c>
      <c r="J72">
        <f t="shared" ca="1" si="12"/>
        <v>158.29299999999998</v>
      </c>
      <c r="K72">
        <f t="shared" ca="1" si="13"/>
        <v>2.8417898362975733</v>
      </c>
      <c r="L72">
        <f t="shared" ca="1" si="14"/>
        <v>163.97657967259514</v>
      </c>
      <c r="M72">
        <f t="shared" ca="1" si="15"/>
        <v>152.60942032740482</v>
      </c>
      <c r="N72">
        <f t="shared" ca="1" si="24"/>
        <v>-2.9299999999999784</v>
      </c>
      <c r="O72">
        <f t="shared" ca="1" si="25"/>
        <v>0</v>
      </c>
      <c r="P72">
        <f t="shared" ca="1" si="26"/>
        <v>2.9299999999999784</v>
      </c>
      <c r="Q72">
        <f t="shared" ca="1" si="10"/>
        <v>0.58531969563382769</v>
      </c>
      <c r="R72">
        <f t="shared" ca="1" si="11"/>
        <v>0.47975408628002991</v>
      </c>
      <c r="S72">
        <f t="shared" ca="1" si="8"/>
        <v>1.2200410843237293</v>
      </c>
      <c r="T72">
        <f t="shared" ca="1" si="9"/>
        <v>54.955788563497656</v>
      </c>
      <c r="U72">
        <f>70</f>
        <v>70</v>
      </c>
      <c r="V72">
        <f>30</f>
        <v>30</v>
      </c>
      <c r="W72">
        <f t="shared" ca="1" si="7"/>
        <v>159.90746495533375</v>
      </c>
      <c r="X72">
        <f t="shared" ca="1" si="17"/>
        <v>157.65303946824909</v>
      </c>
      <c r="Y72">
        <f t="shared" ca="1" si="16"/>
        <v>1.9025620072739855</v>
      </c>
      <c r="Z72">
        <f t="shared" ca="1" si="18"/>
        <v>2.147102596450948</v>
      </c>
      <c r="AA72">
        <f t="shared" ca="1" si="19"/>
        <v>-0.24454058917696253</v>
      </c>
    </row>
    <row r="73" spans="1:27" x14ac:dyDescent="0.25">
      <c r="A73" s="20">
        <f t="shared" ca="1" si="20"/>
        <v>45397</v>
      </c>
      <c r="B73" vm="212">
        <f ca="1"/>
        <v>45397</v>
      </c>
      <c r="C73" vm="213">
        <f ca="1"/>
        <v>157.59</v>
      </c>
      <c r="D73" vm="214">
        <f ca="1"/>
        <v>7236857</v>
      </c>
      <c r="E73">
        <f t="shared" ca="1" si="21"/>
        <v>1140456294.6300001</v>
      </c>
      <c r="F73">
        <f ca="1">SUM($E$2:E73)/SUM($D$2:D73)</f>
        <v>152.05531816989301</v>
      </c>
      <c r="G73">
        <f ca="1">_xlfn.STDEV.P($C$2:C73)</f>
        <v>5.1681486207243559</v>
      </c>
      <c r="H73">
        <f t="shared" ca="1" si="22"/>
        <v>157.22346679061738</v>
      </c>
      <c r="I73">
        <f t="shared" ca="1" si="23"/>
        <v>146.88716954916865</v>
      </c>
      <c r="J73">
        <f t="shared" ca="1" si="12"/>
        <v>158.39500000000001</v>
      </c>
      <c r="K73">
        <f t="shared" ca="1" si="13"/>
        <v>2.7739549952710938</v>
      </c>
      <c r="L73">
        <f t="shared" ca="1" si="14"/>
        <v>163.9429099905422</v>
      </c>
      <c r="M73">
        <f t="shared" ca="1" si="15"/>
        <v>152.84709000945782</v>
      </c>
      <c r="N73">
        <f t="shared" ca="1" si="24"/>
        <v>-1.3700000000000045</v>
      </c>
      <c r="O73">
        <f t="shared" ca="1" si="25"/>
        <v>0</v>
      </c>
      <c r="P73">
        <f t="shared" ca="1" si="26"/>
        <v>1.3700000000000045</v>
      </c>
      <c r="Q73">
        <f t="shared" ca="1" si="10"/>
        <v>0.54351114594569716</v>
      </c>
      <c r="R73">
        <f t="shared" ca="1" si="11"/>
        <v>0.54334308011717092</v>
      </c>
      <c r="S73">
        <f t="shared" ca="1" si="8"/>
        <v>1.0003093180619693</v>
      </c>
      <c r="T73">
        <f t="shared" ca="1" si="9"/>
        <v>50.00773175576338</v>
      </c>
      <c r="U73">
        <f>70</f>
        <v>70</v>
      </c>
      <c r="V73">
        <f>30</f>
        <v>30</v>
      </c>
      <c r="W73">
        <f t="shared" ca="1" si="7"/>
        <v>159.55093188528241</v>
      </c>
      <c r="X73">
        <f t="shared" ca="1" si="17"/>
        <v>157.64836987800842</v>
      </c>
      <c r="Y73">
        <f t="shared" ca="1" si="16"/>
        <v>1.5007024489348737</v>
      </c>
      <c r="Z73">
        <f t="shared" ca="1" si="18"/>
        <v>2.0178225669477334</v>
      </c>
      <c r="AA73">
        <f t="shared" ca="1" si="19"/>
        <v>-0.51712011801285973</v>
      </c>
    </row>
    <row r="74" spans="1:27" x14ac:dyDescent="0.25">
      <c r="A74" s="20">
        <f t="shared" ca="1" si="20"/>
        <v>45397</v>
      </c>
      <c r="B74" vm="215">
        <f ca="1"/>
        <v>45398</v>
      </c>
      <c r="C74" vm="216">
        <f ca="1"/>
        <v>156.28</v>
      </c>
      <c r="D74" vm="217">
        <f ca="1"/>
        <v>5541895</v>
      </c>
      <c r="E74">
        <f t="shared" ca="1" si="21"/>
        <v>866087350.60000002</v>
      </c>
      <c r="F74">
        <f ca="1">SUM($E$2:E74)/SUM($D$2:D74)</f>
        <v>152.09259876345536</v>
      </c>
      <c r="G74">
        <f ca="1">_xlfn.STDEV.P($C$2:C74)</f>
        <v>5.1526696846357387</v>
      </c>
      <c r="H74">
        <f t="shared" ca="1" si="22"/>
        <v>157.24526844809108</v>
      </c>
      <c r="I74">
        <f t="shared" ca="1" si="23"/>
        <v>146.93992907881963</v>
      </c>
      <c r="J74">
        <f t="shared" ca="1" si="12"/>
        <v>158.43850000000003</v>
      </c>
      <c r="K74">
        <f t="shared" ca="1" si="13"/>
        <v>2.7311734031171868</v>
      </c>
      <c r="L74">
        <f t="shared" ca="1" si="14"/>
        <v>163.9008468062344</v>
      </c>
      <c r="M74">
        <f t="shared" ca="1" si="15"/>
        <v>152.97615319376567</v>
      </c>
      <c r="N74">
        <f t="shared" ca="1" si="24"/>
        <v>-1.3100000000000023</v>
      </c>
      <c r="O74">
        <f t="shared" ca="1" si="25"/>
        <v>0</v>
      </c>
      <c r="P74">
        <f t="shared" ca="1" si="26"/>
        <v>1.3100000000000023</v>
      </c>
      <c r="Q74">
        <f t="shared" ca="1" si="10"/>
        <v>0.50468892123529019</v>
      </c>
      <c r="R74">
        <f t="shared" ca="1" si="11"/>
        <v>0.59810428868023024</v>
      </c>
      <c r="S74">
        <f t="shared" ca="1" si="8"/>
        <v>0.84381424909848202</v>
      </c>
      <c r="T74">
        <f t="shared" ca="1" si="9"/>
        <v>45.76460180362843</v>
      </c>
      <c r="U74">
        <f>70</f>
        <v>70</v>
      </c>
      <c r="V74">
        <f>30</f>
        <v>30</v>
      </c>
      <c r="W74">
        <f t="shared" ca="1" si="7"/>
        <v>159.04771159523898</v>
      </c>
      <c r="X74">
        <f t="shared" ca="1" si="17"/>
        <v>157.54700914630411</v>
      </c>
      <c r="Y74">
        <f t="shared" ca="1" si="16"/>
        <v>1.1783258439804456</v>
      </c>
      <c r="Z74">
        <f t="shared" ca="1" si="18"/>
        <v>1.8499232223542759</v>
      </c>
      <c r="AA74">
        <f t="shared" ca="1" si="19"/>
        <v>-0.67159737837383027</v>
      </c>
    </row>
    <row r="75" spans="1:27" x14ac:dyDescent="0.25">
      <c r="A75" s="20">
        <f t="shared" ca="1" si="20"/>
        <v>45397</v>
      </c>
      <c r="B75" vm="218">
        <f ca="1"/>
        <v>45399</v>
      </c>
      <c r="C75" vm="219">
        <f ca="1"/>
        <v>156.4</v>
      </c>
      <c r="D75" vm="220">
        <f ca="1"/>
        <v>6733879</v>
      </c>
      <c r="E75">
        <f t="shared" ca="1" si="21"/>
        <v>1053178675.6</v>
      </c>
      <c r="F75">
        <f ca="1">SUM($E$2:E75)/SUM($D$2:D75)</f>
        <v>152.1382948726723</v>
      </c>
      <c r="G75">
        <f ca="1">_xlfn.STDEV.P($C$2:C75)</f>
        <v>5.1382476644629209</v>
      </c>
      <c r="H75">
        <f t="shared" ca="1" si="22"/>
        <v>157.27654253713521</v>
      </c>
      <c r="I75">
        <f t="shared" ca="1" si="23"/>
        <v>147.00004720820939</v>
      </c>
      <c r="J75">
        <f t="shared" ca="1" si="12"/>
        <v>158.42750000000004</v>
      </c>
      <c r="K75">
        <f t="shared" ca="1" si="13"/>
        <v>2.7393139267841615</v>
      </c>
      <c r="L75">
        <f t="shared" ca="1" si="14"/>
        <v>163.90612785356836</v>
      </c>
      <c r="M75">
        <f t="shared" ca="1" si="15"/>
        <v>152.94887214643171</v>
      </c>
      <c r="N75">
        <f t="shared" ca="1" si="24"/>
        <v>0.12000000000000455</v>
      </c>
      <c r="O75">
        <f t="shared" ca="1" si="25"/>
        <v>0.12000000000000455</v>
      </c>
      <c r="P75">
        <f t="shared" ca="1" si="26"/>
        <v>0</v>
      </c>
      <c r="Q75">
        <f t="shared" ca="1" si="10"/>
        <v>0.47721114114705548</v>
      </c>
      <c r="R75">
        <f t="shared" ca="1" si="11"/>
        <v>0.55538255377449952</v>
      </c>
      <c r="S75">
        <f t="shared" ca="1" si="8"/>
        <v>0.8592476265302641</v>
      </c>
      <c r="T75">
        <f t="shared" ca="1" si="9"/>
        <v>46.214802927235446</v>
      </c>
      <c r="U75">
        <f>70</f>
        <v>70</v>
      </c>
      <c r="V75">
        <f>30</f>
        <v>30</v>
      </c>
      <c r="W75">
        <f t="shared" ca="1" si="7"/>
        <v>158.6403713498176</v>
      </c>
      <c r="X75">
        <f t="shared" ca="1" si="17"/>
        <v>157.46204550583715</v>
      </c>
      <c r="Y75">
        <f t="shared" ca="1" si="16"/>
        <v>1.0056566994266518</v>
      </c>
      <c r="Z75">
        <f t="shared" ca="1" si="18"/>
        <v>1.6810699177687511</v>
      </c>
      <c r="AA75">
        <f t="shared" ca="1" si="19"/>
        <v>-0.67541321834209933</v>
      </c>
    </row>
    <row r="76" spans="1:27" x14ac:dyDescent="0.25">
      <c r="A76" s="20">
        <f t="shared" ca="1" si="20"/>
        <v>45397</v>
      </c>
      <c r="B76" vm="221">
        <f ca="1"/>
        <v>45400</v>
      </c>
      <c r="C76" vm="222">
        <f ca="1"/>
        <v>157.57</v>
      </c>
      <c r="D76" vm="223">
        <f ca="1"/>
        <v>4979193</v>
      </c>
      <c r="E76">
        <f t="shared" ca="1" si="21"/>
        <v>784571441.00999999</v>
      </c>
      <c r="F76">
        <f ca="1">SUM($E$2:E76)/SUM($D$2:D76)</f>
        <v>152.1805714930895</v>
      </c>
      <c r="G76">
        <f ca="1">_xlfn.STDEV.P($C$2:C76)</f>
        <v>5.1371432199445479</v>
      </c>
      <c r="H76">
        <f t="shared" ca="1" si="22"/>
        <v>157.31771471303404</v>
      </c>
      <c r="I76">
        <f t="shared" ca="1" si="23"/>
        <v>147.04342827314497</v>
      </c>
      <c r="J76">
        <f t="shared" ca="1" si="12"/>
        <v>158.57850000000002</v>
      </c>
      <c r="K76">
        <f t="shared" ca="1" si="13"/>
        <v>2.5936892542030558</v>
      </c>
      <c r="L76">
        <f t="shared" ca="1" si="14"/>
        <v>163.76587850840613</v>
      </c>
      <c r="M76">
        <f t="shared" ca="1" si="15"/>
        <v>153.39112149159391</v>
      </c>
      <c r="N76">
        <f t="shared" ca="1" si="24"/>
        <v>1.1699999999999875</v>
      </c>
      <c r="O76">
        <f t="shared" ca="1" si="25"/>
        <v>1.1699999999999875</v>
      </c>
      <c r="P76">
        <f t="shared" ca="1" si="26"/>
        <v>0</v>
      </c>
      <c r="Q76">
        <f t="shared" ca="1" si="10"/>
        <v>0.52669605963655064</v>
      </c>
      <c r="R76">
        <f t="shared" ca="1" si="11"/>
        <v>0.51571237136203529</v>
      </c>
      <c r="S76">
        <f t="shared" ca="1" si="8"/>
        <v>1.0212980895639687</v>
      </c>
      <c r="T76">
        <f t="shared" ca="1" si="9"/>
        <v>50.526841876364777</v>
      </c>
      <c r="U76">
        <f>70</f>
        <v>70</v>
      </c>
      <c r="V76">
        <f>30</f>
        <v>30</v>
      </c>
      <c r="W76">
        <f t="shared" ca="1" si="7"/>
        <v>158.47569883446104</v>
      </c>
      <c r="X76">
        <f t="shared" ca="1" si="17"/>
        <v>157.47004213503439</v>
      </c>
      <c r="Y76">
        <f t="shared" ca="1" si="16"/>
        <v>1.052760284754271</v>
      </c>
      <c r="Z76">
        <f t="shared" ca="1" si="18"/>
        <v>1.5554079911658554</v>
      </c>
      <c r="AA76">
        <f t="shared" ca="1" si="19"/>
        <v>-0.50264770641158441</v>
      </c>
    </row>
    <row r="77" spans="1:27" x14ac:dyDescent="0.25">
      <c r="A77" s="20">
        <f t="shared" ca="1" si="20"/>
        <v>45397</v>
      </c>
      <c r="B77" vm="224">
        <f ca="1"/>
        <v>45401</v>
      </c>
      <c r="C77" vm="225">
        <f ca="1"/>
        <v>160</v>
      </c>
      <c r="D77" vm="226">
        <f ca="1"/>
        <v>7734654</v>
      </c>
      <c r="E77">
        <f t="shared" ca="1" si="21"/>
        <v>1237544640</v>
      </c>
      <c r="F77">
        <f ca="1">SUM($E$2:E77)/SUM($D$2:D77)</f>
        <v>152.27398327395454</v>
      </c>
      <c r="G77">
        <f ca="1">_xlfn.STDEV.P($C$2:C77)</f>
        <v>5.1733807066837922</v>
      </c>
      <c r="H77">
        <f t="shared" ca="1" si="22"/>
        <v>157.44736398063833</v>
      </c>
      <c r="I77">
        <f t="shared" ca="1" si="23"/>
        <v>147.10060256727076</v>
      </c>
      <c r="J77">
        <f t="shared" ca="1" si="12"/>
        <v>158.83550000000002</v>
      </c>
      <c r="K77">
        <f t="shared" ca="1" si="13"/>
        <v>2.4568882222930073</v>
      </c>
      <c r="L77">
        <f t="shared" ca="1" si="14"/>
        <v>163.74927644458603</v>
      </c>
      <c r="M77">
        <f t="shared" ca="1" si="15"/>
        <v>153.92172355541402</v>
      </c>
      <c r="N77">
        <f t="shared" ca="1" si="24"/>
        <v>2.4300000000000068</v>
      </c>
      <c r="O77">
        <f t="shared" ca="1" si="25"/>
        <v>2.4300000000000068</v>
      </c>
      <c r="P77">
        <f t="shared" ca="1" si="26"/>
        <v>0</v>
      </c>
      <c r="Q77">
        <f t="shared" ca="1" si="10"/>
        <v>0.66264634109108322</v>
      </c>
      <c r="R77">
        <f t="shared" ca="1" si="11"/>
        <v>0.47887577340760418</v>
      </c>
      <c r="S77">
        <f t="shared" ca="1" si="8"/>
        <v>1.3837541548109582</v>
      </c>
      <c r="T77">
        <f t="shared" ca="1" si="9"/>
        <v>58.049365200611298</v>
      </c>
      <c r="U77">
        <f>70</f>
        <v>70</v>
      </c>
      <c r="V77">
        <f>30</f>
        <v>30</v>
      </c>
      <c r="W77">
        <f t="shared" ca="1" si="7"/>
        <v>158.7102067060824</v>
      </c>
      <c r="X77">
        <f t="shared" ca="1" si="17"/>
        <v>157.65744642132813</v>
      </c>
      <c r="Y77">
        <f t="shared" ca="1" si="16"/>
        <v>1.2308299281334314</v>
      </c>
      <c r="Z77">
        <f t="shared" ca="1" si="18"/>
        <v>1.4904923785593707</v>
      </c>
      <c r="AA77">
        <f t="shared" ca="1" si="19"/>
        <v>-0.25966245042593927</v>
      </c>
    </row>
    <row r="78" spans="1:27" x14ac:dyDescent="0.25">
      <c r="A78" s="20">
        <f t="shared" ca="1" si="20"/>
        <v>45404</v>
      </c>
      <c r="B78" vm="227">
        <f ca="1"/>
        <v>45404</v>
      </c>
      <c r="C78" vm="228">
        <f ca="1"/>
        <v>161.91999999999999</v>
      </c>
      <c r="D78" vm="229">
        <f ca="1"/>
        <v>6779221</v>
      </c>
      <c r="E78">
        <f t="shared" ca="1" si="21"/>
        <v>1097691464.3199999</v>
      </c>
      <c r="F78">
        <f ca="1">SUM($E$2:E78)/SUM($D$2:D78)</f>
        <v>152.37393491541991</v>
      </c>
      <c r="G78">
        <f ca="1">_xlfn.STDEV.P($C$2:C78)</f>
        <v>5.2458070221731292</v>
      </c>
      <c r="H78">
        <f t="shared" ca="1" si="22"/>
        <v>157.61974193759303</v>
      </c>
      <c r="I78">
        <f t="shared" ca="1" si="23"/>
        <v>147.12812789324678</v>
      </c>
      <c r="J78">
        <f t="shared" ca="1" si="12"/>
        <v>159.19850000000002</v>
      </c>
      <c r="K78">
        <f t="shared" ca="1" si="13"/>
        <v>2.3410934804510708</v>
      </c>
      <c r="L78">
        <f t="shared" ca="1" si="14"/>
        <v>163.88068696090215</v>
      </c>
      <c r="M78">
        <f t="shared" ca="1" si="15"/>
        <v>154.51631303909789</v>
      </c>
      <c r="N78">
        <f t="shared" ca="1" si="24"/>
        <v>1.9199999999999875</v>
      </c>
      <c r="O78">
        <f t="shared" ca="1" si="25"/>
        <v>1.9199999999999875</v>
      </c>
      <c r="P78">
        <f t="shared" ca="1" si="26"/>
        <v>0</v>
      </c>
      <c r="Q78">
        <f t="shared" ca="1" si="10"/>
        <v>0.75245731672743355</v>
      </c>
      <c r="R78">
        <f t="shared" ca="1" si="11"/>
        <v>0.44467036102134677</v>
      </c>
      <c r="S78">
        <f t="shared" ca="1" si="8"/>
        <v>1.6921688124190297</v>
      </c>
      <c r="T78">
        <f t="shared" ca="1" si="9"/>
        <v>62.855226782697294</v>
      </c>
      <c r="U78">
        <f>70</f>
        <v>70</v>
      </c>
      <c r="V78">
        <f>30</f>
        <v>30</v>
      </c>
      <c r="W78">
        <f t="shared" ca="1" si="7"/>
        <v>159.20402105899279</v>
      </c>
      <c r="X78">
        <f t="shared" ca="1" si="17"/>
        <v>157.97319113085936</v>
      </c>
      <c r="Y78">
        <f t="shared" ca="1" si="16"/>
        <v>1.4305046637936698</v>
      </c>
      <c r="Z78">
        <f t="shared" ca="1" si="18"/>
        <v>1.4784948356062306</v>
      </c>
      <c r="AA78">
        <f t="shared" ca="1" si="19"/>
        <v>-4.7990171812560822E-2</v>
      </c>
    </row>
    <row r="79" spans="1:27" x14ac:dyDescent="0.25">
      <c r="A79" s="20">
        <f t="shared" ca="1" si="20"/>
        <v>45404</v>
      </c>
      <c r="B79" vm="230">
        <f ca="1"/>
        <v>45405</v>
      </c>
      <c r="C79" vm="231">
        <f ca="1"/>
        <v>162.85</v>
      </c>
      <c r="D79" vm="232">
        <f ca="1"/>
        <v>5597617</v>
      </c>
      <c r="E79">
        <f t="shared" ca="1" si="21"/>
        <v>911571928.44999993</v>
      </c>
      <c r="F79">
        <f ca="1">SUM($E$2:E79)/SUM($D$2:D79)</f>
        <v>152.46280662302374</v>
      </c>
      <c r="G79">
        <f ca="1">_xlfn.STDEV.P($C$2:C79)</f>
        <v>5.3340664945404308</v>
      </c>
      <c r="H79">
        <f t="shared" ca="1" si="22"/>
        <v>157.79687311756416</v>
      </c>
      <c r="I79">
        <f t="shared" ca="1" si="23"/>
        <v>147.12874012848332</v>
      </c>
      <c r="J79">
        <f t="shared" ca="1" si="12"/>
        <v>159.51750000000004</v>
      </c>
      <c r="K79">
        <f t="shared" ca="1" si="13"/>
        <v>2.3840166791186195</v>
      </c>
      <c r="L79">
        <f t="shared" ca="1" si="14"/>
        <v>164.28553335823727</v>
      </c>
      <c r="M79">
        <f t="shared" ca="1" si="15"/>
        <v>154.74946664176281</v>
      </c>
      <c r="N79">
        <f t="shared" ca="1" si="24"/>
        <v>0.93000000000000682</v>
      </c>
      <c r="O79">
        <f t="shared" ca="1" si="25"/>
        <v>0.93000000000000682</v>
      </c>
      <c r="P79">
        <f t="shared" ca="1" si="26"/>
        <v>0</v>
      </c>
      <c r="Q79">
        <f t="shared" ca="1" si="10"/>
        <v>0.76513893696118884</v>
      </c>
      <c r="R79">
        <f t="shared" ca="1" si="11"/>
        <v>0.41290819237696486</v>
      </c>
      <c r="S79">
        <f t="shared" ca="1" si="8"/>
        <v>1.8530485737193962</v>
      </c>
      <c r="T79">
        <f t="shared" ca="1" si="9"/>
        <v>64.949773052887664</v>
      </c>
      <c r="U79">
        <f>70</f>
        <v>70</v>
      </c>
      <c r="V79">
        <f>30</f>
        <v>30</v>
      </c>
      <c r="W79">
        <f t="shared" ref="W79:W142" ca="1" si="27">C79*(2/(12+1)) + W78*(1-(2/(12+1)))</f>
        <v>159.76494089607084</v>
      </c>
      <c r="X79">
        <f t="shared" ca="1" si="17"/>
        <v>158.33443623227717</v>
      </c>
      <c r="Y79">
        <f t="shared" ca="1" si="16"/>
        <v>1.6280788337406307</v>
      </c>
      <c r="Z79">
        <f t="shared" ca="1" si="18"/>
        <v>1.5084116352331107</v>
      </c>
      <c r="AA79">
        <f t="shared" ca="1" si="19"/>
        <v>0.11966719850751995</v>
      </c>
    </row>
    <row r="80" spans="1:27" x14ac:dyDescent="0.25">
      <c r="A80" s="20">
        <f t="shared" ca="1" si="20"/>
        <v>45404</v>
      </c>
      <c r="B80" vm="233">
        <f ca="1"/>
        <v>45406</v>
      </c>
      <c r="C80" vm="234">
        <f ca="1"/>
        <v>163.57</v>
      </c>
      <c r="D80" vm="235">
        <f ca="1"/>
        <v>7610335</v>
      </c>
      <c r="E80">
        <f t="shared" ca="1" si="21"/>
        <v>1244822495.95</v>
      </c>
      <c r="F80">
        <f ca="1">SUM($E$2:E80)/SUM($D$2:D80)</f>
        <v>152.5894521744859</v>
      </c>
      <c r="G80">
        <f ca="1">_xlfn.STDEV.P($C$2:C80)</f>
        <v>5.4328490033814392</v>
      </c>
      <c r="H80">
        <f t="shared" ca="1" si="22"/>
        <v>158.02230117786735</v>
      </c>
      <c r="I80">
        <f t="shared" ca="1" si="23"/>
        <v>147.15660317110445</v>
      </c>
      <c r="J80">
        <f t="shared" ca="1" si="12"/>
        <v>159.93250000000006</v>
      </c>
      <c r="K80">
        <f t="shared" ca="1" si="13"/>
        <v>2.3274582363826095</v>
      </c>
      <c r="L80">
        <f t="shared" ca="1" si="14"/>
        <v>164.58741647276528</v>
      </c>
      <c r="M80">
        <f t="shared" ca="1" si="15"/>
        <v>155.27758352723484</v>
      </c>
      <c r="N80">
        <f t="shared" ca="1" si="24"/>
        <v>0.71999999999999886</v>
      </c>
      <c r="O80">
        <f t="shared" ca="1" si="25"/>
        <v>0.71999999999999886</v>
      </c>
      <c r="P80">
        <f t="shared" ca="1" si="26"/>
        <v>0</v>
      </c>
      <c r="Q80">
        <f t="shared" ca="1" si="10"/>
        <v>0.76191472717824671</v>
      </c>
      <c r="R80">
        <f t="shared" ca="1" si="11"/>
        <v>0.38341475006432452</v>
      </c>
      <c r="S80">
        <f t="shared" ref="S80:S143" ca="1" si="28">IF(R80=0,NA(),Q80/R80)</f>
        <v>1.9871815756968718</v>
      </c>
      <c r="T80">
        <f t="shared" ref="T80:T143" ca="1" si="29">100-(100/(1+S80))</f>
        <v>66.523628555565381</v>
      </c>
      <c r="U80">
        <f>70</f>
        <v>70</v>
      </c>
      <c r="V80">
        <f>30</f>
        <v>30</v>
      </c>
      <c r="W80">
        <f t="shared" ca="1" si="27"/>
        <v>160.35033460436765</v>
      </c>
      <c r="X80">
        <f t="shared" ca="1" si="17"/>
        <v>158.72225577062702</v>
      </c>
      <c r="Y80">
        <f t="shared" ca="1" si="16"/>
        <v>1.9007300628017276</v>
      </c>
      <c r="Z80">
        <f t="shared" ca="1" si="18"/>
        <v>1.5868753207468342</v>
      </c>
      <c r="AA80">
        <f t="shared" ca="1" si="19"/>
        <v>0.31385474205489339</v>
      </c>
    </row>
    <row r="81" spans="1:27" x14ac:dyDescent="0.25">
      <c r="A81" s="20">
        <f t="shared" ca="1" si="20"/>
        <v>45404</v>
      </c>
      <c r="B81" vm="236">
        <f ca="1"/>
        <v>45407</v>
      </c>
      <c r="C81" vm="237">
        <f ca="1"/>
        <v>165.28</v>
      </c>
      <c r="D81" vm="238">
        <f ca="1"/>
        <v>9702581</v>
      </c>
      <c r="E81">
        <f t="shared" ca="1" si="21"/>
        <v>1603642587.6800001</v>
      </c>
      <c r="F81">
        <f ca="1">SUM($E$2:E81)/SUM($D$2:D81)</f>
        <v>152.77128892852551</v>
      </c>
      <c r="G81">
        <f ca="1">_xlfn.STDEV.P($C$2:C81)</f>
        <v>5.5676440259772351</v>
      </c>
      <c r="H81">
        <f t="shared" ca="1" si="22"/>
        <v>158.33893295450275</v>
      </c>
      <c r="I81">
        <f t="shared" ca="1" si="23"/>
        <v>147.20364490254826</v>
      </c>
      <c r="J81">
        <f t="shared" ca="1" si="12"/>
        <v>160.37900000000005</v>
      </c>
      <c r="K81">
        <f t="shared" ca="1" si="13"/>
        <v>2.456981245778088</v>
      </c>
      <c r="L81">
        <f t="shared" ca="1" si="14"/>
        <v>165.29296249155621</v>
      </c>
      <c r="M81">
        <f t="shared" ca="1" si="15"/>
        <v>155.46503750844388</v>
      </c>
      <c r="N81">
        <f t="shared" ca="1" si="24"/>
        <v>1.710000000000008</v>
      </c>
      <c r="O81">
        <f t="shared" ca="1" si="25"/>
        <v>1.710000000000008</v>
      </c>
      <c r="P81">
        <f t="shared" ca="1" si="26"/>
        <v>0</v>
      </c>
      <c r="Q81">
        <f t="shared" ref="Q81:Q144" ca="1" si="30">(Q80*13+O81)/14</f>
        <v>0.82963510380837246</v>
      </c>
      <c r="R81">
        <f t="shared" ref="R81:R144" ca="1" si="31">(R80*13+P81)/14</f>
        <v>0.35602798220258702</v>
      </c>
      <c r="S81">
        <f t="shared" ca="1" si="28"/>
        <v>2.3302525230623403</v>
      </c>
      <c r="T81">
        <f t="shared" ca="1" si="29"/>
        <v>69.972247057095601</v>
      </c>
      <c r="U81">
        <f>70</f>
        <v>70</v>
      </c>
      <c r="V81">
        <f>30</f>
        <v>30</v>
      </c>
      <c r="W81">
        <f t="shared" ca="1" si="27"/>
        <v>161.10874466523416</v>
      </c>
      <c r="X81">
        <f t="shared" ca="1" si="17"/>
        <v>159.20801460243243</v>
      </c>
      <c r="Y81">
        <f t="shared" ca="1" si="16"/>
        <v>2.14134592531056</v>
      </c>
      <c r="Z81">
        <f t="shared" ca="1" si="18"/>
        <v>1.6977694416595797</v>
      </c>
      <c r="AA81">
        <f t="shared" ca="1" si="19"/>
        <v>0.44357648365098035</v>
      </c>
    </row>
    <row r="82" spans="1:27" x14ac:dyDescent="0.25">
      <c r="A82" s="20">
        <f t="shared" ca="1" si="20"/>
        <v>45404</v>
      </c>
      <c r="B82" vm="239">
        <f ca="1"/>
        <v>45408</v>
      </c>
      <c r="C82" vm="240">
        <f ca="1"/>
        <v>165.89</v>
      </c>
      <c r="D82" vm="241">
        <f ca="1"/>
        <v>9736350</v>
      </c>
      <c r="E82">
        <f t="shared" ca="1" si="21"/>
        <v>1615163101.4999998</v>
      </c>
      <c r="F82">
        <f ca="1">SUM($E$2:E82)/SUM($D$2:D82)</f>
        <v>152.95724115381904</v>
      </c>
      <c r="G82">
        <f ca="1">_xlfn.STDEV.P($C$2:C82)</f>
        <v>5.7082537406964988</v>
      </c>
      <c r="H82">
        <f t="shared" ca="1" si="22"/>
        <v>158.66549489451555</v>
      </c>
      <c r="I82">
        <f t="shared" ca="1" si="23"/>
        <v>147.24898741312253</v>
      </c>
      <c r="J82">
        <f t="shared" ca="1" si="12"/>
        <v>160.78650000000002</v>
      </c>
      <c r="K82">
        <f t="shared" ca="1" si="13"/>
        <v>2.6634371837118529</v>
      </c>
      <c r="L82">
        <f t="shared" ca="1" si="14"/>
        <v>166.11337436742372</v>
      </c>
      <c r="M82">
        <f t="shared" ca="1" si="15"/>
        <v>155.45962563257632</v>
      </c>
      <c r="N82">
        <f t="shared" ca="1" si="24"/>
        <v>0.60999999999998522</v>
      </c>
      <c r="O82">
        <f t="shared" ca="1" si="25"/>
        <v>0.60999999999998522</v>
      </c>
      <c r="P82">
        <f t="shared" ca="1" si="26"/>
        <v>0</v>
      </c>
      <c r="Q82">
        <f t="shared" ca="1" si="30"/>
        <v>0.81394688210777333</v>
      </c>
      <c r="R82">
        <f t="shared" ca="1" si="31"/>
        <v>0.33059741204525939</v>
      </c>
      <c r="S82">
        <f t="shared" ca="1" si="28"/>
        <v>2.4620485595221253</v>
      </c>
      <c r="T82">
        <f t="shared" ca="1" si="29"/>
        <v>71.115367597904736</v>
      </c>
      <c r="U82">
        <f>70</f>
        <v>70</v>
      </c>
      <c r="V82">
        <f>30</f>
        <v>30</v>
      </c>
      <c r="W82">
        <f t="shared" ca="1" si="27"/>
        <v>161.84432240904428</v>
      </c>
      <c r="X82">
        <f t="shared" ca="1" si="17"/>
        <v>159.70297648373372</v>
      </c>
      <c r="Y82">
        <f t="shared" ca="1" si="16"/>
        <v>2.3405595392384271</v>
      </c>
      <c r="Z82">
        <f t="shared" ca="1" si="18"/>
        <v>1.8263274611753493</v>
      </c>
      <c r="AA82">
        <f t="shared" ca="1" si="19"/>
        <v>0.5142320780630778</v>
      </c>
    </row>
    <row r="83" spans="1:27" x14ac:dyDescent="0.25">
      <c r="A83" s="20">
        <f t="shared" ca="1" si="20"/>
        <v>45411</v>
      </c>
      <c r="B83" vm="242">
        <f ca="1"/>
        <v>45411</v>
      </c>
      <c r="C83" vm="243">
        <f ca="1"/>
        <v>166.33</v>
      </c>
      <c r="D83" vm="244">
        <f ca="1"/>
        <v>6366752</v>
      </c>
      <c r="E83">
        <f t="shared" ca="1" si="21"/>
        <v>1058981860.1600001</v>
      </c>
      <c r="F83">
        <f ca="1">SUM($E$2:E83)/SUM($D$2:D83)</f>
        <v>153.08005463905843</v>
      </c>
      <c r="G83">
        <f ca="1">_xlfn.STDEV.P($C$2:C83)</f>
        <v>5.8496943792608098</v>
      </c>
      <c r="H83">
        <f t="shared" ca="1" si="22"/>
        <v>158.92974901831923</v>
      </c>
      <c r="I83">
        <f t="shared" ca="1" si="23"/>
        <v>147.23036025979764</v>
      </c>
      <c r="J83">
        <f t="shared" ca="1" si="12"/>
        <v>161.14900000000003</v>
      </c>
      <c r="K83">
        <f t="shared" ca="1" si="13"/>
        <v>2.9016708435331728</v>
      </c>
      <c r="L83">
        <f t="shared" ca="1" si="14"/>
        <v>166.95234168706637</v>
      </c>
      <c r="M83">
        <f t="shared" ca="1" si="15"/>
        <v>155.34565831293369</v>
      </c>
      <c r="N83">
        <f t="shared" ca="1" si="24"/>
        <v>0.44000000000002615</v>
      </c>
      <c r="O83">
        <f t="shared" ca="1" si="25"/>
        <v>0.44000000000002615</v>
      </c>
      <c r="P83">
        <f t="shared" ca="1" si="26"/>
        <v>0</v>
      </c>
      <c r="Q83">
        <f t="shared" ca="1" si="30"/>
        <v>0.78723639052864858</v>
      </c>
      <c r="R83">
        <f t="shared" ca="1" si="31"/>
        <v>0.30698331118488376</v>
      </c>
      <c r="S83">
        <f t="shared" ca="1" si="28"/>
        <v>2.5644273217658</v>
      </c>
      <c r="T83">
        <f t="shared" ca="1" si="29"/>
        <v>71.945002388080539</v>
      </c>
      <c r="U83">
        <f>70</f>
        <v>70</v>
      </c>
      <c r="V83">
        <f>30</f>
        <v>30</v>
      </c>
      <c r="W83">
        <f t="shared" ca="1" si="27"/>
        <v>162.53442665380669</v>
      </c>
      <c r="X83">
        <f t="shared" ca="1" si="17"/>
        <v>160.19386711456826</v>
      </c>
      <c r="Y83">
        <f t="shared" ca="1" si="16"/>
        <v>2.0663188146606899</v>
      </c>
      <c r="Z83">
        <f t="shared" ca="1" si="18"/>
        <v>1.8743257318724176</v>
      </c>
      <c r="AA83">
        <f t="shared" ca="1" si="19"/>
        <v>0.19199308278827232</v>
      </c>
    </row>
    <row r="84" spans="1:27" x14ac:dyDescent="0.25">
      <c r="A84" s="20">
        <f t="shared" ca="1" si="20"/>
        <v>45411</v>
      </c>
      <c r="B84" vm="245">
        <f ca="1"/>
        <v>45412</v>
      </c>
      <c r="C84" vm="198">
        <f ca="1"/>
        <v>161.27000000000001</v>
      </c>
      <c r="D84" vm="246">
        <f ca="1"/>
        <v>8457341</v>
      </c>
      <c r="E84">
        <f t="shared" ca="1" si="21"/>
        <v>1363915383.0700002</v>
      </c>
      <c r="F84">
        <f ca="1">SUM($E$2:E84)/SUM($D$2:D84)</f>
        <v>153.17876343409293</v>
      </c>
      <c r="G84">
        <f ca="1">_xlfn.STDEV.P($C$2:C84)</f>
        <v>5.875816852995035</v>
      </c>
      <c r="H84">
        <f t="shared" ca="1" si="22"/>
        <v>159.05458028708796</v>
      </c>
      <c r="I84">
        <f t="shared" ca="1" si="23"/>
        <v>147.3029465810979</v>
      </c>
      <c r="J84">
        <f t="shared" ca="1" si="12"/>
        <v>161.2235</v>
      </c>
      <c r="K84">
        <f t="shared" ca="1" si="13"/>
        <v>2.8837444134502026</v>
      </c>
      <c r="L84">
        <f t="shared" ca="1" si="14"/>
        <v>166.99098882690041</v>
      </c>
      <c r="M84">
        <f t="shared" ca="1" si="15"/>
        <v>155.4560111730996</v>
      </c>
      <c r="N84">
        <f t="shared" ca="1" si="24"/>
        <v>-5.0600000000000023</v>
      </c>
      <c r="O84">
        <f t="shared" ca="1" si="25"/>
        <v>0</v>
      </c>
      <c r="P84">
        <f t="shared" ca="1" si="26"/>
        <v>5.0600000000000023</v>
      </c>
      <c r="Q84">
        <f t="shared" ca="1" si="30"/>
        <v>0.73100521977660216</v>
      </c>
      <c r="R84">
        <f t="shared" ca="1" si="31"/>
        <v>0.64648450324310658</v>
      </c>
      <c r="S84">
        <f t="shared" ca="1" si="28"/>
        <v>1.1307389676156121</v>
      </c>
      <c r="T84">
        <f t="shared" ca="1" si="29"/>
        <v>53.067925485070433</v>
      </c>
      <c r="U84">
        <f>70</f>
        <v>70</v>
      </c>
      <c r="V84">
        <f>30</f>
        <v>30</v>
      </c>
      <c r="W84">
        <f t="shared" ca="1" si="27"/>
        <v>162.33989947629797</v>
      </c>
      <c r="X84">
        <f t="shared" ca="1" si="17"/>
        <v>160.27358066163728</v>
      </c>
      <c r="Y84">
        <f t="shared" ca="1" si="16"/>
        <v>1.6970838445252809</v>
      </c>
      <c r="Z84">
        <f t="shared" ca="1" si="18"/>
        <v>1.8388773544029904</v>
      </c>
      <c r="AA84">
        <f t="shared" ca="1" si="19"/>
        <v>-0.14179350987770944</v>
      </c>
    </row>
    <row r="85" spans="1:27" x14ac:dyDescent="0.25">
      <c r="A85" s="20">
        <f t="shared" ca="1" si="20"/>
        <v>45411</v>
      </c>
      <c r="B85" vm="247">
        <f ca="1"/>
        <v>45413</v>
      </c>
      <c r="C85" vm="248">
        <f ca="1"/>
        <v>159.63</v>
      </c>
      <c r="D85" vm="249">
        <f ca="1"/>
        <v>7714962</v>
      </c>
      <c r="E85">
        <f t="shared" ca="1" si="21"/>
        <v>1231539384.0599999</v>
      </c>
      <c r="F85">
        <f ca="1">SUM($E$2:E85)/SUM($D$2:D85)</f>
        <v>153.24892010584574</v>
      </c>
      <c r="G85">
        <f ca="1">_xlfn.STDEV.P($C$2:C85)</f>
        <v>5.8773119636758544</v>
      </c>
      <c r="H85">
        <f t="shared" ca="1" si="22"/>
        <v>159.12623206952159</v>
      </c>
      <c r="I85">
        <f t="shared" ca="1" si="23"/>
        <v>147.37160814216989</v>
      </c>
      <c r="J85">
        <f t="shared" ca="1" si="12"/>
        <v>161.18299999999999</v>
      </c>
      <c r="K85">
        <f t="shared" ca="1" si="13"/>
        <v>2.900963723715928</v>
      </c>
      <c r="L85">
        <f t="shared" ca="1" si="14"/>
        <v>166.98492744743186</v>
      </c>
      <c r="M85">
        <f t="shared" ca="1" si="15"/>
        <v>155.38107255256813</v>
      </c>
      <c r="N85">
        <f t="shared" ca="1" si="24"/>
        <v>-1.6400000000000148</v>
      </c>
      <c r="O85">
        <f t="shared" ca="1" si="25"/>
        <v>0</v>
      </c>
      <c r="P85">
        <f t="shared" ca="1" si="26"/>
        <v>1.6400000000000148</v>
      </c>
      <c r="Q85">
        <f t="shared" ca="1" si="30"/>
        <v>0.67879056122113057</v>
      </c>
      <c r="R85">
        <f t="shared" ca="1" si="31"/>
        <v>0.71744989586859997</v>
      </c>
      <c r="S85">
        <f t="shared" ca="1" si="28"/>
        <v>0.94611563139100407</v>
      </c>
      <c r="T85">
        <f t="shared" ca="1" si="29"/>
        <v>48.615591804005973</v>
      </c>
      <c r="U85">
        <f>70</f>
        <v>70</v>
      </c>
      <c r="V85">
        <f>30</f>
        <v>30</v>
      </c>
      <c r="W85">
        <f t="shared" ca="1" si="27"/>
        <v>161.9229918645598</v>
      </c>
      <c r="X85">
        <f t="shared" ca="1" si="17"/>
        <v>160.22590802003452</v>
      </c>
      <c r="Y85">
        <f t="shared" ca="1" si="16"/>
        <v>1.4762064879289198</v>
      </c>
      <c r="Z85">
        <f t="shared" ca="1" si="18"/>
        <v>1.7663431811081765</v>
      </c>
      <c r="AA85">
        <f t="shared" ca="1" si="19"/>
        <v>-0.29013669317925661</v>
      </c>
    </row>
    <row r="86" spans="1:27" x14ac:dyDescent="0.25">
      <c r="A86" s="20">
        <f t="shared" ca="1" si="20"/>
        <v>45411</v>
      </c>
      <c r="B86" vm="250">
        <f ca="1"/>
        <v>45414</v>
      </c>
      <c r="C86" vm="251">
        <f ca="1"/>
        <v>160.72999999999999</v>
      </c>
      <c r="D86" vm="252">
        <f ca="1"/>
        <v>8597124</v>
      </c>
      <c r="E86">
        <f t="shared" ca="1" si="21"/>
        <v>1381815740.52</v>
      </c>
      <c r="F86">
        <f ca="1">SUM($E$2:E86)/SUM($D$2:D86)</f>
        <v>153.33849336586803</v>
      </c>
      <c r="G86">
        <f ca="1">_xlfn.STDEV.P($C$2:C86)</f>
        <v>5.8920803100961567</v>
      </c>
      <c r="H86">
        <f t="shared" ca="1" si="22"/>
        <v>159.23057367596419</v>
      </c>
      <c r="I86">
        <f t="shared" ca="1" si="23"/>
        <v>147.44641305577187</v>
      </c>
      <c r="J86">
        <f t="shared" ref="J86:J149" ca="1" si="32">AVERAGE(C67:C86)</f>
        <v>161.185</v>
      </c>
      <c r="K86">
        <f t="shared" ref="K86:K149" ca="1" si="33">_xlfn.STDEV.S(C67:C86)</f>
        <v>2.9006197159989964</v>
      </c>
      <c r="L86">
        <f t="shared" ref="L86:L149" ca="1" si="34">J86 + 2*K86</f>
        <v>166.986239431998</v>
      </c>
      <c r="M86">
        <f t="shared" ref="M86:M149" ca="1" si="35">J86-2*K86</f>
        <v>155.383760568002</v>
      </c>
      <c r="N86">
        <f t="shared" ca="1" si="24"/>
        <v>1.0999999999999943</v>
      </c>
      <c r="O86">
        <f t="shared" ca="1" si="25"/>
        <v>1.0999999999999943</v>
      </c>
      <c r="P86">
        <f t="shared" ca="1" si="26"/>
        <v>0</v>
      </c>
      <c r="Q86">
        <f t="shared" ca="1" si="30"/>
        <v>0.7088769497053351</v>
      </c>
      <c r="R86">
        <f t="shared" ca="1" si="31"/>
        <v>0.66620347473512864</v>
      </c>
      <c r="S86">
        <f t="shared" ca="1" si="28"/>
        <v>1.0640547168973755</v>
      </c>
      <c r="T86">
        <f t="shared" ca="1" si="29"/>
        <v>51.551671968116736</v>
      </c>
      <c r="U86">
        <f>70</f>
        <v>70</v>
      </c>
      <c r="V86">
        <f>30</f>
        <v>30</v>
      </c>
      <c r="W86">
        <f t="shared" ca="1" si="27"/>
        <v>161.73945465462754</v>
      </c>
      <c r="X86">
        <f t="shared" ca="1" si="17"/>
        <v>160.26324816669862</v>
      </c>
      <c r="Y86">
        <f t="shared" ca="1" si="16"/>
        <v>1.2480409636675915</v>
      </c>
      <c r="Z86">
        <f t="shared" ca="1" si="18"/>
        <v>1.6626827376200595</v>
      </c>
      <c r="AA86">
        <f t="shared" ca="1" si="19"/>
        <v>-0.41464177395246793</v>
      </c>
    </row>
    <row r="87" spans="1:27" x14ac:dyDescent="0.25">
      <c r="A87" s="20">
        <f t="shared" ca="1" si="20"/>
        <v>45411</v>
      </c>
      <c r="B87" vm="253">
        <f ca="1"/>
        <v>45415</v>
      </c>
      <c r="C87" vm="254">
        <f ca="1"/>
        <v>160.25</v>
      </c>
      <c r="D87" vm="255">
        <f ca="1"/>
        <v>11664505</v>
      </c>
      <c r="E87">
        <f t="shared" ca="1" si="21"/>
        <v>1869236926.25</v>
      </c>
      <c r="F87">
        <f ca="1">SUM($E$2:E87)/SUM($D$2:D87)</f>
        <v>153.44897787696434</v>
      </c>
      <c r="G87">
        <f ca="1">_xlfn.STDEV.P($C$2:C87)</f>
        <v>5.8990398518409206</v>
      </c>
      <c r="H87">
        <f t="shared" ca="1" si="22"/>
        <v>159.34801772880525</v>
      </c>
      <c r="I87">
        <f t="shared" ca="1" si="23"/>
        <v>147.54993802512342</v>
      </c>
      <c r="J87">
        <f t="shared" ca="1" si="32"/>
        <v>161.11750000000001</v>
      </c>
      <c r="K87">
        <f t="shared" ca="1" si="33"/>
        <v>2.906156577445814</v>
      </c>
      <c r="L87">
        <f t="shared" ca="1" si="34"/>
        <v>166.92981315489163</v>
      </c>
      <c r="M87">
        <f t="shared" ca="1" si="35"/>
        <v>155.30518684510838</v>
      </c>
      <c r="N87">
        <f t="shared" ca="1" si="24"/>
        <v>-0.47999999999998977</v>
      </c>
      <c r="O87">
        <f t="shared" ca="1" si="25"/>
        <v>0</v>
      </c>
      <c r="P87">
        <f t="shared" ca="1" si="26"/>
        <v>0.47999999999998977</v>
      </c>
      <c r="Q87">
        <f t="shared" ca="1" si="30"/>
        <v>0.65824288186923974</v>
      </c>
      <c r="R87">
        <f t="shared" ca="1" si="31"/>
        <v>0.65290322653976152</v>
      </c>
      <c r="S87">
        <f t="shared" ca="1" si="28"/>
        <v>1.0081783258413</v>
      </c>
      <c r="T87">
        <f t="shared" ca="1" si="29"/>
        <v>50.203625488236298</v>
      </c>
      <c r="U87">
        <f>70</f>
        <v>70</v>
      </c>
      <c r="V87">
        <f>30</f>
        <v>30</v>
      </c>
      <c r="W87">
        <f t="shared" ca="1" si="27"/>
        <v>161.51030778468484</v>
      </c>
      <c r="X87">
        <f t="shared" ca="1" si="17"/>
        <v>160.26226682101725</v>
      </c>
      <c r="Y87">
        <f t="shared" ca="1" si="16"/>
        <v>1.2185888752729284</v>
      </c>
      <c r="Z87">
        <f t="shared" ca="1" si="18"/>
        <v>1.5738639651506334</v>
      </c>
      <c r="AA87">
        <f t="shared" ca="1" si="19"/>
        <v>-0.35527508987770506</v>
      </c>
    </row>
    <row r="88" spans="1:27" x14ac:dyDescent="0.25">
      <c r="A88" s="20">
        <f t="shared" ca="1" si="20"/>
        <v>45418</v>
      </c>
      <c r="B88" vm="256">
        <f ca="1"/>
        <v>45418</v>
      </c>
      <c r="C88" vm="257">
        <f ca="1"/>
        <v>162.30000000000001</v>
      </c>
      <c r="D88" vm="258">
        <f ca="1"/>
        <v>8430277</v>
      </c>
      <c r="E88">
        <f t="shared" ca="1" si="21"/>
        <v>1368233957.1000001</v>
      </c>
      <c r="F88">
        <f ca="1">SUM($E$2:E88)/SUM($D$2:D88)</f>
        <v>153.55006803520681</v>
      </c>
      <c r="G88">
        <f ca="1">_xlfn.STDEV.P($C$2:C88)</f>
        <v>5.9342135848532296</v>
      </c>
      <c r="H88">
        <f t="shared" ca="1" si="22"/>
        <v>159.48428162006005</v>
      </c>
      <c r="I88">
        <f t="shared" ca="1" si="23"/>
        <v>147.61585445035357</v>
      </c>
      <c r="J88">
        <f t="shared" ca="1" si="32"/>
        <v>161.16900000000001</v>
      </c>
      <c r="K88">
        <f t="shared" ca="1" si="33"/>
        <v>2.9181030247676123</v>
      </c>
      <c r="L88">
        <f t="shared" ca="1" si="34"/>
        <v>167.00520604953525</v>
      </c>
      <c r="M88">
        <f t="shared" ca="1" si="35"/>
        <v>155.33279395046478</v>
      </c>
      <c r="N88">
        <f t="shared" ca="1" si="24"/>
        <v>2.0500000000000114</v>
      </c>
      <c r="O88">
        <f t="shared" ca="1" si="25"/>
        <v>2.0500000000000114</v>
      </c>
      <c r="P88">
        <f t="shared" ca="1" si="26"/>
        <v>0</v>
      </c>
      <c r="Q88">
        <f t="shared" ca="1" si="30"/>
        <v>0.75765410459286631</v>
      </c>
      <c r="R88">
        <f t="shared" ca="1" si="31"/>
        <v>0.60626728178692146</v>
      </c>
      <c r="S88">
        <f t="shared" ca="1" si="28"/>
        <v>1.2497031051382899</v>
      </c>
      <c r="T88">
        <f t="shared" ca="1" si="29"/>
        <v>55.549690191740666</v>
      </c>
      <c r="U88">
        <f>70</f>
        <v>70</v>
      </c>
      <c r="V88">
        <f>30</f>
        <v>30</v>
      </c>
      <c r="W88">
        <f t="shared" ca="1" si="27"/>
        <v>161.63179889473332</v>
      </c>
      <c r="X88">
        <f t="shared" ca="1" si="17"/>
        <v>160.41321001946039</v>
      </c>
      <c r="Y88">
        <f t="shared" ca="1" si="16"/>
        <v>1.211142494048886</v>
      </c>
      <c r="Z88">
        <f t="shared" ca="1" si="18"/>
        <v>1.5013196709302841</v>
      </c>
      <c r="AA88">
        <f t="shared" ca="1" si="19"/>
        <v>-0.2901771768813981</v>
      </c>
    </row>
    <row r="89" spans="1:27" x14ac:dyDescent="0.25">
      <c r="A89" s="20">
        <f t="shared" ca="1" si="20"/>
        <v>45418</v>
      </c>
      <c r="B89" vm="259">
        <f ca="1"/>
        <v>45419</v>
      </c>
      <c r="C89" vm="204">
        <f ca="1"/>
        <v>162.66999999999999</v>
      </c>
      <c r="D89" vm="260">
        <f ca="1"/>
        <v>6869948</v>
      </c>
      <c r="E89">
        <f t="shared" ca="1" si="21"/>
        <v>1117534441.1599998</v>
      </c>
      <c r="F89">
        <f ca="1">SUM($E$2:E89)/SUM($D$2:D89)</f>
        <v>153.63416788272829</v>
      </c>
      <c r="G89">
        <f ca="1">_xlfn.STDEV.P($C$2:C89)</f>
        <v>5.9728135620150482</v>
      </c>
      <c r="H89">
        <f t="shared" ca="1" si="22"/>
        <v>159.60698144474333</v>
      </c>
      <c r="I89">
        <f t="shared" ca="1" si="23"/>
        <v>147.66135432071326</v>
      </c>
      <c r="J89">
        <f t="shared" ca="1" si="32"/>
        <v>161.20250000000001</v>
      </c>
      <c r="K89">
        <f t="shared" ca="1" si="33"/>
        <v>2.931957985984611</v>
      </c>
      <c r="L89">
        <f t="shared" ca="1" si="34"/>
        <v>167.06641597196923</v>
      </c>
      <c r="M89">
        <f t="shared" ca="1" si="35"/>
        <v>155.33858402803079</v>
      </c>
      <c r="N89">
        <f t="shared" ca="1" si="24"/>
        <v>0.36999999999997613</v>
      </c>
      <c r="O89">
        <f t="shared" ca="1" si="25"/>
        <v>0.36999999999997613</v>
      </c>
      <c r="P89">
        <f t="shared" ca="1" si="26"/>
        <v>0</v>
      </c>
      <c r="Q89">
        <f t="shared" ca="1" si="30"/>
        <v>0.72996452569337411</v>
      </c>
      <c r="R89">
        <f t="shared" ca="1" si="31"/>
        <v>0.56296247594499849</v>
      </c>
      <c r="S89">
        <f t="shared" ca="1" si="28"/>
        <v>1.2966486344725607</v>
      </c>
      <c r="T89">
        <f t="shared" ca="1" si="29"/>
        <v>56.458293837809634</v>
      </c>
      <c r="U89">
        <f>70</f>
        <v>70</v>
      </c>
      <c r="V89">
        <f>30</f>
        <v>30</v>
      </c>
      <c r="W89">
        <f t="shared" ca="1" si="27"/>
        <v>161.79152214169741</v>
      </c>
      <c r="X89">
        <f t="shared" ca="1" si="17"/>
        <v>160.58037964764853</v>
      </c>
      <c r="Y89">
        <f t="shared" ca="1" si="16"/>
        <v>1.1811358706505928</v>
      </c>
      <c r="Z89">
        <f t="shared" ca="1" si="18"/>
        <v>1.4372829108743459</v>
      </c>
      <c r="AA89">
        <f t="shared" ca="1" si="19"/>
        <v>-0.25614704022375312</v>
      </c>
    </row>
    <row r="90" spans="1:27" x14ac:dyDescent="0.25">
      <c r="A90" s="20">
        <f t="shared" ca="1" si="20"/>
        <v>45418</v>
      </c>
      <c r="B90" vm="261">
        <f ca="1"/>
        <v>45420</v>
      </c>
      <c r="C90" vm="262">
        <f ca="1"/>
        <v>162.54</v>
      </c>
      <c r="D90" vm="263">
        <f ca="1"/>
        <v>6706361</v>
      </c>
      <c r="E90">
        <f t="shared" ca="1" si="21"/>
        <v>1090051916.9400001</v>
      </c>
      <c r="F90">
        <f ca="1">SUM($E$2:E90)/SUM($D$2:D90)</f>
        <v>153.71362258081939</v>
      </c>
      <c r="G90">
        <f ca="1">_xlfn.STDEV.P($C$2:C90)</f>
        <v>6.0066535027612957</v>
      </c>
      <c r="H90">
        <f t="shared" ca="1" si="22"/>
        <v>159.7202760835807</v>
      </c>
      <c r="I90">
        <f t="shared" ca="1" si="23"/>
        <v>147.70696907805808</v>
      </c>
      <c r="J90">
        <f t="shared" ca="1" si="32"/>
        <v>161.196</v>
      </c>
      <c r="K90">
        <f t="shared" ca="1" si="33"/>
        <v>2.9286756482464176</v>
      </c>
      <c r="L90">
        <f t="shared" ca="1" si="34"/>
        <v>167.05335129649282</v>
      </c>
      <c r="M90">
        <f t="shared" ca="1" si="35"/>
        <v>155.33864870350718</v>
      </c>
      <c r="N90">
        <f t="shared" ca="1" si="24"/>
        <v>-0.12999999999999545</v>
      </c>
      <c r="O90">
        <f t="shared" ca="1" si="25"/>
        <v>0</v>
      </c>
      <c r="P90">
        <f t="shared" ca="1" si="26"/>
        <v>0.12999999999999545</v>
      </c>
      <c r="Q90">
        <f t="shared" ca="1" si="30"/>
        <v>0.67782420242956165</v>
      </c>
      <c r="R90">
        <f t="shared" ca="1" si="31"/>
        <v>0.53203658480606975</v>
      </c>
      <c r="S90">
        <f t="shared" ca="1" si="28"/>
        <v>1.2740180314416392</v>
      </c>
      <c r="T90">
        <f t="shared" ca="1" si="29"/>
        <v>56.024974904616798</v>
      </c>
      <c r="U90">
        <f>70</f>
        <v>70</v>
      </c>
      <c r="V90">
        <f>30</f>
        <v>30</v>
      </c>
      <c r="W90">
        <f t="shared" ca="1" si="27"/>
        <v>161.90667258143625</v>
      </c>
      <c r="X90">
        <f t="shared" ca="1" si="17"/>
        <v>160.72553671078566</v>
      </c>
      <c r="Y90">
        <f t="shared" ca="1" si="16"/>
        <v>1.3763029221687191</v>
      </c>
      <c r="Z90">
        <f t="shared" ca="1" si="18"/>
        <v>1.4250869131332207</v>
      </c>
      <c r="AA90">
        <f t="shared" ca="1" si="19"/>
        <v>-4.8783990964501589E-2</v>
      </c>
    </row>
    <row r="91" spans="1:27" x14ac:dyDescent="0.25">
      <c r="A91" s="20">
        <f t="shared" ca="1" si="20"/>
        <v>45418</v>
      </c>
      <c r="B91" vm="264">
        <f ca="1"/>
        <v>45421</v>
      </c>
      <c r="C91" vm="265">
        <f ca="1"/>
        <v>165.45</v>
      </c>
      <c r="D91" vm="266">
        <f ca="1"/>
        <v>6683313</v>
      </c>
      <c r="E91">
        <f t="shared" ca="1" si="21"/>
        <v>1105754135.8499999</v>
      </c>
      <c r="F91">
        <f ca="1">SUM($E$2:E91)/SUM($D$2:D91)</f>
        <v>153.81705097363638</v>
      </c>
      <c r="G91">
        <f ca="1">_xlfn.STDEV.P($C$2:C91)</f>
        <v>6.0901746452689292</v>
      </c>
      <c r="H91">
        <f t="shared" ca="1" si="22"/>
        <v>159.9072256189053</v>
      </c>
      <c r="I91">
        <f t="shared" ca="1" si="23"/>
        <v>147.72687632836747</v>
      </c>
      <c r="J91">
        <f t="shared" ca="1" si="32"/>
        <v>161.374</v>
      </c>
      <c r="K91">
        <f t="shared" ca="1" si="33"/>
        <v>3.0774808563259368</v>
      </c>
      <c r="L91">
        <f t="shared" ca="1" si="34"/>
        <v>167.52896171265186</v>
      </c>
      <c r="M91">
        <f t="shared" ca="1" si="35"/>
        <v>155.21903828734813</v>
      </c>
      <c r="N91">
        <f t="shared" ca="1" si="24"/>
        <v>2.9099999999999966</v>
      </c>
      <c r="O91">
        <f t="shared" ca="1" si="25"/>
        <v>2.9099999999999966</v>
      </c>
      <c r="P91">
        <f t="shared" ca="1" si="26"/>
        <v>0</v>
      </c>
      <c r="Q91">
        <f t="shared" ca="1" si="30"/>
        <v>0.83726533082744992</v>
      </c>
      <c r="R91">
        <f t="shared" ca="1" si="31"/>
        <v>0.49403397160563622</v>
      </c>
      <c r="S91">
        <f t="shared" ca="1" si="28"/>
        <v>1.6947525452678767</v>
      </c>
      <c r="T91">
        <f t="shared" ca="1" si="29"/>
        <v>62.890841247889298</v>
      </c>
      <c r="U91">
        <f>70</f>
        <v>70</v>
      </c>
      <c r="V91">
        <f>30</f>
        <v>30</v>
      </c>
      <c r="W91">
        <f t="shared" ca="1" si="27"/>
        <v>162.45179987659989</v>
      </c>
      <c r="X91">
        <f t="shared" ca="1" si="17"/>
        <v>161.07549695443117</v>
      </c>
      <c r="Y91">
        <f t="shared" ca="1" si="16"/>
        <v>1.5430428864958401</v>
      </c>
      <c r="Z91">
        <f t="shared" ca="1" si="18"/>
        <v>1.4486781078057447</v>
      </c>
      <c r="AA91">
        <f t="shared" ca="1" si="19"/>
        <v>9.4364778690095408E-2</v>
      </c>
    </row>
    <row r="92" spans="1:27" x14ac:dyDescent="0.25">
      <c r="A92" s="20">
        <f t="shared" ca="1" si="20"/>
        <v>45418</v>
      </c>
      <c r="B92" vm="267">
        <f ca="1"/>
        <v>45422</v>
      </c>
      <c r="C92" vm="268">
        <f ca="1"/>
        <v>165.82</v>
      </c>
      <c r="D92" vm="269">
        <f ca="1"/>
        <v>5490944</v>
      </c>
      <c r="E92">
        <f t="shared" ca="1" si="21"/>
        <v>910508334.07999992</v>
      </c>
      <c r="F92">
        <f ca="1">SUM($E$2:E92)/SUM($D$2:D92)</f>
        <v>153.90333209073464</v>
      </c>
      <c r="G92">
        <f ca="1">_xlfn.STDEV.P($C$2:C92)</f>
        <v>6.1757030999824574</v>
      </c>
      <c r="H92">
        <f t="shared" ca="1" si="22"/>
        <v>160.07903519071709</v>
      </c>
      <c r="I92">
        <f t="shared" ca="1" si="23"/>
        <v>147.72762899075218</v>
      </c>
      <c r="J92">
        <f t="shared" ca="1" si="32"/>
        <v>161.71700000000001</v>
      </c>
      <c r="K92">
        <f t="shared" ca="1" si="33"/>
        <v>3.1750128056103115</v>
      </c>
      <c r="L92">
        <f t="shared" ca="1" si="34"/>
        <v>168.06702561122063</v>
      </c>
      <c r="M92">
        <f t="shared" ca="1" si="35"/>
        <v>155.3669743887794</v>
      </c>
      <c r="N92">
        <f t="shared" ca="1" si="24"/>
        <v>0.37000000000000455</v>
      </c>
      <c r="O92">
        <f t="shared" ca="1" si="25"/>
        <v>0.37000000000000455</v>
      </c>
      <c r="P92">
        <f t="shared" ca="1" si="26"/>
        <v>0</v>
      </c>
      <c r="Q92">
        <f t="shared" ca="1" si="30"/>
        <v>0.8038892357683467</v>
      </c>
      <c r="R92">
        <f t="shared" ca="1" si="31"/>
        <v>0.4587458307766622</v>
      </c>
      <c r="S92">
        <f t="shared" ca="1" si="28"/>
        <v>1.7523630338118878</v>
      </c>
      <c r="T92">
        <f t="shared" ca="1" si="29"/>
        <v>63.667583537661123</v>
      </c>
      <c r="U92">
        <f>70</f>
        <v>70</v>
      </c>
      <c r="V92">
        <f>30</f>
        <v>30</v>
      </c>
      <c r="W92">
        <f t="shared" ca="1" si="27"/>
        <v>162.96998451096914</v>
      </c>
      <c r="X92">
        <f t="shared" ca="1" si="17"/>
        <v>161.4269416244733</v>
      </c>
      <c r="Y92">
        <f t="shared" ref="Y92:Y155" ca="1" si="36">W93-X93</f>
        <v>1.5531890934587125</v>
      </c>
      <c r="Z92">
        <f t="shared" ca="1" si="18"/>
        <v>1.4695803049363383</v>
      </c>
      <c r="AA92">
        <f t="shared" ca="1" si="19"/>
        <v>8.3608788522374189E-2</v>
      </c>
    </row>
    <row r="93" spans="1:27" x14ac:dyDescent="0.25">
      <c r="A93" s="20">
        <f t="shared" ca="1" si="20"/>
        <v>45425</v>
      </c>
      <c r="B93" vm="270">
        <f ca="1"/>
        <v>45425</v>
      </c>
      <c r="C93" vm="271">
        <f ca="1"/>
        <v>164.53</v>
      </c>
      <c r="D93" vm="272">
        <f ca="1"/>
        <v>6848303</v>
      </c>
      <c r="E93">
        <f t="shared" ca="1" si="21"/>
        <v>1126751292.5899999</v>
      </c>
      <c r="F93">
        <f ca="1">SUM($E$2:E93)/SUM($D$2:D93)</f>
        <v>153.99775657866331</v>
      </c>
      <c r="G93">
        <f ca="1">_xlfn.STDEV.P($C$2:C93)</f>
        <v>6.2317372070454677</v>
      </c>
      <c r="H93">
        <f t="shared" ca="1" si="22"/>
        <v>160.22949378570877</v>
      </c>
      <c r="I93">
        <f t="shared" ca="1" si="23"/>
        <v>147.76601937161786</v>
      </c>
      <c r="J93">
        <f t="shared" ca="1" si="32"/>
        <v>162.06400000000002</v>
      </c>
      <c r="K93">
        <f t="shared" ca="1" si="33"/>
        <v>3.0779870387196739</v>
      </c>
      <c r="L93">
        <f t="shared" ca="1" si="34"/>
        <v>168.21997407743936</v>
      </c>
      <c r="M93">
        <f t="shared" ca="1" si="35"/>
        <v>155.90802592256068</v>
      </c>
      <c r="N93">
        <f t="shared" ca="1" si="24"/>
        <v>-1.289999999999992</v>
      </c>
      <c r="O93">
        <f t="shared" ca="1" si="25"/>
        <v>0</v>
      </c>
      <c r="P93">
        <f t="shared" ca="1" si="26"/>
        <v>1.289999999999992</v>
      </c>
      <c r="Q93">
        <f t="shared" ca="1" si="30"/>
        <v>0.74646857607060757</v>
      </c>
      <c r="R93">
        <f t="shared" ca="1" si="31"/>
        <v>0.51812112857832859</v>
      </c>
      <c r="S93">
        <f t="shared" ca="1" si="28"/>
        <v>1.4407221302069673</v>
      </c>
      <c r="T93">
        <f t="shared" ca="1" si="29"/>
        <v>59.028519157352726</v>
      </c>
      <c r="U93">
        <f>70</f>
        <v>70</v>
      </c>
      <c r="V93">
        <f>30</f>
        <v>30</v>
      </c>
      <c r="W93">
        <f t="shared" ca="1" si="27"/>
        <v>163.20998689389697</v>
      </c>
      <c r="X93">
        <f t="shared" ref="X93:X156" ca="1" si="37">C93*(2/(26+1)) + X92*(1-(2/(26+1)))</f>
        <v>161.65679780043826</v>
      </c>
      <c r="Y93">
        <f t="shared" ca="1" si="36"/>
        <v>1.4700479269087339</v>
      </c>
      <c r="Z93">
        <f t="shared" ca="1" si="18"/>
        <v>1.4696738293308176</v>
      </c>
      <c r="AA93">
        <f t="shared" ca="1" si="19"/>
        <v>3.7409757791628806E-4</v>
      </c>
    </row>
    <row r="94" spans="1:27" x14ac:dyDescent="0.25">
      <c r="A94" s="20">
        <f t="shared" ca="1" si="20"/>
        <v>45425</v>
      </c>
      <c r="B94" vm="273">
        <f ca="1"/>
        <v>45426</v>
      </c>
      <c r="C94" vm="274">
        <f ca="1"/>
        <v>163.61000000000001</v>
      </c>
      <c r="D94" vm="275">
        <f ca="1"/>
        <v>4923968</v>
      </c>
      <c r="E94">
        <f t="shared" ca="1" si="21"/>
        <v>805610404.48000002</v>
      </c>
      <c r="F94">
        <f ca="1">SUM($E$2:E94)/SUM($D$2:D94)</f>
        <v>154.05877749801004</v>
      </c>
      <c r="G94">
        <f ca="1">_xlfn.STDEV.P($C$2:C94)</f>
        <v>6.2692535656608683</v>
      </c>
      <c r="H94">
        <f t="shared" ca="1" si="22"/>
        <v>160.32803106367092</v>
      </c>
      <c r="I94">
        <f t="shared" ca="1" si="23"/>
        <v>147.78952393234917</v>
      </c>
      <c r="J94">
        <f t="shared" ca="1" si="32"/>
        <v>162.43050000000002</v>
      </c>
      <c r="K94">
        <f t="shared" ca="1" si="33"/>
        <v>2.7744614935059682</v>
      </c>
      <c r="L94">
        <f t="shared" ca="1" si="34"/>
        <v>167.97942298701196</v>
      </c>
      <c r="M94">
        <f t="shared" ca="1" si="35"/>
        <v>156.88157701298809</v>
      </c>
      <c r="N94">
        <f t="shared" ca="1" si="24"/>
        <v>-0.91999999999998749</v>
      </c>
      <c r="O94">
        <f t="shared" ca="1" si="25"/>
        <v>0</v>
      </c>
      <c r="P94">
        <f t="shared" ca="1" si="26"/>
        <v>0.91999999999998749</v>
      </c>
      <c r="Q94">
        <f t="shared" ca="1" si="30"/>
        <v>0.69314939206556414</v>
      </c>
      <c r="R94">
        <f t="shared" ca="1" si="31"/>
        <v>0.54682676225130422</v>
      </c>
      <c r="S94">
        <f t="shared" ca="1" si="28"/>
        <v>1.2675849828780228</v>
      </c>
      <c r="T94">
        <f t="shared" ca="1" si="29"/>
        <v>55.9002195044175</v>
      </c>
      <c r="U94">
        <f>70</f>
        <v>70</v>
      </c>
      <c r="V94">
        <f>30</f>
        <v>30</v>
      </c>
      <c r="W94">
        <f t="shared" ca="1" si="27"/>
        <v>163.27152737175896</v>
      </c>
      <c r="X94">
        <f t="shared" ca="1" si="37"/>
        <v>161.80147944485023</v>
      </c>
      <c r="Y94">
        <f t="shared" ca="1" si="36"/>
        <v>1.3434837887067772</v>
      </c>
      <c r="Z94">
        <f t="shared" ca="1" si="18"/>
        <v>1.4444358212060096</v>
      </c>
      <c r="AA94">
        <f t="shared" ca="1" si="19"/>
        <v>-0.10095203249923235</v>
      </c>
    </row>
    <row r="95" spans="1:27" x14ac:dyDescent="0.25">
      <c r="A95" s="20">
        <f t="shared" ca="1" si="20"/>
        <v>45425</v>
      </c>
      <c r="B95" vm="276">
        <f ca="1"/>
        <v>45427</v>
      </c>
      <c r="C95" vm="277">
        <f ca="1"/>
        <v>163.05000000000001</v>
      </c>
      <c r="D95" vm="278">
        <f ca="1"/>
        <v>7603063</v>
      </c>
      <c r="E95">
        <f t="shared" ca="1" si="21"/>
        <v>1239679422.1500001</v>
      </c>
      <c r="F95">
        <f ca="1">SUM($E$2:E95)/SUM($D$2:D95)</f>
        <v>154.14605649548056</v>
      </c>
      <c r="G95">
        <f ca="1">_xlfn.STDEV.P($C$2:C95)</f>
        <v>6.296088427084384</v>
      </c>
      <c r="H95">
        <f t="shared" ca="1" si="22"/>
        <v>160.44214492256495</v>
      </c>
      <c r="I95">
        <f t="shared" ca="1" si="23"/>
        <v>147.84996806839618</v>
      </c>
      <c r="J95">
        <f t="shared" ca="1" si="32"/>
        <v>162.76300000000003</v>
      </c>
      <c r="K95">
        <f t="shared" ca="1" si="33"/>
        <v>2.3848294653805691</v>
      </c>
      <c r="L95">
        <f t="shared" ca="1" si="34"/>
        <v>167.53265893076116</v>
      </c>
      <c r="M95">
        <f t="shared" ca="1" si="35"/>
        <v>157.99334106923891</v>
      </c>
      <c r="N95">
        <f t="shared" ca="1" si="24"/>
        <v>-0.56000000000000227</v>
      </c>
      <c r="O95">
        <f t="shared" ca="1" si="25"/>
        <v>0</v>
      </c>
      <c r="P95">
        <f t="shared" ca="1" si="26"/>
        <v>0.56000000000000227</v>
      </c>
      <c r="Q95">
        <f t="shared" ca="1" si="30"/>
        <v>0.64363872120373811</v>
      </c>
      <c r="R95">
        <f t="shared" ca="1" si="31"/>
        <v>0.54776770780478268</v>
      </c>
      <c r="S95">
        <f t="shared" ca="1" si="28"/>
        <v>1.1750212946709933</v>
      </c>
      <c r="T95">
        <f t="shared" ca="1" si="29"/>
        <v>54.023438646320663</v>
      </c>
      <c r="U95">
        <f>70</f>
        <v>70</v>
      </c>
      <c r="V95">
        <f>30</f>
        <v>30</v>
      </c>
      <c r="W95">
        <f t="shared" ca="1" si="27"/>
        <v>163.23744623764219</v>
      </c>
      <c r="X95">
        <f t="shared" ca="1" si="37"/>
        <v>161.89396244893541</v>
      </c>
      <c r="Y95">
        <f t="shared" ca="1" si="36"/>
        <v>1.0726602184493572</v>
      </c>
      <c r="Z95">
        <f t="shared" ca="1" si="18"/>
        <v>1.3700807006546791</v>
      </c>
      <c r="AA95">
        <f t="shared" ca="1" si="19"/>
        <v>-0.29742048220532191</v>
      </c>
    </row>
    <row r="96" spans="1:27" x14ac:dyDescent="0.25">
      <c r="A96" s="20">
        <f t="shared" ca="1" si="20"/>
        <v>45425</v>
      </c>
      <c r="B96" vm="279">
        <f ca="1"/>
        <v>45428</v>
      </c>
      <c r="C96" vm="280">
        <f ca="1"/>
        <v>161.09</v>
      </c>
      <c r="D96" vm="281">
        <f ca="1"/>
        <v>6409418</v>
      </c>
      <c r="E96">
        <f t="shared" ca="1" si="21"/>
        <v>1032493145.62</v>
      </c>
      <c r="F96">
        <f ca="1">SUM($E$2:E96)/SUM($D$2:D96)</f>
        <v>154.2024186713291</v>
      </c>
      <c r="G96">
        <f ca="1">_xlfn.STDEV.P($C$2:C96)</f>
        <v>6.2970552709875882</v>
      </c>
      <c r="H96">
        <f t="shared" ca="1" si="22"/>
        <v>160.49947394231668</v>
      </c>
      <c r="I96">
        <f t="shared" ca="1" si="23"/>
        <v>147.90536340034151</v>
      </c>
      <c r="J96">
        <f t="shared" ca="1" si="32"/>
        <v>162.93900000000002</v>
      </c>
      <c r="K96">
        <f t="shared" ca="1" si="33"/>
        <v>2.0935110272106594</v>
      </c>
      <c r="L96">
        <f t="shared" ca="1" si="34"/>
        <v>167.12602205442133</v>
      </c>
      <c r="M96">
        <f t="shared" ca="1" si="35"/>
        <v>158.75197794557872</v>
      </c>
      <c r="N96">
        <f t="shared" ca="1" si="24"/>
        <v>-1.960000000000008</v>
      </c>
      <c r="O96">
        <f t="shared" ca="1" si="25"/>
        <v>0</v>
      </c>
      <c r="P96">
        <f t="shared" ca="1" si="26"/>
        <v>1.960000000000008</v>
      </c>
      <c r="Q96">
        <f t="shared" ca="1" si="30"/>
        <v>0.59766452683204252</v>
      </c>
      <c r="R96">
        <f t="shared" ca="1" si="31"/>
        <v>0.64864144296158444</v>
      </c>
      <c r="S96">
        <f t="shared" ca="1" si="28"/>
        <v>0.92140971459241006</v>
      </c>
      <c r="T96">
        <f t="shared" ca="1" si="29"/>
        <v>47.954879565489726</v>
      </c>
      <c r="U96">
        <f>70</f>
        <v>70</v>
      </c>
      <c r="V96">
        <f>30</f>
        <v>30</v>
      </c>
      <c r="W96">
        <f t="shared" ca="1" si="27"/>
        <v>162.90706989338955</v>
      </c>
      <c r="X96">
        <f t="shared" ca="1" si="37"/>
        <v>161.83440967494019</v>
      </c>
      <c r="Y96">
        <f t="shared" ca="1" si="36"/>
        <v>0.97429234752459593</v>
      </c>
      <c r="Z96">
        <f t="shared" ca="1" si="18"/>
        <v>1.2909230300286625</v>
      </c>
      <c r="AA96">
        <f t="shared" ca="1" si="19"/>
        <v>-0.31663068250406656</v>
      </c>
    </row>
    <row r="97" spans="1:28" x14ac:dyDescent="0.25">
      <c r="A97" s="20">
        <f t="shared" ca="1" si="20"/>
        <v>45425</v>
      </c>
      <c r="B97" vm="282">
        <f ca="1"/>
        <v>45429</v>
      </c>
      <c r="C97" vm="204">
        <f ca="1"/>
        <v>162.66999999999999</v>
      </c>
      <c r="D97" vm="283">
        <f ca="1"/>
        <v>5497919</v>
      </c>
      <c r="E97">
        <f t="shared" ca="1" si="21"/>
        <v>894346483.7299999</v>
      </c>
      <c r="F97">
        <f ca="1">SUM($E$2:E97)/SUM($D$2:D97)</f>
        <v>154.26096604516445</v>
      </c>
      <c r="G97">
        <f ca="1">_xlfn.STDEV.P($C$2:C97)</f>
        <v>6.3157475273657901</v>
      </c>
      <c r="H97">
        <f t="shared" ca="1" si="22"/>
        <v>160.57671357253025</v>
      </c>
      <c r="I97">
        <f t="shared" ca="1" si="23"/>
        <v>147.94521851779865</v>
      </c>
      <c r="J97">
        <f t="shared" ca="1" si="32"/>
        <v>163.07250000000005</v>
      </c>
      <c r="K97">
        <f t="shared" ca="1" si="33"/>
        <v>1.9781859712479273</v>
      </c>
      <c r="L97">
        <f t="shared" ca="1" si="34"/>
        <v>167.0288719424959</v>
      </c>
      <c r="M97">
        <f t="shared" ca="1" si="35"/>
        <v>159.1161280575042</v>
      </c>
      <c r="N97">
        <f t="shared" ca="1" si="24"/>
        <v>1.5799999999999841</v>
      </c>
      <c r="O97">
        <f t="shared" ca="1" si="25"/>
        <v>1.5799999999999841</v>
      </c>
      <c r="P97">
        <f t="shared" ca="1" si="26"/>
        <v>0</v>
      </c>
      <c r="Q97">
        <f t="shared" ca="1" si="30"/>
        <v>0.66783134634403829</v>
      </c>
      <c r="R97">
        <f t="shared" ca="1" si="31"/>
        <v>0.60230991132147127</v>
      </c>
      <c r="S97">
        <f t="shared" ca="1" si="28"/>
        <v>1.1087835909570418</v>
      </c>
      <c r="T97">
        <f t="shared" ca="1" si="29"/>
        <v>52.579297169788575</v>
      </c>
      <c r="U97">
        <f>70</f>
        <v>70</v>
      </c>
      <c r="V97">
        <f>30</f>
        <v>30</v>
      </c>
      <c r="W97">
        <f t="shared" ca="1" si="27"/>
        <v>162.87059760209885</v>
      </c>
      <c r="X97">
        <f t="shared" ca="1" si="37"/>
        <v>161.89630525457426</v>
      </c>
      <c r="Y97">
        <f t="shared" ca="1" si="36"/>
        <v>0.7640691740362513</v>
      </c>
      <c r="Z97">
        <f t="shared" ca="1" si="18"/>
        <v>1.1855522588301803</v>
      </c>
      <c r="AA97">
        <f t="shared" ca="1" si="19"/>
        <v>-0.42148308479392904</v>
      </c>
    </row>
    <row r="98" spans="1:28" x14ac:dyDescent="0.25">
      <c r="A98" s="20">
        <f t="shared" ca="1" si="20"/>
        <v>45432</v>
      </c>
      <c r="B98" vm="284">
        <f ca="1"/>
        <v>45432</v>
      </c>
      <c r="C98" vm="285">
        <f ca="1"/>
        <v>161.13999999999999</v>
      </c>
      <c r="D98" vm="286">
        <f ca="1"/>
        <v>4913820</v>
      </c>
      <c r="E98">
        <f t="shared" ca="1" si="21"/>
        <v>791812954.79999995</v>
      </c>
      <c r="F98">
        <f ca="1">SUM($E$2:E98)/SUM($D$2:D98)</f>
        <v>154.30321547396343</v>
      </c>
      <c r="G98">
        <f ca="1">_xlfn.STDEV.P($C$2:C98)</f>
        <v>6.3154648733974108</v>
      </c>
      <c r="H98">
        <f t="shared" ca="1" si="22"/>
        <v>160.61868034736085</v>
      </c>
      <c r="I98">
        <f t="shared" ca="1" si="23"/>
        <v>147.98775060056602</v>
      </c>
      <c r="J98">
        <f t="shared" ca="1" si="32"/>
        <v>163.03350000000003</v>
      </c>
      <c r="K98">
        <f t="shared" ca="1" si="33"/>
        <v>2.0095437424031304</v>
      </c>
      <c r="L98">
        <f t="shared" ca="1" si="34"/>
        <v>167.05258748480628</v>
      </c>
      <c r="M98">
        <f t="shared" ca="1" si="35"/>
        <v>159.01441251519378</v>
      </c>
      <c r="N98">
        <f t="shared" ca="1" si="24"/>
        <v>-1.5300000000000011</v>
      </c>
      <c r="O98">
        <f t="shared" ca="1" si="25"/>
        <v>0</v>
      </c>
      <c r="P98">
        <f t="shared" ca="1" si="26"/>
        <v>1.5300000000000011</v>
      </c>
      <c r="Q98">
        <f t="shared" ca="1" si="30"/>
        <v>0.62012910731946413</v>
      </c>
      <c r="R98">
        <f t="shared" ca="1" si="31"/>
        <v>0.66857348908422332</v>
      </c>
      <c r="S98">
        <f t="shared" ca="1" si="28"/>
        <v>0.92754067794235195</v>
      </c>
      <c r="T98">
        <f t="shared" ca="1" si="29"/>
        <v>48.120420417404674</v>
      </c>
      <c r="U98">
        <f>70</f>
        <v>70</v>
      </c>
      <c r="V98">
        <f>30</f>
        <v>30</v>
      </c>
      <c r="W98">
        <f t="shared" ca="1" si="27"/>
        <v>162.60435181716056</v>
      </c>
      <c r="X98">
        <f t="shared" ca="1" si="37"/>
        <v>161.84028264312431</v>
      </c>
      <c r="Y98">
        <f t="shared" ca="1" si="36"/>
        <v>0.49732373413471009</v>
      </c>
      <c r="Z98">
        <f t="shared" ca="1" si="18"/>
        <v>1.0479065538910863</v>
      </c>
      <c r="AA98">
        <f t="shared" ca="1" si="19"/>
        <v>-0.55058281975637624</v>
      </c>
    </row>
    <row r="99" spans="1:28" x14ac:dyDescent="0.25">
      <c r="A99" s="20">
        <f t="shared" ca="1" si="20"/>
        <v>45432</v>
      </c>
      <c r="B99" vm="287">
        <f ca="1"/>
        <v>45433</v>
      </c>
      <c r="C99" vm="288">
        <f ca="1"/>
        <v>159.97</v>
      </c>
      <c r="D99" vm="289">
        <f ca="1"/>
        <v>4783287</v>
      </c>
      <c r="E99">
        <f t="shared" ca="1" si="21"/>
        <v>765182421.38999999</v>
      </c>
      <c r="F99">
        <f ca="1">SUM($E$2:E99)/SUM($D$2:D99)</f>
        <v>154.3368936478785</v>
      </c>
      <c r="G99">
        <f ca="1">_xlfn.STDEV.P($C$2:C99)</f>
        <v>6.3039148239372027</v>
      </c>
      <c r="H99">
        <f t="shared" ca="1" si="22"/>
        <v>160.64080847181569</v>
      </c>
      <c r="I99">
        <f t="shared" ca="1" si="23"/>
        <v>148.03297882394131</v>
      </c>
      <c r="J99">
        <f t="shared" ca="1" si="32"/>
        <v>162.88950000000003</v>
      </c>
      <c r="K99">
        <f t="shared" ca="1" si="33"/>
        <v>2.1233500715416169</v>
      </c>
      <c r="L99">
        <f t="shared" ca="1" si="34"/>
        <v>167.13620014308327</v>
      </c>
      <c r="M99">
        <f t="shared" ca="1" si="35"/>
        <v>158.64279985691678</v>
      </c>
      <c r="N99">
        <f t="shared" ca="1" si="24"/>
        <v>-1.1699999999999875</v>
      </c>
      <c r="O99">
        <f t="shared" ca="1" si="25"/>
        <v>0</v>
      </c>
      <c r="P99">
        <f t="shared" ca="1" si="26"/>
        <v>1.1699999999999875</v>
      </c>
      <c r="Q99">
        <f t="shared" ca="1" si="30"/>
        <v>0.57583417108235957</v>
      </c>
      <c r="R99">
        <f t="shared" ca="1" si="31"/>
        <v>0.70438966843534934</v>
      </c>
      <c r="S99">
        <f t="shared" ca="1" si="28"/>
        <v>0.81749377778559951</v>
      </c>
      <c r="T99">
        <f t="shared" ca="1" si="29"/>
        <v>44.97917889884711</v>
      </c>
      <c r="U99">
        <f>70</f>
        <v>70</v>
      </c>
      <c r="V99">
        <f>30</f>
        <v>30</v>
      </c>
      <c r="W99">
        <f t="shared" ca="1" si="27"/>
        <v>162.19906692221278</v>
      </c>
      <c r="X99">
        <f t="shared" ca="1" si="37"/>
        <v>161.70174318807807</v>
      </c>
      <c r="Y99">
        <f t="shared" ca="1" si="36"/>
        <v>9.1214643224560632E-2</v>
      </c>
      <c r="Z99">
        <f t="shared" ca="1" si="18"/>
        <v>0.85656817175778133</v>
      </c>
      <c r="AA99">
        <f t="shared" ca="1" si="19"/>
        <v>-0.76535352853322069</v>
      </c>
    </row>
    <row r="100" spans="1:28" x14ac:dyDescent="0.25">
      <c r="A100" s="20">
        <f t="shared" ca="1" si="20"/>
        <v>45432</v>
      </c>
      <c r="B100" vm="290">
        <f ca="1"/>
        <v>45434</v>
      </c>
      <c r="C100" vm="222">
        <f ca="1"/>
        <v>157.57</v>
      </c>
      <c r="D100" vm="291">
        <f ca="1"/>
        <v>6260509</v>
      </c>
      <c r="E100">
        <f t="shared" ca="1" si="21"/>
        <v>986468403.13</v>
      </c>
      <c r="F100">
        <f ca="1">SUM($E$2:E100)/SUM($D$2:D100)</f>
        <v>154.36184820972525</v>
      </c>
      <c r="G100">
        <f ca="1">_xlfn.STDEV.P($C$2:C100)</f>
        <v>6.2775234482072255</v>
      </c>
      <c r="H100">
        <f t="shared" ca="1" si="22"/>
        <v>160.63937165793249</v>
      </c>
      <c r="I100">
        <f t="shared" ca="1" si="23"/>
        <v>148.08432476151802</v>
      </c>
      <c r="J100">
        <f t="shared" ca="1" si="32"/>
        <v>162.58950000000002</v>
      </c>
      <c r="K100">
        <f t="shared" ca="1" si="33"/>
        <v>2.4246290546455933</v>
      </c>
      <c r="L100">
        <f t="shared" ca="1" si="34"/>
        <v>167.4387581092912</v>
      </c>
      <c r="M100">
        <f t="shared" ca="1" si="35"/>
        <v>157.74024189070883</v>
      </c>
      <c r="N100">
        <f t="shared" ca="1" si="24"/>
        <v>-2.4000000000000057</v>
      </c>
      <c r="O100">
        <f t="shared" ca="1" si="25"/>
        <v>0</v>
      </c>
      <c r="P100">
        <f t="shared" ca="1" si="26"/>
        <v>2.4000000000000057</v>
      </c>
      <c r="Q100">
        <f t="shared" ca="1" si="30"/>
        <v>0.534703158862191</v>
      </c>
      <c r="R100">
        <f t="shared" ca="1" si="31"/>
        <v>0.82550469211853905</v>
      </c>
      <c r="S100">
        <f t="shared" ca="1" si="28"/>
        <v>0.64772879423610819</v>
      </c>
      <c r="T100">
        <f t="shared" ca="1" si="29"/>
        <v>39.310400868268928</v>
      </c>
      <c r="U100">
        <f>70</f>
        <v>70</v>
      </c>
      <c r="V100">
        <f>30</f>
        <v>30</v>
      </c>
      <c r="W100">
        <f t="shared" ca="1" si="27"/>
        <v>161.48690278033388</v>
      </c>
      <c r="X100">
        <f t="shared" ca="1" si="37"/>
        <v>161.39568813710932</v>
      </c>
      <c r="Y100">
        <f t="shared" ca="1" si="36"/>
        <v>-0.27825788832299736</v>
      </c>
      <c r="Z100">
        <f t="shared" ca="1" si="18"/>
        <v>0.62960295974162561</v>
      </c>
      <c r="AA100">
        <f t="shared" ca="1" si="19"/>
        <v>-0.90786084806462297</v>
      </c>
    </row>
    <row r="101" spans="1:28" x14ac:dyDescent="0.25">
      <c r="A101" s="20">
        <f t="shared" ca="1" si="20"/>
        <v>45432</v>
      </c>
      <c r="B101" vm="292">
        <f ca="1"/>
        <v>45435</v>
      </c>
      <c r="C101" vm="293">
        <f ca="1"/>
        <v>156.94</v>
      </c>
      <c r="D101" vm="294">
        <f ca="1"/>
        <v>6718378</v>
      </c>
      <c r="E101">
        <f t="shared" ca="1" si="21"/>
        <v>1054382243.3199999</v>
      </c>
      <c r="F101">
        <f ca="1">SUM($E$2:E101)/SUM($D$2:D101)</f>
        <v>154.38302747115429</v>
      </c>
      <c r="G101">
        <f ca="1">_xlfn.STDEV.P($C$2:C101)</f>
        <v>6.2491545628188758</v>
      </c>
      <c r="H101">
        <f t="shared" ca="1" si="22"/>
        <v>160.63218203397318</v>
      </c>
      <c r="I101">
        <f t="shared" ca="1" si="23"/>
        <v>148.13387290833541</v>
      </c>
      <c r="J101">
        <f t="shared" ca="1" si="32"/>
        <v>162.17250000000001</v>
      </c>
      <c r="K101">
        <f t="shared" ca="1" si="33"/>
        <v>2.644736331500344</v>
      </c>
      <c r="L101">
        <f t="shared" ca="1" si="34"/>
        <v>167.46197266300069</v>
      </c>
      <c r="M101">
        <f t="shared" ca="1" si="35"/>
        <v>156.88302733699933</v>
      </c>
      <c r="N101">
        <f t="shared" ca="1" si="24"/>
        <v>-0.62999999999999545</v>
      </c>
      <c r="O101">
        <f t="shared" ca="1" si="25"/>
        <v>0</v>
      </c>
      <c r="P101">
        <f t="shared" ca="1" si="26"/>
        <v>0.62999999999999545</v>
      </c>
      <c r="Q101">
        <f t="shared" ca="1" si="30"/>
        <v>0.4965100760863202</v>
      </c>
      <c r="R101">
        <f t="shared" ca="1" si="31"/>
        <v>0.81154007125292882</v>
      </c>
      <c r="S101">
        <f t="shared" ca="1" si="28"/>
        <v>0.61181215034737979</v>
      </c>
      <c r="T101">
        <f t="shared" ca="1" si="29"/>
        <v>37.958030668494544</v>
      </c>
      <c r="U101">
        <f>70</f>
        <v>70</v>
      </c>
      <c r="V101">
        <f>30</f>
        <v>30</v>
      </c>
      <c r="W101">
        <f t="shared" ca="1" si="27"/>
        <v>160.78737927566712</v>
      </c>
      <c r="X101">
        <f t="shared" ca="1" si="37"/>
        <v>161.06563716399012</v>
      </c>
      <c r="Y101">
        <f t="shared" ca="1" si="36"/>
        <v>-0.49994425476825199</v>
      </c>
      <c r="Z101">
        <f t="shared" ca="1" si="18"/>
        <v>0.40369351683965016</v>
      </c>
      <c r="AA101">
        <f t="shared" ca="1" si="19"/>
        <v>-0.90363777160790215</v>
      </c>
      <c r="AB101">
        <f ca="1">AVERAGE(C2:C101)</f>
        <v>154.98250000000002</v>
      </c>
    </row>
    <row r="102" spans="1:28" x14ac:dyDescent="0.25">
      <c r="A102" s="20">
        <f t="shared" ca="1" si="20"/>
        <v>45432</v>
      </c>
      <c r="B102" vm="295">
        <f ca="1"/>
        <v>45436</v>
      </c>
      <c r="C102" vm="296">
        <f ca="1"/>
        <v>157.75</v>
      </c>
      <c r="D102" vm="297">
        <f ca="1"/>
        <v>4477720</v>
      </c>
      <c r="E102">
        <f t="shared" ca="1" si="21"/>
        <v>706360330</v>
      </c>
      <c r="F102">
        <f ca="1">SUM($E$2:E102)/SUM($D$2:D102)</f>
        <v>154.40136171755231</v>
      </c>
      <c r="G102">
        <f ca="1">_xlfn.STDEV.P($C$2:C102)</f>
        <v>6.2241755579623268</v>
      </c>
      <c r="H102">
        <f t="shared" ca="1" si="22"/>
        <v>160.62553727551463</v>
      </c>
      <c r="I102">
        <f t="shared" ca="1" si="23"/>
        <v>148.17718615958998</v>
      </c>
      <c r="J102">
        <f t="shared" ca="1" si="32"/>
        <v>161.76550000000003</v>
      </c>
      <c r="K102">
        <f t="shared" ca="1" si="33"/>
        <v>2.6687637094434029</v>
      </c>
      <c r="L102">
        <f t="shared" ca="1" si="34"/>
        <v>167.10302741888682</v>
      </c>
      <c r="M102">
        <f t="shared" ca="1" si="35"/>
        <v>156.42797258111324</v>
      </c>
      <c r="N102">
        <f t="shared" ca="1" si="24"/>
        <v>0.81000000000000227</v>
      </c>
      <c r="O102">
        <f t="shared" ca="1" si="25"/>
        <v>0.81000000000000227</v>
      </c>
      <c r="P102">
        <f t="shared" ca="1" si="26"/>
        <v>0</v>
      </c>
      <c r="Q102">
        <f t="shared" ca="1" si="30"/>
        <v>0.51890221350872612</v>
      </c>
      <c r="R102">
        <f t="shared" ca="1" si="31"/>
        <v>0.753572923306291</v>
      </c>
      <c r="S102">
        <f t="shared" ca="1" si="28"/>
        <v>0.68858924924219633</v>
      </c>
      <c r="T102">
        <f t="shared" ca="1" si="29"/>
        <v>40.77896679439484</v>
      </c>
      <c r="U102">
        <f>70</f>
        <v>70</v>
      </c>
      <c r="V102">
        <f>30</f>
        <v>30</v>
      </c>
      <c r="W102">
        <f t="shared" ca="1" si="27"/>
        <v>160.32009015633372</v>
      </c>
      <c r="X102">
        <f t="shared" ca="1" si="37"/>
        <v>160.82003441110197</v>
      </c>
      <c r="Y102">
        <f t="shared" ca="1" si="36"/>
        <v>-0.56502680107413994</v>
      </c>
      <c r="Z102">
        <f t="shared" ref="Z102:Z165" ca="1" si="38">Y102*(2/(9+1)) + Z101*(1-(2/(9+1)))</f>
        <v>0.20994945325689218</v>
      </c>
      <c r="AA102">
        <f t="shared" ref="AA102:AA165" ca="1" si="39">Y102-Z102</f>
        <v>-0.77497625433103212</v>
      </c>
      <c r="AB102">
        <f t="shared" ref="AB102:AB165" ca="1" si="40">AVERAGE(C3:C102)</f>
        <v>155.06520000000003</v>
      </c>
    </row>
    <row r="103" spans="1:28" x14ac:dyDescent="0.25">
      <c r="A103" s="20">
        <f t="shared" ca="1" si="20"/>
        <v>45439</v>
      </c>
      <c r="B103" vm="298">
        <f ca="1"/>
        <v>45440</v>
      </c>
      <c r="C103" vm="299">
        <f ca="1"/>
        <v>159.04</v>
      </c>
      <c r="D103" vm="300">
        <f ca="1"/>
        <v>6928298</v>
      </c>
      <c r="E103">
        <f t="shared" ca="1" si="21"/>
        <v>1101876513.9199998</v>
      </c>
      <c r="F103">
        <f ca="1">SUM($E$2:E103)/SUM($D$2:D103)</f>
        <v>154.44011779608488</v>
      </c>
      <c r="G103">
        <f ca="1">_xlfn.STDEV.P($C$2:C103)</f>
        <v>6.2063052732020285</v>
      </c>
      <c r="H103">
        <f t="shared" ca="1" si="22"/>
        <v>160.6464230692869</v>
      </c>
      <c r="I103">
        <f t="shared" ca="1" si="23"/>
        <v>148.23381252288286</v>
      </c>
      <c r="J103">
        <f t="shared" ca="1" si="32"/>
        <v>161.40100000000001</v>
      </c>
      <c r="K103">
        <f t="shared" ca="1" si="33"/>
        <v>2.5053645600884855</v>
      </c>
      <c r="L103">
        <f t="shared" ca="1" si="34"/>
        <v>166.41172912017697</v>
      </c>
      <c r="M103">
        <f t="shared" ca="1" si="35"/>
        <v>156.39027087982305</v>
      </c>
      <c r="N103">
        <f t="shared" ca="1" si="24"/>
        <v>1.289999999999992</v>
      </c>
      <c r="O103">
        <f t="shared" ca="1" si="25"/>
        <v>1.289999999999992</v>
      </c>
      <c r="P103">
        <f t="shared" ca="1" si="26"/>
        <v>0</v>
      </c>
      <c r="Q103">
        <f t="shared" ca="1" si="30"/>
        <v>0.57398062682953088</v>
      </c>
      <c r="R103">
        <f t="shared" ca="1" si="31"/>
        <v>0.69974628592727028</v>
      </c>
      <c r="S103">
        <f t="shared" ca="1" si="28"/>
        <v>0.82026962968287742</v>
      </c>
      <c r="T103">
        <f t="shared" ca="1" si="29"/>
        <v>45.063083858943614</v>
      </c>
      <c r="U103">
        <f>70</f>
        <v>70</v>
      </c>
      <c r="V103">
        <f>30</f>
        <v>30</v>
      </c>
      <c r="W103">
        <f t="shared" ca="1" si="27"/>
        <v>160.12315320920547</v>
      </c>
      <c r="X103">
        <f t="shared" ca="1" si="37"/>
        <v>160.68818001027961</v>
      </c>
      <c r="Y103">
        <f t="shared" ca="1" si="36"/>
        <v>-0.78029059887992958</v>
      </c>
      <c r="Z103">
        <f t="shared" ca="1" si="38"/>
        <v>1.190144282952782E-2</v>
      </c>
      <c r="AA103">
        <f t="shared" ca="1" si="39"/>
        <v>-0.79219204170945745</v>
      </c>
      <c r="AB103">
        <f t="shared" ca="1" si="40"/>
        <v>155.13230000000004</v>
      </c>
    </row>
    <row r="104" spans="1:28" x14ac:dyDescent="0.25">
      <c r="A104" s="20">
        <f t="shared" ca="1" si="20"/>
        <v>45439</v>
      </c>
      <c r="B104" vm="301">
        <f ca="1"/>
        <v>45441</v>
      </c>
      <c r="C104" vm="302">
        <f ca="1"/>
        <v>156.9</v>
      </c>
      <c r="D104" vm="303">
        <f ca="1"/>
        <v>5909632</v>
      </c>
      <c r="E104">
        <f t="shared" ca="1" si="21"/>
        <v>927221260.80000007</v>
      </c>
      <c r="F104">
        <f ca="1">SUM($E$2:E104)/SUM($D$2:D104)</f>
        <v>154.45752437550587</v>
      </c>
      <c r="G104">
        <f ca="1">_xlfn.STDEV.P($C$2:C104)</f>
        <v>6.1787691552692658</v>
      </c>
      <c r="H104">
        <f t="shared" ca="1" si="22"/>
        <v>160.63629353077513</v>
      </c>
      <c r="I104">
        <f t="shared" ca="1" si="23"/>
        <v>148.2787552202366</v>
      </c>
      <c r="J104">
        <f t="shared" ca="1" si="32"/>
        <v>161.18249999999998</v>
      </c>
      <c r="K104">
        <f t="shared" ca="1" si="33"/>
        <v>2.7003623051263634</v>
      </c>
      <c r="L104">
        <f t="shared" ca="1" si="34"/>
        <v>166.5832246102527</v>
      </c>
      <c r="M104">
        <f t="shared" ca="1" si="35"/>
        <v>155.78177538974725</v>
      </c>
      <c r="N104">
        <f t="shared" ca="1" si="24"/>
        <v>-2.1399999999999864</v>
      </c>
      <c r="O104">
        <f t="shared" ca="1" si="25"/>
        <v>0</v>
      </c>
      <c r="P104">
        <f t="shared" ca="1" si="26"/>
        <v>2.1399999999999864</v>
      </c>
      <c r="Q104">
        <f t="shared" ca="1" si="30"/>
        <v>0.53298201062742157</v>
      </c>
      <c r="R104">
        <f t="shared" ca="1" si="31"/>
        <v>0.80262155121817857</v>
      </c>
      <c r="S104">
        <f t="shared" ca="1" si="28"/>
        <v>0.66405145715124181</v>
      </c>
      <c r="T104">
        <f t="shared" ca="1" si="29"/>
        <v>39.905704495945031</v>
      </c>
      <c r="U104">
        <f>70</f>
        <v>70</v>
      </c>
      <c r="V104">
        <f>30</f>
        <v>30</v>
      </c>
      <c r="W104">
        <f t="shared" ca="1" si="27"/>
        <v>159.62728348471231</v>
      </c>
      <c r="X104">
        <f t="shared" ca="1" si="37"/>
        <v>160.40757408359224</v>
      </c>
      <c r="Y104">
        <f t="shared" ca="1" si="36"/>
        <v>-0.83156234247269367</v>
      </c>
      <c r="Z104">
        <f t="shared" ca="1" si="38"/>
        <v>-0.15679131423091647</v>
      </c>
      <c r="AA104">
        <f t="shared" ca="1" si="39"/>
        <v>-0.67477102824177715</v>
      </c>
      <c r="AB104">
        <f t="shared" ca="1" si="40"/>
        <v>155.19470000000001</v>
      </c>
    </row>
    <row r="105" spans="1:28" x14ac:dyDescent="0.25">
      <c r="A105" s="20">
        <f t="shared" ca="1" si="20"/>
        <v>45439</v>
      </c>
      <c r="B105" vm="304">
        <f ca="1"/>
        <v>45442</v>
      </c>
      <c r="C105" vm="305">
        <f ca="1"/>
        <v>158.26</v>
      </c>
      <c r="D105" vm="306">
        <f ca="1"/>
        <v>6371243</v>
      </c>
      <c r="E105">
        <f t="shared" ca="1" si="21"/>
        <v>1008312917.1799999</v>
      </c>
      <c r="F105">
        <f ca="1">SUM($E$2:E105)/SUM($D$2:D105)</f>
        <v>154.48631351431618</v>
      </c>
      <c r="G105">
        <f ca="1">_xlfn.STDEV.P($C$2:C105)</f>
        <v>6.1568795288314959</v>
      </c>
      <c r="H105">
        <f t="shared" ca="1" si="22"/>
        <v>160.64319304314768</v>
      </c>
      <c r="I105">
        <f t="shared" ca="1" si="23"/>
        <v>148.32943398548468</v>
      </c>
      <c r="J105">
        <f t="shared" ca="1" si="32"/>
        <v>161.11399999999998</v>
      </c>
      <c r="K105">
        <f t="shared" ca="1" si="33"/>
        <v>2.758566370608587</v>
      </c>
      <c r="L105">
        <f t="shared" ca="1" si="34"/>
        <v>166.63113274121716</v>
      </c>
      <c r="M105">
        <f t="shared" ca="1" si="35"/>
        <v>155.59686725878279</v>
      </c>
      <c r="N105">
        <f t="shared" ca="1" si="24"/>
        <v>1.3599999999999852</v>
      </c>
      <c r="O105">
        <f t="shared" ca="1" si="25"/>
        <v>1.3599999999999852</v>
      </c>
      <c r="P105">
        <f t="shared" ca="1" si="26"/>
        <v>0</v>
      </c>
      <c r="Q105">
        <f t="shared" ca="1" si="30"/>
        <v>0.59205472415403315</v>
      </c>
      <c r="R105">
        <f t="shared" ca="1" si="31"/>
        <v>0.74529144041688011</v>
      </c>
      <c r="S105">
        <f t="shared" ca="1" si="28"/>
        <v>0.79439356478167289</v>
      </c>
      <c r="T105">
        <f t="shared" ca="1" si="29"/>
        <v>44.270865677024887</v>
      </c>
      <c r="U105">
        <f>70</f>
        <v>70</v>
      </c>
      <c r="V105">
        <f>30</f>
        <v>30</v>
      </c>
      <c r="W105">
        <f t="shared" ca="1" si="27"/>
        <v>159.41693217937197</v>
      </c>
      <c r="X105">
        <f t="shared" ca="1" si="37"/>
        <v>160.24849452184466</v>
      </c>
      <c r="Y105">
        <f t="shared" ca="1" si="36"/>
        <v>-0.53997681574369949</v>
      </c>
      <c r="Z105">
        <f t="shared" ca="1" si="38"/>
        <v>-0.23342841453347307</v>
      </c>
      <c r="AA105">
        <f t="shared" ca="1" si="39"/>
        <v>-0.30654840121022642</v>
      </c>
      <c r="AB105">
        <f t="shared" ca="1" si="40"/>
        <v>155.27330000000001</v>
      </c>
    </row>
    <row r="106" spans="1:28" x14ac:dyDescent="0.25">
      <c r="A106" s="20">
        <f t="shared" ca="1" si="20"/>
        <v>45439</v>
      </c>
      <c r="B106" vm="307">
        <f ca="1"/>
        <v>45443</v>
      </c>
      <c r="C106" vm="257">
        <f ca="1"/>
        <v>162.30000000000001</v>
      </c>
      <c r="D106" vm="308">
        <f ca="1"/>
        <v>10334227</v>
      </c>
      <c r="E106">
        <f t="shared" ca="1" si="21"/>
        <v>1677245042.1000001</v>
      </c>
      <c r="F106">
        <f ca="1">SUM($E$2:E106)/SUM($D$2:D106)</f>
        <v>154.58110540227574</v>
      </c>
      <c r="G106">
        <f ca="1">_xlfn.STDEV.P($C$2:C106)</f>
        <v>6.1672861464908859</v>
      </c>
      <c r="H106">
        <f t="shared" ca="1" si="22"/>
        <v>160.74839154876662</v>
      </c>
      <c r="I106">
        <f t="shared" ca="1" si="23"/>
        <v>148.41381925578486</v>
      </c>
      <c r="J106">
        <f t="shared" ca="1" si="32"/>
        <v>161.19250000000002</v>
      </c>
      <c r="K106">
        <f t="shared" ca="1" si="33"/>
        <v>2.7693812248264145</v>
      </c>
      <c r="L106">
        <f t="shared" ca="1" si="34"/>
        <v>166.73126244965286</v>
      </c>
      <c r="M106">
        <f t="shared" ca="1" si="35"/>
        <v>155.65373755034719</v>
      </c>
      <c r="N106">
        <f t="shared" ca="1" si="24"/>
        <v>4.0400000000000205</v>
      </c>
      <c r="O106">
        <f t="shared" ca="1" si="25"/>
        <v>4.0400000000000205</v>
      </c>
      <c r="P106">
        <f t="shared" ca="1" si="26"/>
        <v>0</v>
      </c>
      <c r="Q106">
        <f t="shared" ca="1" si="30"/>
        <v>0.83833652957160365</v>
      </c>
      <c r="R106">
        <f t="shared" ca="1" si="31"/>
        <v>0.6920563375299601</v>
      </c>
      <c r="S106">
        <f t="shared" ca="1" si="28"/>
        <v>1.2113703525405703</v>
      </c>
      <c r="T106">
        <f t="shared" ca="1" si="29"/>
        <v>54.779171256812191</v>
      </c>
      <c r="U106">
        <f>70</f>
        <v>70</v>
      </c>
      <c r="V106">
        <f>30</f>
        <v>30</v>
      </c>
      <c r="W106">
        <f t="shared" ca="1" si="27"/>
        <v>159.8604810748532</v>
      </c>
      <c r="X106">
        <f t="shared" ca="1" si="37"/>
        <v>160.4004578905969</v>
      </c>
      <c r="Y106">
        <f t="shared" ca="1" si="36"/>
        <v>-0.69146990089055294</v>
      </c>
      <c r="Z106">
        <f t="shared" ca="1" si="38"/>
        <v>-0.32503671180488902</v>
      </c>
      <c r="AA106">
        <f t="shared" ca="1" si="39"/>
        <v>-0.36643318908566391</v>
      </c>
      <c r="AB106">
        <f t="shared" ca="1" si="40"/>
        <v>155.40130000000002</v>
      </c>
    </row>
    <row r="107" spans="1:28" x14ac:dyDescent="0.25">
      <c r="A107" s="20">
        <f t="shared" ca="1" si="20"/>
        <v>45446</v>
      </c>
      <c r="B107" vm="309">
        <f ca="1"/>
        <v>45446</v>
      </c>
      <c r="C107" vm="310">
        <f ca="1"/>
        <v>157.46</v>
      </c>
      <c r="D107" vm="311">
        <f ca="1"/>
        <v>9009935</v>
      </c>
      <c r="E107">
        <f t="shared" ca="1" si="21"/>
        <v>1418704365.1000001</v>
      </c>
      <c r="F107">
        <f ca="1">SUM($E$2:E107)/SUM($D$2:D107)</f>
        <v>154.6112365202261</v>
      </c>
      <c r="G107">
        <f ca="1">_xlfn.STDEV.P($C$2:C107)</f>
        <v>6.1421284909573819</v>
      </c>
      <c r="H107">
        <f t="shared" ca="1" si="22"/>
        <v>160.75336501118349</v>
      </c>
      <c r="I107">
        <f t="shared" ca="1" si="23"/>
        <v>148.46910802926871</v>
      </c>
      <c r="J107">
        <f t="shared" ca="1" si="32"/>
        <v>161.05300000000003</v>
      </c>
      <c r="K107">
        <f t="shared" ca="1" si="33"/>
        <v>2.8871222240913359</v>
      </c>
      <c r="L107">
        <f t="shared" ca="1" si="34"/>
        <v>166.82724444818271</v>
      </c>
      <c r="M107">
        <f t="shared" ca="1" si="35"/>
        <v>155.27875555181734</v>
      </c>
      <c r="N107">
        <f t="shared" ca="1" si="24"/>
        <v>-4.8400000000000034</v>
      </c>
      <c r="O107">
        <f t="shared" ca="1" si="25"/>
        <v>0</v>
      </c>
      <c r="P107">
        <f t="shared" ca="1" si="26"/>
        <v>4.8400000000000034</v>
      </c>
      <c r="Q107">
        <f t="shared" ca="1" si="30"/>
        <v>0.77845534888791768</v>
      </c>
      <c r="R107">
        <f t="shared" ca="1" si="31"/>
        <v>0.98833802770639179</v>
      </c>
      <c r="S107">
        <f t="shared" ca="1" si="28"/>
        <v>0.7876407940049186</v>
      </c>
      <c r="T107">
        <f t="shared" ca="1" si="29"/>
        <v>44.060350191513443</v>
      </c>
      <c r="U107">
        <f>70</f>
        <v>70</v>
      </c>
      <c r="V107">
        <f>30</f>
        <v>30</v>
      </c>
      <c r="W107">
        <f t="shared" ca="1" si="27"/>
        <v>159.49117629410657</v>
      </c>
      <c r="X107">
        <f t="shared" ca="1" si="37"/>
        <v>160.18264619499712</v>
      </c>
      <c r="Y107">
        <f t="shared" ca="1" si="36"/>
        <v>-0.90837793169347947</v>
      </c>
      <c r="Z107">
        <f t="shared" ca="1" si="38"/>
        <v>-0.44170495578260716</v>
      </c>
      <c r="AA107">
        <f t="shared" ca="1" si="39"/>
        <v>-0.46667297591087231</v>
      </c>
      <c r="AB107">
        <f t="shared" ca="1" si="40"/>
        <v>155.5189</v>
      </c>
    </row>
    <row r="108" spans="1:28" x14ac:dyDescent="0.25">
      <c r="A108" s="20">
        <f t="shared" ca="1" si="20"/>
        <v>45446</v>
      </c>
      <c r="B108" vm="312">
        <f ca="1"/>
        <v>45447</v>
      </c>
      <c r="C108" vm="313">
        <f ca="1"/>
        <v>156.13</v>
      </c>
      <c r="D108" vm="314">
        <f ca="1"/>
        <v>6360542</v>
      </c>
      <c r="E108">
        <f t="shared" ca="1" si="21"/>
        <v>993071422.45999992</v>
      </c>
      <c r="F108">
        <f ca="1">SUM($E$2:E108)/SUM($D$2:D108)</f>
        <v>154.62237574744384</v>
      </c>
      <c r="G108">
        <f ca="1">_xlfn.STDEV.P($C$2:C108)</f>
        <v>6.1140310531108151</v>
      </c>
      <c r="H108">
        <f t="shared" ca="1" si="22"/>
        <v>160.73640680055465</v>
      </c>
      <c r="I108">
        <f t="shared" ca="1" si="23"/>
        <v>148.50834469433303</v>
      </c>
      <c r="J108">
        <f t="shared" ca="1" si="32"/>
        <v>160.74450000000002</v>
      </c>
      <c r="K108">
        <f t="shared" ca="1" si="33"/>
        <v>3.0706719220117891</v>
      </c>
      <c r="L108">
        <f t="shared" ca="1" si="34"/>
        <v>166.88584384402358</v>
      </c>
      <c r="M108">
        <f t="shared" ca="1" si="35"/>
        <v>154.60315615597645</v>
      </c>
      <c r="N108">
        <f t="shared" ca="1" si="24"/>
        <v>-1.3300000000000125</v>
      </c>
      <c r="O108">
        <f t="shared" ca="1" si="25"/>
        <v>0</v>
      </c>
      <c r="P108">
        <f t="shared" ca="1" si="26"/>
        <v>1.3300000000000125</v>
      </c>
      <c r="Q108">
        <f t="shared" ca="1" si="30"/>
        <v>0.72285139539592358</v>
      </c>
      <c r="R108">
        <f t="shared" ca="1" si="31"/>
        <v>1.0127424542987933</v>
      </c>
      <c r="S108">
        <f t="shared" ca="1" si="28"/>
        <v>0.71375638725090707</v>
      </c>
      <c r="T108">
        <f t="shared" ca="1" si="29"/>
        <v>41.648649280652258</v>
      </c>
      <c r="U108">
        <f>70</f>
        <v>70</v>
      </c>
      <c r="V108">
        <f>30</f>
        <v>30</v>
      </c>
      <c r="W108">
        <f t="shared" ca="1" si="27"/>
        <v>158.97407224885941</v>
      </c>
      <c r="X108">
        <f t="shared" ca="1" si="37"/>
        <v>159.88245018055289</v>
      </c>
      <c r="Y108">
        <f t="shared" ca="1" si="36"/>
        <v>-1.1597061275454053</v>
      </c>
      <c r="Z108">
        <f t="shared" ca="1" si="38"/>
        <v>-0.5853051901351668</v>
      </c>
      <c r="AA108">
        <f t="shared" ca="1" si="39"/>
        <v>-0.57440093741023845</v>
      </c>
      <c r="AB108">
        <f t="shared" ca="1" si="40"/>
        <v>155.6352</v>
      </c>
    </row>
    <row r="109" spans="1:28" x14ac:dyDescent="0.25">
      <c r="A109" s="20">
        <f t="shared" ca="1" si="20"/>
        <v>45446</v>
      </c>
      <c r="B109" vm="315">
        <f ca="1"/>
        <v>45448</v>
      </c>
      <c r="C109" vm="316">
        <f ca="1"/>
        <v>154.97999999999999</v>
      </c>
      <c r="D109" vm="317">
        <f ca="1"/>
        <v>7058506</v>
      </c>
      <c r="E109">
        <f t="shared" ca="1" si="21"/>
        <v>1093927259.8799999</v>
      </c>
      <c r="F109">
        <f ca="1">SUM($E$2:E109)/SUM($D$2:D109)</f>
        <v>154.62526303491873</v>
      </c>
      <c r="G109">
        <f ca="1">_xlfn.STDEV.P($C$2:C109)</f>
        <v>6.0856950507469447</v>
      </c>
      <c r="H109">
        <f t="shared" ca="1" si="22"/>
        <v>160.71095808566568</v>
      </c>
      <c r="I109">
        <f t="shared" ca="1" si="23"/>
        <v>148.53956798417178</v>
      </c>
      <c r="J109">
        <f t="shared" ca="1" si="32"/>
        <v>160.36000000000001</v>
      </c>
      <c r="K109">
        <f t="shared" ca="1" si="33"/>
        <v>3.290469491377213</v>
      </c>
      <c r="L109">
        <f t="shared" ca="1" si="34"/>
        <v>166.94093898275443</v>
      </c>
      <c r="M109">
        <f t="shared" ca="1" si="35"/>
        <v>153.7790610172456</v>
      </c>
      <c r="N109">
        <f t="shared" ca="1" si="24"/>
        <v>-1.1500000000000057</v>
      </c>
      <c r="O109">
        <f t="shared" ca="1" si="25"/>
        <v>0</v>
      </c>
      <c r="P109">
        <f t="shared" ca="1" si="26"/>
        <v>1.1500000000000057</v>
      </c>
      <c r="Q109">
        <f t="shared" ca="1" si="30"/>
        <v>0.67121915286764333</v>
      </c>
      <c r="R109">
        <f t="shared" ca="1" si="31"/>
        <v>1.0225465647060228</v>
      </c>
      <c r="S109">
        <f t="shared" ca="1" si="28"/>
        <v>0.65641915589498423</v>
      </c>
      <c r="T109">
        <f t="shared" ca="1" si="29"/>
        <v>39.628807331699363</v>
      </c>
      <c r="U109">
        <f>70</f>
        <v>70</v>
      </c>
      <c r="V109">
        <f>30</f>
        <v>30</v>
      </c>
      <c r="W109">
        <f t="shared" ca="1" si="27"/>
        <v>158.35959959518874</v>
      </c>
      <c r="X109">
        <f t="shared" ca="1" si="37"/>
        <v>159.51930572273415</v>
      </c>
      <c r="Y109">
        <f t="shared" ca="1" si="36"/>
        <v>-1.2676161826710484</v>
      </c>
      <c r="Z109">
        <f t="shared" ca="1" si="38"/>
        <v>-0.72176738864234313</v>
      </c>
      <c r="AA109">
        <f t="shared" ca="1" si="39"/>
        <v>-0.54584879402870523</v>
      </c>
      <c r="AB109">
        <f t="shared" ca="1" si="40"/>
        <v>155.73220000000001</v>
      </c>
    </row>
    <row r="110" spans="1:28" x14ac:dyDescent="0.25">
      <c r="A110" s="20">
        <f t="shared" ca="1" si="20"/>
        <v>45446</v>
      </c>
      <c r="B110" vm="318">
        <f ca="1"/>
        <v>45449</v>
      </c>
      <c r="C110" vm="319">
        <f ca="1"/>
        <v>155.93</v>
      </c>
      <c r="D110" vm="320">
        <f ca="1"/>
        <v>5215140</v>
      </c>
      <c r="E110">
        <f t="shared" ca="1" si="21"/>
        <v>813196780.20000005</v>
      </c>
      <c r="F110">
        <f ca="1">SUM($E$2:E110)/SUM($D$2:D110)</f>
        <v>154.63299974474739</v>
      </c>
      <c r="G110">
        <f ca="1">_xlfn.STDEV.P($C$2:C110)</f>
        <v>6.0581199077573782</v>
      </c>
      <c r="H110">
        <f t="shared" ca="1" si="22"/>
        <v>160.69111965250477</v>
      </c>
      <c r="I110">
        <f t="shared" ca="1" si="23"/>
        <v>148.57487983699002</v>
      </c>
      <c r="J110">
        <f t="shared" ca="1" si="32"/>
        <v>160.02950000000001</v>
      </c>
      <c r="K110">
        <f t="shared" ca="1" si="33"/>
        <v>3.3904237819264771</v>
      </c>
      <c r="L110">
        <f t="shared" ca="1" si="34"/>
        <v>166.81034756385296</v>
      </c>
      <c r="M110">
        <f t="shared" ca="1" si="35"/>
        <v>153.24865243614707</v>
      </c>
      <c r="N110">
        <f t="shared" ca="1" si="24"/>
        <v>0.95000000000001705</v>
      </c>
      <c r="O110">
        <f t="shared" ca="1" si="25"/>
        <v>0.95000000000001705</v>
      </c>
      <c r="P110">
        <f t="shared" ca="1" si="26"/>
        <v>0</v>
      </c>
      <c r="Q110">
        <f t="shared" ca="1" si="30"/>
        <v>0.69113207051995573</v>
      </c>
      <c r="R110">
        <f t="shared" ca="1" si="31"/>
        <v>0.9495075243698784</v>
      </c>
      <c r="S110">
        <f t="shared" ca="1" si="28"/>
        <v>0.72788477477164981</v>
      </c>
      <c r="T110">
        <f t="shared" ca="1" si="29"/>
        <v>42.12577050271446</v>
      </c>
      <c r="U110">
        <f>70</f>
        <v>70</v>
      </c>
      <c r="V110">
        <f>30</f>
        <v>30</v>
      </c>
      <c r="W110">
        <f t="shared" ca="1" si="27"/>
        <v>157.98581504208278</v>
      </c>
      <c r="X110">
        <f t="shared" ca="1" si="37"/>
        <v>159.25343122475383</v>
      </c>
      <c r="Y110">
        <f t="shared" ca="1" si="36"/>
        <v>-1.3257495172262281</v>
      </c>
      <c r="Z110">
        <f t="shared" ca="1" si="38"/>
        <v>-0.84256381435912009</v>
      </c>
      <c r="AA110">
        <f t="shared" ca="1" si="39"/>
        <v>-0.48318570286710805</v>
      </c>
      <c r="AB110">
        <f t="shared" ca="1" si="40"/>
        <v>155.81879999999998</v>
      </c>
    </row>
    <row r="111" spans="1:28" x14ac:dyDescent="0.25">
      <c r="A111" s="20">
        <f t="shared" ca="1" si="20"/>
        <v>45446</v>
      </c>
      <c r="B111" vm="321">
        <f ca="1"/>
        <v>45450</v>
      </c>
      <c r="C111" vm="322">
        <f ca="1"/>
        <v>156.08000000000001</v>
      </c>
      <c r="D111" vm="323">
        <f ca="1"/>
        <v>5887651</v>
      </c>
      <c r="E111">
        <f t="shared" ca="1" si="21"/>
        <v>918944568.08000004</v>
      </c>
      <c r="F111">
        <f ca="1">SUM($E$2:E111)/SUM($D$2:D111)</f>
        <v>154.64262207810836</v>
      </c>
      <c r="G111">
        <f ca="1">_xlfn.STDEV.P($C$2:C111)</f>
        <v>6.0310960833783884</v>
      </c>
      <c r="H111">
        <f t="shared" ca="1" si="22"/>
        <v>160.67371816148676</v>
      </c>
      <c r="I111">
        <f t="shared" ca="1" si="23"/>
        <v>148.61152599472996</v>
      </c>
      <c r="J111">
        <f t="shared" ca="1" si="32"/>
        <v>159.56100000000001</v>
      </c>
      <c r="K111">
        <f t="shared" ca="1" si="33"/>
        <v>3.2463046197500516</v>
      </c>
      <c r="L111">
        <f t="shared" ca="1" si="34"/>
        <v>166.0536092395001</v>
      </c>
      <c r="M111">
        <f t="shared" ca="1" si="35"/>
        <v>153.06839076049991</v>
      </c>
      <c r="N111">
        <f t="shared" ca="1" si="24"/>
        <v>0.15000000000000568</v>
      </c>
      <c r="O111">
        <f t="shared" ca="1" si="25"/>
        <v>0.15000000000000568</v>
      </c>
      <c r="P111">
        <f t="shared" ca="1" si="26"/>
        <v>0</v>
      </c>
      <c r="Q111">
        <f t="shared" ca="1" si="30"/>
        <v>0.65247977976853078</v>
      </c>
      <c r="R111">
        <f t="shared" ca="1" si="31"/>
        <v>0.88168555834345852</v>
      </c>
      <c r="S111">
        <f t="shared" ca="1" si="28"/>
        <v>0.74003682332557708</v>
      </c>
      <c r="T111">
        <f t="shared" ca="1" si="29"/>
        <v>42.529951861088243</v>
      </c>
      <c r="U111">
        <f>70</f>
        <v>70</v>
      </c>
      <c r="V111">
        <f>30</f>
        <v>30</v>
      </c>
      <c r="W111">
        <f t="shared" ca="1" si="27"/>
        <v>157.69261272791621</v>
      </c>
      <c r="X111">
        <f t="shared" ca="1" si="37"/>
        <v>159.01836224514244</v>
      </c>
      <c r="Y111">
        <f t="shared" ca="1" si="36"/>
        <v>-1.3035377478067574</v>
      </c>
      <c r="Z111">
        <f t="shared" ca="1" si="38"/>
        <v>-0.93475860104864772</v>
      </c>
      <c r="AA111">
        <f t="shared" ca="1" si="39"/>
        <v>-0.36877914675810963</v>
      </c>
      <c r="AB111">
        <f t="shared" ca="1" si="40"/>
        <v>155.94269999999997</v>
      </c>
    </row>
    <row r="112" spans="1:28" x14ac:dyDescent="0.25">
      <c r="A112" s="20">
        <f t="shared" ca="1" si="20"/>
        <v>45453</v>
      </c>
      <c r="B112" vm="324">
        <f ca="1"/>
        <v>45453</v>
      </c>
      <c r="C112" vm="325">
        <f ca="1"/>
        <v>156.74</v>
      </c>
      <c r="D112" vm="326">
        <f ca="1"/>
        <v>7075943</v>
      </c>
      <c r="E112">
        <f t="shared" ca="1" si="21"/>
        <v>1109083305.8200002</v>
      </c>
      <c r="F112">
        <f ca="1">SUM($E$2:E112)/SUM($D$2:D112)</f>
        <v>154.65925136692707</v>
      </c>
      <c r="G112">
        <f ca="1">_xlfn.STDEV.P($C$2:C112)</f>
        <v>6.0056081587449084</v>
      </c>
      <c r="H112">
        <f t="shared" ca="1" si="22"/>
        <v>160.66485952567197</v>
      </c>
      <c r="I112">
        <f t="shared" ca="1" si="23"/>
        <v>148.65364320818216</v>
      </c>
      <c r="J112">
        <f t="shared" ca="1" si="32"/>
        <v>159.10700000000003</v>
      </c>
      <c r="K112">
        <f t="shared" ca="1" si="33"/>
        <v>2.9459340400662501</v>
      </c>
      <c r="L112">
        <f t="shared" ca="1" si="34"/>
        <v>164.99886808013252</v>
      </c>
      <c r="M112">
        <f t="shared" ca="1" si="35"/>
        <v>153.21513191986753</v>
      </c>
      <c r="N112">
        <f t="shared" ca="1" si="24"/>
        <v>0.65999999999999659</v>
      </c>
      <c r="O112">
        <f t="shared" ca="1" si="25"/>
        <v>0.65999999999999659</v>
      </c>
      <c r="P112">
        <f t="shared" ca="1" si="26"/>
        <v>0</v>
      </c>
      <c r="Q112">
        <f t="shared" ca="1" si="30"/>
        <v>0.65301693835649266</v>
      </c>
      <c r="R112">
        <f t="shared" ca="1" si="31"/>
        <v>0.81870801846178298</v>
      </c>
      <c r="S112">
        <f t="shared" ca="1" si="28"/>
        <v>0.79761883801187572</v>
      </c>
      <c r="T112">
        <f t="shared" ca="1" si="29"/>
        <v>44.370854440645687</v>
      </c>
      <c r="U112">
        <f>70</f>
        <v>70</v>
      </c>
      <c r="V112">
        <f>30</f>
        <v>30</v>
      </c>
      <c r="W112">
        <f t="shared" ca="1" si="27"/>
        <v>157.54605692362142</v>
      </c>
      <c r="X112">
        <f t="shared" ca="1" si="37"/>
        <v>158.84959467142818</v>
      </c>
      <c r="Y112">
        <f t="shared" ca="1" si="36"/>
        <v>-1.2912232532723351</v>
      </c>
      <c r="Z112">
        <f t="shared" ca="1" si="38"/>
        <v>-1.0060515314933853</v>
      </c>
      <c r="AA112">
        <f t="shared" ca="1" si="39"/>
        <v>-0.28517172177894978</v>
      </c>
      <c r="AB112">
        <f t="shared" ca="1" si="40"/>
        <v>156.07889999999998</v>
      </c>
    </row>
    <row r="113" spans="1:28" x14ac:dyDescent="0.25">
      <c r="A113" s="20">
        <f t="shared" ca="1" si="20"/>
        <v>45453</v>
      </c>
      <c r="B113" vm="327">
        <f ca="1"/>
        <v>45454</v>
      </c>
      <c r="C113" vm="328">
        <f ca="1"/>
        <v>156.49</v>
      </c>
      <c r="D113" vm="329">
        <f ca="1"/>
        <v>5132009</v>
      </c>
      <c r="E113">
        <f t="shared" ca="1" si="21"/>
        <v>803108088.41000009</v>
      </c>
      <c r="F113">
        <f ca="1">SUM($E$2:E113)/SUM($D$2:D113)</f>
        <v>154.66971876066489</v>
      </c>
      <c r="G113">
        <f ca="1">_xlfn.STDEV.P($C$2:C113)</f>
        <v>5.9799240014783326</v>
      </c>
      <c r="H113">
        <f t="shared" ca="1" si="22"/>
        <v>160.64964276214323</v>
      </c>
      <c r="I113">
        <f t="shared" ca="1" si="23"/>
        <v>148.68979475918655</v>
      </c>
      <c r="J113">
        <f t="shared" ca="1" si="32"/>
        <v>158.70499999999998</v>
      </c>
      <c r="K113">
        <f t="shared" ca="1" si="33"/>
        <v>2.7057414588436322</v>
      </c>
      <c r="L113">
        <f t="shared" ca="1" si="34"/>
        <v>164.11648291768725</v>
      </c>
      <c r="M113">
        <f t="shared" ca="1" si="35"/>
        <v>153.29351708231272</v>
      </c>
      <c r="N113">
        <f t="shared" ca="1" si="24"/>
        <v>-0.25</v>
      </c>
      <c r="O113">
        <f t="shared" ca="1" si="25"/>
        <v>0</v>
      </c>
      <c r="P113">
        <f t="shared" ca="1" si="26"/>
        <v>0.25</v>
      </c>
      <c r="Q113">
        <f t="shared" ca="1" si="30"/>
        <v>0.60637287133102891</v>
      </c>
      <c r="R113">
        <f t="shared" ca="1" si="31"/>
        <v>0.77808601714308423</v>
      </c>
      <c r="S113">
        <f t="shared" ca="1" si="28"/>
        <v>0.77931341518957209</v>
      </c>
      <c r="T113">
        <f t="shared" ca="1" si="29"/>
        <v>43.798546593127455</v>
      </c>
      <c r="U113">
        <f>70</f>
        <v>70</v>
      </c>
      <c r="V113">
        <f>30</f>
        <v>30</v>
      </c>
      <c r="W113">
        <f t="shared" ca="1" si="27"/>
        <v>157.38358662767968</v>
      </c>
      <c r="X113">
        <f t="shared" ca="1" si="37"/>
        <v>158.67480988095201</v>
      </c>
      <c r="Y113">
        <f t="shared" ca="1" si="36"/>
        <v>-1.4479429711924183</v>
      </c>
      <c r="Z113">
        <f t="shared" ca="1" si="38"/>
        <v>-1.0944298194331921</v>
      </c>
      <c r="AA113">
        <f t="shared" ca="1" si="39"/>
        <v>-0.35351315175922626</v>
      </c>
      <c r="AB113">
        <f t="shared" ca="1" si="40"/>
        <v>156.22559999999996</v>
      </c>
    </row>
    <row r="114" spans="1:28" x14ac:dyDescent="0.25">
      <c r="A114" s="20">
        <f t="shared" ca="1" si="20"/>
        <v>45453</v>
      </c>
      <c r="B114" vm="330">
        <f ca="1"/>
        <v>45455</v>
      </c>
      <c r="C114" vm="331">
        <f ca="1"/>
        <v>154.22</v>
      </c>
      <c r="D114" vm="332">
        <f ca="1"/>
        <v>10017421</v>
      </c>
      <c r="E114">
        <f t="shared" ca="1" si="21"/>
        <v>1544886666.6199999</v>
      </c>
      <c r="F114">
        <f ca="1">SUM($E$2:E114)/SUM($D$2:D114)</f>
        <v>154.66475513151201</v>
      </c>
      <c r="G114">
        <f ca="1">_xlfn.STDEV.P($C$2:C114)</f>
        <v>5.9541641020616725</v>
      </c>
      <c r="H114">
        <f t="shared" ca="1" si="22"/>
        <v>160.61891923357368</v>
      </c>
      <c r="I114">
        <f t="shared" ca="1" si="23"/>
        <v>148.71059102945034</v>
      </c>
      <c r="J114">
        <f t="shared" ca="1" si="32"/>
        <v>158.23549999999997</v>
      </c>
      <c r="K114">
        <f t="shared" ca="1" si="33"/>
        <v>2.6232492407217745</v>
      </c>
      <c r="L114">
        <f t="shared" ca="1" si="34"/>
        <v>163.48199848144353</v>
      </c>
      <c r="M114">
        <f t="shared" ca="1" si="35"/>
        <v>152.98900151855642</v>
      </c>
      <c r="N114">
        <f t="shared" ca="1" si="24"/>
        <v>-2.2700000000000102</v>
      </c>
      <c r="O114">
        <f t="shared" ca="1" si="25"/>
        <v>0</v>
      </c>
      <c r="P114">
        <f t="shared" ca="1" si="26"/>
        <v>2.2700000000000102</v>
      </c>
      <c r="Q114">
        <f t="shared" ca="1" si="30"/>
        <v>0.56306052337881252</v>
      </c>
      <c r="R114">
        <f t="shared" ca="1" si="31"/>
        <v>0.88465130163286465</v>
      </c>
      <c r="S114">
        <f t="shared" ca="1" si="28"/>
        <v>0.63647735818568418</v>
      </c>
      <c r="T114">
        <f t="shared" ca="1" si="29"/>
        <v>38.893135612418646</v>
      </c>
      <c r="U114">
        <f>70</f>
        <v>70</v>
      </c>
      <c r="V114">
        <f>30</f>
        <v>30</v>
      </c>
      <c r="W114">
        <f t="shared" ca="1" si="27"/>
        <v>156.89688099265203</v>
      </c>
      <c r="X114">
        <f t="shared" ca="1" si="37"/>
        <v>158.34482396384445</v>
      </c>
      <c r="Y114">
        <f t="shared" ca="1" si="36"/>
        <v>-1.6643137704609501</v>
      </c>
      <c r="Z114">
        <f t="shared" ca="1" si="38"/>
        <v>-1.2084066096387436</v>
      </c>
      <c r="AA114">
        <f t="shared" ca="1" si="39"/>
        <v>-0.4559071608222065</v>
      </c>
      <c r="AB114">
        <f t="shared" ca="1" si="40"/>
        <v>156.34539999999996</v>
      </c>
    </row>
    <row r="115" spans="1:28" x14ac:dyDescent="0.25">
      <c r="A115" s="20">
        <f t="shared" ca="1" si="20"/>
        <v>45453</v>
      </c>
      <c r="B115" vm="333">
        <f ca="1"/>
        <v>45456</v>
      </c>
      <c r="C115" vm="334">
        <f ca="1"/>
        <v>152.84</v>
      </c>
      <c r="D115" vm="335">
        <f ca="1"/>
        <v>6163015</v>
      </c>
      <c r="E115">
        <f t="shared" ca="1" si="21"/>
        <v>941955212.60000002</v>
      </c>
      <c r="F115">
        <f ca="1">SUM($E$2:E115)/SUM($D$2:D115)</f>
        <v>154.65244787801143</v>
      </c>
      <c r="G115">
        <f ca="1">_xlfn.STDEV.P($C$2:C115)</f>
        <v>5.9321652580759086</v>
      </c>
      <c r="H115">
        <f t="shared" ca="1" si="22"/>
        <v>160.58461313608734</v>
      </c>
      <c r="I115">
        <f t="shared" ca="1" si="23"/>
        <v>148.72028261993552</v>
      </c>
      <c r="J115">
        <f t="shared" ca="1" si="32"/>
        <v>157.72499999999997</v>
      </c>
      <c r="K115">
        <f t="shared" ca="1" si="33"/>
        <v>2.6304602358962903</v>
      </c>
      <c r="L115">
        <f t="shared" ca="1" si="34"/>
        <v>162.98592047179255</v>
      </c>
      <c r="M115">
        <f t="shared" ca="1" si="35"/>
        <v>152.46407952820738</v>
      </c>
      <c r="N115">
        <f t="shared" ca="1" si="24"/>
        <v>-1.3799999999999955</v>
      </c>
      <c r="O115">
        <f t="shared" ca="1" si="25"/>
        <v>0</v>
      </c>
      <c r="P115">
        <f t="shared" ca="1" si="26"/>
        <v>1.3799999999999955</v>
      </c>
      <c r="Q115">
        <f t="shared" ca="1" si="30"/>
        <v>0.52284191456604023</v>
      </c>
      <c r="R115">
        <f t="shared" ca="1" si="31"/>
        <v>0.92003335151623111</v>
      </c>
      <c r="S115">
        <f t="shared" ca="1" si="28"/>
        <v>0.56828582757830204</v>
      </c>
      <c r="T115">
        <f t="shared" ca="1" si="29"/>
        <v>36.236113187086005</v>
      </c>
      <c r="U115">
        <f>70</f>
        <v>70</v>
      </c>
      <c r="V115">
        <f>30</f>
        <v>30</v>
      </c>
      <c r="W115">
        <f t="shared" ca="1" si="27"/>
        <v>156.27274545532094</v>
      </c>
      <c r="X115">
        <f t="shared" ca="1" si="37"/>
        <v>157.93705922578189</v>
      </c>
      <c r="Y115">
        <f t="shared" ca="1" si="36"/>
        <v>-1.8364069747829035</v>
      </c>
      <c r="Z115">
        <f t="shared" ca="1" si="38"/>
        <v>-1.3340066826675756</v>
      </c>
      <c r="AA115">
        <f t="shared" ca="1" si="39"/>
        <v>-0.50240029211532788</v>
      </c>
      <c r="AB115">
        <f t="shared" ca="1" si="40"/>
        <v>156.44889999999995</v>
      </c>
    </row>
    <row r="116" spans="1:28" x14ac:dyDescent="0.25">
      <c r="A116" s="20">
        <f t="shared" ca="1" si="20"/>
        <v>45453</v>
      </c>
      <c r="B116" vm="336">
        <f ca="1"/>
        <v>45457</v>
      </c>
      <c r="C116" vm="337">
        <f ca="1"/>
        <v>152.57</v>
      </c>
      <c r="D116" vm="338">
        <f ca="1"/>
        <v>6159138</v>
      </c>
      <c r="E116">
        <f t="shared" ca="1" si="21"/>
        <v>939699684.65999997</v>
      </c>
      <c r="F116">
        <f ca="1">SUM($E$2:E116)/SUM($D$2:D116)</f>
        <v>154.63850540148619</v>
      </c>
      <c r="G116">
        <f ca="1">_xlfn.STDEV.P($C$2:C116)</f>
        <v>5.9113814313763546</v>
      </c>
      <c r="H116">
        <f t="shared" ca="1" si="22"/>
        <v>160.54988683286254</v>
      </c>
      <c r="I116">
        <f t="shared" ca="1" si="23"/>
        <v>148.72712397010983</v>
      </c>
      <c r="J116">
        <f t="shared" ca="1" si="32"/>
        <v>157.29899999999998</v>
      </c>
      <c r="K116">
        <f t="shared" ca="1" si="33"/>
        <v>2.7442608054667552</v>
      </c>
      <c r="L116">
        <f t="shared" ca="1" si="34"/>
        <v>162.78752161093348</v>
      </c>
      <c r="M116">
        <f t="shared" ca="1" si="35"/>
        <v>151.81047838906647</v>
      </c>
      <c r="N116">
        <f t="shared" ca="1" si="24"/>
        <v>-0.27000000000001023</v>
      </c>
      <c r="O116">
        <f t="shared" ca="1" si="25"/>
        <v>0</v>
      </c>
      <c r="P116">
        <f t="shared" ca="1" si="26"/>
        <v>0.27000000000001023</v>
      </c>
      <c r="Q116">
        <f t="shared" ca="1" si="30"/>
        <v>0.48549606352560876</v>
      </c>
      <c r="R116">
        <f t="shared" ca="1" si="31"/>
        <v>0.87360239783650095</v>
      </c>
      <c r="S116">
        <f t="shared" ca="1" si="28"/>
        <v>0.55574030557602905</v>
      </c>
      <c r="T116">
        <f t="shared" ca="1" si="29"/>
        <v>35.72191988496823</v>
      </c>
      <c r="U116">
        <f>70</f>
        <v>70</v>
      </c>
      <c r="V116">
        <f>30</f>
        <v>30</v>
      </c>
      <c r="W116">
        <f t="shared" ca="1" si="27"/>
        <v>155.70309230834849</v>
      </c>
      <c r="X116">
        <f t="shared" ca="1" si="37"/>
        <v>157.53949928313139</v>
      </c>
      <c r="Y116">
        <f t="shared" ca="1" si="36"/>
        <v>-1.9008514285988554</v>
      </c>
      <c r="Z116">
        <f t="shared" ca="1" si="38"/>
        <v>-1.4473756318538316</v>
      </c>
      <c r="AA116">
        <f t="shared" ca="1" si="39"/>
        <v>-0.45347579674502381</v>
      </c>
      <c r="AB116">
        <f t="shared" ca="1" si="40"/>
        <v>156.55369999999996</v>
      </c>
    </row>
    <row r="117" spans="1:28" x14ac:dyDescent="0.25">
      <c r="A117" s="20">
        <f t="shared" ca="1" si="20"/>
        <v>45460</v>
      </c>
      <c r="B117" vm="339">
        <f ca="1"/>
        <v>45460</v>
      </c>
      <c r="C117" vm="340">
        <f ca="1"/>
        <v>153.19</v>
      </c>
      <c r="D117" vm="341">
        <f ca="1"/>
        <v>6321386</v>
      </c>
      <c r="E117">
        <f t="shared" ca="1" si="21"/>
        <v>968373121.34000003</v>
      </c>
      <c r="F117">
        <f ca="1">SUM($E$2:E117)/SUM($D$2:D117)</f>
        <v>154.62861977532472</v>
      </c>
      <c r="G117">
        <f ca="1">_xlfn.STDEV.P($C$2:C117)</f>
        <v>5.888726590243202</v>
      </c>
      <c r="H117">
        <f t="shared" ca="1" si="22"/>
        <v>160.51734636556793</v>
      </c>
      <c r="I117">
        <f t="shared" ca="1" si="23"/>
        <v>148.73989318508151</v>
      </c>
      <c r="J117">
        <f t="shared" ca="1" si="32"/>
        <v>156.82499999999999</v>
      </c>
      <c r="K117">
        <f t="shared" ca="1" si="33"/>
        <v>2.5816263743698671</v>
      </c>
      <c r="L117">
        <f t="shared" ca="1" si="34"/>
        <v>161.98825274873971</v>
      </c>
      <c r="M117">
        <f t="shared" ca="1" si="35"/>
        <v>151.66174725126027</v>
      </c>
      <c r="N117">
        <f t="shared" ca="1" si="24"/>
        <v>0.62000000000000455</v>
      </c>
      <c r="O117">
        <f t="shared" ca="1" si="25"/>
        <v>0.62000000000000455</v>
      </c>
      <c r="P117">
        <f t="shared" ca="1" si="26"/>
        <v>0</v>
      </c>
      <c r="Q117">
        <f t="shared" ca="1" si="30"/>
        <v>0.49510348755949413</v>
      </c>
      <c r="R117">
        <f t="shared" ca="1" si="31"/>
        <v>0.81120222656246521</v>
      </c>
      <c r="S117">
        <f t="shared" ca="1" si="28"/>
        <v>0.61033299878568514</v>
      </c>
      <c r="T117">
        <f t="shared" ca="1" si="29"/>
        <v>37.90104278096041</v>
      </c>
      <c r="U117">
        <f>70</f>
        <v>70</v>
      </c>
      <c r="V117">
        <f>30</f>
        <v>30</v>
      </c>
      <c r="W117">
        <f t="shared" ca="1" si="27"/>
        <v>155.31646272244873</v>
      </c>
      <c r="X117">
        <f t="shared" ca="1" si="37"/>
        <v>157.21731415104759</v>
      </c>
      <c r="Y117">
        <f t="shared" ca="1" si="36"/>
        <v>-1.9185118818324725</v>
      </c>
      <c r="Z117">
        <f t="shared" ca="1" si="38"/>
        <v>-1.5416028818495597</v>
      </c>
      <c r="AA117">
        <f t="shared" ca="1" si="39"/>
        <v>-0.37690899998291272</v>
      </c>
      <c r="AB117">
        <f t="shared" ca="1" si="40"/>
        <v>156.63639999999995</v>
      </c>
    </row>
    <row r="118" spans="1:28" x14ac:dyDescent="0.25">
      <c r="A118" s="20">
        <f t="shared" ca="1" si="20"/>
        <v>45460</v>
      </c>
      <c r="B118" vm="342">
        <f ca="1"/>
        <v>45461</v>
      </c>
      <c r="C118" vm="343">
        <f ca="1"/>
        <v>153.33000000000001</v>
      </c>
      <c r="D118" vm="344">
        <f ca="1"/>
        <v>6942882</v>
      </c>
      <c r="E118">
        <f t="shared" ca="1" si="21"/>
        <v>1064552097.0600001</v>
      </c>
      <c r="F118">
        <f ca="1">SUM($E$2:E118)/SUM($D$2:D118)</f>
        <v>154.61895814639985</v>
      </c>
      <c r="G118">
        <f ca="1">_xlfn.STDEV.P($C$2:C118)</f>
        <v>5.8659395169768871</v>
      </c>
      <c r="H118">
        <f t="shared" ca="1" si="22"/>
        <v>160.48489766337673</v>
      </c>
      <c r="I118">
        <f t="shared" ca="1" si="23"/>
        <v>148.75301862942297</v>
      </c>
      <c r="J118">
        <f t="shared" ca="1" si="32"/>
        <v>156.43450000000001</v>
      </c>
      <c r="K118">
        <f t="shared" ca="1" si="33"/>
        <v>2.4833879129761005</v>
      </c>
      <c r="L118">
        <f t="shared" ca="1" si="34"/>
        <v>161.40127582595221</v>
      </c>
      <c r="M118">
        <f t="shared" ca="1" si="35"/>
        <v>151.46772417404782</v>
      </c>
      <c r="N118">
        <f t="shared" ca="1" si="24"/>
        <v>0.14000000000001478</v>
      </c>
      <c r="O118">
        <f t="shared" ca="1" si="25"/>
        <v>0.14000000000001478</v>
      </c>
      <c r="P118">
        <f t="shared" ca="1" si="26"/>
        <v>0</v>
      </c>
      <c r="Q118">
        <f t="shared" ca="1" si="30"/>
        <v>0.46973895273381705</v>
      </c>
      <c r="R118">
        <f t="shared" ca="1" si="31"/>
        <v>0.753259210379432</v>
      </c>
      <c r="S118">
        <f t="shared" ca="1" si="28"/>
        <v>0.62360864130317106</v>
      </c>
      <c r="T118">
        <f t="shared" ca="1" si="29"/>
        <v>38.408802801310458</v>
      </c>
      <c r="U118">
        <f>70</f>
        <v>70</v>
      </c>
      <c r="V118">
        <f>30</f>
        <v>30</v>
      </c>
      <c r="W118">
        <f t="shared" ca="1" si="27"/>
        <v>155.01085307284123</v>
      </c>
      <c r="X118">
        <f t="shared" ca="1" si="37"/>
        <v>156.9293649546737</v>
      </c>
      <c r="Y118">
        <f t="shared" ca="1" si="36"/>
        <v>-1.6464394519518351</v>
      </c>
      <c r="Z118">
        <f t="shared" ca="1" si="38"/>
        <v>-1.5625701958700149</v>
      </c>
      <c r="AA118">
        <f t="shared" ca="1" si="39"/>
        <v>-8.3869256081820165E-2</v>
      </c>
      <c r="AB118">
        <f t="shared" ca="1" si="40"/>
        <v>156.68399999999997</v>
      </c>
    </row>
    <row r="119" spans="1:28" x14ac:dyDescent="0.25">
      <c r="A119" s="20">
        <f t="shared" ca="1" si="20"/>
        <v>45460</v>
      </c>
      <c r="B119" vm="345">
        <f ca="1"/>
        <v>45463</v>
      </c>
      <c r="C119" vm="346">
        <f ca="1"/>
        <v>156.63999999999999</v>
      </c>
      <c r="D119" vm="347">
        <f ca="1"/>
        <v>8336031</v>
      </c>
      <c r="E119">
        <f t="shared" ca="1" si="21"/>
        <v>1305755895.8399999</v>
      </c>
      <c r="F119">
        <f ca="1">SUM($E$2:E119)/SUM($D$2:D119)</f>
        <v>154.63685187897144</v>
      </c>
      <c r="G119">
        <f ca="1">_xlfn.STDEV.P($C$2:C119)</f>
        <v>5.8426292765304213</v>
      </c>
      <c r="H119">
        <f t="shared" ca="1" si="22"/>
        <v>160.47948115550187</v>
      </c>
      <c r="I119">
        <f t="shared" ca="1" si="23"/>
        <v>148.79422260244101</v>
      </c>
      <c r="J119">
        <f t="shared" ca="1" si="32"/>
        <v>156.26799999999997</v>
      </c>
      <c r="K119">
        <f t="shared" ca="1" si="33"/>
        <v>2.3414471458570461</v>
      </c>
      <c r="L119">
        <f t="shared" ca="1" si="34"/>
        <v>160.95089429171406</v>
      </c>
      <c r="M119">
        <f t="shared" ca="1" si="35"/>
        <v>151.58510570828588</v>
      </c>
      <c r="N119">
        <f t="shared" ca="1" si="24"/>
        <v>3.3099999999999739</v>
      </c>
      <c r="O119">
        <f t="shared" ca="1" si="25"/>
        <v>3.3099999999999739</v>
      </c>
      <c r="P119">
        <f t="shared" ca="1" si="26"/>
        <v>0</v>
      </c>
      <c r="Q119">
        <f t="shared" ca="1" si="30"/>
        <v>0.67261474182425673</v>
      </c>
      <c r="R119">
        <f t="shared" ca="1" si="31"/>
        <v>0.69945498106661552</v>
      </c>
      <c r="S119">
        <f t="shared" ca="1" si="28"/>
        <v>0.96162692386373538</v>
      </c>
      <c r="T119">
        <f t="shared" ca="1" si="29"/>
        <v>49.021906875628453</v>
      </c>
      <c r="U119">
        <f>70</f>
        <v>70</v>
      </c>
      <c r="V119">
        <f>30</f>
        <v>30</v>
      </c>
      <c r="W119">
        <f t="shared" ca="1" si="27"/>
        <v>155.2614910616349</v>
      </c>
      <c r="X119">
        <f t="shared" ca="1" si="37"/>
        <v>156.90793051358673</v>
      </c>
      <c r="Y119">
        <f t="shared" ca="1" si="36"/>
        <v>-1.5230044775217095</v>
      </c>
      <c r="Z119">
        <f t="shared" ca="1" si="38"/>
        <v>-1.554657052200354</v>
      </c>
      <c r="AA119">
        <f t="shared" ca="1" si="39"/>
        <v>3.1652574678644463E-2</v>
      </c>
      <c r="AB119">
        <f t="shared" ca="1" si="40"/>
        <v>156.75899999999999</v>
      </c>
    </row>
    <row r="120" spans="1:28" x14ac:dyDescent="0.25">
      <c r="A120" s="20">
        <f t="shared" ca="1" si="20"/>
        <v>45460</v>
      </c>
      <c r="B120" vm="348">
        <f ca="1"/>
        <v>45464</v>
      </c>
      <c r="C120" vm="349">
        <f ca="1"/>
        <v>155.28</v>
      </c>
      <c r="D120" vm="350">
        <f ca="1"/>
        <v>21292090</v>
      </c>
      <c r="E120">
        <f t="shared" ca="1" si="21"/>
        <v>3306235735.1999998</v>
      </c>
      <c r="F120">
        <f ca="1">SUM($E$2:E120)/SUM($D$2:D120)</f>
        <v>154.65107463363256</v>
      </c>
      <c r="G120">
        <f ca="1">_xlfn.STDEV.P($C$2:C120)</f>
        <v>5.8180386170375096</v>
      </c>
      <c r="H120">
        <f t="shared" ca="1" si="22"/>
        <v>160.46911325067006</v>
      </c>
      <c r="I120">
        <f t="shared" ca="1" si="23"/>
        <v>148.83303601659506</v>
      </c>
      <c r="J120">
        <f t="shared" ca="1" si="32"/>
        <v>156.15350000000004</v>
      </c>
      <c r="K120">
        <f t="shared" ca="1" si="33"/>
        <v>2.330392501388193</v>
      </c>
      <c r="L120">
        <f t="shared" ca="1" si="34"/>
        <v>160.81428500277642</v>
      </c>
      <c r="M120">
        <f t="shared" ca="1" si="35"/>
        <v>151.49271499722366</v>
      </c>
      <c r="N120">
        <f t="shared" ca="1" si="24"/>
        <v>-1.3599999999999852</v>
      </c>
      <c r="O120">
        <f t="shared" ca="1" si="25"/>
        <v>0</v>
      </c>
      <c r="P120">
        <f t="shared" ca="1" si="26"/>
        <v>1.3599999999999852</v>
      </c>
      <c r="Q120">
        <f t="shared" ca="1" si="30"/>
        <v>0.62457083169395278</v>
      </c>
      <c r="R120">
        <f t="shared" ca="1" si="31"/>
        <v>0.74663676813328472</v>
      </c>
      <c r="S120">
        <f t="shared" ca="1" si="28"/>
        <v>0.83651228864000771</v>
      </c>
      <c r="T120">
        <f t="shared" ca="1" si="29"/>
        <v>45.548962226627417</v>
      </c>
      <c r="U120">
        <f>70</f>
        <v>70</v>
      </c>
      <c r="V120">
        <f>30</f>
        <v>30</v>
      </c>
      <c r="W120">
        <f t="shared" ca="1" si="27"/>
        <v>155.26433859061416</v>
      </c>
      <c r="X120">
        <f t="shared" ca="1" si="37"/>
        <v>156.78734306813587</v>
      </c>
      <c r="Y120">
        <f t="shared" ca="1" si="36"/>
        <v>-1.0874585063582458</v>
      </c>
      <c r="Z120">
        <f t="shared" ca="1" si="38"/>
        <v>-1.4612173430319326</v>
      </c>
      <c r="AA120">
        <f t="shared" ca="1" si="39"/>
        <v>0.37375883667368681</v>
      </c>
      <c r="AB120">
        <f t="shared" ca="1" si="40"/>
        <v>156.821</v>
      </c>
    </row>
    <row r="121" spans="1:28" x14ac:dyDescent="0.25">
      <c r="A121" s="20">
        <f t="shared" ca="1" si="20"/>
        <v>45467</v>
      </c>
      <c r="B121" vm="351">
        <f ca="1"/>
        <v>45467</v>
      </c>
      <c r="C121" vm="352">
        <f ca="1"/>
        <v>159.31</v>
      </c>
      <c r="D121" vm="353">
        <f ca="1"/>
        <v>7971620</v>
      </c>
      <c r="E121">
        <f t="shared" ca="1" si="21"/>
        <v>1269958782.2</v>
      </c>
      <c r="F121">
        <f ca="1">SUM($E$2:E121)/SUM($D$2:D121)</f>
        <v>154.68933118779594</v>
      </c>
      <c r="G121">
        <f ca="1">_xlfn.STDEV.P($C$2:C121)</f>
        <v>5.8059988368114199</v>
      </c>
      <c r="H121">
        <f t="shared" ca="1" si="22"/>
        <v>160.49533002460737</v>
      </c>
      <c r="I121">
        <f t="shared" ca="1" si="23"/>
        <v>148.88333235098452</v>
      </c>
      <c r="J121">
        <f t="shared" ca="1" si="32"/>
        <v>156.27200000000002</v>
      </c>
      <c r="K121">
        <f t="shared" ca="1" si="33"/>
        <v>2.4305936030438939</v>
      </c>
      <c r="L121">
        <f t="shared" ca="1" si="34"/>
        <v>161.1331872060878</v>
      </c>
      <c r="M121">
        <f t="shared" ca="1" si="35"/>
        <v>151.41081279391224</v>
      </c>
      <c r="N121">
        <f t="shared" ca="1" si="24"/>
        <v>4.0300000000000011</v>
      </c>
      <c r="O121">
        <f t="shared" ca="1" si="25"/>
        <v>4.0300000000000011</v>
      </c>
      <c r="P121">
        <f t="shared" ca="1" si="26"/>
        <v>0</v>
      </c>
      <c r="Q121">
        <f t="shared" ca="1" si="30"/>
        <v>0.86781577228724205</v>
      </c>
      <c r="R121">
        <f t="shared" ca="1" si="31"/>
        <v>0.6933055704094786</v>
      </c>
      <c r="S121">
        <f t="shared" ca="1" si="28"/>
        <v>1.2517074855964228</v>
      </c>
      <c r="T121">
        <f t="shared" ca="1" si="29"/>
        <v>55.589258089839134</v>
      </c>
      <c r="U121">
        <f>70</f>
        <v>70</v>
      </c>
      <c r="V121">
        <f>30</f>
        <v>30</v>
      </c>
      <c r="W121">
        <f t="shared" ca="1" si="27"/>
        <v>155.886748038212</v>
      </c>
      <c r="X121">
        <f t="shared" ca="1" si="37"/>
        <v>156.97420654457025</v>
      </c>
      <c r="Y121">
        <f t="shared" ca="1" si="36"/>
        <v>-0.80163236363634383</v>
      </c>
      <c r="Z121">
        <f t="shared" ca="1" si="38"/>
        <v>-1.3293003471528151</v>
      </c>
      <c r="AA121">
        <f t="shared" ca="1" si="39"/>
        <v>0.52766798351647126</v>
      </c>
      <c r="AB121">
        <f t="shared" ca="1" si="40"/>
        <v>156.91289999999998</v>
      </c>
    </row>
    <row r="122" spans="1:28" x14ac:dyDescent="0.25">
      <c r="A122" s="20">
        <f t="shared" ca="1" si="20"/>
        <v>45467</v>
      </c>
      <c r="B122" vm="354">
        <f ca="1"/>
        <v>45468</v>
      </c>
      <c r="C122" vm="355">
        <f ca="1"/>
        <v>158.46</v>
      </c>
      <c r="D122" vm="356">
        <f ca="1"/>
        <v>6056711</v>
      </c>
      <c r="E122">
        <f t="shared" ca="1" si="21"/>
        <v>959746425.06000006</v>
      </c>
      <c r="F122">
        <f ca="1">SUM($E$2:E122)/SUM($D$2:D122)</f>
        <v>154.71271027934554</v>
      </c>
      <c r="G122">
        <f ca="1">_xlfn.STDEV.P($C$2:C122)</f>
        <v>5.7894968868271954</v>
      </c>
      <c r="H122">
        <f t="shared" ca="1" si="22"/>
        <v>160.50220716617275</v>
      </c>
      <c r="I122">
        <f t="shared" ca="1" si="23"/>
        <v>148.92321339251833</v>
      </c>
      <c r="J122">
        <f t="shared" ca="1" si="32"/>
        <v>156.3075</v>
      </c>
      <c r="K122">
        <f t="shared" ca="1" si="33"/>
        <v>2.4583432054514844</v>
      </c>
      <c r="L122">
        <f t="shared" ca="1" si="34"/>
        <v>161.22418641090297</v>
      </c>
      <c r="M122">
        <f t="shared" ca="1" si="35"/>
        <v>151.39081358909704</v>
      </c>
      <c r="N122">
        <f t="shared" ca="1" si="24"/>
        <v>-0.84999999999999432</v>
      </c>
      <c r="O122">
        <f t="shared" ca="1" si="25"/>
        <v>0</v>
      </c>
      <c r="P122">
        <f t="shared" ca="1" si="26"/>
        <v>0.84999999999999432</v>
      </c>
      <c r="Q122">
        <f t="shared" ca="1" si="30"/>
        <v>0.80582893140958201</v>
      </c>
      <c r="R122">
        <f t="shared" ca="1" si="31"/>
        <v>0.7044980296659441</v>
      </c>
      <c r="S122">
        <f t="shared" ca="1" si="28"/>
        <v>1.1438341875727978</v>
      </c>
      <c r="T122">
        <f t="shared" ca="1" si="29"/>
        <v>53.35460149872047</v>
      </c>
      <c r="U122">
        <f>70</f>
        <v>70</v>
      </c>
      <c r="V122">
        <f>30</f>
        <v>30</v>
      </c>
      <c r="W122">
        <f t="shared" ca="1" si="27"/>
        <v>156.28263295541018</v>
      </c>
      <c r="X122">
        <f t="shared" ca="1" si="37"/>
        <v>157.08426531904652</v>
      </c>
      <c r="Y122">
        <f t="shared" ca="1" si="36"/>
        <v>-0.76878701120600113</v>
      </c>
      <c r="Z122">
        <f t="shared" ca="1" si="38"/>
        <v>-1.2171976799634523</v>
      </c>
      <c r="AA122">
        <f t="shared" ca="1" si="39"/>
        <v>0.44841066875745117</v>
      </c>
      <c r="AB122">
        <f t="shared" ca="1" si="40"/>
        <v>157.02319999999997</v>
      </c>
    </row>
    <row r="123" spans="1:28" x14ac:dyDescent="0.25">
      <c r="A123" s="20">
        <f t="shared" ca="1" si="20"/>
        <v>45467</v>
      </c>
      <c r="B123" vm="357">
        <f ca="1"/>
        <v>45469</v>
      </c>
      <c r="C123" vm="358">
        <f ca="1"/>
        <v>155.94999999999999</v>
      </c>
      <c r="D123" vm="359">
        <f ca="1"/>
        <v>8637756</v>
      </c>
      <c r="E123">
        <f t="shared" ca="1" si="21"/>
        <v>1347058048.1999998</v>
      </c>
      <c r="F123">
        <f ca="1">SUM($E$2:E123)/SUM($D$2:D123)</f>
        <v>154.72355507501175</v>
      </c>
      <c r="G123">
        <f ca="1">_xlfn.STDEV.P($C$2:C123)</f>
        <v>5.7660918000496979</v>
      </c>
      <c r="H123">
        <f t="shared" ca="1" si="22"/>
        <v>160.48964687506145</v>
      </c>
      <c r="I123">
        <f t="shared" ca="1" si="23"/>
        <v>148.95746327496204</v>
      </c>
      <c r="J123">
        <f t="shared" ca="1" si="32"/>
        <v>156.15299999999996</v>
      </c>
      <c r="K123">
        <f t="shared" ca="1" si="33"/>
        <v>2.3731992619335855</v>
      </c>
      <c r="L123">
        <f t="shared" ca="1" si="34"/>
        <v>160.89939852386715</v>
      </c>
      <c r="M123">
        <f t="shared" ca="1" si="35"/>
        <v>151.40660147613278</v>
      </c>
      <c r="N123">
        <f t="shared" ca="1" si="24"/>
        <v>-2.5100000000000193</v>
      </c>
      <c r="O123">
        <f t="shared" ca="1" si="25"/>
        <v>0</v>
      </c>
      <c r="P123">
        <f t="shared" ca="1" si="26"/>
        <v>2.5100000000000193</v>
      </c>
      <c r="Q123">
        <f t="shared" ca="1" si="30"/>
        <v>0.74826972202318331</v>
      </c>
      <c r="R123">
        <f t="shared" ca="1" si="31"/>
        <v>0.83346245611837799</v>
      </c>
      <c r="S123">
        <f t="shared" ca="1" si="28"/>
        <v>0.89778455709696103</v>
      </c>
      <c r="T123">
        <f t="shared" ca="1" si="29"/>
        <v>47.306979801242619</v>
      </c>
      <c r="U123">
        <f>70</f>
        <v>70</v>
      </c>
      <c r="V123">
        <f>30</f>
        <v>30</v>
      </c>
      <c r="W123">
        <f t="shared" ca="1" si="27"/>
        <v>156.23145865457784</v>
      </c>
      <c r="X123">
        <f t="shared" ca="1" si="37"/>
        <v>157.00024566578384</v>
      </c>
      <c r="Y123">
        <f t="shared" ca="1" si="36"/>
        <v>-0.70477669792060738</v>
      </c>
      <c r="Z123">
        <f t="shared" ca="1" si="38"/>
        <v>-1.1147134835548833</v>
      </c>
      <c r="AA123">
        <f t="shared" ca="1" si="39"/>
        <v>0.40993678563427594</v>
      </c>
      <c r="AB123">
        <f t="shared" ca="1" si="40"/>
        <v>157.10379999999995</v>
      </c>
    </row>
    <row r="124" spans="1:28" x14ac:dyDescent="0.25">
      <c r="A124" s="20">
        <f t="shared" ca="1" si="20"/>
        <v>45467</v>
      </c>
      <c r="B124" vm="360">
        <f ca="1"/>
        <v>45470</v>
      </c>
      <c r="C124" vm="361">
        <f ca="1"/>
        <v>156.32</v>
      </c>
      <c r="D124" vm="362">
        <f ca="1"/>
        <v>5568733</v>
      </c>
      <c r="E124">
        <f t="shared" ca="1" si="21"/>
        <v>870504342.55999994</v>
      </c>
      <c r="F124">
        <f ca="1">SUM($E$2:E124)/SUM($D$2:D124)</f>
        <v>154.73252548298044</v>
      </c>
      <c r="G124">
        <f ca="1">_xlfn.STDEV.P($C$2:C124)</f>
        <v>5.7434381920455131</v>
      </c>
      <c r="H124">
        <f t="shared" ca="1" si="22"/>
        <v>160.47596367502595</v>
      </c>
      <c r="I124">
        <f t="shared" ca="1" si="23"/>
        <v>148.98908729093492</v>
      </c>
      <c r="J124">
        <f t="shared" ca="1" si="32"/>
        <v>156.124</v>
      </c>
      <c r="K124">
        <f t="shared" ca="1" si="33"/>
        <v>2.3671266170301579</v>
      </c>
      <c r="L124">
        <f t="shared" ca="1" si="34"/>
        <v>160.8582532340603</v>
      </c>
      <c r="M124">
        <f t="shared" ca="1" si="35"/>
        <v>151.38974676593969</v>
      </c>
      <c r="N124">
        <f t="shared" ca="1" si="24"/>
        <v>0.37000000000000455</v>
      </c>
      <c r="O124">
        <f t="shared" ca="1" si="25"/>
        <v>0.37000000000000455</v>
      </c>
      <c r="P124">
        <f t="shared" ca="1" si="26"/>
        <v>0</v>
      </c>
      <c r="Q124">
        <f t="shared" ca="1" si="30"/>
        <v>0.72125045616438488</v>
      </c>
      <c r="R124">
        <f t="shared" ca="1" si="31"/>
        <v>0.77392942353849381</v>
      </c>
      <c r="S124">
        <f t="shared" ca="1" si="28"/>
        <v>0.93193311202298701</v>
      </c>
      <c r="T124">
        <f t="shared" ca="1" si="29"/>
        <v>48.238373586709272</v>
      </c>
      <c r="U124">
        <f>70</f>
        <v>70</v>
      </c>
      <c r="V124">
        <f>30</f>
        <v>30</v>
      </c>
      <c r="W124">
        <f t="shared" ca="1" si="27"/>
        <v>156.2450804000274</v>
      </c>
      <c r="X124">
        <f t="shared" ca="1" si="37"/>
        <v>156.94985709794801</v>
      </c>
      <c r="Y124">
        <f t="shared" ca="1" si="36"/>
        <v>-0.63861731631044449</v>
      </c>
      <c r="Z124">
        <f t="shared" ca="1" si="38"/>
        <v>-1.0194942501059956</v>
      </c>
      <c r="AA124">
        <f t="shared" ca="1" si="39"/>
        <v>0.3808769337955511</v>
      </c>
      <c r="AB124">
        <f t="shared" ca="1" si="40"/>
        <v>157.14459999999997</v>
      </c>
    </row>
    <row r="125" spans="1:28" x14ac:dyDescent="0.25">
      <c r="A125" s="20">
        <f t="shared" ca="1" si="20"/>
        <v>45467</v>
      </c>
      <c r="B125" vm="363">
        <f ca="1"/>
        <v>45471</v>
      </c>
      <c r="C125" vm="364">
        <f ca="1"/>
        <v>156.41999999999999</v>
      </c>
      <c r="D125" vm="365">
        <f ca="1"/>
        <v>11283390</v>
      </c>
      <c r="E125">
        <f t="shared" ca="1" si="21"/>
        <v>1764947863.8</v>
      </c>
      <c r="F125">
        <f ca="1">SUM($E$2:E125)/SUM($D$2:D125)</f>
        <v>154.75152147936353</v>
      </c>
      <c r="G125">
        <f ca="1">_xlfn.STDEV.P($C$2:C125)</f>
        <v>5.7212071486962826</v>
      </c>
      <c r="H125">
        <f t="shared" ca="1" si="22"/>
        <v>160.47272862805983</v>
      </c>
      <c r="I125">
        <f t="shared" ca="1" si="23"/>
        <v>149.03031433066724</v>
      </c>
      <c r="J125">
        <f t="shared" ca="1" si="32"/>
        <v>156.03199999999998</v>
      </c>
      <c r="K125">
        <f t="shared" ca="1" si="33"/>
        <v>2.3149209376063866</v>
      </c>
      <c r="L125">
        <f t="shared" ca="1" si="34"/>
        <v>160.66184187521276</v>
      </c>
      <c r="M125">
        <f t="shared" ca="1" si="35"/>
        <v>151.40215812478721</v>
      </c>
      <c r="N125">
        <f t="shared" ca="1" si="24"/>
        <v>9.9999999999994316E-2</v>
      </c>
      <c r="O125">
        <f t="shared" ca="1" si="25"/>
        <v>9.9999999999994316E-2</v>
      </c>
      <c r="P125">
        <f t="shared" ca="1" si="26"/>
        <v>0</v>
      </c>
      <c r="Q125">
        <f t="shared" ca="1" si="30"/>
        <v>0.67687542358121411</v>
      </c>
      <c r="R125">
        <f t="shared" ca="1" si="31"/>
        <v>0.71864875042860132</v>
      </c>
      <c r="S125">
        <f t="shared" ca="1" si="28"/>
        <v>0.94187240035904374</v>
      </c>
      <c r="T125">
        <f t="shared" ca="1" si="29"/>
        <v>48.503310525701671</v>
      </c>
      <c r="U125">
        <f>70</f>
        <v>70</v>
      </c>
      <c r="V125">
        <f>30</f>
        <v>30</v>
      </c>
      <c r="W125">
        <f t="shared" ca="1" si="27"/>
        <v>156.27199110771551</v>
      </c>
      <c r="X125">
        <f t="shared" ca="1" si="37"/>
        <v>156.91060842402595</v>
      </c>
      <c r="Y125">
        <f t="shared" ca="1" si="36"/>
        <v>-0.57152814477757374</v>
      </c>
      <c r="Z125">
        <f t="shared" ca="1" si="38"/>
        <v>-0.92990102904031124</v>
      </c>
      <c r="AA125">
        <f t="shared" ca="1" si="39"/>
        <v>0.3583728842627375</v>
      </c>
      <c r="AB125">
        <f t="shared" ca="1" si="40"/>
        <v>157.18549999999996</v>
      </c>
    </row>
    <row r="126" spans="1:28" x14ac:dyDescent="0.25">
      <c r="A126" s="20">
        <f t="shared" ca="1" si="20"/>
        <v>45474</v>
      </c>
      <c r="B126" vm="366">
        <f ca="1"/>
        <v>45474</v>
      </c>
      <c r="C126" vm="367">
        <f ca="1"/>
        <v>156.52000000000001</v>
      </c>
      <c r="D126" vm="368">
        <f ca="1"/>
        <v>5584116</v>
      </c>
      <c r="E126">
        <f t="shared" ca="1" si="21"/>
        <v>874025836.32000005</v>
      </c>
      <c r="F126">
        <f ca="1">SUM($E$2:E126)/SUM($D$2:D126)</f>
        <v>154.76131923717858</v>
      </c>
      <c r="G126">
        <f ca="1">_xlfn.STDEV.P($C$2:C126)</f>
        <v>5.6994016831242904</v>
      </c>
      <c r="H126">
        <f t="shared" ca="1" si="22"/>
        <v>160.46072092030286</v>
      </c>
      <c r="I126">
        <f t="shared" ca="1" si="23"/>
        <v>149.0619175540543</v>
      </c>
      <c r="J126">
        <f t="shared" ca="1" si="32"/>
        <v>155.74299999999999</v>
      </c>
      <c r="K126">
        <f t="shared" ca="1" si="33"/>
        <v>1.7932361220635973</v>
      </c>
      <c r="L126">
        <f t="shared" ca="1" si="34"/>
        <v>159.3294722441272</v>
      </c>
      <c r="M126">
        <f t="shared" ca="1" si="35"/>
        <v>152.15652775587279</v>
      </c>
      <c r="N126">
        <f t="shared" ca="1" si="24"/>
        <v>0.10000000000002274</v>
      </c>
      <c r="O126">
        <f t="shared" ca="1" si="25"/>
        <v>0.10000000000002274</v>
      </c>
      <c r="P126">
        <f t="shared" ca="1" si="26"/>
        <v>0</v>
      </c>
      <c r="Q126">
        <f t="shared" ca="1" si="30"/>
        <v>0.63567003618255757</v>
      </c>
      <c r="R126">
        <f t="shared" ca="1" si="31"/>
        <v>0.66731669682655836</v>
      </c>
      <c r="S126">
        <f t="shared" ca="1" si="28"/>
        <v>0.95257624933633867</v>
      </c>
      <c r="T126">
        <f t="shared" ca="1" si="29"/>
        <v>48.785610787804572</v>
      </c>
      <c r="U126">
        <f>70</f>
        <v>70</v>
      </c>
      <c r="V126">
        <f>30</f>
        <v>30</v>
      </c>
      <c r="W126">
        <f t="shared" ca="1" si="27"/>
        <v>156.31014632191312</v>
      </c>
      <c r="X126">
        <f t="shared" ca="1" si="37"/>
        <v>156.8816744666907</v>
      </c>
      <c r="Y126">
        <f t="shared" ca="1" si="36"/>
        <v>-0.49410468394953</v>
      </c>
      <c r="Z126">
        <f t="shared" ca="1" si="38"/>
        <v>-0.84274176002215506</v>
      </c>
      <c r="AA126">
        <f t="shared" ca="1" si="39"/>
        <v>0.34863707607262506</v>
      </c>
      <c r="AB126">
        <f t="shared" ca="1" si="40"/>
        <v>157.22719999999995</v>
      </c>
    </row>
    <row r="127" spans="1:28" x14ac:dyDescent="0.25">
      <c r="A127" s="20">
        <f t="shared" ca="1" si="20"/>
        <v>45474</v>
      </c>
      <c r="B127" vm="369">
        <f ca="1"/>
        <v>45475</v>
      </c>
      <c r="C127" vm="370">
        <f ca="1"/>
        <v>156.75</v>
      </c>
      <c r="D127" vm="371">
        <f ca="1"/>
        <v>7216801</v>
      </c>
      <c r="E127">
        <f t="shared" ca="1" si="21"/>
        <v>1131233556.75</v>
      </c>
      <c r="F127">
        <f ca="1">SUM($E$2:E127)/SUM($D$2:D127)</f>
        <v>154.7754571006422</v>
      </c>
      <c r="G127">
        <f ca="1">_xlfn.STDEV.P($C$2:C127)</f>
        <v>5.6782816787413122</v>
      </c>
      <c r="H127">
        <f t="shared" ca="1" si="22"/>
        <v>160.45373877938351</v>
      </c>
      <c r="I127">
        <f t="shared" ca="1" si="23"/>
        <v>149.09717542190089</v>
      </c>
      <c r="J127">
        <f t="shared" ca="1" si="32"/>
        <v>155.70750000000001</v>
      </c>
      <c r="K127">
        <f t="shared" ca="1" si="33"/>
        <v>1.7642498778741491</v>
      </c>
      <c r="L127">
        <f t="shared" ca="1" si="34"/>
        <v>159.23599975574831</v>
      </c>
      <c r="M127">
        <f t="shared" ca="1" si="35"/>
        <v>152.17900024425171</v>
      </c>
      <c r="N127">
        <f t="shared" ca="1" si="24"/>
        <v>0.22999999999998977</v>
      </c>
      <c r="O127">
        <f t="shared" ca="1" si="25"/>
        <v>0.22999999999998977</v>
      </c>
      <c r="P127">
        <f t="shared" ca="1" si="26"/>
        <v>0</v>
      </c>
      <c r="Q127">
        <f t="shared" ca="1" si="30"/>
        <v>0.60669360502665981</v>
      </c>
      <c r="R127">
        <f t="shared" ca="1" si="31"/>
        <v>0.61965121848180427</v>
      </c>
      <c r="S127">
        <f t="shared" ca="1" si="28"/>
        <v>0.97908885988009242</v>
      </c>
      <c r="T127">
        <f t="shared" ca="1" si="29"/>
        <v>49.471697796298685</v>
      </c>
      <c r="U127">
        <f>70</f>
        <v>70</v>
      </c>
      <c r="V127">
        <f>30</f>
        <v>30</v>
      </c>
      <c r="W127">
        <f t="shared" ca="1" si="27"/>
        <v>156.37781611854186</v>
      </c>
      <c r="X127">
        <f t="shared" ca="1" si="37"/>
        <v>156.87192080249139</v>
      </c>
      <c r="Y127">
        <f t="shared" ca="1" si="36"/>
        <v>-0.43100533789962014</v>
      </c>
      <c r="Z127">
        <f t="shared" ca="1" si="38"/>
        <v>-0.76039447559764817</v>
      </c>
      <c r="AA127">
        <f t="shared" ca="1" si="39"/>
        <v>0.32938913769802802</v>
      </c>
      <c r="AB127">
        <f t="shared" ca="1" si="40"/>
        <v>157.27339999999998</v>
      </c>
    </row>
    <row r="128" spans="1:28" x14ac:dyDescent="0.25">
      <c r="A128" s="20">
        <f t="shared" ca="1" si="20"/>
        <v>45474</v>
      </c>
      <c r="B128" vm="372">
        <f ca="1"/>
        <v>45476</v>
      </c>
      <c r="C128" vm="373">
        <f ca="1"/>
        <v>156.71</v>
      </c>
      <c r="D128" vm="374">
        <f ca="1"/>
        <v>3264196</v>
      </c>
      <c r="E128">
        <f t="shared" ca="1" si="21"/>
        <v>511532155.16000003</v>
      </c>
      <c r="F128">
        <f ca="1">SUM($E$2:E128)/SUM($D$2:D128)</f>
        <v>154.78165770947493</v>
      </c>
      <c r="G128">
        <f ca="1">_xlfn.STDEV.P($C$2:C128)</f>
        <v>5.6573125055249998</v>
      </c>
      <c r="H128">
        <f t="shared" ca="1" si="22"/>
        <v>160.43897021499993</v>
      </c>
      <c r="I128">
        <f t="shared" ca="1" si="23"/>
        <v>149.12434520394993</v>
      </c>
      <c r="J128">
        <f t="shared" ca="1" si="32"/>
        <v>155.73649999999998</v>
      </c>
      <c r="K128">
        <f t="shared" ca="1" si="33"/>
        <v>1.7762861167112285</v>
      </c>
      <c r="L128">
        <f t="shared" ca="1" si="34"/>
        <v>159.28907223342244</v>
      </c>
      <c r="M128">
        <f t="shared" ca="1" si="35"/>
        <v>152.18392776657751</v>
      </c>
      <c r="N128">
        <f t="shared" ca="1" si="24"/>
        <v>-3.9999999999992042E-2</v>
      </c>
      <c r="O128">
        <f t="shared" ca="1" si="25"/>
        <v>0</v>
      </c>
      <c r="P128">
        <f t="shared" ca="1" si="26"/>
        <v>3.9999999999992042E-2</v>
      </c>
      <c r="Q128">
        <f t="shared" ca="1" si="30"/>
        <v>0.56335834752475555</v>
      </c>
      <c r="R128">
        <f t="shared" ca="1" si="31"/>
        <v>0.57824756001881761</v>
      </c>
      <c r="S128">
        <f t="shared" ca="1" si="28"/>
        <v>0.97425114514347877</v>
      </c>
      <c r="T128">
        <f t="shared" ca="1" si="29"/>
        <v>49.347882995538292</v>
      </c>
      <c r="U128">
        <f>70</f>
        <v>70</v>
      </c>
      <c r="V128">
        <f>30</f>
        <v>30</v>
      </c>
      <c r="W128">
        <f t="shared" ca="1" si="27"/>
        <v>156.42892133107389</v>
      </c>
      <c r="X128">
        <f t="shared" ca="1" si="37"/>
        <v>156.85992666897351</v>
      </c>
      <c r="Y128">
        <f t="shared" ca="1" si="36"/>
        <v>-0.56810977802692264</v>
      </c>
      <c r="Z128">
        <f t="shared" ca="1" si="38"/>
        <v>-0.7219375360835032</v>
      </c>
      <c r="AA128">
        <f t="shared" ca="1" si="39"/>
        <v>0.15382775805658055</v>
      </c>
      <c r="AB128">
        <f t="shared" ca="1" si="40"/>
        <v>157.29989999999995</v>
      </c>
    </row>
    <row r="129" spans="1:28" x14ac:dyDescent="0.25">
      <c r="A129" s="20">
        <f t="shared" ca="1" si="20"/>
        <v>45474</v>
      </c>
      <c r="B129" vm="375">
        <f ca="1"/>
        <v>45478</v>
      </c>
      <c r="C129" vm="376">
        <f ca="1"/>
        <v>154.31</v>
      </c>
      <c r="D129" vm="377">
        <f ca="1"/>
        <v>6183056</v>
      </c>
      <c r="E129">
        <f t="shared" ca="1" si="21"/>
        <v>954107371.36000001</v>
      </c>
      <c r="F129">
        <f ca="1">SUM($E$2:E129)/SUM($D$2:D129)</f>
        <v>154.77881140673094</v>
      </c>
      <c r="G129">
        <f ca="1">_xlfn.STDEV.P($C$2:C129)</f>
        <v>5.6358201223005473</v>
      </c>
      <c r="H129">
        <f t="shared" ca="1" si="22"/>
        <v>160.41463152903148</v>
      </c>
      <c r="I129">
        <f t="shared" ca="1" si="23"/>
        <v>149.14299128443039</v>
      </c>
      <c r="J129">
        <f t="shared" ca="1" si="32"/>
        <v>155.70300000000003</v>
      </c>
      <c r="K129">
        <f t="shared" ca="1" si="33"/>
        <v>1.7974956262299477</v>
      </c>
      <c r="L129">
        <f t="shared" ca="1" si="34"/>
        <v>159.29799125245992</v>
      </c>
      <c r="M129">
        <f t="shared" ca="1" si="35"/>
        <v>152.10800874754014</v>
      </c>
      <c r="N129">
        <f t="shared" ca="1" si="24"/>
        <v>-2.4000000000000057</v>
      </c>
      <c r="O129">
        <f t="shared" ca="1" si="25"/>
        <v>0</v>
      </c>
      <c r="P129">
        <f t="shared" ca="1" si="26"/>
        <v>2.4000000000000057</v>
      </c>
      <c r="Q129">
        <f t="shared" ca="1" si="30"/>
        <v>0.52311846555870156</v>
      </c>
      <c r="R129">
        <f t="shared" ca="1" si="31"/>
        <v>0.70837273430318815</v>
      </c>
      <c r="S129">
        <f t="shared" ca="1" si="28"/>
        <v>0.73847910884554668</v>
      </c>
      <c r="T129">
        <f t="shared" ca="1" si="29"/>
        <v>42.478457468260324</v>
      </c>
      <c r="U129">
        <f>70</f>
        <v>70</v>
      </c>
      <c r="V129">
        <f>30</f>
        <v>30</v>
      </c>
      <c r="W129">
        <f t="shared" ca="1" si="27"/>
        <v>156.10293343398561</v>
      </c>
      <c r="X129">
        <f t="shared" ca="1" si="37"/>
        <v>156.67104321201253</v>
      </c>
      <c r="Y129">
        <f t="shared" ca="1" si="36"/>
        <v>-0.6674581595736413</v>
      </c>
      <c r="Z129">
        <f t="shared" ca="1" si="38"/>
        <v>-0.71104166078153086</v>
      </c>
      <c r="AA129">
        <f t="shared" ca="1" si="39"/>
        <v>4.3583501207889563E-2</v>
      </c>
      <c r="AB129">
        <f t="shared" ca="1" si="40"/>
        <v>157.33259999999996</v>
      </c>
    </row>
    <row r="130" spans="1:28" x14ac:dyDescent="0.25">
      <c r="A130" s="20">
        <f t="shared" ca="1" si="20"/>
        <v>45481</v>
      </c>
      <c r="B130" vm="378">
        <f ca="1"/>
        <v>45481</v>
      </c>
      <c r="C130" vm="379">
        <f ca="1"/>
        <v>154.33000000000001</v>
      </c>
      <c r="D130" vm="380">
        <f ca="1"/>
        <v>4990726</v>
      </c>
      <c r="E130">
        <f t="shared" ca="1" si="21"/>
        <v>770218743.58000004</v>
      </c>
      <c r="F130">
        <f ca="1">SUM($E$2:E130)/SUM($D$2:D130)</f>
        <v>154.77663586062928</v>
      </c>
      <c r="G130">
        <f ca="1">_xlfn.STDEV.P($C$2:C130)</f>
        <v>5.614544400714494</v>
      </c>
      <c r="H130">
        <f t="shared" ca="1" si="22"/>
        <v>160.39118026134378</v>
      </c>
      <c r="I130">
        <f t="shared" ca="1" si="23"/>
        <v>149.16209145991479</v>
      </c>
      <c r="J130">
        <f t="shared" ca="1" si="32"/>
        <v>155.62299999999999</v>
      </c>
      <c r="K130">
        <f t="shared" ca="1" si="33"/>
        <v>1.8222949671687134</v>
      </c>
      <c r="L130">
        <f t="shared" ca="1" si="34"/>
        <v>159.26758993433742</v>
      </c>
      <c r="M130">
        <f t="shared" ca="1" si="35"/>
        <v>151.97841006566256</v>
      </c>
      <c r="N130">
        <f t="shared" ca="1" si="24"/>
        <v>2.0000000000010232E-2</v>
      </c>
      <c r="O130">
        <f t="shared" ca="1" si="25"/>
        <v>2.0000000000010232E-2</v>
      </c>
      <c r="P130">
        <f t="shared" ca="1" si="26"/>
        <v>0</v>
      </c>
      <c r="Q130">
        <f t="shared" ca="1" si="30"/>
        <v>0.48718143230450928</v>
      </c>
      <c r="R130">
        <f t="shared" ca="1" si="31"/>
        <v>0.6577746818529604</v>
      </c>
      <c r="S130">
        <f t="shared" ca="1" si="28"/>
        <v>0.74065093373936564</v>
      </c>
      <c r="T130">
        <f t="shared" ca="1" si="29"/>
        <v>42.55022758343955</v>
      </c>
      <c r="U130">
        <f>70</f>
        <v>70</v>
      </c>
      <c r="V130">
        <f>30</f>
        <v>30</v>
      </c>
      <c r="W130">
        <f t="shared" ca="1" si="27"/>
        <v>155.83017444414168</v>
      </c>
      <c r="X130">
        <f t="shared" ca="1" si="37"/>
        <v>156.49763260371532</v>
      </c>
      <c r="Y130">
        <f t="shared" ca="1" si="36"/>
        <v>-0.84538115754241971</v>
      </c>
      <c r="Z130">
        <f t="shared" ca="1" si="38"/>
        <v>-0.73790956013370868</v>
      </c>
      <c r="AA130">
        <f t="shared" ca="1" si="39"/>
        <v>-0.10747159740871104</v>
      </c>
      <c r="AB130">
        <f t="shared" ca="1" si="40"/>
        <v>157.35509999999994</v>
      </c>
    </row>
    <row r="131" spans="1:28" x14ac:dyDescent="0.25">
      <c r="A131" s="20">
        <f t="shared" ref="A131:A194" ca="1" si="41">B131 - WEEKDAY(B131, 2) + 1</f>
        <v>45481</v>
      </c>
      <c r="B131" vm="381">
        <f ca="1"/>
        <v>45482</v>
      </c>
      <c r="C131" vm="382">
        <f ca="1"/>
        <v>152.97999999999999</v>
      </c>
      <c r="D131" vm="383">
        <f ca="1"/>
        <v>5303129</v>
      </c>
      <c r="E131">
        <f t="shared" ref="E131:E194" ca="1" si="42">C131*D131</f>
        <v>811272674.41999996</v>
      </c>
      <c r="F131">
        <f ca="1">SUM($E$2:E131)/SUM($D$2:D131)</f>
        <v>154.7674292087961</v>
      </c>
      <c r="G131">
        <f ca="1">_xlfn.STDEV.P($C$2:C131)</f>
        <v>5.5964767572710032</v>
      </c>
      <c r="H131">
        <f t="shared" ref="H131:H194" ca="1" si="43">F131 + G131</f>
        <v>160.36390596606711</v>
      </c>
      <c r="I131">
        <f t="shared" ref="I131:I194" ca="1" si="44">F131 - G131</f>
        <v>149.1709524515251</v>
      </c>
      <c r="J131">
        <f t="shared" ca="1" si="32"/>
        <v>155.46799999999999</v>
      </c>
      <c r="K131">
        <f t="shared" ca="1" si="33"/>
        <v>1.9110553711441622</v>
      </c>
      <c r="L131">
        <f t="shared" ca="1" si="34"/>
        <v>159.29011074228831</v>
      </c>
      <c r="M131">
        <f t="shared" ca="1" si="35"/>
        <v>151.64588925771167</v>
      </c>
      <c r="N131">
        <f t="shared" ca="1" si="24"/>
        <v>-1.3500000000000227</v>
      </c>
      <c r="O131">
        <f t="shared" ca="1" si="25"/>
        <v>0</v>
      </c>
      <c r="P131">
        <f t="shared" ca="1" si="26"/>
        <v>1.3500000000000227</v>
      </c>
      <c r="Q131">
        <f t="shared" ca="1" si="30"/>
        <v>0.45238275856847293</v>
      </c>
      <c r="R131">
        <f t="shared" ca="1" si="31"/>
        <v>0.70721934743489345</v>
      </c>
      <c r="S131">
        <f t="shared" ca="1" si="28"/>
        <v>0.63966400270196122</v>
      </c>
      <c r="T131">
        <f t="shared" ca="1" si="29"/>
        <v>39.011895220476568</v>
      </c>
      <c r="U131">
        <f>70</f>
        <v>70</v>
      </c>
      <c r="V131">
        <f>30</f>
        <v>30</v>
      </c>
      <c r="W131">
        <f t="shared" ca="1" si="27"/>
        <v>155.3916860681199</v>
      </c>
      <c r="X131">
        <f t="shared" ca="1" si="37"/>
        <v>156.23706722566232</v>
      </c>
      <c r="Y131">
        <f t="shared" ca="1" si="36"/>
        <v>-0.80363557295910937</v>
      </c>
      <c r="Z131">
        <f t="shared" ca="1" si="38"/>
        <v>-0.75105476269878879</v>
      </c>
      <c r="AA131">
        <f t="shared" ca="1" si="39"/>
        <v>-5.2580810260320576E-2</v>
      </c>
      <c r="AB131">
        <f t="shared" ca="1" si="40"/>
        <v>157.37889999999993</v>
      </c>
    </row>
    <row r="132" spans="1:28" x14ac:dyDescent="0.25">
      <c r="A132" s="20">
        <f t="shared" ca="1" si="41"/>
        <v>45481</v>
      </c>
      <c r="B132" vm="384">
        <f ca="1"/>
        <v>45483</v>
      </c>
      <c r="C132" vm="385">
        <f ca="1"/>
        <v>155.13</v>
      </c>
      <c r="D132" vm="386">
        <f ca="1"/>
        <v>5416594</v>
      </c>
      <c r="E132">
        <f t="shared" ca="1" si="42"/>
        <v>840276227.22000003</v>
      </c>
      <c r="F132">
        <f ca="1">SUM($E$2:E132)/SUM($D$2:D132)</f>
        <v>154.76931703227484</v>
      </c>
      <c r="G132">
        <f ca="1">_xlfn.STDEV.P($C$2:C132)</f>
        <v>5.5750849462406986</v>
      </c>
      <c r="H132">
        <f t="shared" ca="1" si="43"/>
        <v>160.34440197851555</v>
      </c>
      <c r="I132">
        <f t="shared" ca="1" si="44"/>
        <v>149.19423208603413</v>
      </c>
      <c r="J132">
        <f t="shared" ca="1" si="32"/>
        <v>155.38750000000002</v>
      </c>
      <c r="K132">
        <f t="shared" ca="1" si="33"/>
        <v>1.8884297988707868</v>
      </c>
      <c r="L132">
        <f t="shared" ca="1" si="34"/>
        <v>159.16435959774159</v>
      </c>
      <c r="M132">
        <f t="shared" ca="1" si="35"/>
        <v>151.61064040225844</v>
      </c>
      <c r="N132">
        <f t="shared" ref="N132:N195" ca="1" si="45">C132-C131</f>
        <v>2.1500000000000057</v>
      </c>
      <c r="O132">
        <f t="shared" ref="O132:O195" ca="1" si="46">MAX(N132,0)</f>
        <v>2.1500000000000057</v>
      </c>
      <c r="P132">
        <f t="shared" ref="P132:P195" ca="1" si="47">MAX(-N132,0)</f>
        <v>0</v>
      </c>
      <c r="Q132">
        <f t="shared" ca="1" si="30"/>
        <v>0.57364113295643959</v>
      </c>
      <c r="R132">
        <f t="shared" ca="1" si="31"/>
        <v>0.65670367976097244</v>
      </c>
      <c r="S132">
        <f t="shared" ca="1" si="28"/>
        <v>0.87351594126171783</v>
      </c>
      <c r="T132">
        <f t="shared" ca="1" si="29"/>
        <v>46.624420002183122</v>
      </c>
      <c r="U132">
        <f>70</f>
        <v>70</v>
      </c>
      <c r="V132">
        <f>30</f>
        <v>30</v>
      </c>
      <c r="W132">
        <f t="shared" ca="1" si="27"/>
        <v>155.35142667302452</v>
      </c>
      <c r="X132">
        <f t="shared" ca="1" si="37"/>
        <v>156.15506224598363</v>
      </c>
      <c r="Y132">
        <f t="shared" ca="1" si="36"/>
        <v>-0.75140030785300382</v>
      </c>
      <c r="Z132">
        <f t="shared" ca="1" si="38"/>
        <v>-0.75112387172963191</v>
      </c>
      <c r="AA132">
        <f t="shared" ca="1" si="39"/>
        <v>-2.7643612337191481E-4</v>
      </c>
      <c r="AB132">
        <f t="shared" ca="1" si="40"/>
        <v>157.42009999999993</v>
      </c>
    </row>
    <row r="133" spans="1:28" x14ac:dyDescent="0.25">
      <c r="A133" s="20">
        <f t="shared" ca="1" si="41"/>
        <v>45481</v>
      </c>
      <c r="B133" vm="387">
        <f ca="1"/>
        <v>45484</v>
      </c>
      <c r="C133" vm="388">
        <f ca="1"/>
        <v>155.26</v>
      </c>
      <c r="D133" vm="389">
        <f ca="1"/>
        <v>8323125</v>
      </c>
      <c r="E133">
        <f t="shared" ca="1" si="42"/>
        <v>1292248387.5</v>
      </c>
      <c r="F133">
        <f ca="1">SUM($E$2:E133)/SUM($D$2:D133)</f>
        <v>154.77321168595506</v>
      </c>
      <c r="G133">
        <f ca="1">_xlfn.STDEV.P($C$2:C133)</f>
        <v>5.5539271398445207</v>
      </c>
      <c r="H133">
        <f t="shared" ca="1" si="43"/>
        <v>160.32713882579958</v>
      </c>
      <c r="I133">
        <f t="shared" ca="1" si="44"/>
        <v>149.21928454611054</v>
      </c>
      <c r="J133">
        <f t="shared" ca="1" si="32"/>
        <v>155.32600000000002</v>
      </c>
      <c r="K133">
        <f t="shared" ca="1" si="33"/>
        <v>1.8705794205061315</v>
      </c>
      <c r="L133">
        <f t="shared" ca="1" si="34"/>
        <v>159.06715884101229</v>
      </c>
      <c r="M133">
        <f t="shared" ca="1" si="35"/>
        <v>151.58484115898776</v>
      </c>
      <c r="N133">
        <f t="shared" ca="1" si="45"/>
        <v>0.12999999999999545</v>
      </c>
      <c r="O133">
        <f t="shared" ca="1" si="46"/>
        <v>0.12999999999999545</v>
      </c>
      <c r="P133">
        <f t="shared" ca="1" si="47"/>
        <v>0</v>
      </c>
      <c r="Q133">
        <f t="shared" ca="1" si="30"/>
        <v>0.54195248060240786</v>
      </c>
      <c r="R133">
        <f t="shared" ca="1" si="31"/>
        <v>0.60979627406376014</v>
      </c>
      <c r="S133">
        <f t="shared" ca="1" si="28"/>
        <v>0.8887435093539805</v>
      </c>
      <c r="T133">
        <f t="shared" ca="1" si="29"/>
        <v>47.054748564455075</v>
      </c>
      <c r="U133">
        <f>70</f>
        <v>70</v>
      </c>
      <c r="V133">
        <f>30</f>
        <v>30</v>
      </c>
      <c r="W133">
        <f t="shared" ca="1" si="27"/>
        <v>155.33736103102075</v>
      </c>
      <c r="X133">
        <f t="shared" ca="1" si="37"/>
        <v>156.08876133887375</v>
      </c>
      <c r="Y133">
        <f t="shared" ca="1" si="36"/>
        <v>-0.67558748980289351</v>
      </c>
      <c r="Z133">
        <f t="shared" ca="1" si="38"/>
        <v>-0.73601659534428432</v>
      </c>
      <c r="AA133">
        <f t="shared" ca="1" si="39"/>
        <v>6.0429105541390804E-2</v>
      </c>
      <c r="AB133">
        <f t="shared" ca="1" si="40"/>
        <v>157.42809999999994</v>
      </c>
    </row>
    <row r="134" spans="1:28" x14ac:dyDescent="0.25">
      <c r="A134" s="20">
        <f t="shared" ca="1" si="41"/>
        <v>45481</v>
      </c>
      <c r="B134" vm="390">
        <f ca="1"/>
        <v>45485</v>
      </c>
      <c r="C134" vm="391">
        <f ca="1"/>
        <v>155.59</v>
      </c>
      <c r="D134" vm="392">
        <f ca="1"/>
        <v>6446316</v>
      </c>
      <c r="E134">
        <f t="shared" ca="1" si="42"/>
        <v>1002982306.4400001</v>
      </c>
      <c r="F134">
        <f ca="1">SUM($E$2:E134)/SUM($D$2:D134)</f>
        <v>154.77820215002092</v>
      </c>
      <c r="G134">
        <f ca="1">_xlfn.STDEV.P($C$2:C134)</f>
        <v>5.5330868641216497</v>
      </c>
      <c r="H134">
        <f t="shared" ca="1" si="43"/>
        <v>160.31128901414257</v>
      </c>
      <c r="I134">
        <f t="shared" ca="1" si="44"/>
        <v>149.24511528589926</v>
      </c>
      <c r="J134">
        <f t="shared" ca="1" si="32"/>
        <v>155.39450000000002</v>
      </c>
      <c r="K134">
        <f t="shared" ca="1" si="33"/>
        <v>1.8529477937372629</v>
      </c>
      <c r="L134">
        <f t="shared" ca="1" si="34"/>
        <v>159.10039558747454</v>
      </c>
      <c r="M134">
        <f t="shared" ca="1" si="35"/>
        <v>151.68860441252551</v>
      </c>
      <c r="N134">
        <f t="shared" ca="1" si="45"/>
        <v>0.33000000000001251</v>
      </c>
      <c r="O134">
        <f t="shared" ca="1" si="46"/>
        <v>0.33000000000001251</v>
      </c>
      <c r="P134">
        <f t="shared" ca="1" si="47"/>
        <v>0</v>
      </c>
      <c r="Q134">
        <f t="shared" ca="1" si="30"/>
        <v>0.52681301770223676</v>
      </c>
      <c r="R134">
        <f t="shared" ca="1" si="31"/>
        <v>0.56623939734492013</v>
      </c>
      <c r="S134">
        <f t="shared" ca="1" si="28"/>
        <v>0.93037153573638198</v>
      </c>
      <c r="T134">
        <f t="shared" ca="1" si="29"/>
        <v>48.196500959151969</v>
      </c>
      <c r="U134">
        <f>70</f>
        <v>70</v>
      </c>
      <c r="V134">
        <f>30</f>
        <v>30</v>
      </c>
      <c r="W134">
        <f t="shared" ca="1" si="27"/>
        <v>155.37622856470986</v>
      </c>
      <c r="X134">
        <f t="shared" ca="1" si="37"/>
        <v>156.05181605451276</v>
      </c>
      <c r="Y134">
        <f t="shared" ca="1" si="36"/>
        <v>-0.41304938460916674</v>
      </c>
      <c r="Z134">
        <f t="shared" ca="1" si="38"/>
        <v>-0.67142315319726076</v>
      </c>
      <c r="AA134">
        <f t="shared" ca="1" si="39"/>
        <v>0.25837376858809402</v>
      </c>
      <c r="AB134">
        <f t="shared" ca="1" si="40"/>
        <v>157.43769999999995</v>
      </c>
    </row>
    <row r="135" spans="1:28" x14ac:dyDescent="0.25">
      <c r="A135" s="20">
        <f t="shared" ca="1" si="41"/>
        <v>45488</v>
      </c>
      <c r="B135" vm="393">
        <f ca="1"/>
        <v>45488</v>
      </c>
      <c r="C135" vm="394">
        <f ca="1"/>
        <v>158.04</v>
      </c>
      <c r="D135" vm="395">
        <f ca="1"/>
        <v>5661170</v>
      </c>
      <c r="E135">
        <f t="shared" ca="1" si="42"/>
        <v>894691306.79999995</v>
      </c>
      <c r="F135">
        <f ca="1">SUM($E$2:E135)/SUM($D$2:D135)</f>
        <v>154.79561055585143</v>
      </c>
      <c r="G135">
        <f ca="1">_xlfn.STDEV.P($C$2:C135)</f>
        <v>5.5176248235516079</v>
      </c>
      <c r="H135">
        <f t="shared" ca="1" si="43"/>
        <v>160.31323537940304</v>
      </c>
      <c r="I135">
        <f t="shared" ca="1" si="44"/>
        <v>149.27798573229981</v>
      </c>
      <c r="J135">
        <f t="shared" ca="1" si="32"/>
        <v>155.65450000000001</v>
      </c>
      <c r="K135">
        <f t="shared" ca="1" si="33"/>
        <v>1.8404246506545281</v>
      </c>
      <c r="L135">
        <f t="shared" ca="1" si="34"/>
        <v>159.33534930130907</v>
      </c>
      <c r="M135">
        <f t="shared" ca="1" si="35"/>
        <v>151.97365069869096</v>
      </c>
      <c r="N135">
        <f t="shared" ca="1" si="45"/>
        <v>2.4499999999999886</v>
      </c>
      <c r="O135">
        <f t="shared" ca="1" si="46"/>
        <v>2.4499999999999886</v>
      </c>
      <c r="P135">
        <f t="shared" ca="1" si="47"/>
        <v>0</v>
      </c>
      <c r="Q135">
        <f t="shared" ca="1" si="30"/>
        <v>0.6641835164377905</v>
      </c>
      <c r="R135">
        <f t="shared" ca="1" si="31"/>
        <v>0.52579372610599728</v>
      </c>
      <c r="S135">
        <f t="shared" ca="1" si="28"/>
        <v>1.2632016767425152</v>
      </c>
      <c r="T135">
        <f t="shared" ca="1" si="29"/>
        <v>55.814808274650716</v>
      </c>
      <c r="U135">
        <f>70</f>
        <v>70</v>
      </c>
      <c r="V135">
        <f>30</f>
        <v>30</v>
      </c>
      <c r="W135">
        <f t="shared" ca="1" si="27"/>
        <v>155.7860395547545</v>
      </c>
      <c r="X135">
        <f t="shared" ca="1" si="37"/>
        <v>156.19908893936366</v>
      </c>
      <c r="Y135">
        <f t="shared" ca="1" si="36"/>
        <v>-0.22418848299460592</v>
      </c>
      <c r="Z135">
        <f t="shared" ca="1" si="38"/>
        <v>-0.58197621915672981</v>
      </c>
      <c r="AA135">
        <f t="shared" ca="1" si="39"/>
        <v>0.35778773616212389</v>
      </c>
      <c r="AB135">
        <f t="shared" ca="1" si="40"/>
        <v>157.47809999999996</v>
      </c>
    </row>
    <row r="136" spans="1:28" x14ac:dyDescent="0.25">
      <c r="A136" s="20">
        <f t="shared" ca="1" si="41"/>
        <v>45488</v>
      </c>
      <c r="B136" vm="396">
        <f ca="1"/>
        <v>45489</v>
      </c>
      <c r="C136" vm="397">
        <f ca="1"/>
        <v>157.77000000000001</v>
      </c>
      <c r="D136" vm="398">
        <f ca="1"/>
        <v>6924187</v>
      </c>
      <c r="E136">
        <f t="shared" ca="1" si="42"/>
        <v>1092428982.99</v>
      </c>
      <c r="F136">
        <f ca="1">SUM($E$2:E136)/SUM($D$2:D136)</f>
        <v>154.81490075110875</v>
      </c>
      <c r="G136">
        <f ca="1">_xlfn.STDEV.P($C$2:C136)</f>
        <v>5.5013223680295411</v>
      </c>
      <c r="H136">
        <f t="shared" ca="1" si="43"/>
        <v>160.3162231191383</v>
      </c>
      <c r="I136">
        <f t="shared" ca="1" si="44"/>
        <v>149.3135783830792</v>
      </c>
      <c r="J136">
        <f t="shared" ca="1" si="32"/>
        <v>155.91450000000003</v>
      </c>
      <c r="K136">
        <f t="shared" ca="1" si="33"/>
        <v>1.7466553752815697</v>
      </c>
      <c r="L136">
        <f t="shared" ca="1" si="34"/>
        <v>159.40781075056316</v>
      </c>
      <c r="M136">
        <f t="shared" ca="1" si="35"/>
        <v>152.42118924943691</v>
      </c>
      <c r="N136">
        <f t="shared" ca="1" si="45"/>
        <v>-0.26999999999998181</v>
      </c>
      <c r="O136">
        <f t="shared" ca="1" si="46"/>
        <v>0</v>
      </c>
      <c r="P136">
        <f t="shared" ca="1" si="47"/>
        <v>0.26999999999998181</v>
      </c>
      <c r="Q136">
        <f t="shared" ca="1" si="30"/>
        <v>0.61674183669223404</v>
      </c>
      <c r="R136">
        <f t="shared" ca="1" si="31"/>
        <v>0.50752274566985334</v>
      </c>
      <c r="S136">
        <f t="shared" ca="1" si="28"/>
        <v>1.2152003864934724</v>
      </c>
      <c r="T136">
        <f t="shared" ca="1" si="29"/>
        <v>54.857357099736724</v>
      </c>
      <c r="U136">
        <f>70</f>
        <v>70</v>
      </c>
      <c r="V136">
        <f>30</f>
        <v>30</v>
      </c>
      <c r="W136">
        <f t="shared" ca="1" si="27"/>
        <v>156.09126423863842</v>
      </c>
      <c r="X136">
        <f t="shared" ca="1" si="37"/>
        <v>156.31545272163302</v>
      </c>
      <c r="Y136">
        <f t="shared" ca="1" si="36"/>
        <v>0.20234571038426452</v>
      </c>
      <c r="Z136">
        <f t="shared" ca="1" si="38"/>
        <v>-0.42511183324853097</v>
      </c>
      <c r="AA136">
        <f t="shared" ca="1" si="39"/>
        <v>0.62745754363279549</v>
      </c>
      <c r="AB136">
        <f t="shared" ca="1" si="40"/>
        <v>157.50139999999996</v>
      </c>
    </row>
    <row r="137" spans="1:28" x14ac:dyDescent="0.25">
      <c r="A137" s="20">
        <f t="shared" ca="1" si="41"/>
        <v>45488</v>
      </c>
      <c r="B137" vm="399">
        <f ca="1"/>
        <v>45490</v>
      </c>
      <c r="C137" vm="400">
        <f ca="1"/>
        <v>161.22999999999999</v>
      </c>
      <c r="D137" vm="401">
        <f ca="1"/>
        <v>7296622</v>
      </c>
      <c r="E137">
        <f t="shared" ca="1" si="42"/>
        <v>1176434365.0599999</v>
      </c>
      <c r="F137">
        <f ca="1">SUM($E$2:E137)/SUM($D$2:D137)</f>
        <v>154.85844564582513</v>
      </c>
      <c r="G137">
        <f ca="1">_xlfn.STDEV.P($C$2:C137)</f>
        <v>5.5044975771626623</v>
      </c>
      <c r="H137">
        <f t="shared" ca="1" si="43"/>
        <v>160.36294322298778</v>
      </c>
      <c r="I137">
        <f t="shared" ca="1" si="44"/>
        <v>149.35394806866248</v>
      </c>
      <c r="J137">
        <f t="shared" ca="1" si="32"/>
        <v>156.31649999999999</v>
      </c>
      <c r="K137">
        <f t="shared" ca="1" si="33"/>
        <v>1.994266188746864</v>
      </c>
      <c r="L137">
        <f t="shared" ca="1" si="34"/>
        <v>160.30503237749372</v>
      </c>
      <c r="M137">
        <f t="shared" ca="1" si="35"/>
        <v>152.32796762250626</v>
      </c>
      <c r="N137">
        <f t="shared" ca="1" si="45"/>
        <v>3.4599999999999795</v>
      </c>
      <c r="O137">
        <f t="shared" ca="1" si="46"/>
        <v>3.4599999999999795</v>
      </c>
      <c r="P137">
        <f t="shared" ca="1" si="47"/>
        <v>0</v>
      </c>
      <c r="Q137">
        <f t="shared" ca="1" si="30"/>
        <v>0.81983170549993012</v>
      </c>
      <c r="R137">
        <f t="shared" ca="1" si="31"/>
        <v>0.47127112097914953</v>
      </c>
      <c r="S137">
        <f t="shared" ca="1" si="28"/>
        <v>1.7396179587592466</v>
      </c>
      <c r="T137">
        <f t="shared" ca="1" si="29"/>
        <v>63.498560198777028</v>
      </c>
      <c r="U137">
        <f>70</f>
        <v>70</v>
      </c>
      <c r="V137">
        <f>30</f>
        <v>30</v>
      </c>
      <c r="W137">
        <f t="shared" ca="1" si="27"/>
        <v>156.88183897115556</v>
      </c>
      <c r="X137">
        <f t="shared" ca="1" si="37"/>
        <v>156.6794932607713</v>
      </c>
      <c r="Y137">
        <f t="shared" ca="1" si="36"/>
        <v>0.59325032673086753</v>
      </c>
      <c r="Z137">
        <f t="shared" ca="1" si="38"/>
        <v>-0.22143940125265127</v>
      </c>
      <c r="AA137">
        <f t="shared" ca="1" si="39"/>
        <v>0.8146897279835188</v>
      </c>
      <c r="AB137">
        <f t="shared" ca="1" si="40"/>
        <v>157.55939999999995</v>
      </c>
    </row>
    <row r="138" spans="1:28" x14ac:dyDescent="0.25">
      <c r="A138" s="20">
        <f t="shared" ca="1" si="41"/>
        <v>45488</v>
      </c>
      <c r="B138" vm="402">
        <f ca="1"/>
        <v>45491</v>
      </c>
      <c r="C138" vm="403">
        <f ca="1"/>
        <v>161.97</v>
      </c>
      <c r="D138" vm="404">
        <f ca="1"/>
        <v>6577674</v>
      </c>
      <c r="E138">
        <f t="shared" ca="1" si="42"/>
        <v>1065385857.78</v>
      </c>
      <c r="F138">
        <f ca="1">SUM($E$2:E138)/SUM($D$2:D138)</f>
        <v>154.90169698128258</v>
      </c>
      <c r="G138">
        <f ca="1">_xlfn.STDEV.P($C$2:C138)</f>
        <v>5.5133829883412639</v>
      </c>
      <c r="H138">
        <f t="shared" ca="1" si="43"/>
        <v>160.41507996962386</v>
      </c>
      <c r="I138">
        <f t="shared" ca="1" si="44"/>
        <v>149.38831399294131</v>
      </c>
      <c r="J138">
        <f t="shared" ca="1" si="32"/>
        <v>156.74849999999998</v>
      </c>
      <c r="K138">
        <f t="shared" ca="1" si="33"/>
        <v>2.2345993989268438</v>
      </c>
      <c r="L138">
        <f t="shared" ca="1" si="34"/>
        <v>161.21769879785367</v>
      </c>
      <c r="M138">
        <f t="shared" ca="1" si="35"/>
        <v>152.27930120214629</v>
      </c>
      <c r="N138">
        <f t="shared" ca="1" si="45"/>
        <v>0.74000000000000909</v>
      </c>
      <c r="O138">
        <f t="shared" ca="1" si="46"/>
        <v>0.74000000000000909</v>
      </c>
      <c r="P138">
        <f t="shared" ca="1" si="47"/>
        <v>0</v>
      </c>
      <c r="Q138">
        <f t="shared" ca="1" si="30"/>
        <v>0.8141294408213644</v>
      </c>
      <c r="R138">
        <f t="shared" ca="1" si="31"/>
        <v>0.43760889805206743</v>
      </c>
      <c r="S138">
        <f t="shared" ca="1" si="28"/>
        <v>1.8604042204016107</v>
      </c>
      <c r="T138">
        <f t="shared" ca="1" si="29"/>
        <v>65.039906147964061</v>
      </c>
      <c r="U138">
        <f>70</f>
        <v>70</v>
      </c>
      <c r="V138">
        <f>30</f>
        <v>30</v>
      </c>
      <c r="W138">
        <f t="shared" ca="1" si="27"/>
        <v>157.66463297559318</v>
      </c>
      <c r="X138">
        <f t="shared" ca="1" si="37"/>
        <v>157.07138264886231</v>
      </c>
      <c r="Y138">
        <f t="shared" ca="1" si="36"/>
        <v>0.66779667484593119</v>
      </c>
      <c r="Z138">
        <f t="shared" ca="1" si="38"/>
        <v>-4.3592186032934799E-2</v>
      </c>
      <c r="AA138">
        <f t="shared" ca="1" si="39"/>
        <v>0.71138886087886599</v>
      </c>
      <c r="AB138">
        <f t="shared" ca="1" si="40"/>
        <v>157.63249999999996</v>
      </c>
    </row>
    <row r="139" spans="1:28" x14ac:dyDescent="0.25">
      <c r="A139" s="20">
        <f t="shared" ca="1" si="41"/>
        <v>45488</v>
      </c>
      <c r="B139" vm="405">
        <f ca="1"/>
        <v>45492</v>
      </c>
      <c r="C139" vm="406">
        <f ca="1"/>
        <v>159.15</v>
      </c>
      <c r="D139" vm="407">
        <f ca="1"/>
        <v>6427723</v>
      </c>
      <c r="E139">
        <f t="shared" ca="1" si="42"/>
        <v>1022972115.45</v>
      </c>
      <c r="F139">
        <f ca="1">SUM($E$2:E139)/SUM($D$2:D139)</f>
        <v>154.92679629375783</v>
      </c>
      <c r="G139">
        <f ca="1">_xlfn.STDEV.P($C$2:C139)</f>
        <v>5.5026557488048518</v>
      </c>
      <c r="H139">
        <f t="shared" ca="1" si="43"/>
        <v>160.42945204256267</v>
      </c>
      <c r="I139">
        <f t="shared" ca="1" si="44"/>
        <v>149.42414054495299</v>
      </c>
      <c r="J139">
        <f t="shared" ca="1" si="32"/>
        <v>156.87399999999997</v>
      </c>
      <c r="K139">
        <f t="shared" ca="1" si="33"/>
        <v>2.2977755833803588</v>
      </c>
      <c r="L139">
        <f t="shared" ca="1" si="34"/>
        <v>161.46955116676068</v>
      </c>
      <c r="M139">
        <f t="shared" ca="1" si="35"/>
        <v>152.27844883323925</v>
      </c>
      <c r="N139">
        <f t="shared" ca="1" si="45"/>
        <v>-2.8199999999999932</v>
      </c>
      <c r="O139">
        <f t="shared" ca="1" si="46"/>
        <v>0</v>
      </c>
      <c r="P139">
        <f t="shared" ca="1" si="47"/>
        <v>2.8199999999999932</v>
      </c>
      <c r="Q139">
        <f t="shared" ca="1" si="30"/>
        <v>0.75597733790555266</v>
      </c>
      <c r="R139">
        <f t="shared" ca="1" si="31"/>
        <v>0.60777969104834795</v>
      </c>
      <c r="S139">
        <f t="shared" ca="1" si="28"/>
        <v>1.2438344831851511</v>
      </c>
      <c r="T139">
        <f t="shared" ca="1" si="29"/>
        <v>55.43343292503075</v>
      </c>
      <c r="U139">
        <f>70</f>
        <v>70</v>
      </c>
      <c r="V139">
        <f>30</f>
        <v>30</v>
      </c>
      <c r="W139">
        <f t="shared" ca="1" si="27"/>
        <v>157.89315097934806</v>
      </c>
      <c r="X139">
        <f t="shared" ca="1" si="37"/>
        <v>157.22535430450213</v>
      </c>
      <c r="Y139">
        <f t="shared" ca="1" si="36"/>
        <v>0.54628402251617558</v>
      </c>
      <c r="Z139">
        <f t="shared" ca="1" si="38"/>
        <v>7.4383055676887272E-2</v>
      </c>
      <c r="AA139">
        <f t="shared" ca="1" si="39"/>
        <v>0.47190096683928828</v>
      </c>
      <c r="AB139">
        <f t="shared" ca="1" si="40"/>
        <v>157.67949999999993</v>
      </c>
    </row>
    <row r="140" spans="1:28" x14ac:dyDescent="0.25">
      <c r="A140" s="20">
        <f t="shared" ca="1" si="41"/>
        <v>45495</v>
      </c>
      <c r="B140" vm="408">
        <f ca="1"/>
        <v>45495</v>
      </c>
      <c r="C140" vm="409">
        <f ca="1"/>
        <v>156.99</v>
      </c>
      <c r="D140" vm="410">
        <f ca="1"/>
        <v>5577286</v>
      </c>
      <c r="E140">
        <f t="shared" ca="1" si="42"/>
        <v>875578129.1400001</v>
      </c>
      <c r="F140">
        <f ca="1">SUM($E$2:E140)/SUM($D$2:D140)</f>
        <v>154.9373191474761</v>
      </c>
      <c r="G140">
        <f ca="1">_xlfn.STDEV.P($C$2:C140)</f>
        <v>5.4844520855167715</v>
      </c>
      <c r="H140">
        <f t="shared" ca="1" si="43"/>
        <v>160.42177123299288</v>
      </c>
      <c r="I140">
        <f t="shared" ca="1" si="44"/>
        <v>149.45286706195932</v>
      </c>
      <c r="J140">
        <f t="shared" ca="1" si="32"/>
        <v>156.95949999999999</v>
      </c>
      <c r="K140">
        <f t="shared" ca="1" si="33"/>
        <v>2.2669489697783116</v>
      </c>
      <c r="L140">
        <f t="shared" ca="1" si="34"/>
        <v>161.49339793955662</v>
      </c>
      <c r="M140">
        <f t="shared" ca="1" si="35"/>
        <v>152.42560206044337</v>
      </c>
      <c r="N140">
        <f t="shared" ca="1" si="45"/>
        <v>-2.1599999999999966</v>
      </c>
      <c r="O140">
        <f t="shared" ca="1" si="46"/>
        <v>0</v>
      </c>
      <c r="P140">
        <f t="shared" ca="1" si="47"/>
        <v>2.1599999999999966</v>
      </c>
      <c r="Q140">
        <f t="shared" ca="1" si="30"/>
        <v>0.7019789566265846</v>
      </c>
      <c r="R140">
        <f t="shared" ca="1" si="31"/>
        <v>0.71865257025918006</v>
      </c>
      <c r="S140">
        <f t="shared" ca="1" si="28"/>
        <v>0.97679878383154994</v>
      </c>
      <c r="T140">
        <f t="shared" ca="1" si="29"/>
        <v>49.413161917181071</v>
      </c>
      <c r="U140">
        <f>70</f>
        <v>70</v>
      </c>
      <c r="V140">
        <f>30</f>
        <v>30</v>
      </c>
      <c r="W140">
        <f t="shared" ca="1" si="27"/>
        <v>157.75420467483298</v>
      </c>
      <c r="X140">
        <f t="shared" ca="1" si="37"/>
        <v>157.2079206523168</v>
      </c>
      <c r="Y140">
        <f t="shared" ca="1" si="36"/>
        <v>0.21351731174482325</v>
      </c>
      <c r="Z140">
        <f t="shared" ca="1" si="38"/>
        <v>0.10220990689047448</v>
      </c>
      <c r="AA140">
        <f t="shared" ca="1" si="39"/>
        <v>0.11130740485434877</v>
      </c>
      <c r="AB140">
        <f t="shared" ca="1" si="40"/>
        <v>157.72779999999995</v>
      </c>
    </row>
    <row r="141" spans="1:28" x14ac:dyDescent="0.25">
      <c r="A141" s="20">
        <f t="shared" ca="1" si="41"/>
        <v>45495</v>
      </c>
      <c r="B141" vm="411">
        <f ca="1"/>
        <v>45496</v>
      </c>
      <c r="C141" vm="412">
        <f ca="1"/>
        <v>154.09</v>
      </c>
      <c r="D141" vm="413">
        <f ca="1"/>
        <v>6238721</v>
      </c>
      <c r="E141">
        <f t="shared" ca="1" si="42"/>
        <v>961324518.88999999</v>
      </c>
      <c r="F141">
        <f ca="1">SUM($E$2:E141)/SUM($D$2:D141)</f>
        <v>154.93251252031666</v>
      </c>
      <c r="G141">
        <f ca="1">_xlfn.STDEV.P($C$2:C141)</f>
        <v>5.4659796646051984</v>
      </c>
      <c r="H141">
        <f t="shared" ca="1" si="43"/>
        <v>160.39849218492185</v>
      </c>
      <c r="I141">
        <f t="shared" ca="1" si="44"/>
        <v>149.46653285571148</v>
      </c>
      <c r="J141">
        <f t="shared" ca="1" si="32"/>
        <v>156.69849999999997</v>
      </c>
      <c r="K141">
        <f t="shared" ca="1" si="33"/>
        <v>2.2825292411800788</v>
      </c>
      <c r="L141">
        <f t="shared" ca="1" si="34"/>
        <v>161.26355848236011</v>
      </c>
      <c r="M141">
        <f t="shared" ca="1" si="35"/>
        <v>152.13344151763982</v>
      </c>
      <c r="N141">
        <f t="shared" ca="1" si="45"/>
        <v>-2.9000000000000057</v>
      </c>
      <c r="O141">
        <f t="shared" ca="1" si="46"/>
        <v>0</v>
      </c>
      <c r="P141">
        <f t="shared" ca="1" si="47"/>
        <v>2.9000000000000057</v>
      </c>
      <c r="Q141">
        <f t="shared" ca="1" si="30"/>
        <v>0.65183760258182855</v>
      </c>
      <c r="R141">
        <f t="shared" ca="1" si="31"/>
        <v>0.87446310095495328</v>
      </c>
      <c r="S141">
        <f t="shared" ca="1" si="28"/>
        <v>0.74541464570659688</v>
      </c>
      <c r="T141">
        <f t="shared" ca="1" si="29"/>
        <v>42.707023659975675</v>
      </c>
      <c r="U141">
        <f>70</f>
        <v>70</v>
      </c>
      <c r="V141">
        <f>30</f>
        <v>30</v>
      </c>
      <c r="W141">
        <f t="shared" ca="1" si="27"/>
        <v>157.19048087870482</v>
      </c>
      <c r="X141">
        <f t="shared" ca="1" si="37"/>
        <v>156.97696356695999</v>
      </c>
      <c r="Y141">
        <f t="shared" ca="1" si="36"/>
        <v>2.8546044767296053E-2</v>
      </c>
      <c r="Z141">
        <f t="shared" ca="1" si="38"/>
        <v>8.7477134465838796E-2</v>
      </c>
      <c r="AA141">
        <f t="shared" ca="1" si="39"/>
        <v>-5.8931089698542743E-2</v>
      </c>
      <c r="AB141">
        <f t="shared" ca="1" si="40"/>
        <v>157.74529999999993</v>
      </c>
    </row>
    <row r="142" spans="1:28" x14ac:dyDescent="0.25">
      <c r="A142" s="20">
        <f t="shared" ca="1" si="41"/>
        <v>45495</v>
      </c>
      <c r="B142" vm="414">
        <f ca="1"/>
        <v>45497</v>
      </c>
      <c r="C142" vm="415">
        <f ca="1"/>
        <v>155.07</v>
      </c>
      <c r="D142" vm="416">
        <f ca="1"/>
        <v>5971731</v>
      </c>
      <c r="E142">
        <f t="shared" ca="1" si="42"/>
        <v>926036326.16999996</v>
      </c>
      <c r="F142">
        <f ca="1">SUM($E$2:E142)/SUM($D$2:D142)</f>
        <v>154.9332550424582</v>
      </c>
      <c r="G142">
        <f ca="1">_xlfn.STDEV.P($C$2:C142)</f>
        <v>5.4466378168436922</v>
      </c>
      <c r="H142">
        <f t="shared" ca="1" si="43"/>
        <v>160.37989285930189</v>
      </c>
      <c r="I142">
        <f t="shared" ca="1" si="44"/>
        <v>149.48661722561451</v>
      </c>
      <c r="J142">
        <f t="shared" ca="1" si="32"/>
        <v>156.52900000000002</v>
      </c>
      <c r="K142">
        <f t="shared" ca="1" si="33"/>
        <v>2.2706755312948288</v>
      </c>
      <c r="L142">
        <f t="shared" ca="1" si="34"/>
        <v>161.07035106258968</v>
      </c>
      <c r="M142">
        <f t="shared" ca="1" si="35"/>
        <v>151.98764893741037</v>
      </c>
      <c r="N142">
        <f t="shared" ca="1" si="45"/>
        <v>0.97999999999998977</v>
      </c>
      <c r="O142">
        <f t="shared" ca="1" si="46"/>
        <v>0.97999999999998977</v>
      </c>
      <c r="P142">
        <f t="shared" ca="1" si="47"/>
        <v>0</v>
      </c>
      <c r="Q142">
        <f t="shared" ca="1" si="30"/>
        <v>0.67527777382598297</v>
      </c>
      <c r="R142">
        <f t="shared" ca="1" si="31"/>
        <v>0.81200145088674236</v>
      </c>
      <c r="S142">
        <f t="shared" ca="1" si="28"/>
        <v>0.83162138822356668</v>
      </c>
      <c r="T142">
        <f t="shared" ca="1" si="29"/>
        <v>45.403563944518623</v>
      </c>
      <c r="U142">
        <f>70</f>
        <v>70</v>
      </c>
      <c r="V142">
        <f>30</f>
        <v>30</v>
      </c>
      <c r="W142">
        <f t="shared" ca="1" si="27"/>
        <v>156.86425305121176</v>
      </c>
      <c r="X142">
        <f t="shared" ca="1" si="37"/>
        <v>156.83570700644447</v>
      </c>
      <c r="Y142">
        <f t="shared" ca="1" si="36"/>
        <v>8.0337262437154777E-2</v>
      </c>
      <c r="Z142">
        <f t="shared" ca="1" si="38"/>
        <v>8.6049160060101992E-2</v>
      </c>
      <c r="AA142">
        <f t="shared" ca="1" si="39"/>
        <v>-5.7118976229472151E-3</v>
      </c>
      <c r="AB142">
        <f t="shared" ca="1" si="40"/>
        <v>157.77589999999992</v>
      </c>
    </row>
    <row r="143" spans="1:28" x14ac:dyDescent="0.25">
      <c r="A143" s="20">
        <f t="shared" ca="1" si="41"/>
        <v>45495</v>
      </c>
      <c r="B143" vm="417">
        <f ca="1"/>
        <v>45498</v>
      </c>
      <c r="C143" vm="418">
        <f ca="1"/>
        <v>157.54</v>
      </c>
      <c r="D143" vm="419">
        <f ca="1"/>
        <v>5432141</v>
      </c>
      <c r="E143">
        <f t="shared" ca="1" si="42"/>
        <v>855779493.13999999</v>
      </c>
      <c r="F143">
        <f ca="1">SUM($E$2:E143)/SUM($D$2:D143)</f>
        <v>154.94599850005932</v>
      </c>
      <c r="G143">
        <f ca="1">_xlfn.STDEV.P($C$2:C143)</f>
        <v>5.4303490569010169</v>
      </c>
      <c r="H143">
        <f t="shared" ca="1" si="43"/>
        <v>160.37634755696033</v>
      </c>
      <c r="I143">
        <f t="shared" ca="1" si="44"/>
        <v>149.51564944315831</v>
      </c>
      <c r="J143">
        <f t="shared" ca="1" si="32"/>
        <v>156.60849999999999</v>
      </c>
      <c r="K143">
        <f t="shared" ca="1" si="33"/>
        <v>2.2771618415544332</v>
      </c>
      <c r="L143">
        <f t="shared" ca="1" si="34"/>
        <v>161.16282368310885</v>
      </c>
      <c r="M143">
        <f t="shared" ca="1" si="35"/>
        <v>152.05417631689113</v>
      </c>
      <c r="N143">
        <f t="shared" ca="1" si="45"/>
        <v>2.4699999999999989</v>
      </c>
      <c r="O143">
        <f t="shared" ca="1" si="46"/>
        <v>2.4699999999999989</v>
      </c>
      <c r="P143">
        <f t="shared" ca="1" si="47"/>
        <v>0</v>
      </c>
      <c r="Q143">
        <f t="shared" ca="1" si="30"/>
        <v>0.80347221855269846</v>
      </c>
      <c r="R143">
        <f t="shared" ca="1" si="31"/>
        <v>0.7540013472519751</v>
      </c>
      <c r="S143">
        <f t="shared" ca="1" si="28"/>
        <v>1.065611117912487</v>
      </c>
      <c r="T143">
        <f t="shared" ca="1" si="29"/>
        <v>51.588176916349916</v>
      </c>
      <c r="U143">
        <f>70</f>
        <v>70</v>
      </c>
      <c r="V143">
        <f>30</f>
        <v>30</v>
      </c>
      <c r="W143">
        <f t="shared" ref="W143:W206" ca="1" si="48">C143*(2/(12+1)) + W142*(1-(2/(12+1)))</f>
        <v>156.96821412025611</v>
      </c>
      <c r="X143">
        <f t="shared" ca="1" si="37"/>
        <v>156.88787685781895</v>
      </c>
      <c r="Y143">
        <f t="shared" ca="1" si="36"/>
        <v>0.14393052685156249</v>
      </c>
      <c r="Z143">
        <f t="shared" ca="1" si="38"/>
        <v>9.7625433418394095E-2</v>
      </c>
      <c r="AA143">
        <f t="shared" ca="1" si="39"/>
        <v>4.6305093433168396E-2</v>
      </c>
      <c r="AB143">
        <f t="shared" ca="1" si="40"/>
        <v>157.82319999999993</v>
      </c>
    </row>
    <row r="144" spans="1:28" x14ac:dyDescent="0.25">
      <c r="A144" s="20">
        <f t="shared" ca="1" si="41"/>
        <v>45495</v>
      </c>
      <c r="B144" vm="420">
        <f ca="1"/>
        <v>45499</v>
      </c>
      <c r="C144" vm="421">
        <f ca="1"/>
        <v>157.84</v>
      </c>
      <c r="D144" vm="422">
        <f ca="1"/>
        <v>5232519</v>
      </c>
      <c r="E144">
        <f t="shared" ca="1" si="42"/>
        <v>825900798.96000004</v>
      </c>
      <c r="F144">
        <f ca="1">SUM($E$2:E144)/SUM($D$2:D144)</f>
        <v>154.95956247491623</v>
      </c>
      <c r="G144">
        <f ca="1">_xlfn.STDEV.P($C$2:C144)</f>
        <v>5.4150710741530448</v>
      </c>
      <c r="H144">
        <f t="shared" ca="1" si="43"/>
        <v>160.37463354906927</v>
      </c>
      <c r="I144">
        <f t="shared" ca="1" si="44"/>
        <v>149.54449140076318</v>
      </c>
      <c r="J144">
        <f t="shared" ca="1" si="32"/>
        <v>156.68450000000001</v>
      </c>
      <c r="K144">
        <f t="shared" ca="1" si="33"/>
        <v>2.2923407365903481</v>
      </c>
      <c r="L144">
        <f t="shared" ca="1" si="34"/>
        <v>161.26918147318071</v>
      </c>
      <c r="M144">
        <f t="shared" ca="1" si="35"/>
        <v>152.09981852681932</v>
      </c>
      <c r="N144">
        <f t="shared" ca="1" si="45"/>
        <v>0.30000000000001137</v>
      </c>
      <c r="O144">
        <f t="shared" ca="1" si="46"/>
        <v>0.30000000000001137</v>
      </c>
      <c r="P144">
        <f t="shared" ca="1" si="47"/>
        <v>0</v>
      </c>
      <c r="Q144">
        <f t="shared" ca="1" si="30"/>
        <v>0.76750991722750661</v>
      </c>
      <c r="R144">
        <f t="shared" ca="1" si="31"/>
        <v>0.70014410816254824</v>
      </c>
      <c r="S144">
        <f t="shared" ref="S144:S207" ca="1" si="49">IF(R144=0,NA(),Q144/R144)</f>
        <v>1.0962170620013536</v>
      </c>
      <c r="T144">
        <f t="shared" ref="T144:T207" ca="1" si="50">100-(100/(1+S144))</f>
        <v>52.295016669444784</v>
      </c>
      <c r="U144">
        <f>70</f>
        <v>70</v>
      </c>
      <c r="V144">
        <f>30</f>
        <v>30</v>
      </c>
      <c r="W144">
        <f t="shared" ca="1" si="48"/>
        <v>157.10233502483209</v>
      </c>
      <c r="X144">
        <f t="shared" ca="1" si="37"/>
        <v>156.95840449798052</v>
      </c>
      <c r="Y144">
        <f t="shared" ca="1" si="36"/>
        <v>9.3196696670815982E-2</v>
      </c>
      <c r="Z144">
        <f t="shared" ca="1" si="38"/>
        <v>9.6739686068878478E-2</v>
      </c>
      <c r="AA144">
        <f t="shared" ca="1" si="39"/>
        <v>-3.542989398062496E-3</v>
      </c>
      <c r="AB144">
        <f t="shared" ca="1" si="40"/>
        <v>157.91279999999992</v>
      </c>
    </row>
    <row r="145" spans="1:28" x14ac:dyDescent="0.25">
      <c r="A145" s="20">
        <f t="shared" ca="1" si="41"/>
        <v>45502</v>
      </c>
      <c r="B145" vm="423">
        <f ca="1"/>
        <v>45502</v>
      </c>
      <c r="C145" vm="424">
        <f ca="1"/>
        <v>156.6</v>
      </c>
      <c r="D145" vm="425">
        <f ca="1"/>
        <v>5071988</v>
      </c>
      <c r="E145">
        <f t="shared" ca="1" si="42"/>
        <v>794273320.79999995</v>
      </c>
      <c r="F145">
        <f ca="1">SUM($E$2:E145)/SUM($D$2:D145)</f>
        <v>154.96698149817846</v>
      </c>
      <c r="G145">
        <f ca="1">_xlfn.STDEV.P($C$2:C145)</f>
        <v>5.3970937676820814</v>
      </c>
      <c r="H145">
        <f t="shared" ca="1" si="43"/>
        <v>160.36407526586055</v>
      </c>
      <c r="I145">
        <f t="shared" ca="1" si="44"/>
        <v>149.56988773049636</v>
      </c>
      <c r="J145">
        <f t="shared" ca="1" si="32"/>
        <v>156.6935</v>
      </c>
      <c r="K145">
        <f t="shared" ca="1" si="33"/>
        <v>2.2916008539194186</v>
      </c>
      <c r="L145">
        <f t="shared" ca="1" si="34"/>
        <v>161.27670170783884</v>
      </c>
      <c r="M145">
        <f t="shared" ca="1" si="35"/>
        <v>152.11029829216116</v>
      </c>
      <c r="N145">
        <f t="shared" ca="1" si="45"/>
        <v>-1.2400000000000091</v>
      </c>
      <c r="O145">
        <f t="shared" ca="1" si="46"/>
        <v>0</v>
      </c>
      <c r="P145">
        <f t="shared" ca="1" si="47"/>
        <v>1.2400000000000091</v>
      </c>
      <c r="Q145">
        <f t="shared" ref="Q145:Q208" ca="1" si="51">(Q144*13+O145)/14</f>
        <v>0.71268778028268465</v>
      </c>
      <c r="R145">
        <f t="shared" ref="R145:R208" ca="1" si="52">(R144*13+P145)/14</f>
        <v>0.73870524329379539</v>
      </c>
      <c r="S145">
        <f t="shared" ca="1" si="49"/>
        <v>0.96477964215455936</v>
      </c>
      <c r="T145">
        <f t="shared" ca="1" si="50"/>
        <v>49.10370717688172</v>
      </c>
      <c r="U145">
        <f>70</f>
        <v>70</v>
      </c>
      <c r="V145">
        <f>30</f>
        <v>30</v>
      </c>
      <c r="W145">
        <f t="shared" ca="1" si="48"/>
        <v>157.02505271331944</v>
      </c>
      <c r="X145">
        <f t="shared" ca="1" si="37"/>
        <v>156.93185601664862</v>
      </c>
      <c r="Y145">
        <f t="shared" ca="1" si="36"/>
        <v>0.28930897562699442</v>
      </c>
      <c r="Z145">
        <f t="shared" ca="1" si="38"/>
        <v>0.13525354398050168</v>
      </c>
      <c r="AA145">
        <f t="shared" ca="1" si="39"/>
        <v>0.15405543164649274</v>
      </c>
      <c r="AB145">
        <f t="shared" ca="1" si="40"/>
        <v>157.98289999999994</v>
      </c>
    </row>
    <row r="146" spans="1:28" x14ac:dyDescent="0.25">
      <c r="A146" s="20">
        <f t="shared" ca="1" si="41"/>
        <v>45502</v>
      </c>
      <c r="B146" vm="426">
        <f ca="1"/>
        <v>45503</v>
      </c>
      <c r="C146" vm="427">
        <f ca="1"/>
        <v>159.57</v>
      </c>
      <c r="D146" vm="428">
        <f ca="1"/>
        <v>5740861</v>
      </c>
      <c r="E146">
        <f t="shared" ca="1" si="42"/>
        <v>916069189.76999998</v>
      </c>
      <c r="F146">
        <f ca="1">SUM($E$2:E146)/SUM($D$2:D146)</f>
        <v>154.99042438474447</v>
      </c>
      <c r="G146">
        <f ca="1">_xlfn.STDEV.P($C$2:C146)</f>
        <v>5.3892510475710376</v>
      </c>
      <c r="H146">
        <f t="shared" ca="1" si="43"/>
        <v>160.37967543231551</v>
      </c>
      <c r="I146">
        <f t="shared" ca="1" si="44"/>
        <v>149.60117333717344</v>
      </c>
      <c r="J146">
        <f t="shared" ca="1" si="32"/>
        <v>156.84600000000003</v>
      </c>
      <c r="K146">
        <f t="shared" ca="1" si="33"/>
        <v>2.3792555226594008</v>
      </c>
      <c r="L146">
        <f t="shared" ca="1" si="34"/>
        <v>161.60451104531884</v>
      </c>
      <c r="M146">
        <f t="shared" ca="1" si="35"/>
        <v>152.08748895468122</v>
      </c>
      <c r="N146">
        <f t="shared" ca="1" si="45"/>
        <v>2.9699999999999989</v>
      </c>
      <c r="O146">
        <f t="shared" ca="1" si="46"/>
        <v>2.9699999999999989</v>
      </c>
      <c r="P146">
        <f t="shared" ca="1" si="47"/>
        <v>0</v>
      </c>
      <c r="Q146">
        <f t="shared" ca="1" si="51"/>
        <v>0.87392436740534996</v>
      </c>
      <c r="R146">
        <f t="shared" ca="1" si="52"/>
        <v>0.68594058305852434</v>
      </c>
      <c r="S146">
        <f t="shared" ca="1" si="49"/>
        <v>1.2740525768407363</v>
      </c>
      <c r="T146">
        <f t="shared" ca="1" si="50"/>
        <v>56.025642934374638</v>
      </c>
      <c r="U146">
        <f>70</f>
        <v>70</v>
      </c>
      <c r="V146">
        <f>30</f>
        <v>30</v>
      </c>
      <c r="W146">
        <f t="shared" ca="1" si="48"/>
        <v>157.41658306511644</v>
      </c>
      <c r="X146">
        <f t="shared" ca="1" si="37"/>
        <v>157.12727408948945</v>
      </c>
      <c r="Y146">
        <f t="shared" ca="1" si="36"/>
        <v>0.51145610044309819</v>
      </c>
      <c r="Z146">
        <f t="shared" ca="1" si="38"/>
        <v>0.21049405527302101</v>
      </c>
      <c r="AA146">
        <f t="shared" ca="1" si="39"/>
        <v>0.30096204517007719</v>
      </c>
      <c r="AB146">
        <f t="shared" ca="1" si="40"/>
        <v>158.09529999999992</v>
      </c>
    </row>
    <row r="147" spans="1:28" x14ac:dyDescent="0.25">
      <c r="A147" s="20">
        <f t="shared" ca="1" si="41"/>
        <v>45502</v>
      </c>
      <c r="B147" vm="429">
        <f ca="1"/>
        <v>45504</v>
      </c>
      <c r="C147" vm="430">
        <f ca="1"/>
        <v>160.47</v>
      </c>
      <c r="D147" vm="431">
        <f ca="1"/>
        <v>6209200</v>
      </c>
      <c r="E147">
        <f t="shared" ca="1" si="42"/>
        <v>996390324</v>
      </c>
      <c r="F147">
        <f ca="1">SUM($E$2:E147)/SUM($D$2:D147)</f>
        <v>155.02044283004409</v>
      </c>
      <c r="G147">
        <f ca="1">_xlfn.STDEV.P($C$2:C147)</f>
        <v>5.3865225801681795</v>
      </c>
      <c r="H147">
        <f t="shared" ca="1" si="43"/>
        <v>160.40696541021228</v>
      </c>
      <c r="I147">
        <f t="shared" ca="1" si="44"/>
        <v>149.6339202498759</v>
      </c>
      <c r="J147">
        <f t="shared" ca="1" si="32"/>
        <v>157.03200000000001</v>
      </c>
      <c r="K147">
        <f t="shared" ca="1" si="33"/>
        <v>2.5130032358033065</v>
      </c>
      <c r="L147">
        <f t="shared" ca="1" si="34"/>
        <v>162.05800647160663</v>
      </c>
      <c r="M147">
        <f t="shared" ca="1" si="35"/>
        <v>152.00599352839339</v>
      </c>
      <c r="N147">
        <f t="shared" ca="1" si="45"/>
        <v>0.90000000000000568</v>
      </c>
      <c r="O147">
        <f t="shared" ca="1" si="46"/>
        <v>0.90000000000000568</v>
      </c>
      <c r="P147">
        <f t="shared" ca="1" si="47"/>
        <v>0</v>
      </c>
      <c r="Q147">
        <f t="shared" ca="1" si="51"/>
        <v>0.87578691259068253</v>
      </c>
      <c r="R147">
        <f t="shared" ca="1" si="52"/>
        <v>0.63694482712577261</v>
      </c>
      <c r="S147">
        <f t="shared" ca="1" si="49"/>
        <v>1.3749808072744543</v>
      </c>
      <c r="T147">
        <f t="shared" ca="1" si="50"/>
        <v>57.894396580509316</v>
      </c>
      <c r="U147">
        <f>70</f>
        <v>70</v>
      </c>
      <c r="V147">
        <f>30</f>
        <v>30</v>
      </c>
      <c r="W147">
        <f t="shared" ca="1" si="48"/>
        <v>157.88633951663701</v>
      </c>
      <c r="X147">
        <f t="shared" ca="1" si="37"/>
        <v>157.37488341619391</v>
      </c>
      <c r="Y147">
        <f t="shared" ca="1" si="36"/>
        <v>5.3463607345179298E-2</v>
      </c>
      <c r="Z147">
        <f t="shared" ca="1" si="38"/>
        <v>0.17908796568745267</v>
      </c>
      <c r="AA147">
        <f t="shared" ca="1" si="39"/>
        <v>-0.12562435834227337</v>
      </c>
      <c r="AB147">
        <f t="shared" ca="1" si="40"/>
        <v>158.20629999999994</v>
      </c>
    </row>
    <row r="148" spans="1:28" x14ac:dyDescent="0.25">
      <c r="A148" s="20">
        <f t="shared" ca="1" si="41"/>
        <v>45502</v>
      </c>
      <c r="B148" vm="432">
        <f ca="1"/>
        <v>45505</v>
      </c>
      <c r="C148" vm="433">
        <f ca="1"/>
        <v>152.62</v>
      </c>
      <c r="D148" vm="434">
        <f ca="1"/>
        <v>16689945</v>
      </c>
      <c r="E148">
        <f t="shared" ca="1" si="42"/>
        <v>2547219405.9000001</v>
      </c>
      <c r="F148">
        <f ca="1">SUM($E$2:E148)/SUM($D$2:D148)</f>
        <v>154.98560882109834</v>
      </c>
      <c r="G148">
        <f ca="1">_xlfn.STDEV.P($C$2:C148)</f>
        <v>5.3734304866253586</v>
      </c>
      <c r="H148">
        <f t="shared" ca="1" si="43"/>
        <v>160.35903930772369</v>
      </c>
      <c r="I148">
        <f t="shared" ca="1" si="44"/>
        <v>149.61217833447299</v>
      </c>
      <c r="J148">
        <f t="shared" ca="1" si="32"/>
        <v>156.82750000000001</v>
      </c>
      <c r="K148">
        <f t="shared" ca="1" si="33"/>
        <v>2.7000406917011639</v>
      </c>
      <c r="L148">
        <f t="shared" ca="1" si="34"/>
        <v>162.22758138340234</v>
      </c>
      <c r="M148">
        <f t="shared" ca="1" si="35"/>
        <v>151.42741861659769</v>
      </c>
      <c r="N148">
        <f t="shared" ca="1" si="45"/>
        <v>-7.8499999999999943</v>
      </c>
      <c r="O148">
        <f t="shared" ca="1" si="46"/>
        <v>0</v>
      </c>
      <c r="P148">
        <f t="shared" ca="1" si="47"/>
        <v>7.8499999999999943</v>
      </c>
      <c r="Q148">
        <f t="shared" ca="1" si="51"/>
        <v>0.81323070454849089</v>
      </c>
      <c r="R148">
        <f t="shared" ca="1" si="52"/>
        <v>1.1521630537596457</v>
      </c>
      <c r="S148">
        <f t="shared" ca="1" si="49"/>
        <v>0.70582952811654731</v>
      </c>
      <c r="T148">
        <f t="shared" ca="1" si="50"/>
        <v>41.37749502412899</v>
      </c>
      <c r="U148">
        <f>70</f>
        <v>70</v>
      </c>
      <c r="V148">
        <f>30</f>
        <v>30</v>
      </c>
      <c r="W148">
        <f t="shared" ca="1" si="48"/>
        <v>157.07613343715437</v>
      </c>
      <c r="X148">
        <f t="shared" ca="1" si="37"/>
        <v>157.02266982980919</v>
      </c>
      <c r="Y148">
        <f t="shared" ca="1" si="36"/>
        <v>-0.630644056561664</v>
      </c>
      <c r="Z148">
        <f t="shared" ca="1" si="38"/>
        <v>1.7141561237629332E-2</v>
      </c>
      <c r="AA148">
        <f t="shared" ca="1" si="39"/>
        <v>-0.64778561779929333</v>
      </c>
      <c r="AB148">
        <f t="shared" ca="1" si="40"/>
        <v>158.23369999999997</v>
      </c>
    </row>
    <row r="149" spans="1:28" x14ac:dyDescent="0.25">
      <c r="A149" s="20">
        <f t="shared" ca="1" si="41"/>
        <v>45502</v>
      </c>
      <c r="B149" vm="435">
        <f ca="1"/>
        <v>45506</v>
      </c>
      <c r="C149" vm="436">
        <f ca="1"/>
        <v>148.55000000000001</v>
      </c>
      <c r="D149" vm="437">
        <f ca="1"/>
        <v>13278618</v>
      </c>
      <c r="E149">
        <f t="shared" ca="1" si="42"/>
        <v>1972538703.9000001</v>
      </c>
      <c r="F149">
        <f ca="1">SUM($E$2:E149)/SUM($D$2:D149)</f>
        <v>154.91215501398545</v>
      </c>
      <c r="G149">
        <f ca="1">_xlfn.STDEV.P($C$2:C149)</f>
        <v>5.3853605839748777</v>
      </c>
      <c r="H149">
        <f t="shared" ca="1" si="43"/>
        <v>160.29751559796034</v>
      </c>
      <c r="I149">
        <f t="shared" ca="1" si="44"/>
        <v>149.52679443001057</v>
      </c>
      <c r="J149">
        <f t="shared" ca="1" si="32"/>
        <v>156.53950000000003</v>
      </c>
      <c r="K149">
        <f t="shared" ca="1" si="33"/>
        <v>3.2365876686476591</v>
      </c>
      <c r="L149">
        <f t="shared" ca="1" si="34"/>
        <v>163.01267533729535</v>
      </c>
      <c r="M149">
        <f t="shared" ca="1" si="35"/>
        <v>150.06632466270472</v>
      </c>
      <c r="N149">
        <f t="shared" ca="1" si="45"/>
        <v>-4.0699999999999932</v>
      </c>
      <c r="O149">
        <f t="shared" ca="1" si="46"/>
        <v>0</v>
      </c>
      <c r="P149">
        <f t="shared" ca="1" si="47"/>
        <v>4.0699999999999932</v>
      </c>
      <c r="Q149">
        <f t="shared" ca="1" si="51"/>
        <v>0.7551427970807415</v>
      </c>
      <c r="R149">
        <f t="shared" ca="1" si="52"/>
        <v>1.3605799784910992</v>
      </c>
      <c r="S149">
        <f t="shared" ca="1" si="49"/>
        <v>0.55501536772443516</v>
      </c>
      <c r="T149">
        <f t="shared" ca="1" si="50"/>
        <v>35.691953870309888</v>
      </c>
      <c r="U149">
        <f>70</f>
        <v>70</v>
      </c>
      <c r="V149">
        <f>30</f>
        <v>30</v>
      </c>
      <c r="W149">
        <f t="shared" ca="1" si="48"/>
        <v>155.76442060066907</v>
      </c>
      <c r="X149">
        <f t="shared" ca="1" si="37"/>
        <v>156.39506465723073</v>
      </c>
      <c r="Y149">
        <f t="shared" ca="1" si="36"/>
        <v>-1.4697524079808488</v>
      </c>
      <c r="Z149">
        <f t="shared" ca="1" si="38"/>
        <v>-0.28023723260606631</v>
      </c>
      <c r="AA149">
        <f t="shared" ca="1" si="39"/>
        <v>-1.1895151753747826</v>
      </c>
      <c r="AB149">
        <f t="shared" ca="1" si="40"/>
        <v>158.19919999999993</v>
      </c>
    </row>
    <row r="150" spans="1:28" x14ac:dyDescent="0.25">
      <c r="A150" s="20">
        <f t="shared" ca="1" si="41"/>
        <v>45509</v>
      </c>
      <c r="B150" vm="438">
        <f ca="1"/>
        <v>45509</v>
      </c>
      <c r="C150" vm="439">
        <f ca="1"/>
        <v>144.66</v>
      </c>
      <c r="D150" vm="440">
        <f ca="1"/>
        <v>13037190</v>
      </c>
      <c r="E150">
        <f t="shared" ca="1" si="42"/>
        <v>1885959905.3999999</v>
      </c>
      <c r="F150">
        <f ca="1">SUM($E$2:E150)/SUM($D$2:D150)</f>
        <v>154.79854116879983</v>
      </c>
      <c r="G150">
        <f ca="1">_xlfn.STDEV.P($C$2:C150)</f>
        <v>5.4390190717336013</v>
      </c>
      <c r="H150">
        <f t="shared" ca="1" si="43"/>
        <v>160.23756024053344</v>
      </c>
      <c r="I150">
        <f t="shared" ca="1" si="44"/>
        <v>149.35952209706622</v>
      </c>
      <c r="J150">
        <f t="shared" ref="J150:J213" ca="1" si="53">AVERAGE(C131:C150)</f>
        <v>156.05599999999998</v>
      </c>
      <c r="K150">
        <f t="shared" ref="K150:K213" ca="1" si="54">_xlfn.STDEV.S(C131:C150)</f>
        <v>4.171328704129504</v>
      </c>
      <c r="L150">
        <f t="shared" ref="L150:L213" ca="1" si="55">J150 + 2*K150</f>
        <v>164.398657408259</v>
      </c>
      <c r="M150">
        <f t="shared" ref="M150:M213" ca="1" si="56">J150-2*K150</f>
        <v>147.71334259174097</v>
      </c>
      <c r="N150">
        <f t="shared" ca="1" si="45"/>
        <v>-3.8900000000000148</v>
      </c>
      <c r="O150">
        <f t="shared" ca="1" si="46"/>
        <v>0</v>
      </c>
      <c r="P150">
        <f t="shared" ca="1" si="47"/>
        <v>3.8900000000000148</v>
      </c>
      <c r="Q150">
        <f t="shared" ca="1" si="51"/>
        <v>0.70120402586068853</v>
      </c>
      <c r="R150">
        <f t="shared" ca="1" si="52"/>
        <v>1.5412528371703076</v>
      </c>
      <c r="S150">
        <f t="shared" ca="1" si="49"/>
        <v>0.45495716792844798</v>
      </c>
      <c r="T150">
        <f t="shared" ca="1" si="50"/>
        <v>31.269454383747316</v>
      </c>
      <c r="U150">
        <f>70</f>
        <v>70</v>
      </c>
      <c r="V150">
        <f>30</f>
        <v>30</v>
      </c>
      <c r="W150">
        <f t="shared" ca="1" si="48"/>
        <v>154.05604820056615</v>
      </c>
      <c r="X150">
        <f t="shared" ca="1" si="37"/>
        <v>155.525800608547</v>
      </c>
      <c r="Y150">
        <f t="shared" ca="1" si="36"/>
        <v>-2.2244982399135154</v>
      </c>
      <c r="Z150">
        <f t="shared" ca="1" si="38"/>
        <v>-0.66908943406755617</v>
      </c>
      <c r="AA150">
        <f t="shared" ca="1" si="39"/>
        <v>-1.5554088058459592</v>
      </c>
      <c r="AB150">
        <f t="shared" ca="1" si="40"/>
        <v>158.12689999999995</v>
      </c>
    </row>
    <row r="151" spans="1:28" x14ac:dyDescent="0.25">
      <c r="A151" s="20">
        <f t="shared" ca="1" si="41"/>
        <v>45509</v>
      </c>
      <c r="B151" vm="441">
        <f ca="1"/>
        <v>45510</v>
      </c>
      <c r="C151" vm="442">
        <f ca="1"/>
        <v>143.22999999999999</v>
      </c>
      <c r="D151" vm="443">
        <f ca="1"/>
        <v>9692659</v>
      </c>
      <c r="E151">
        <f t="shared" ca="1" si="42"/>
        <v>1388279548.5699999</v>
      </c>
      <c r="F151">
        <f ca="1">SUM($E$2:E151)/SUM($D$2:D151)</f>
        <v>154.70400671199818</v>
      </c>
      <c r="G151">
        <f ca="1">_xlfn.STDEV.P($C$2:C151)</f>
        <v>5.5101882964398063</v>
      </c>
      <c r="H151">
        <f t="shared" ca="1" si="43"/>
        <v>160.21419500843797</v>
      </c>
      <c r="I151">
        <f t="shared" ca="1" si="44"/>
        <v>149.19381841555838</v>
      </c>
      <c r="J151">
        <f t="shared" ca="1" si="53"/>
        <v>155.5685</v>
      </c>
      <c r="K151">
        <f t="shared" ca="1" si="54"/>
        <v>5.0309100097612349</v>
      </c>
      <c r="L151">
        <f t="shared" ca="1" si="55"/>
        <v>165.63032001952246</v>
      </c>
      <c r="M151">
        <f t="shared" ca="1" si="56"/>
        <v>145.50667998047754</v>
      </c>
      <c r="N151">
        <f t="shared" ca="1" si="45"/>
        <v>-1.4300000000000068</v>
      </c>
      <c r="O151">
        <f t="shared" ca="1" si="46"/>
        <v>0</v>
      </c>
      <c r="P151">
        <f t="shared" ca="1" si="47"/>
        <v>1.4300000000000068</v>
      </c>
      <c r="Q151">
        <f t="shared" ca="1" si="51"/>
        <v>0.6511180240134965</v>
      </c>
      <c r="R151">
        <f t="shared" ca="1" si="52"/>
        <v>1.5333062059438576</v>
      </c>
      <c r="S151">
        <f t="shared" ca="1" si="49"/>
        <v>0.42464970238132421</v>
      </c>
      <c r="T151">
        <f t="shared" ca="1" si="50"/>
        <v>29.807306432698198</v>
      </c>
      <c r="U151">
        <f>70</f>
        <v>70</v>
      </c>
      <c r="V151">
        <f>30</f>
        <v>30</v>
      </c>
      <c r="W151">
        <f t="shared" ca="1" si="48"/>
        <v>152.39050232355595</v>
      </c>
      <c r="X151">
        <f t="shared" ca="1" si="37"/>
        <v>154.61500056346947</v>
      </c>
      <c r="Y151">
        <f t="shared" ca="1" si="36"/>
        <v>-2.8558860200326421</v>
      </c>
      <c r="Z151">
        <f t="shared" ca="1" si="38"/>
        <v>-1.1064487512605734</v>
      </c>
      <c r="AA151">
        <f t="shared" ca="1" si="39"/>
        <v>-1.7494372687720687</v>
      </c>
      <c r="AB151">
        <f t="shared" ca="1" si="40"/>
        <v>158.02029999999993</v>
      </c>
    </row>
    <row r="152" spans="1:28" x14ac:dyDescent="0.25">
      <c r="A152" s="20">
        <f t="shared" ca="1" si="41"/>
        <v>45509</v>
      </c>
      <c r="B152" vm="444">
        <f ca="1"/>
        <v>45511</v>
      </c>
      <c r="C152" vm="445">
        <f ca="1"/>
        <v>142.41</v>
      </c>
      <c r="D152" vm="446">
        <f ca="1"/>
        <v>8867862</v>
      </c>
      <c r="E152">
        <f t="shared" ca="1" si="42"/>
        <v>1262872227.4200001</v>
      </c>
      <c r="F152">
        <f ca="1">SUM($E$2:E152)/SUM($D$2:D152)</f>
        <v>154.61277493583339</v>
      </c>
      <c r="G152">
        <f ca="1">_xlfn.STDEV.P($C$2:C152)</f>
        <v>5.5904216274867293</v>
      </c>
      <c r="H152">
        <f t="shared" ca="1" si="43"/>
        <v>160.20319656332012</v>
      </c>
      <c r="I152">
        <f t="shared" ca="1" si="44"/>
        <v>149.02235330834665</v>
      </c>
      <c r="J152">
        <f t="shared" ca="1" si="53"/>
        <v>154.93249999999995</v>
      </c>
      <c r="K152">
        <f t="shared" ca="1" si="54"/>
        <v>5.8298459625764059</v>
      </c>
      <c r="L152">
        <f t="shared" ca="1" si="55"/>
        <v>166.59219192515275</v>
      </c>
      <c r="M152">
        <f t="shared" ca="1" si="56"/>
        <v>143.27280807484715</v>
      </c>
      <c r="N152">
        <f t="shared" ca="1" si="45"/>
        <v>-0.81999999999999318</v>
      </c>
      <c r="O152">
        <f t="shared" ca="1" si="46"/>
        <v>0</v>
      </c>
      <c r="P152">
        <f t="shared" ca="1" si="47"/>
        <v>0.81999999999999318</v>
      </c>
      <c r="Q152">
        <f t="shared" ca="1" si="51"/>
        <v>0.60460959372681811</v>
      </c>
      <c r="R152">
        <f t="shared" ca="1" si="52"/>
        <v>1.4823557626621529</v>
      </c>
      <c r="S152">
        <f t="shared" ca="1" si="49"/>
        <v>0.40787077498926694</v>
      </c>
      <c r="T152">
        <f t="shared" ca="1" si="50"/>
        <v>28.970753725062323</v>
      </c>
      <c r="U152">
        <f>70</f>
        <v>70</v>
      </c>
      <c r="V152">
        <f>30</f>
        <v>30</v>
      </c>
      <c r="W152">
        <f t="shared" ca="1" si="48"/>
        <v>150.85504042762426</v>
      </c>
      <c r="X152">
        <f t="shared" ca="1" si="37"/>
        <v>153.7109264476569</v>
      </c>
      <c r="Y152">
        <f t="shared" ca="1" si="36"/>
        <v>-3.152091420182586</v>
      </c>
      <c r="Z152">
        <f t="shared" ca="1" si="38"/>
        <v>-1.515577285044976</v>
      </c>
      <c r="AA152">
        <f t="shared" ca="1" si="39"/>
        <v>-1.63651413513761</v>
      </c>
      <c r="AB152">
        <f t="shared" ca="1" si="40"/>
        <v>157.88739999999993</v>
      </c>
    </row>
    <row r="153" spans="1:28" x14ac:dyDescent="0.25">
      <c r="A153" s="20">
        <f t="shared" ca="1" si="41"/>
        <v>45509</v>
      </c>
      <c r="B153" vm="447">
        <f ca="1"/>
        <v>45512</v>
      </c>
      <c r="C153" vm="448">
        <f ca="1"/>
        <v>144.49</v>
      </c>
      <c r="D153" vm="449">
        <f ca="1"/>
        <v>7531112</v>
      </c>
      <c r="E153">
        <f t="shared" ca="1" si="42"/>
        <v>1088170372.8800001</v>
      </c>
      <c r="F153">
        <f ca="1">SUM($E$2:E153)/SUM($D$2:D153)</f>
        <v>154.54937862018159</v>
      </c>
      <c r="G153">
        <f ca="1">_xlfn.STDEV.P($C$2:C153)</f>
        <v>5.6389552985063309</v>
      </c>
      <c r="H153">
        <f t="shared" ca="1" si="43"/>
        <v>160.1883339186879</v>
      </c>
      <c r="I153">
        <f t="shared" ca="1" si="44"/>
        <v>148.91042332167527</v>
      </c>
      <c r="J153">
        <f t="shared" ca="1" si="53"/>
        <v>154.39399999999995</v>
      </c>
      <c r="K153">
        <f t="shared" ca="1" si="54"/>
        <v>6.2781738880363172</v>
      </c>
      <c r="L153">
        <f t="shared" ca="1" si="55"/>
        <v>166.95034777607259</v>
      </c>
      <c r="M153">
        <f t="shared" ca="1" si="56"/>
        <v>141.83765222392731</v>
      </c>
      <c r="N153">
        <f t="shared" ca="1" si="45"/>
        <v>2.0800000000000125</v>
      </c>
      <c r="O153">
        <f t="shared" ca="1" si="46"/>
        <v>2.0800000000000125</v>
      </c>
      <c r="P153">
        <f t="shared" ca="1" si="47"/>
        <v>0</v>
      </c>
      <c r="Q153">
        <f t="shared" ca="1" si="51"/>
        <v>0.70999462274633196</v>
      </c>
      <c r="R153">
        <f t="shared" ca="1" si="52"/>
        <v>1.3764732081862847</v>
      </c>
      <c r="S153">
        <f t="shared" ca="1" si="49"/>
        <v>0.5158070774816309</v>
      </c>
      <c r="T153">
        <f t="shared" ca="1" si="50"/>
        <v>34.028543944958699</v>
      </c>
      <c r="U153">
        <f>70</f>
        <v>70</v>
      </c>
      <c r="V153">
        <f>30</f>
        <v>30</v>
      </c>
      <c r="W153">
        <f t="shared" ca="1" si="48"/>
        <v>149.87580343875899</v>
      </c>
      <c r="X153">
        <f t="shared" ca="1" si="37"/>
        <v>153.02789485894158</v>
      </c>
      <c r="Y153">
        <f t="shared" ca="1" si="36"/>
        <v>-3.3083538685031044</v>
      </c>
      <c r="Z153">
        <f t="shared" ca="1" si="38"/>
        <v>-1.8741326017366018</v>
      </c>
      <c r="AA153">
        <f t="shared" ca="1" si="39"/>
        <v>-1.4342212667665026</v>
      </c>
      <c r="AB153">
        <f t="shared" ca="1" si="40"/>
        <v>157.77679999999992</v>
      </c>
    </row>
    <row r="154" spans="1:28" x14ac:dyDescent="0.25">
      <c r="A154" s="20">
        <f t="shared" ca="1" si="41"/>
        <v>45509</v>
      </c>
      <c r="B154" vm="450">
        <f ca="1"/>
        <v>45513</v>
      </c>
      <c r="C154" vm="451">
        <f ca="1"/>
        <v>144.99</v>
      </c>
      <c r="D154" vm="452">
        <f ca="1"/>
        <v>7653053</v>
      </c>
      <c r="E154">
        <f t="shared" ca="1" si="42"/>
        <v>1109616154.47</v>
      </c>
      <c r="F154">
        <f ca="1">SUM($E$2:E154)/SUM($D$2:D154)</f>
        <v>154.48892607912671</v>
      </c>
      <c r="G154">
        <f ca="1">_xlfn.STDEV.P($C$2:C154)</f>
        <v>5.6796516160226123</v>
      </c>
      <c r="H154">
        <f t="shared" ca="1" si="43"/>
        <v>160.16857769514934</v>
      </c>
      <c r="I154">
        <f t="shared" ca="1" si="44"/>
        <v>148.80927446310409</v>
      </c>
      <c r="J154">
        <f t="shared" ca="1" si="53"/>
        <v>153.86399999999995</v>
      </c>
      <c r="K154">
        <f t="shared" ca="1" si="54"/>
        <v>6.6105206419687343</v>
      </c>
      <c r="L154">
        <f t="shared" ca="1" si="55"/>
        <v>167.08504128393741</v>
      </c>
      <c r="M154">
        <f t="shared" ca="1" si="56"/>
        <v>140.64295871606248</v>
      </c>
      <c r="N154">
        <f t="shared" ca="1" si="45"/>
        <v>0.5</v>
      </c>
      <c r="O154">
        <f t="shared" ca="1" si="46"/>
        <v>0.5</v>
      </c>
      <c r="P154">
        <f t="shared" ca="1" si="47"/>
        <v>0</v>
      </c>
      <c r="Q154">
        <f t="shared" ca="1" si="51"/>
        <v>0.69499500683587967</v>
      </c>
      <c r="R154">
        <f t="shared" ca="1" si="52"/>
        <v>1.2781536933158359</v>
      </c>
      <c r="S154">
        <f t="shared" ca="1" si="49"/>
        <v>0.54374916762388459</v>
      </c>
      <c r="T154">
        <f t="shared" ca="1" si="50"/>
        <v>35.222637137405883</v>
      </c>
      <c r="U154">
        <f>70</f>
        <v>70</v>
      </c>
      <c r="V154">
        <f>30</f>
        <v>30</v>
      </c>
      <c r="W154">
        <f t="shared" ca="1" si="48"/>
        <v>149.12414137125762</v>
      </c>
      <c r="X154">
        <f t="shared" ca="1" si="37"/>
        <v>152.43249523976073</v>
      </c>
      <c r="Y154">
        <f t="shared" ca="1" si="36"/>
        <v>-3.3906865118482017</v>
      </c>
      <c r="Z154">
        <f t="shared" ca="1" si="38"/>
        <v>-2.1774433837589218</v>
      </c>
      <c r="AA154">
        <f t="shared" ca="1" si="39"/>
        <v>-1.2132431280892799</v>
      </c>
      <c r="AB154">
        <f t="shared" ca="1" si="40"/>
        <v>157.67259999999993</v>
      </c>
    </row>
    <row r="155" spans="1:28" x14ac:dyDescent="0.25">
      <c r="A155" s="20">
        <f t="shared" ca="1" si="41"/>
        <v>45516</v>
      </c>
      <c r="B155" vm="453">
        <f ca="1"/>
        <v>45516</v>
      </c>
      <c r="C155" vm="454">
        <f ca="1"/>
        <v>145.02000000000001</v>
      </c>
      <c r="D155" vm="455">
        <f ca="1"/>
        <v>8442174</v>
      </c>
      <c r="E155">
        <f t="shared" ca="1" si="42"/>
        <v>1224284073.48</v>
      </c>
      <c r="F155">
        <f ca="1">SUM($E$2:E155)/SUM($D$2:D155)</f>
        <v>154.42332875923157</v>
      </c>
      <c r="G155">
        <f ca="1">_xlfn.STDEV.P($C$2:C155)</f>
        <v>5.7184407974837148</v>
      </c>
      <c r="H155">
        <f t="shared" ca="1" si="43"/>
        <v>160.14176955671527</v>
      </c>
      <c r="I155">
        <f t="shared" ca="1" si="44"/>
        <v>148.70488796174786</v>
      </c>
      <c r="J155">
        <f t="shared" ca="1" si="53"/>
        <v>153.21299999999999</v>
      </c>
      <c r="K155">
        <f t="shared" ca="1" si="54"/>
        <v>6.8155473194130112</v>
      </c>
      <c r="L155">
        <f t="shared" ca="1" si="55"/>
        <v>166.84409463882602</v>
      </c>
      <c r="M155">
        <f t="shared" ca="1" si="56"/>
        <v>139.58190536117397</v>
      </c>
      <c r="N155">
        <f t="shared" ca="1" si="45"/>
        <v>3.0000000000001137E-2</v>
      </c>
      <c r="O155">
        <f t="shared" ca="1" si="46"/>
        <v>3.0000000000001137E-2</v>
      </c>
      <c r="P155">
        <f t="shared" ca="1" si="47"/>
        <v>0</v>
      </c>
      <c r="Q155">
        <f t="shared" ca="1" si="51"/>
        <v>0.64749536349045977</v>
      </c>
      <c r="R155">
        <f t="shared" ca="1" si="52"/>
        <v>1.1868570009361332</v>
      </c>
      <c r="S155">
        <f t="shared" ca="1" si="49"/>
        <v>0.54555465652538426</v>
      </c>
      <c r="T155">
        <f t="shared" ca="1" si="50"/>
        <v>35.298308877142205</v>
      </c>
      <c r="U155">
        <f>70</f>
        <v>70</v>
      </c>
      <c r="V155">
        <f>30</f>
        <v>30</v>
      </c>
      <c r="W155">
        <f t="shared" ca="1" si="48"/>
        <v>148.49273500644875</v>
      </c>
      <c r="X155">
        <f t="shared" ca="1" si="37"/>
        <v>151.88342151829696</v>
      </c>
      <c r="Y155">
        <f t="shared" ca="1" si="36"/>
        <v>-3.4859535513710398</v>
      </c>
      <c r="Z155">
        <f t="shared" ca="1" si="38"/>
        <v>-2.4391454172813454</v>
      </c>
      <c r="AA155">
        <f t="shared" ca="1" si="39"/>
        <v>-1.0468081340896944</v>
      </c>
      <c r="AB155">
        <f t="shared" ca="1" si="40"/>
        <v>157.55659999999995</v>
      </c>
    </row>
    <row r="156" spans="1:28" x14ac:dyDescent="0.25">
      <c r="A156" s="20">
        <f t="shared" ca="1" si="41"/>
        <v>45516</v>
      </c>
      <c r="B156" vm="456">
        <f ca="1"/>
        <v>45517</v>
      </c>
      <c r="C156" vm="457">
        <f ca="1"/>
        <v>144.15</v>
      </c>
      <c r="D156" vm="458">
        <f ca="1"/>
        <v>7794816</v>
      </c>
      <c r="E156">
        <f t="shared" ca="1" si="42"/>
        <v>1123622726.4000001</v>
      </c>
      <c r="F156">
        <f ca="1">SUM($E$2:E156)/SUM($D$2:D156)</f>
        <v>154.35803389220007</v>
      </c>
      <c r="G156">
        <f ca="1">_xlfn.STDEV.P($C$2:C156)</f>
        <v>5.7658342179539117</v>
      </c>
      <c r="H156">
        <f t="shared" ca="1" si="43"/>
        <v>160.12386811015398</v>
      </c>
      <c r="I156">
        <f t="shared" ca="1" si="44"/>
        <v>148.59219967424616</v>
      </c>
      <c r="J156">
        <f t="shared" ca="1" si="53"/>
        <v>152.53199999999998</v>
      </c>
      <c r="K156">
        <f t="shared" ca="1" si="54"/>
        <v>7.0138153893433381</v>
      </c>
      <c r="L156">
        <f t="shared" ca="1" si="55"/>
        <v>166.55963077868665</v>
      </c>
      <c r="M156">
        <f t="shared" ca="1" si="56"/>
        <v>138.50436922131331</v>
      </c>
      <c r="N156">
        <f t="shared" ca="1" si="45"/>
        <v>-0.87000000000000455</v>
      </c>
      <c r="O156">
        <f t="shared" ca="1" si="46"/>
        <v>0</v>
      </c>
      <c r="P156">
        <f t="shared" ca="1" si="47"/>
        <v>0.87000000000000455</v>
      </c>
      <c r="Q156">
        <f t="shared" ca="1" si="51"/>
        <v>0.60124569466971267</v>
      </c>
      <c r="R156">
        <f t="shared" ca="1" si="52"/>
        <v>1.1642243580121239</v>
      </c>
      <c r="S156">
        <f t="shared" ca="1" si="49"/>
        <v>0.51643456051402381</v>
      </c>
      <c r="T156">
        <f t="shared" ca="1" si="50"/>
        <v>34.055842168287739</v>
      </c>
      <c r="U156">
        <f>70</f>
        <v>70</v>
      </c>
      <c r="V156">
        <f>30</f>
        <v>30</v>
      </c>
      <c r="W156">
        <f t="shared" ca="1" si="48"/>
        <v>147.82462192853356</v>
      </c>
      <c r="X156">
        <f t="shared" ca="1" si="37"/>
        <v>151.3105754799046</v>
      </c>
      <c r="Y156">
        <f t="shared" ref="Y156:Y219" ca="1" si="57">W157-X157</f>
        <v>-3.4793855219217278</v>
      </c>
      <c r="Z156">
        <f t="shared" ca="1" si="38"/>
        <v>-2.6471934382094218</v>
      </c>
      <c r="AA156">
        <f t="shared" ca="1" si="39"/>
        <v>-0.83219208371230602</v>
      </c>
      <c r="AB156">
        <f t="shared" ca="1" si="40"/>
        <v>157.45259999999996</v>
      </c>
    </row>
    <row r="157" spans="1:28" x14ac:dyDescent="0.25">
      <c r="A157" s="20">
        <f t="shared" ca="1" si="41"/>
        <v>45516</v>
      </c>
      <c r="B157" vm="459">
        <f ca="1"/>
        <v>45518</v>
      </c>
      <c r="C157" vm="460">
        <f ca="1"/>
        <v>144.66999999999999</v>
      </c>
      <c r="D157" vm="461">
        <f ca="1"/>
        <v>5874216</v>
      </c>
      <c r="E157">
        <f t="shared" ca="1" si="42"/>
        <v>849822828.71999991</v>
      </c>
      <c r="F157">
        <f ca="1">SUM($E$2:E157)/SUM($D$2:D157)</f>
        <v>154.31185193257238</v>
      </c>
      <c r="G157">
        <f ca="1">_xlfn.STDEV.P($C$2:C157)</f>
        <v>5.8054121479099656</v>
      </c>
      <c r="H157">
        <f t="shared" ca="1" si="43"/>
        <v>160.11726408048236</v>
      </c>
      <c r="I157">
        <f t="shared" ca="1" si="44"/>
        <v>148.5064397846624</v>
      </c>
      <c r="J157">
        <f t="shared" ca="1" si="53"/>
        <v>151.70400000000001</v>
      </c>
      <c r="K157">
        <f t="shared" ca="1" si="54"/>
        <v>6.9096525923788965</v>
      </c>
      <c r="L157">
        <f t="shared" ca="1" si="55"/>
        <v>165.52330518475779</v>
      </c>
      <c r="M157">
        <f t="shared" ca="1" si="56"/>
        <v>137.88469481524223</v>
      </c>
      <c r="N157">
        <f t="shared" ca="1" si="45"/>
        <v>0.51999999999998181</v>
      </c>
      <c r="O157">
        <f t="shared" ca="1" si="46"/>
        <v>0.51999999999998181</v>
      </c>
      <c r="P157">
        <f t="shared" ca="1" si="47"/>
        <v>0</v>
      </c>
      <c r="Q157">
        <f t="shared" ca="1" si="51"/>
        <v>0.5954424307647318</v>
      </c>
      <c r="R157">
        <f t="shared" ca="1" si="52"/>
        <v>1.0810654752969722</v>
      </c>
      <c r="S157">
        <f t="shared" ca="1" si="49"/>
        <v>0.55079219933571721</v>
      </c>
      <c r="T157">
        <f t="shared" ca="1" si="50"/>
        <v>35.516828081263853</v>
      </c>
      <c r="U157">
        <f>70</f>
        <v>70</v>
      </c>
      <c r="V157">
        <f>30</f>
        <v>30</v>
      </c>
      <c r="W157">
        <f t="shared" ca="1" si="48"/>
        <v>147.33929547798994</v>
      </c>
      <c r="X157">
        <f t="shared" ref="X157:X220" ca="1" si="58">C157*(2/(26+1)) + X156*(1-(2/(26+1)))</f>
        <v>150.81868099991166</v>
      </c>
      <c r="Y157">
        <f t="shared" ca="1" si="57"/>
        <v>-3.2646739829295655</v>
      </c>
      <c r="Z157">
        <f t="shared" ca="1" si="38"/>
        <v>-2.7706895471534505</v>
      </c>
      <c r="AA157">
        <f t="shared" ca="1" si="39"/>
        <v>-0.49398443577611495</v>
      </c>
      <c r="AB157">
        <f t="shared" ca="1" si="40"/>
        <v>157.35069999999996</v>
      </c>
    </row>
    <row r="158" spans="1:28" x14ac:dyDescent="0.25">
      <c r="A158" s="20">
        <f t="shared" ca="1" si="41"/>
        <v>45516</v>
      </c>
      <c r="B158" vm="462">
        <f ca="1"/>
        <v>45519</v>
      </c>
      <c r="C158" vm="463">
        <f ca="1"/>
        <v>146.80000000000001</v>
      </c>
      <c r="D158" vm="464">
        <f ca="1"/>
        <v>6304232</v>
      </c>
      <c r="E158">
        <f t="shared" ca="1" si="42"/>
        <v>925461257.60000002</v>
      </c>
      <c r="F158">
        <f ca="1">SUM($E$2:E158)/SUM($D$2:D158)</f>
        <v>154.27361792037428</v>
      </c>
      <c r="G158">
        <f ca="1">_xlfn.STDEV.P($C$2:C158)</f>
        <v>5.8223870500932646</v>
      </c>
      <c r="H158">
        <f t="shared" ca="1" si="43"/>
        <v>160.09600497046753</v>
      </c>
      <c r="I158">
        <f t="shared" ca="1" si="44"/>
        <v>148.45123087028102</v>
      </c>
      <c r="J158">
        <f t="shared" ca="1" si="53"/>
        <v>150.94549999999998</v>
      </c>
      <c r="K158">
        <f t="shared" ca="1" si="54"/>
        <v>6.546492411569484</v>
      </c>
      <c r="L158">
        <f t="shared" ca="1" si="55"/>
        <v>164.03848482313896</v>
      </c>
      <c r="M158">
        <f t="shared" ca="1" si="56"/>
        <v>137.852515176861</v>
      </c>
      <c r="N158">
        <f t="shared" ca="1" si="45"/>
        <v>2.1300000000000239</v>
      </c>
      <c r="O158">
        <f t="shared" ca="1" si="46"/>
        <v>2.1300000000000239</v>
      </c>
      <c r="P158">
        <f t="shared" ca="1" si="47"/>
        <v>0</v>
      </c>
      <c r="Q158">
        <f t="shared" ca="1" si="51"/>
        <v>0.70505368571010985</v>
      </c>
      <c r="R158">
        <f t="shared" ca="1" si="52"/>
        <v>1.0038465127757599</v>
      </c>
      <c r="S158">
        <f t="shared" ca="1" si="49"/>
        <v>0.70235207946337253</v>
      </c>
      <c r="T158">
        <f t="shared" ca="1" si="50"/>
        <v>41.257744971579143</v>
      </c>
      <c r="U158">
        <f>70</f>
        <v>70</v>
      </c>
      <c r="V158">
        <f>30</f>
        <v>30</v>
      </c>
      <c r="W158">
        <f t="shared" ca="1" si="48"/>
        <v>147.25632694291457</v>
      </c>
      <c r="X158">
        <f t="shared" ca="1" si="58"/>
        <v>150.52100092584413</v>
      </c>
      <c r="Y158">
        <f t="shared" ca="1" si="57"/>
        <v>-3.0217555522897896</v>
      </c>
      <c r="Z158">
        <f t="shared" ca="1" si="38"/>
        <v>-2.8209027481807185</v>
      </c>
      <c r="AA158">
        <f t="shared" ca="1" si="39"/>
        <v>-0.20085280410907114</v>
      </c>
      <c r="AB158">
        <f t="shared" ca="1" si="40"/>
        <v>157.27209999999994</v>
      </c>
    </row>
    <row r="159" spans="1:28" x14ac:dyDescent="0.25">
      <c r="A159" s="20">
        <f t="shared" ca="1" si="41"/>
        <v>45516</v>
      </c>
      <c r="B159" vm="465">
        <f ca="1"/>
        <v>45520</v>
      </c>
      <c r="C159" vm="26">
        <f ca="1"/>
        <v>147.27000000000001</v>
      </c>
      <c r="D159" vm="466">
        <f ca="1"/>
        <v>6874416</v>
      </c>
      <c r="E159">
        <f t="shared" ca="1" si="42"/>
        <v>1012395244.3200001</v>
      </c>
      <c r="F159">
        <f ca="1">SUM($E$2:E159)/SUM($D$2:D159)</f>
        <v>154.23496118463584</v>
      </c>
      <c r="G159">
        <f ca="1">_xlfn.STDEV.P($C$2:C159)</f>
        <v>5.8347136014759267</v>
      </c>
      <c r="H159">
        <f t="shared" ca="1" si="43"/>
        <v>160.06967478611176</v>
      </c>
      <c r="I159">
        <f t="shared" ca="1" si="44"/>
        <v>148.40024758315991</v>
      </c>
      <c r="J159">
        <f t="shared" ca="1" si="53"/>
        <v>150.35150000000002</v>
      </c>
      <c r="K159">
        <f t="shared" ca="1" si="54"/>
        <v>6.2970897831333223</v>
      </c>
      <c r="L159">
        <f t="shared" ca="1" si="55"/>
        <v>162.94567956626665</v>
      </c>
      <c r="M159">
        <f t="shared" ca="1" si="56"/>
        <v>137.75732043373338</v>
      </c>
      <c r="N159">
        <f t="shared" ca="1" si="45"/>
        <v>0.46999999999999886</v>
      </c>
      <c r="O159">
        <f t="shared" ca="1" si="46"/>
        <v>0.46999999999999886</v>
      </c>
      <c r="P159">
        <f t="shared" ca="1" si="47"/>
        <v>0</v>
      </c>
      <c r="Q159">
        <f t="shared" ca="1" si="51"/>
        <v>0.68826413673081621</v>
      </c>
      <c r="R159">
        <f t="shared" ca="1" si="52"/>
        <v>0.93214319043463412</v>
      </c>
      <c r="S159">
        <f t="shared" ca="1" si="49"/>
        <v>0.73836739225643711</v>
      </c>
      <c r="T159">
        <f t="shared" ca="1" si="50"/>
        <v>42.474760832807661</v>
      </c>
      <c r="U159">
        <f>70</f>
        <v>70</v>
      </c>
      <c r="V159">
        <f>30</f>
        <v>30</v>
      </c>
      <c r="W159">
        <f t="shared" ca="1" si="48"/>
        <v>147.2584304901585</v>
      </c>
      <c r="X159">
        <f t="shared" ca="1" si="58"/>
        <v>150.28018604244829</v>
      </c>
      <c r="Y159">
        <f t="shared" ca="1" si="57"/>
        <v>-2.8320985989134329</v>
      </c>
      <c r="Z159">
        <f t="shared" ca="1" si="38"/>
        <v>-2.8231419183272615</v>
      </c>
      <c r="AA159">
        <f t="shared" ca="1" si="39"/>
        <v>-8.9566805861713839E-3</v>
      </c>
      <c r="AB159">
        <f t="shared" ca="1" si="40"/>
        <v>157.18009999999995</v>
      </c>
    </row>
    <row r="160" spans="1:28" x14ac:dyDescent="0.25">
      <c r="A160" s="20">
        <f t="shared" ca="1" si="41"/>
        <v>45523</v>
      </c>
      <c r="B160" vm="467">
        <f ca="1"/>
        <v>45523</v>
      </c>
      <c r="C160" vm="468">
        <f ca="1"/>
        <v>146.83000000000001</v>
      </c>
      <c r="D160" vm="469">
        <f ca="1"/>
        <v>5967406</v>
      </c>
      <c r="E160">
        <f t="shared" ca="1" si="42"/>
        <v>876194222.98000002</v>
      </c>
      <c r="F160">
        <f ca="1">SUM($E$2:E160)/SUM($D$2:D160)</f>
        <v>154.19965104503623</v>
      </c>
      <c r="G160">
        <f ca="1">_xlfn.STDEV.P($C$2:C160)</f>
        <v>5.8501064818224489</v>
      </c>
      <c r="H160">
        <f t="shared" ca="1" si="43"/>
        <v>160.04975752685868</v>
      </c>
      <c r="I160">
        <f t="shared" ca="1" si="44"/>
        <v>148.34954456321378</v>
      </c>
      <c r="J160">
        <f t="shared" ca="1" si="53"/>
        <v>149.84350000000001</v>
      </c>
      <c r="K160">
        <f t="shared" ca="1" si="54"/>
        <v>6.141247323159237</v>
      </c>
      <c r="L160">
        <f t="shared" ca="1" si="55"/>
        <v>162.12599464631847</v>
      </c>
      <c r="M160">
        <f t="shared" ca="1" si="56"/>
        <v>137.56100535368154</v>
      </c>
      <c r="N160">
        <f t="shared" ca="1" si="45"/>
        <v>-0.43999999999999773</v>
      </c>
      <c r="O160">
        <f t="shared" ca="1" si="46"/>
        <v>0</v>
      </c>
      <c r="P160">
        <f t="shared" ca="1" si="47"/>
        <v>0.43999999999999773</v>
      </c>
      <c r="Q160">
        <f t="shared" ca="1" si="51"/>
        <v>0.63910241267861501</v>
      </c>
      <c r="R160">
        <f t="shared" ca="1" si="52"/>
        <v>0.8969901054035887</v>
      </c>
      <c r="S160">
        <f t="shared" ca="1" si="49"/>
        <v>0.71249661376260043</v>
      </c>
      <c r="T160">
        <f t="shared" ca="1" si="50"/>
        <v>41.605723949266292</v>
      </c>
      <c r="U160">
        <f>70</f>
        <v>70</v>
      </c>
      <c r="V160">
        <f>30</f>
        <v>30</v>
      </c>
      <c r="W160">
        <f t="shared" ca="1" si="48"/>
        <v>147.1925181070572</v>
      </c>
      <c r="X160">
        <f t="shared" ca="1" si="58"/>
        <v>150.02461670597063</v>
      </c>
      <c r="Y160">
        <f t="shared" ca="1" si="57"/>
        <v>-2.8219445915796939</v>
      </c>
      <c r="Z160">
        <f t="shared" ca="1" si="38"/>
        <v>-2.8229024529777482</v>
      </c>
      <c r="AA160">
        <f t="shared" ca="1" si="39"/>
        <v>9.5786139805431603E-4</v>
      </c>
      <c r="AB160">
        <f t="shared" ca="1" si="40"/>
        <v>157.09569999999997</v>
      </c>
    </row>
    <row r="161" spans="1:28" x14ac:dyDescent="0.25">
      <c r="A161" s="20">
        <f t="shared" ca="1" si="41"/>
        <v>45523</v>
      </c>
      <c r="B161" vm="470">
        <f ca="1"/>
        <v>45524</v>
      </c>
      <c r="C161" vm="471">
        <f ca="1"/>
        <v>144.69</v>
      </c>
      <c r="D161" vm="472">
        <f ca="1"/>
        <v>7497606</v>
      </c>
      <c r="E161">
        <f t="shared" ca="1" si="42"/>
        <v>1084828612.1399999</v>
      </c>
      <c r="F161">
        <f ca="1">SUM($E$2:E161)/SUM($D$2:D161)</f>
        <v>154.14301615311902</v>
      </c>
      <c r="G161">
        <f ca="1">_xlfn.STDEV.P($C$2:C161)</f>
        <v>5.8851203892608472</v>
      </c>
      <c r="H161">
        <f t="shared" ca="1" si="43"/>
        <v>160.02813654237985</v>
      </c>
      <c r="I161">
        <f t="shared" ca="1" si="44"/>
        <v>148.25789576385819</v>
      </c>
      <c r="J161">
        <f t="shared" ca="1" si="53"/>
        <v>149.37350000000004</v>
      </c>
      <c r="K161">
        <f t="shared" ca="1" si="54"/>
        <v>6.1588244563561405</v>
      </c>
      <c r="L161">
        <f t="shared" ca="1" si="55"/>
        <v>161.69114891271232</v>
      </c>
      <c r="M161">
        <f t="shared" ca="1" si="56"/>
        <v>137.05585108728775</v>
      </c>
      <c r="N161">
        <f t="shared" ca="1" si="45"/>
        <v>-2.1400000000000148</v>
      </c>
      <c r="O161">
        <f t="shared" ca="1" si="46"/>
        <v>0</v>
      </c>
      <c r="P161">
        <f t="shared" ca="1" si="47"/>
        <v>2.1400000000000148</v>
      </c>
      <c r="Q161">
        <f t="shared" ca="1" si="51"/>
        <v>0.59345224034442823</v>
      </c>
      <c r="R161">
        <f t="shared" ca="1" si="52"/>
        <v>0.98577652644619052</v>
      </c>
      <c r="S161">
        <f t="shared" ca="1" si="49"/>
        <v>0.60201498455626123</v>
      </c>
      <c r="T161">
        <f t="shared" ca="1" si="50"/>
        <v>37.578611333839184</v>
      </c>
      <c r="U161">
        <f>70</f>
        <v>70</v>
      </c>
      <c r="V161">
        <f>30</f>
        <v>30</v>
      </c>
      <c r="W161">
        <f t="shared" ca="1" si="48"/>
        <v>146.80751532135608</v>
      </c>
      <c r="X161">
        <f t="shared" ca="1" si="58"/>
        <v>149.62945991293577</v>
      </c>
      <c r="Y161">
        <f t="shared" ca="1" si="57"/>
        <v>-2.7315738497474911</v>
      </c>
      <c r="Z161">
        <f t="shared" ca="1" si="38"/>
        <v>-2.804636732331697</v>
      </c>
      <c r="AA161">
        <f t="shared" ca="1" si="39"/>
        <v>7.3062882584205902E-2</v>
      </c>
      <c r="AB161">
        <f t="shared" ca="1" si="40"/>
        <v>156.97909999999996</v>
      </c>
    </row>
    <row r="162" spans="1:28" x14ac:dyDescent="0.25">
      <c r="A162" s="20">
        <f t="shared" ca="1" si="41"/>
        <v>45523</v>
      </c>
      <c r="B162" vm="473">
        <f ca="1"/>
        <v>45525</v>
      </c>
      <c r="C162" vm="474">
        <f ca="1"/>
        <v>145.32</v>
      </c>
      <c r="D162" vm="475">
        <f ca="1"/>
        <v>5984993</v>
      </c>
      <c r="E162">
        <f t="shared" ca="1" si="42"/>
        <v>869739182.75999999</v>
      </c>
      <c r="F162">
        <f ca="1">SUM($E$2:E162)/SUM($D$2:D162)</f>
        <v>154.10126986639654</v>
      </c>
      <c r="G162">
        <f ca="1">_xlfn.STDEV.P($C$2:C162)</f>
        <v>5.912499634419353</v>
      </c>
      <c r="H162">
        <f t="shared" ca="1" si="43"/>
        <v>160.0137695008159</v>
      </c>
      <c r="I162">
        <f t="shared" ca="1" si="44"/>
        <v>148.18877023197717</v>
      </c>
      <c r="J162">
        <f t="shared" ca="1" si="53"/>
        <v>148.88600000000002</v>
      </c>
      <c r="K162">
        <f t="shared" ca="1" si="54"/>
        <v>6.0694180766753636</v>
      </c>
      <c r="L162">
        <f t="shared" ca="1" si="55"/>
        <v>161.02483615335075</v>
      </c>
      <c r="M162">
        <f t="shared" ca="1" si="56"/>
        <v>136.7471638466493</v>
      </c>
      <c r="N162">
        <f t="shared" ca="1" si="45"/>
        <v>0.62999999999999545</v>
      </c>
      <c r="O162">
        <f t="shared" ca="1" si="46"/>
        <v>0.62999999999999545</v>
      </c>
      <c r="P162">
        <f t="shared" ca="1" si="47"/>
        <v>0</v>
      </c>
      <c r="Q162">
        <f t="shared" ca="1" si="51"/>
        <v>0.59606279460554012</v>
      </c>
      <c r="R162">
        <f t="shared" ca="1" si="52"/>
        <v>0.91536391741431977</v>
      </c>
      <c r="S162">
        <f t="shared" ca="1" si="49"/>
        <v>0.65117576000731203</v>
      </c>
      <c r="T162">
        <f t="shared" ca="1" si="50"/>
        <v>39.437095418868573</v>
      </c>
      <c r="U162">
        <f>70</f>
        <v>70</v>
      </c>
      <c r="V162">
        <f>30</f>
        <v>30</v>
      </c>
      <c r="W162">
        <f t="shared" ca="1" si="48"/>
        <v>146.57866681037822</v>
      </c>
      <c r="X162">
        <f t="shared" ca="1" si="58"/>
        <v>149.31024066012571</v>
      </c>
      <c r="Y162">
        <f t="shared" ca="1" si="57"/>
        <v>-2.5969349625599136</v>
      </c>
      <c r="Z162">
        <f t="shared" ca="1" si="38"/>
        <v>-2.7630963783773406</v>
      </c>
      <c r="AA162">
        <f t="shared" ca="1" si="39"/>
        <v>0.16616141581742694</v>
      </c>
      <c r="AB162">
        <f t="shared" ca="1" si="40"/>
        <v>156.85489999999996</v>
      </c>
    </row>
    <row r="163" spans="1:28" x14ac:dyDescent="0.25">
      <c r="A163" s="20">
        <f t="shared" ca="1" si="41"/>
        <v>45523</v>
      </c>
      <c r="B163" vm="476">
        <f ca="1"/>
        <v>45526</v>
      </c>
      <c r="C163" vm="477">
        <f ca="1"/>
        <v>145.72999999999999</v>
      </c>
      <c r="D163" vm="478">
        <f ca="1"/>
        <v>4026998</v>
      </c>
      <c r="E163">
        <f t="shared" ca="1" si="42"/>
        <v>586854418.53999996</v>
      </c>
      <c r="F163">
        <f ca="1">SUM($E$2:E163)/SUM($D$2:D163)</f>
        <v>154.07470366485018</v>
      </c>
      <c r="G163">
        <f ca="1">_xlfn.STDEV.P($C$2:C163)</f>
        <v>5.9350168103335816</v>
      </c>
      <c r="H163">
        <f t="shared" ca="1" si="43"/>
        <v>160.00972047518377</v>
      </c>
      <c r="I163">
        <f t="shared" ca="1" si="44"/>
        <v>148.13968685451658</v>
      </c>
      <c r="J163">
        <f t="shared" ca="1" si="53"/>
        <v>148.29550000000003</v>
      </c>
      <c r="K163">
        <f t="shared" ca="1" si="54"/>
        <v>5.749204498747722</v>
      </c>
      <c r="L163">
        <f t="shared" ca="1" si="55"/>
        <v>159.79390899749546</v>
      </c>
      <c r="M163">
        <f t="shared" ca="1" si="56"/>
        <v>136.7970910025046</v>
      </c>
      <c r="N163">
        <f t="shared" ca="1" si="45"/>
        <v>0.40999999999999659</v>
      </c>
      <c r="O163">
        <f t="shared" ca="1" si="46"/>
        <v>0.40999999999999659</v>
      </c>
      <c r="P163">
        <f t="shared" ca="1" si="47"/>
        <v>0</v>
      </c>
      <c r="Q163">
        <f t="shared" ca="1" si="51"/>
        <v>0.58277259499085843</v>
      </c>
      <c r="R163">
        <f t="shared" ca="1" si="52"/>
        <v>0.84998078045615411</v>
      </c>
      <c r="S163">
        <f t="shared" ca="1" si="49"/>
        <v>0.68563032057984341</v>
      </c>
      <c r="T163">
        <f t="shared" ca="1" si="50"/>
        <v>40.67501113435074</v>
      </c>
      <c r="U163">
        <f>70</f>
        <v>70</v>
      </c>
      <c r="V163">
        <f>30</f>
        <v>30</v>
      </c>
      <c r="W163">
        <f t="shared" ca="1" si="48"/>
        <v>146.44810268570464</v>
      </c>
      <c r="X163">
        <f t="shared" ca="1" si="58"/>
        <v>149.04503764826455</v>
      </c>
      <c r="Y163">
        <f t="shared" ca="1" si="57"/>
        <v>-2.3110847237370535</v>
      </c>
      <c r="Z163">
        <f t="shared" ca="1" si="38"/>
        <v>-2.6726940474492831</v>
      </c>
      <c r="AA163">
        <f t="shared" ca="1" si="39"/>
        <v>0.36160932371222954</v>
      </c>
      <c r="AB163">
        <f t="shared" ca="1" si="40"/>
        <v>156.72139999999996</v>
      </c>
    </row>
    <row r="164" spans="1:28" x14ac:dyDescent="0.25">
      <c r="A164" s="20">
        <f t="shared" ca="1" si="41"/>
        <v>45523</v>
      </c>
      <c r="B164" vm="479">
        <f ca="1"/>
        <v>45527</v>
      </c>
      <c r="C164" vm="480">
        <f ca="1"/>
        <v>147.62</v>
      </c>
      <c r="D164" vm="481">
        <f ca="1"/>
        <v>4824078</v>
      </c>
      <c r="E164">
        <f t="shared" ca="1" si="42"/>
        <v>712130394.36000001</v>
      </c>
      <c r="F164">
        <f ca="1">SUM($E$2:E164)/SUM($D$2:D164)</f>
        <v>154.05025813609606</v>
      </c>
      <c r="G164">
        <f ca="1">_xlfn.STDEV.P($C$2:C164)</f>
        <v>5.9414365079699181</v>
      </c>
      <c r="H164">
        <f t="shared" ca="1" si="43"/>
        <v>159.99169464406597</v>
      </c>
      <c r="I164">
        <f t="shared" ca="1" si="44"/>
        <v>148.10882162812615</v>
      </c>
      <c r="J164">
        <f t="shared" ca="1" si="53"/>
        <v>147.78450000000001</v>
      </c>
      <c r="K164">
        <f t="shared" ca="1" si="54"/>
        <v>5.2922490244547351</v>
      </c>
      <c r="L164">
        <f t="shared" ca="1" si="55"/>
        <v>158.36899804890948</v>
      </c>
      <c r="M164">
        <f t="shared" ca="1" si="56"/>
        <v>137.20000195109054</v>
      </c>
      <c r="N164">
        <f t="shared" ca="1" si="45"/>
        <v>1.8900000000000148</v>
      </c>
      <c r="O164">
        <f t="shared" ca="1" si="46"/>
        <v>1.8900000000000148</v>
      </c>
      <c r="P164">
        <f t="shared" ca="1" si="47"/>
        <v>0</v>
      </c>
      <c r="Q164">
        <f t="shared" ca="1" si="51"/>
        <v>0.6761459810629411</v>
      </c>
      <c r="R164">
        <f t="shared" ca="1" si="52"/>
        <v>0.78926786756642886</v>
      </c>
      <c r="S164">
        <f t="shared" ca="1" si="49"/>
        <v>0.85667491209001123</v>
      </c>
      <c r="T164">
        <f t="shared" ca="1" si="50"/>
        <v>46.14027509671439</v>
      </c>
      <c r="U164">
        <f>70</f>
        <v>70</v>
      </c>
      <c r="V164">
        <f>30</f>
        <v>30</v>
      </c>
      <c r="W164">
        <f t="shared" ca="1" si="48"/>
        <v>146.62839458021162</v>
      </c>
      <c r="X164">
        <f t="shared" ca="1" si="58"/>
        <v>148.93947930394867</v>
      </c>
      <c r="Y164">
        <f t="shared" ca="1" si="57"/>
        <v>-1.9905914058702763</v>
      </c>
      <c r="Z164">
        <f t="shared" ca="1" si="38"/>
        <v>-2.536273519133482</v>
      </c>
      <c r="AA164">
        <f t="shared" ca="1" si="39"/>
        <v>0.5456821132632057</v>
      </c>
      <c r="AB164">
        <f t="shared" ca="1" si="40"/>
        <v>156.59979999999996</v>
      </c>
    </row>
    <row r="165" spans="1:28" x14ac:dyDescent="0.25">
      <c r="A165" s="20">
        <f t="shared" ca="1" si="41"/>
        <v>45530</v>
      </c>
      <c r="B165" vm="482">
        <f ca="1"/>
        <v>45530</v>
      </c>
      <c r="C165" vm="483">
        <f ca="1"/>
        <v>148.5</v>
      </c>
      <c r="D165" vm="484">
        <f ca="1"/>
        <v>5780289</v>
      </c>
      <c r="E165">
        <f t="shared" ca="1" si="42"/>
        <v>858372916.5</v>
      </c>
      <c r="F165">
        <f ca="1">SUM($E$2:E165)/SUM($D$2:D165)</f>
        <v>154.02518519975749</v>
      </c>
      <c r="G165">
        <f ca="1">_xlfn.STDEV.P($C$2:C165)</f>
        <v>5.9416939823198565</v>
      </c>
      <c r="H165">
        <f t="shared" ca="1" si="43"/>
        <v>159.96687918207735</v>
      </c>
      <c r="I165">
        <f t="shared" ca="1" si="44"/>
        <v>148.08349121743763</v>
      </c>
      <c r="J165">
        <f t="shared" ca="1" si="53"/>
        <v>147.37950000000001</v>
      </c>
      <c r="K165">
        <f t="shared" ca="1" si="54"/>
        <v>4.8756564740177897</v>
      </c>
      <c r="L165">
        <f t="shared" ca="1" si="55"/>
        <v>157.13081294803558</v>
      </c>
      <c r="M165">
        <f t="shared" ca="1" si="56"/>
        <v>137.62818705196443</v>
      </c>
      <c r="N165">
        <f t="shared" ca="1" si="45"/>
        <v>0.87999999999999545</v>
      </c>
      <c r="O165">
        <f t="shared" ca="1" si="46"/>
        <v>0.87999999999999545</v>
      </c>
      <c r="P165">
        <f t="shared" ca="1" si="47"/>
        <v>0</v>
      </c>
      <c r="Q165">
        <f t="shared" ca="1" si="51"/>
        <v>0.69070698241558781</v>
      </c>
      <c r="R165">
        <f t="shared" ca="1" si="52"/>
        <v>0.73289159131168391</v>
      </c>
      <c r="S165">
        <f t="shared" ca="1" si="49"/>
        <v>0.94244086110935354</v>
      </c>
      <c r="T165">
        <f t="shared" ca="1" si="50"/>
        <v>48.518381175893978</v>
      </c>
      <c r="U165">
        <f>70</f>
        <v>70</v>
      </c>
      <c r="V165">
        <f>30</f>
        <v>30</v>
      </c>
      <c r="W165">
        <f t="shared" ca="1" si="48"/>
        <v>146.91633387556368</v>
      </c>
      <c r="X165">
        <f t="shared" ca="1" si="58"/>
        <v>148.90692528143396</v>
      </c>
      <c r="Y165">
        <f t="shared" ca="1" si="57"/>
        <v>-1.8404545738564764</v>
      </c>
      <c r="Z165">
        <f t="shared" ca="1" si="38"/>
        <v>-2.397109730078081</v>
      </c>
      <c r="AA165">
        <f t="shared" ca="1" si="39"/>
        <v>0.55665515622160466</v>
      </c>
      <c r="AB165">
        <f t="shared" ca="1" si="40"/>
        <v>156.48039999999995</v>
      </c>
    </row>
    <row r="166" spans="1:28" x14ac:dyDescent="0.25">
      <c r="A166" s="20">
        <f t="shared" ca="1" si="41"/>
        <v>45530</v>
      </c>
      <c r="B166" vm="485">
        <f ca="1"/>
        <v>45531</v>
      </c>
      <c r="C166" vm="486">
        <f ca="1"/>
        <v>146.94999999999999</v>
      </c>
      <c r="D166" vm="487">
        <f ca="1"/>
        <v>5099956</v>
      </c>
      <c r="E166">
        <f t="shared" ca="1" si="42"/>
        <v>749438534.19999993</v>
      </c>
      <c r="F166">
        <f ca="1">SUM($E$2:E166)/SUM($D$2:D166)</f>
        <v>153.99709730683793</v>
      </c>
      <c r="G166">
        <f ca="1">_xlfn.STDEV.P($C$2:C166)</f>
        <v>5.952309398955995</v>
      </c>
      <c r="H166">
        <f t="shared" ca="1" si="43"/>
        <v>159.94940670579393</v>
      </c>
      <c r="I166">
        <f t="shared" ca="1" si="44"/>
        <v>148.04478790788193</v>
      </c>
      <c r="J166">
        <f t="shared" ca="1" si="53"/>
        <v>146.74850000000001</v>
      </c>
      <c r="K166">
        <f t="shared" ca="1" si="54"/>
        <v>3.9422238914762726</v>
      </c>
      <c r="L166">
        <f t="shared" ca="1" si="55"/>
        <v>154.63294778295256</v>
      </c>
      <c r="M166">
        <f t="shared" ca="1" si="56"/>
        <v>138.86405221704746</v>
      </c>
      <c r="N166">
        <f t="shared" ca="1" si="45"/>
        <v>-1.5500000000000114</v>
      </c>
      <c r="O166">
        <f t="shared" ca="1" si="46"/>
        <v>0</v>
      </c>
      <c r="P166">
        <f t="shared" ca="1" si="47"/>
        <v>1.5500000000000114</v>
      </c>
      <c r="Q166">
        <f t="shared" ca="1" si="51"/>
        <v>0.64137076938590298</v>
      </c>
      <c r="R166">
        <f t="shared" ca="1" si="52"/>
        <v>0.79125647764656448</v>
      </c>
      <c r="S166">
        <f t="shared" ca="1" si="49"/>
        <v>0.81057253558736497</v>
      </c>
      <c r="T166">
        <f t="shared" ca="1" si="50"/>
        <v>44.768851822023713</v>
      </c>
      <c r="U166">
        <f>70</f>
        <v>70</v>
      </c>
      <c r="V166">
        <f>30</f>
        <v>30</v>
      </c>
      <c r="W166">
        <f t="shared" ca="1" si="48"/>
        <v>146.92151327932311</v>
      </c>
      <c r="X166">
        <f t="shared" ca="1" si="58"/>
        <v>148.76196785317958</v>
      </c>
      <c r="Y166">
        <f t="shared" ca="1" si="57"/>
        <v>-1.7776356362518584</v>
      </c>
      <c r="Z166">
        <f t="shared" ref="Z166:Z229" ca="1" si="59">Y166*(2/(9+1)) + Z165*(1-(2/(9+1)))</f>
        <v>-2.2732149113128366</v>
      </c>
      <c r="AA166">
        <f t="shared" ref="AA166:AA229" ca="1" si="60">Y166-Z166</f>
        <v>0.49557927506097821</v>
      </c>
      <c r="AB166">
        <f t="shared" ref="AB166:AB229" ca="1" si="61">AVERAGE(C67:C166)</f>
        <v>156.34299999999996</v>
      </c>
    </row>
    <row r="167" spans="1:28" x14ac:dyDescent="0.25">
      <c r="A167" s="20">
        <f t="shared" ca="1" si="41"/>
        <v>45530</v>
      </c>
      <c r="B167" vm="488">
        <f ca="1"/>
        <v>45532</v>
      </c>
      <c r="C167" vm="489">
        <f ca="1"/>
        <v>146</v>
      </c>
      <c r="D167" vm="490">
        <f ca="1"/>
        <v>5614416</v>
      </c>
      <c r="E167">
        <f t="shared" ca="1" si="42"/>
        <v>819704736</v>
      </c>
      <c r="F167">
        <f ca="1">SUM($E$2:E167)/SUM($D$2:D167)</f>
        <v>153.96229900984454</v>
      </c>
      <c r="G167">
        <f ca="1">_xlfn.STDEV.P($C$2:C167)</f>
        <v>5.9700114659047196</v>
      </c>
      <c r="H167">
        <f t="shared" ca="1" si="43"/>
        <v>159.93231047574926</v>
      </c>
      <c r="I167">
        <f t="shared" ca="1" si="44"/>
        <v>147.99228754393982</v>
      </c>
      <c r="J167">
        <f t="shared" ca="1" si="53"/>
        <v>146.02500000000001</v>
      </c>
      <c r="K167">
        <f t="shared" ca="1" si="54"/>
        <v>2.260566999205011</v>
      </c>
      <c r="L167">
        <f t="shared" ca="1" si="55"/>
        <v>150.54613399841003</v>
      </c>
      <c r="M167">
        <f t="shared" ca="1" si="56"/>
        <v>141.50386600158998</v>
      </c>
      <c r="N167">
        <f t="shared" ca="1" si="45"/>
        <v>-0.94999999999998863</v>
      </c>
      <c r="O167">
        <f t="shared" ca="1" si="46"/>
        <v>0</v>
      </c>
      <c r="P167">
        <f t="shared" ca="1" si="47"/>
        <v>0.94999999999998863</v>
      </c>
      <c r="Q167">
        <f t="shared" ca="1" si="51"/>
        <v>0.59555857157262426</v>
      </c>
      <c r="R167">
        <f t="shared" ca="1" si="52"/>
        <v>0.80259530067180906</v>
      </c>
      <c r="S167">
        <f t="shared" ca="1" si="49"/>
        <v>0.74204094027726608</v>
      </c>
      <c r="T167">
        <f t="shared" ca="1" si="50"/>
        <v>42.596067814523444</v>
      </c>
      <c r="U167">
        <f>70</f>
        <v>70</v>
      </c>
      <c r="V167">
        <f>30</f>
        <v>30</v>
      </c>
      <c r="W167">
        <f t="shared" ca="1" si="48"/>
        <v>146.77974200558108</v>
      </c>
      <c r="X167">
        <f t="shared" ca="1" si="58"/>
        <v>148.55737764183294</v>
      </c>
      <c r="Y167">
        <f t="shared" ca="1" si="57"/>
        <v>-1.5948842106499228</v>
      </c>
      <c r="Z167">
        <f t="shared" ca="1" si="59"/>
        <v>-2.1375487711802537</v>
      </c>
      <c r="AA167">
        <f t="shared" ca="1" si="60"/>
        <v>0.54266456053033085</v>
      </c>
      <c r="AB167">
        <f t="shared" ca="1" si="61"/>
        <v>156.18699999999998</v>
      </c>
    </row>
    <row r="168" spans="1:28" x14ac:dyDescent="0.25">
      <c r="A168" s="20">
        <f t="shared" ca="1" si="41"/>
        <v>45530</v>
      </c>
      <c r="B168" vm="491">
        <f ca="1"/>
        <v>45533</v>
      </c>
      <c r="C168" vm="492">
        <f ca="1"/>
        <v>147.41999999999999</v>
      </c>
      <c r="D168" vm="493">
        <f ca="1"/>
        <v>4466696</v>
      </c>
      <c r="E168">
        <f t="shared" ca="1" si="42"/>
        <v>658480324.31999993</v>
      </c>
      <c r="F168">
        <f ca="1">SUM($E$2:E168)/SUM($D$2:D168)</f>
        <v>153.93972873002872</v>
      </c>
      <c r="G168">
        <f ca="1">_xlfn.STDEV.P($C$2:C168)</f>
        <v>5.9762059343342759</v>
      </c>
      <c r="H168">
        <f t="shared" ca="1" si="43"/>
        <v>159.91593466436299</v>
      </c>
      <c r="I168">
        <f t="shared" ca="1" si="44"/>
        <v>147.96352279569444</v>
      </c>
      <c r="J168">
        <f t="shared" ca="1" si="53"/>
        <v>145.76499999999999</v>
      </c>
      <c r="K168">
        <f t="shared" ca="1" si="54"/>
        <v>1.6888660163117262</v>
      </c>
      <c r="L168">
        <f t="shared" ca="1" si="55"/>
        <v>149.14273203262343</v>
      </c>
      <c r="M168">
        <f t="shared" ca="1" si="56"/>
        <v>142.38726796737654</v>
      </c>
      <c r="N168">
        <f t="shared" ca="1" si="45"/>
        <v>1.4199999999999875</v>
      </c>
      <c r="O168">
        <f t="shared" ca="1" si="46"/>
        <v>1.4199999999999875</v>
      </c>
      <c r="P168">
        <f t="shared" ca="1" si="47"/>
        <v>0</v>
      </c>
      <c r="Q168">
        <f t="shared" ca="1" si="51"/>
        <v>0.65444724503172158</v>
      </c>
      <c r="R168">
        <f t="shared" ca="1" si="52"/>
        <v>0.74526706490953709</v>
      </c>
      <c r="S168">
        <f t="shared" ca="1" si="49"/>
        <v>0.87813788619675615</v>
      </c>
      <c r="T168">
        <f t="shared" ca="1" si="50"/>
        <v>46.75577297335672</v>
      </c>
      <c r="U168">
        <f>70</f>
        <v>70</v>
      </c>
      <c r="V168">
        <f>30</f>
        <v>30</v>
      </c>
      <c r="W168">
        <f t="shared" ca="1" si="48"/>
        <v>146.87824323549168</v>
      </c>
      <c r="X168">
        <f t="shared" ca="1" si="58"/>
        <v>148.4731274461416</v>
      </c>
      <c r="Y168">
        <f t="shared" ca="1" si="57"/>
        <v>-1.3912483733760723</v>
      </c>
      <c r="Z168">
        <f t="shared" ca="1" si="59"/>
        <v>-1.9882886916194176</v>
      </c>
      <c r="AA168">
        <f t="shared" ca="1" si="60"/>
        <v>0.59704031824334525</v>
      </c>
      <c r="AB168">
        <f t="shared" ca="1" si="61"/>
        <v>156.04849999999996</v>
      </c>
    </row>
    <row r="169" spans="1:28" x14ac:dyDescent="0.25">
      <c r="A169" s="20">
        <f t="shared" ca="1" si="41"/>
        <v>45530</v>
      </c>
      <c r="B169" vm="494">
        <f ca="1"/>
        <v>45534</v>
      </c>
      <c r="C169" vm="495">
        <f ca="1"/>
        <v>147.94999999999999</v>
      </c>
      <c r="D169" vm="496">
        <f ca="1"/>
        <v>6414755</v>
      </c>
      <c r="E169">
        <f t="shared" ca="1" si="42"/>
        <v>949063002.24999988</v>
      </c>
      <c r="F169">
        <f ca="1">SUM($E$2:E169)/SUM($D$2:D169)</f>
        <v>153.91019889742873</v>
      </c>
      <c r="G169">
        <f ca="1">_xlfn.STDEV.P($C$2:C169)</f>
        <v>5.9785529088389673</v>
      </c>
      <c r="H169">
        <f t="shared" ca="1" si="43"/>
        <v>159.88875180626769</v>
      </c>
      <c r="I169">
        <f t="shared" ca="1" si="44"/>
        <v>147.93164598858976</v>
      </c>
      <c r="J169">
        <f t="shared" ca="1" si="53"/>
        <v>145.73499999999996</v>
      </c>
      <c r="K169">
        <f t="shared" ca="1" si="54"/>
        <v>1.6414547463181945</v>
      </c>
      <c r="L169">
        <f t="shared" ca="1" si="55"/>
        <v>149.01790949263633</v>
      </c>
      <c r="M169">
        <f t="shared" ca="1" si="56"/>
        <v>142.45209050736358</v>
      </c>
      <c r="N169">
        <f t="shared" ca="1" si="45"/>
        <v>0.53000000000000114</v>
      </c>
      <c r="O169">
        <f t="shared" ca="1" si="46"/>
        <v>0.53000000000000114</v>
      </c>
      <c r="P169">
        <f t="shared" ca="1" si="47"/>
        <v>0</v>
      </c>
      <c r="Q169">
        <f t="shared" ca="1" si="51"/>
        <v>0.64555815610088441</v>
      </c>
      <c r="R169">
        <f t="shared" ca="1" si="52"/>
        <v>0.69203370313028445</v>
      </c>
      <c r="S169">
        <f t="shared" ca="1" si="49"/>
        <v>0.93284207572669275</v>
      </c>
      <c r="T169">
        <f t="shared" ca="1" si="50"/>
        <v>48.262715689069999</v>
      </c>
      <c r="U169">
        <f>70</f>
        <v>70</v>
      </c>
      <c r="V169">
        <f>30</f>
        <v>30</v>
      </c>
      <c r="W169">
        <f t="shared" ca="1" si="48"/>
        <v>147.04312889156986</v>
      </c>
      <c r="X169">
        <f t="shared" ca="1" si="58"/>
        <v>148.43437726494594</v>
      </c>
      <c r="Y169">
        <f t="shared" ca="1" si="57"/>
        <v>-1.4783000863566542</v>
      </c>
      <c r="Z169">
        <f t="shared" ca="1" si="59"/>
        <v>-1.8862909705668649</v>
      </c>
      <c r="AA169">
        <f t="shared" ca="1" si="60"/>
        <v>0.40799088421021068</v>
      </c>
      <c r="AB169">
        <f t="shared" ca="1" si="61"/>
        <v>155.90799999999999</v>
      </c>
    </row>
    <row r="170" spans="1:28" x14ac:dyDescent="0.25">
      <c r="A170" s="20">
        <f t="shared" ca="1" si="41"/>
        <v>45537</v>
      </c>
      <c r="B170" vm="497">
        <f ca="1"/>
        <v>45538</v>
      </c>
      <c r="C170" vm="439">
        <f ca="1"/>
        <v>144.66</v>
      </c>
      <c r="D170" vm="498">
        <f ca="1"/>
        <v>7944740</v>
      </c>
      <c r="E170">
        <f t="shared" ca="1" si="42"/>
        <v>1149286088.3999999</v>
      </c>
      <c r="F170">
        <f ca="1">SUM($E$2:E170)/SUM($D$2:D170)</f>
        <v>153.85406039816746</v>
      </c>
      <c r="G170">
        <f ca="1">_xlfn.STDEV.P($C$2:C170)</f>
        <v>6.0064150643293548</v>
      </c>
      <c r="H170">
        <f t="shared" ca="1" si="43"/>
        <v>159.86047546249682</v>
      </c>
      <c r="I170">
        <f t="shared" ca="1" si="44"/>
        <v>147.8476453338381</v>
      </c>
      <c r="J170">
        <f t="shared" ca="1" si="53"/>
        <v>145.73499999999996</v>
      </c>
      <c r="K170">
        <f t="shared" ca="1" si="54"/>
        <v>1.6414547463181945</v>
      </c>
      <c r="L170">
        <f t="shared" ca="1" si="55"/>
        <v>149.01790949263633</v>
      </c>
      <c r="M170">
        <f t="shared" ca="1" si="56"/>
        <v>142.45209050736358</v>
      </c>
      <c r="N170">
        <f t="shared" ca="1" si="45"/>
        <v>-3.289999999999992</v>
      </c>
      <c r="O170">
        <f t="shared" ca="1" si="46"/>
        <v>0</v>
      </c>
      <c r="P170">
        <f t="shared" ca="1" si="47"/>
        <v>3.289999999999992</v>
      </c>
      <c r="Q170">
        <f t="shared" ca="1" si="51"/>
        <v>0.59944685923653551</v>
      </c>
      <c r="R170">
        <f t="shared" ca="1" si="52"/>
        <v>0.87760272433526354</v>
      </c>
      <c r="S170">
        <f t="shared" ca="1" si="49"/>
        <v>0.68305036278298248</v>
      </c>
      <c r="T170">
        <f t="shared" ca="1" si="50"/>
        <v>40.584071510108281</v>
      </c>
      <c r="U170">
        <f>70</f>
        <v>70</v>
      </c>
      <c r="V170">
        <f>30</f>
        <v>30</v>
      </c>
      <c r="W170">
        <f t="shared" ca="1" si="48"/>
        <v>146.6764936774822</v>
      </c>
      <c r="X170">
        <f t="shared" ca="1" si="58"/>
        <v>148.15479376383885</v>
      </c>
      <c r="Y170">
        <f t="shared" ca="1" si="57"/>
        <v>-1.7362659573658732</v>
      </c>
      <c r="Z170">
        <f t="shared" ca="1" si="59"/>
        <v>-1.8562859679266668</v>
      </c>
      <c r="AA170">
        <f t="shared" ca="1" si="60"/>
        <v>0.12002001056079359</v>
      </c>
      <c r="AB170">
        <f t="shared" ca="1" si="61"/>
        <v>155.72789999999998</v>
      </c>
    </row>
    <row r="171" spans="1:28" x14ac:dyDescent="0.25">
      <c r="A171" s="20">
        <f t="shared" ca="1" si="41"/>
        <v>45537</v>
      </c>
      <c r="B171" vm="499">
        <f ca="1"/>
        <v>45539</v>
      </c>
      <c r="C171" vm="500">
        <f ca="1"/>
        <v>142.07</v>
      </c>
      <c r="D171" vm="501">
        <f ca="1"/>
        <v>9820730</v>
      </c>
      <c r="E171">
        <f t="shared" ca="1" si="42"/>
        <v>1395231111.0999999</v>
      </c>
      <c r="F171">
        <f ca="1">SUM($E$2:E171)/SUM($D$2:D171)</f>
        <v>153.7663152974626</v>
      </c>
      <c r="G171">
        <f ca="1">_xlfn.STDEV.P($C$2:C171)</f>
        <v>6.0605140374331175</v>
      </c>
      <c r="H171">
        <f t="shared" ca="1" si="43"/>
        <v>159.82682933489571</v>
      </c>
      <c r="I171">
        <f t="shared" ca="1" si="44"/>
        <v>147.70580126002949</v>
      </c>
      <c r="J171">
        <f t="shared" ca="1" si="53"/>
        <v>145.67699999999996</v>
      </c>
      <c r="K171">
        <f t="shared" ca="1" si="54"/>
        <v>1.751435801969645</v>
      </c>
      <c r="L171">
        <f t="shared" ca="1" si="55"/>
        <v>149.17987160393926</v>
      </c>
      <c r="M171">
        <f t="shared" ca="1" si="56"/>
        <v>142.17412839606067</v>
      </c>
      <c r="N171">
        <f t="shared" ca="1" si="45"/>
        <v>-2.5900000000000034</v>
      </c>
      <c r="O171">
        <f t="shared" ca="1" si="46"/>
        <v>0</v>
      </c>
      <c r="P171">
        <f t="shared" ca="1" si="47"/>
        <v>2.5900000000000034</v>
      </c>
      <c r="Q171">
        <f t="shared" ca="1" si="51"/>
        <v>0.55662922643392576</v>
      </c>
      <c r="R171">
        <f t="shared" ca="1" si="52"/>
        <v>0.99991681545417355</v>
      </c>
      <c r="S171">
        <f t="shared" ca="1" si="49"/>
        <v>0.55667553323533059</v>
      </c>
      <c r="T171">
        <f t="shared" ca="1" si="50"/>
        <v>35.760537205743773</v>
      </c>
      <c r="U171">
        <f>70</f>
        <v>70</v>
      </c>
      <c r="V171">
        <f>30</f>
        <v>30</v>
      </c>
      <c r="W171">
        <f t="shared" ca="1" si="48"/>
        <v>145.96780234248493</v>
      </c>
      <c r="X171">
        <f t="shared" ca="1" si="58"/>
        <v>147.7040682998508</v>
      </c>
      <c r="Y171">
        <f t="shared" ca="1" si="57"/>
        <v>-2.009529634568338</v>
      </c>
      <c r="Z171">
        <f t="shared" ca="1" si="59"/>
        <v>-1.8869347012550011</v>
      </c>
      <c r="AA171">
        <f t="shared" ca="1" si="60"/>
        <v>-0.12259493331333693</v>
      </c>
      <c r="AB171">
        <f t="shared" ca="1" si="61"/>
        <v>155.52969999999999</v>
      </c>
    </row>
    <row r="172" spans="1:28" x14ac:dyDescent="0.25">
      <c r="A172" s="20">
        <f t="shared" ca="1" si="41"/>
        <v>45537</v>
      </c>
      <c r="B172" vm="502">
        <f ca="1"/>
        <v>45540</v>
      </c>
      <c r="C172" vm="503">
        <f ca="1"/>
        <v>140.93</v>
      </c>
      <c r="D172" vm="504">
        <f ca="1"/>
        <v>9371051</v>
      </c>
      <c r="E172">
        <f t="shared" ca="1" si="42"/>
        <v>1320662217.4300001</v>
      </c>
      <c r="F172">
        <f ca="1">SUM($E$2:E172)/SUM($D$2:D172)</f>
        <v>153.67575496417729</v>
      </c>
      <c r="G172">
        <f ca="1">_xlfn.STDEV.P($C$2:C172)</f>
        <v>6.1263994437728195</v>
      </c>
      <c r="H172">
        <f t="shared" ca="1" si="43"/>
        <v>159.8021544079501</v>
      </c>
      <c r="I172">
        <f t="shared" ca="1" si="44"/>
        <v>147.54935552040448</v>
      </c>
      <c r="J172">
        <f t="shared" ca="1" si="53"/>
        <v>145.60299999999998</v>
      </c>
      <c r="K172">
        <f t="shared" ca="1" si="54"/>
        <v>1.9198988460195932</v>
      </c>
      <c r="L172">
        <f t="shared" ca="1" si="55"/>
        <v>149.44279769203916</v>
      </c>
      <c r="M172">
        <f t="shared" ca="1" si="56"/>
        <v>141.7632023079608</v>
      </c>
      <c r="N172">
        <f t="shared" ca="1" si="45"/>
        <v>-1.1399999999999864</v>
      </c>
      <c r="O172">
        <f t="shared" ca="1" si="46"/>
        <v>0</v>
      </c>
      <c r="P172">
        <f t="shared" ca="1" si="47"/>
        <v>1.1399999999999864</v>
      </c>
      <c r="Q172">
        <f t="shared" ca="1" si="51"/>
        <v>0.51686999597435956</v>
      </c>
      <c r="R172">
        <f t="shared" ca="1" si="52"/>
        <v>1.0099227572074458</v>
      </c>
      <c r="S172">
        <f t="shared" ca="1" si="49"/>
        <v>0.51179161206701129</v>
      </c>
      <c r="T172">
        <f t="shared" ca="1" si="50"/>
        <v>33.853317347571434</v>
      </c>
      <c r="U172">
        <f>70</f>
        <v>70</v>
      </c>
      <c r="V172">
        <f>30</f>
        <v>30</v>
      </c>
      <c r="W172">
        <f t="shared" ca="1" si="48"/>
        <v>145.19275582825648</v>
      </c>
      <c r="X172">
        <f t="shared" ca="1" si="58"/>
        <v>147.20228546282482</v>
      </c>
      <c r="Y172">
        <f t="shared" ca="1" si="57"/>
        <v>-2.3897843146036735</v>
      </c>
      <c r="Z172">
        <f t="shared" ca="1" si="59"/>
        <v>-1.9875046239247356</v>
      </c>
      <c r="AA172">
        <f t="shared" ca="1" si="60"/>
        <v>-0.40227969067893787</v>
      </c>
      <c r="AB172">
        <f t="shared" ca="1" si="61"/>
        <v>155.34939999999997</v>
      </c>
    </row>
    <row r="173" spans="1:28" x14ac:dyDescent="0.25">
      <c r="A173" s="20">
        <f t="shared" ca="1" si="41"/>
        <v>45537</v>
      </c>
      <c r="B173" vm="505">
        <f ca="1"/>
        <v>45541</v>
      </c>
      <c r="C173" vm="506">
        <f ca="1"/>
        <v>138.56</v>
      </c>
      <c r="D173" vm="507">
        <f ca="1"/>
        <v>7836358</v>
      </c>
      <c r="E173">
        <f t="shared" ca="1" si="42"/>
        <v>1085805764.48</v>
      </c>
      <c r="F173">
        <f ca="1">SUM($E$2:E173)/SUM($D$2:D173)</f>
        <v>153.58710086841836</v>
      </c>
      <c r="G173">
        <f ca="1">_xlfn.STDEV.P($C$2:C173)</f>
        <v>6.2215314315017212</v>
      </c>
      <c r="H173">
        <f t="shared" ca="1" si="43"/>
        <v>159.80863229992008</v>
      </c>
      <c r="I173">
        <f t="shared" ca="1" si="44"/>
        <v>147.36556943691664</v>
      </c>
      <c r="J173">
        <f t="shared" ca="1" si="53"/>
        <v>145.30649999999997</v>
      </c>
      <c r="K173">
        <f t="shared" ca="1" si="54"/>
        <v>2.4777011310359525</v>
      </c>
      <c r="L173">
        <f t="shared" ca="1" si="55"/>
        <v>150.26190226207189</v>
      </c>
      <c r="M173">
        <f t="shared" ca="1" si="56"/>
        <v>140.35109773792806</v>
      </c>
      <c r="N173">
        <f t="shared" ca="1" si="45"/>
        <v>-2.3700000000000045</v>
      </c>
      <c r="O173">
        <f t="shared" ca="1" si="46"/>
        <v>0</v>
      </c>
      <c r="P173">
        <f t="shared" ca="1" si="47"/>
        <v>2.3700000000000045</v>
      </c>
      <c r="Q173">
        <f t="shared" ca="1" si="51"/>
        <v>0.47995071054761956</v>
      </c>
      <c r="R173">
        <f t="shared" ca="1" si="52"/>
        <v>1.1070711316926285</v>
      </c>
      <c r="S173">
        <f t="shared" ca="1" si="49"/>
        <v>0.43353195364584302</v>
      </c>
      <c r="T173">
        <f t="shared" ca="1" si="50"/>
        <v>30.242224635681055</v>
      </c>
      <c r="U173">
        <f>70</f>
        <v>70</v>
      </c>
      <c r="V173">
        <f>30</f>
        <v>30</v>
      </c>
      <c r="W173">
        <f t="shared" ca="1" si="48"/>
        <v>144.17233185467856</v>
      </c>
      <c r="X173">
        <f t="shared" ca="1" si="58"/>
        <v>146.56211616928223</v>
      </c>
      <c r="Y173">
        <f t="shared" ca="1" si="57"/>
        <v>-2.5216672198780543</v>
      </c>
      <c r="Z173">
        <f t="shared" ca="1" si="59"/>
        <v>-2.0943371431153994</v>
      </c>
      <c r="AA173">
        <f t="shared" ca="1" si="60"/>
        <v>-0.42733007676265489</v>
      </c>
      <c r="AB173">
        <f t="shared" ca="1" si="61"/>
        <v>155.15909999999997</v>
      </c>
    </row>
    <row r="174" spans="1:28" x14ac:dyDescent="0.25">
      <c r="A174" s="20">
        <f t="shared" ca="1" si="41"/>
        <v>45544</v>
      </c>
      <c r="B174" vm="508">
        <f ca="1"/>
        <v>45544</v>
      </c>
      <c r="C174" vm="509">
        <f ca="1"/>
        <v>140.30000000000001</v>
      </c>
      <c r="D174" vm="510">
        <f ca="1"/>
        <v>9892347</v>
      </c>
      <c r="E174">
        <f t="shared" ca="1" si="42"/>
        <v>1387896284.1000001</v>
      </c>
      <c r="F174">
        <f ca="1">SUM($E$2:E174)/SUM($D$2:D174)</f>
        <v>153.4894489708216</v>
      </c>
      <c r="G174">
        <f ca="1">_xlfn.STDEV.P($C$2:C174)</f>
        <v>6.2897767249155967</v>
      </c>
      <c r="H174">
        <f t="shared" ca="1" si="43"/>
        <v>159.77922569573718</v>
      </c>
      <c r="I174">
        <f t="shared" ca="1" si="44"/>
        <v>147.19967224590602</v>
      </c>
      <c r="J174">
        <f t="shared" ca="1" si="53"/>
        <v>145.072</v>
      </c>
      <c r="K174">
        <f t="shared" ca="1" si="54"/>
        <v>2.7193857665598697</v>
      </c>
      <c r="L174">
        <f t="shared" ca="1" si="55"/>
        <v>150.51077153311974</v>
      </c>
      <c r="M174">
        <f t="shared" ca="1" si="56"/>
        <v>139.63322846688027</v>
      </c>
      <c r="N174">
        <f t="shared" ca="1" si="45"/>
        <v>1.7400000000000091</v>
      </c>
      <c r="O174">
        <f t="shared" ca="1" si="46"/>
        <v>1.7400000000000091</v>
      </c>
      <c r="P174">
        <f t="shared" ca="1" si="47"/>
        <v>0</v>
      </c>
      <c r="Q174">
        <f t="shared" ca="1" si="51"/>
        <v>0.56995423122279021</v>
      </c>
      <c r="R174">
        <f t="shared" ca="1" si="52"/>
        <v>1.0279946222860121</v>
      </c>
      <c r="S174">
        <f t="shared" ca="1" si="49"/>
        <v>0.55443308638653133</v>
      </c>
      <c r="T174">
        <f t="shared" ca="1" si="50"/>
        <v>35.667864460822713</v>
      </c>
      <c r="U174">
        <f>70</f>
        <v>70</v>
      </c>
      <c r="V174">
        <f>30</f>
        <v>30</v>
      </c>
      <c r="W174">
        <f t="shared" ca="1" si="48"/>
        <v>143.57658849242031</v>
      </c>
      <c r="X174">
        <f t="shared" ca="1" si="58"/>
        <v>146.09825571229837</v>
      </c>
      <c r="Y174">
        <f t="shared" ca="1" si="57"/>
        <v>-2.7613855391684581</v>
      </c>
      <c r="Z174">
        <f t="shared" ca="1" si="59"/>
        <v>-2.2277468223260115</v>
      </c>
      <c r="AA174">
        <f t="shared" ca="1" si="60"/>
        <v>-0.53363871684244657</v>
      </c>
      <c r="AB174">
        <f t="shared" ca="1" si="61"/>
        <v>154.99929999999998</v>
      </c>
    </row>
    <row r="175" spans="1:28" x14ac:dyDescent="0.25">
      <c r="A175" s="20">
        <f t="shared" ca="1" si="41"/>
        <v>45544</v>
      </c>
      <c r="B175" vm="511">
        <f ca="1"/>
        <v>45545</v>
      </c>
      <c r="C175" vm="512">
        <f ca="1"/>
        <v>138.22999999999999</v>
      </c>
      <c r="D175" vm="513">
        <f ca="1"/>
        <v>8202480</v>
      </c>
      <c r="E175">
        <f t="shared" ca="1" si="42"/>
        <v>1133828810.3999999</v>
      </c>
      <c r="F175">
        <f ca="1">SUM($E$2:E175)/SUM($D$2:D175)</f>
        <v>153.39702244630129</v>
      </c>
      <c r="G175">
        <f ca="1">_xlfn.STDEV.P($C$2:C175)</f>
        <v>6.3827536862627383</v>
      </c>
      <c r="H175">
        <f t="shared" ca="1" si="43"/>
        <v>159.77977613256402</v>
      </c>
      <c r="I175">
        <f t="shared" ca="1" si="44"/>
        <v>147.01426876003856</v>
      </c>
      <c r="J175">
        <f t="shared" ca="1" si="53"/>
        <v>144.73250000000002</v>
      </c>
      <c r="K175">
        <f t="shared" ca="1" si="54"/>
        <v>3.1204855813090844</v>
      </c>
      <c r="L175">
        <f t="shared" ca="1" si="55"/>
        <v>150.97347116261818</v>
      </c>
      <c r="M175">
        <f t="shared" ca="1" si="56"/>
        <v>138.49152883738185</v>
      </c>
      <c r="N175">
        <f t="shared" ca="1" si="45"/>
        <v>-2.0700000000000216</v>
      </c>
      <c r="O175">
        <f t="shared" ca="1" si="46"/>
        <v>0</v>
      </c>
      <c r="P175">
        <f t="shared" ca="1" si="47"/>
        <v>2.0700000000000216</v>
      </c>
      <c r="Q175">
        <f t="shared" ca="1" si="51"/>
        <v>0.52924321470687663</v>
      </c>
      <c r="R175">
        <f t="shared" ca="1" si="52"/>
        <v>1.1024235778370128</v>
      </c>
      <c r="S175">
        <f t="shared" ca="1" si="49"/>
        <v>0.48007247427097599</v>
      </c>
      <c r="T175">
        <f t="shared" ca="1" si="50"/>
        <v>32.435740993524007</v>
      </c>
      <c r="U175">
        <f>70</f>
        <v>70</v>
      </c>
      <c r="V175">
        <f>30</f>
        <v>30</v>
      </c>
      <c r="W175">
        <f t="shared" ca="1" si="48"/>
        <v>142.75403641666335</v>
      </c>
      <c r="X175">
        <f t="shared" ca="1" si="58"/>
        <v>145.51542195583181</v>
      </c>
      <c r="Y175">
        <f t="shared" ca="1" si="57"/>
        <v>-2.9456504840351272</v>
      </c>
      <c r="Z175">
        <f t="shared" ca="1" si="59"/>
        <v>-2.3713275546678347</v>
      </c>
      <c r="AA175">
        <f t="shared" ca="1" si="60"/>
        <v>-0.57432292936729246</v>
      </c>
      <c r="AB175">
        <f t="shared" ca="1" si="61"/>
        <v>154.81759999999997</v>
      </c>
    </row>
    <row r="176" spans="1:28" x14ac:dyDescent="0.25">
      <c r="A176" s="20">
        <f t="shared" ca="1" si="41"/>
        <v>45544</v>
      </c>
      <c r="B176" vm="514">
        <f ca="1"/>
        <v>45546</v>
      </c>
      <c r="C176" vm="515">
        <f ca="1"/>
        <v>137.88</v>
      </c>
      <c r="D176" vm="516">
        <f ca="1"/>
        <v>9534010</v>
      </c>
      <c r="E176">
        <f t="shared" ca="1" si="42"/>
        <v>1314549298.8</v>
      </c>
      <c r="F176">
        <f ca="1">SUM($E$2:E176)/SUM($D$2:D176)</f>
        <v>153.28854242719453</v>
      </c>
      <c r="G176">
        <f ca="1">_xlfn.STDEV.P($C$2:C176)</f>
        <v>6.4769649732962202</v>
      </c>
      <c r="H176">
        <f t="shared" ca="1" si="43"/>
        <v>159.76550740049075</v>
      </c>
      <c r="I176">
        <f t="shared" ca="1" si="44"/>
        <v>146.81157745389831</v>
      </c>
      <c r="J176">
        <f t="shared" ca="1" si="53"/>
        <v>144.41900000000001</v>
      </c>
      <c r="K176">
        <f t="shared" ca="1" si="54"/>
        <v>3.4767118464373628</v>
      </c>
      <c r="L176">
        <f t="shared" ca="1" si="55"/>
        <v>151.37242369287475</v>
      </c>
      <c r="M176">
        <f t="shared" ca="1" si="56"/>
        <v>137.46557630712527</v>
      </c>
      <c r="N176">
        <f t="shared" ca="1" si="45"/>
        <v>-0.34999999999999432</v>
      </c>
      <c r="O176">
        <f t="shared" ca="1" si="46"/>
        <v>0</v>
      </c>
      <c r="P176">
        <f t="shared" ca="1" si="47"/>
        <v>0.34999999999999432</v>
      </c>
      <c r="Q176">
        <f t="shared" ca="1" si="51"/>
        <v>0.49144012794209974</v>
      </c>
      <c r="R176">
        <f t="shared" ca="1" si="52"/>
        <v>1.0486790365629399</v>
      </c>
      <c r="S176">
        <f t="shared" ca="1" si="49"/>
        <v>0.46862777914661247</v>
      </c>
      <c r="T176">
        <f t="shared" ca="1" si="50"/>
        <v>31.909227497992845</v>
      </c>
      <c r="U176">
        <f>70</f>
        <v>70</v>
      </c>
      <c r="V176">
        <f>30</f>
        <v>30</v>
      </c>
      <c r="W176">
        <f t="shared" ca="1" si="48"/>
        <v>142.0041846602536</v>
      </c>
      <c r="X176">
        <f t="shared" ca="1" si="58"/>
        <v>144.94983514428873</v>
      </c>
      <c r="Y176">
        <f t="shared" ca="1" si="57"/>
        <v>-2.9503520735000563</v>
      </c>
      <c r="Z176">
        <f t="shared" ca="1" si="59"/>
        <v>-2.4871324584342789</v>
      </c>
      <c r="AA176">
        <f t="shared" ca="1" si="60"/>
        <v>-0.46321961506577747</v>
      </c>
      <c r="AB176">
        <f t="shared" ca="1" si="61"/>
        <v>154.62069999999997</v>
      </c>
    </row>
    <row r="177" spans="1:28" x14ac:dyDescent="0.25">
      <c r="A177" s="20">
        <f t="shared" ca="1" si="41"/>
        <v>45544</v>
      </c>
      <c r="B177" vm="517">
        <f ca="1"/>
        <v>45547</v>
      </c>
      <c r="C177" vm="518">
        <f ca="1"/>
        <v>139.21</v>
      </c>
      <c r="D177" vm="519">
        <f ca="1"/>
        <v>6593436</v>
      </c>
      <c r="E177">
        <f t="shared" ca="1" si="42"/>
        <v>917872225.56000006</v>
      </c>
      <c r="F177">
        <f ca="1">SUM($E$2:E177)/SUM($D$2:D177)</f>
        <v>153.22080314539812</v>
      </c>
      <c r="G177">
        <f ca="1">_xlfn.STDEV.P($C$2:C177)</f>
        <v>6.5501358328843464</v>
      </c>
      <c r="H177">
        <f t="shared" ca="1" si="43"/>
        <v>159.77093897828246</v>
      </c>
      <c r="I177">
        <f t="shared" ca="1" si="44"/>
        <v>146.67066731251379</v>
      </c>
      <c r="J177">
        <f t="shared" ca="1" si="53"/>
        <v>144.14600000000002</v>
      </c>
      <c r="K177">
        <f t="shared" ca="1" si="54"/>
        <v>3.6652211823830592</v>
      </c>
      <c r="L177">
        <f t="shared" ca="1" si="55"/>
        <v>151.47644236476614</v>
      </c>
      <c r="M177">
        <f t="shared" ca="1" si="56"/>
        <v>136.81555763523389</v>
      </c>
      <c r="N177">
        <f t="shared" ca="1" si="45"/>
        <v>1.3300000000000125</v>
      </c>
      <c r="O177">
        <f t="shared" ca="1" si="46"/>
        <v>1.3300000000000125</v>
      </c>
      <c r="P177">
        <f t="shared" ca="1" si="47"/>
        <v>0</v>
      </c>
      <c r="Q177">
        <f t="shared" ca="1" si="51"/>
        <v>0.5513372616605221</v>
      </c>
      <c r="R177">
        <f t="shared" ca="1" si="52"/>
        <v>0.9737733910941585</v>
      </c>
      <c r="S177">
        <f t="shared" ca="1" si="49"/>
        <v>0.56618641123580549</v>
      </c>
      <c r="T177">
        <f t="shared" ca="1" si="50"/>
        <v>36.150639998788769</v>
      </c>
      <c r="U177">
        <f>70</f>
        <v>70</v>
      </c>
      <c r="V177">
        <f>30</f>
        <v>30</v>
      </c>
      <c r="W177">
        <f t="shared" ca="1" si="48"/>
        <v>141.57431009713767</v>
      </c>
      <c r="X177">
        <f t="shared" ca="1" si="58"/>
        <v>144.52466217063773</v>
      </c>
      <c r="Y177">
        <f t="shared" ca="1" si="57"/>
        <v>-2.8087324974569015</v>
      </c>
      <c r="Z177">
        <f t="shared" ca="1" si="59"/>
        <v>-2.5514524662388034</v>
      </c>
      <c r="AA177">
        <f t="shared" ca="1" si="60"/>
        <v>-0.25728003121809806</v>
      </c>
      <c r="AB177">
        <f t="shared" ca="1" si="61"/>
        <v>154.41279999999998</v>
      </c>
    </row>
    <row r="178" spans="1:28" x14ac:dyDescent="0.25">
      <c r="A178" s="20">
        <f t="shared" ca="1" si="41"/>
        <v>45544</v>
      </c>
      <c r="B178" vm="520">
        <f ca="1"/>
        <v>45548</v>
      </c>
      <c r="C178" vm="521">
        <f ca="1"/>
        <v>140.61000000000001</v>
      </c>
      <c r="D178" vm="522">
        <f ca="1"/>
        <v>5900747</v>
      </c>
      <c r="E178">
        <f t="shared" ca="1" si="42"/>
        <v>829704035.67000008</v>
      </c>
      <c r="F178">
        <f ca="1">SUM($E$2:E178)/SUM($D$2:D178)</f>
        <v>153.16673334520709</v>
      </c>
      <c r="G178">
        <f ca="1">_xlfn.STDEV.P($C$2:C178)</f>
        <v>6.6043312843729796</v>
      </c>
      <c r="H178">
        <f t="shared" ca="1" si="43"/>
        <v>159.77106462958008</v>
      </c>
      <c r="I178">
        <f t="shared" ca="1" si="44"/>
        <v>146.5624020608341</v>
      </c>
      <c r="J178">
        <f t="shared" ca="1" si="53"/>
        <v>143.83650000000006</v>
      </c>
      <c r="K178">
        <f t="shared" ca="1" si="54"/>
        <v>3.6905772975882338</v>
      </c>
      <c r="L178">
        <f t="shared" ca="1" si="55"/>
        <v>151.21765459517653</v>
      </c>
      <c r="M178">
        <f t="shared" ca="1" si="56"/>
        <v>136.45534540482359</v>
      </c>
      <c r="N178">
        <f t="shared" ca="1" si="45"/>
        <v>1.4000000000000057</v>
      </c>
      <c r="O178">
        <f t="shared" ca="1" si="46"/>
        <v>1.4000000000000057</v>
      </c>
      <c r="P178">
        <f t="shared" ca="1" si="47"/>
        <v>0</v>
      </c>
      <c r="Q178">
        <f t="shared" ca="1" si="51"/>
        <v>0.61195602868477095</v>
      </c>
      <c r="R178">
        <f t="shared" ca="1" si="52"/>
        <v>0.90421814887314711</v>
      </c>
      <c r="S178">
        <f t="shared" ca="1" si="49"/>
        <v>0.67677919255148944</v>
      </c>
      <c r="T178">
        <f t="shared" ca="1" si="50"/>
        <v>40.361855368783587</v>
      </c>
      <c r="U178">
        <f>70</f>
        <v>70</v>
      </c>
      <c r="V178">
        <f>30</f>
        <v>30</v>
      </c>
      <c r="W178">
        <f t="shared" ca="1" si="48"/>
        <v>141.42595469757802</v>
      </c>
      <c r="X178">
        <f t="shared" ca="1" si="58"/>
        <v>144.23468719503492</v>
      </c>
      <c r="Y178">
        <f t="shared" ca="1" si="57"/>
        <v>-2.5477059635489354</v>
      </c>
      <c r="Z178">
        <f t="shared" ca="1" si="59"/>
        <v>-2.5507031657008299</v>
      </c>
      <c r="AA178">
        <f t="shared" ca="1" si="60"/>
        <v>2.9972021518944736E-3</v>
      </c>
      <c r="AB178">
        <f t="shared" ca="1" si="61"/>
        <v>154.19969999999998</v>
      </c>
    </row>
    <row r="179" spans="1:28" x14ac:dyDescent="0.25">
      <c r="A179" s="20">
        <f t="shared" ca="1" si="41"/>
        <v>45551</v>
      </c>
      <c r="B179" vm="523">
        <f ca="1"/>
        <v>45551</v>
      </c>
      <c r="C179" vm="44">
        <f ca="1"/>
        <v>142.09</v>
      </c>
      <c r="D179" vm="524">
        <f ca="1"/>
        <v>6864275</v>
      </c>
      <c r="E179">
        <f t="shared" ca="1" si="42"/>
        <v>975344834.75</v>
      </c>
      <c r="F179">
        <f ca="1">SUM($E$2:E179)/SUM($D$2:D179)</f>
        <v>153.1117601910816</v>
      </c>
      <c r="G179">
        <f ca="1">_xlfn.STDEV.P($C$2:C179)</f>
        <v>6.6414789492631732</v>
      </c>
      <c r="H179">
        <f t="shared" ca="1" si="43"/>
        <v>159.75323914034476</v>
      </c>
      <c r="I179">
        <f t="shared" ca="1" si="44"/>
        <v>146.47028124181844</v>
      </c>
      <c r="J179">
        <f t="shared" ca="1" si="53"/>
        <v>143.57750000000004</v>
      </c>
      <c r="K179">
        <f t="shared" ca="1" si="54"/>
        <v>3.6179855910218999</v>
      </c>
      <c r="L179">
        <f t="shared" ca="1" si="55"/>
        <v>150.81347118204386</v>
      </c>
      <c r="M179">
        <f t="shared" ca="1" si="56"/>
        <v>136.34152881795623</v>
      </c>
      <c r="N179">
        <f t="shared" ca="1" si="45"/>
        <v>1.4799999999999898</v>
      </c>
      <c r="O179">
        <f t="shared" ca="1" si="46"/>
        <v>1.4799999999999898</v>
      </c>
      <c r="P179">
        <f t="shared" ca="1" si="47"/>
        <v>0</v>
      </c>
      <c r="Q179">
        <f t="shared" ca="1" si="51"/>
        <v>0.67395916949300094</v>
      </c>
      <c r="R179">
        <f t="shared" ca="1" si="52"/>
        <v>0.83963113823935098</v>
      </c>
      <c r="S179">
        <f t="shared" ca="1" si="49"/>
        <v>0.80268482051088197</v>
      </c>
      <c r="T179">
        <f t="shared" ca="1" si="50"/>
        <v>44.527185860665355</v>
      </c>
      <c r="U179">
        <f>70</f>
        <v>70</v>
      </c>
      <c r="V179">
        <f>30</f>
        <v>30</v>
      </c>
      <c r="W179">
        <f t="shared" ca="1" si="48"/>
        <v>141.52811551333525</v>
      </c>
      <c r="X179">
        <f t="shared" ca="1" si="58"/>
        <v>144.07582147688419</v>
      </c>
      <c r="Y179">
        <f t="shared" ca="1" si="57"/>
        <v>-2.2088651638939893</v>
      </c>
      <c r="Z179">
        <f t="shared" ca="1" si="59"/>
        <v>-2.4823355653394619</v>
      </c>
      <c r="AA179">
        <f t="shared" ca="1" si="60"/>
        <v>0.27347040144547252</v>
      </c>
      <c r="AB179">
        <f t="shared" ca="1" si="61"/>
        <v>153.99209999999999</v>
      </c>
    </row>
    <row r="180" spans="1:28" x14ac:dyDescent="0.25">
      <c r="A180" s="20">
        <f t="shared" ca="1" si="41"/>
        <v>45551</v>
      </c>
      <c r="B180" vm="525">
        <f ca="1"/>
        <v>45552</v>
      </c>
      <c r="C180" vm="526">
        <f ca="1"/>
        <v>143.41</v>
      </c>
      <c r="D180" vm="527">
        <f ca="1"/>
        <v>7338782</v>
      </c>
      <c r="E180">
        <f t="shared" ca="1" si="42"/>
        <v>1052454726.62</v>
      </c>
      <c r="F180">
        <f ca="1">SUM($E$2:E180)/SUM($D$2:D180)</f>
        <v>153.06055422982755</v>
      </c>
      <c r="G180">
        <f ca="1">_xlfn.STDEV.P($C$2:C180)</f>
        <v>6.6655657233114809</v>
      </c>
      <c r="H180">
        <f t="shared" ca="1" si="43"/>
        <v>159.72611995313903</v>
      </c>
      <c r="I180">
        <f t="shared" ca="1" si="44"/>
        <v>146.39498850651606</v>
      </c>
      <c r="J180">
        <f t="shared" ca="1" si="53"/>
        <v>143.40649999999999</v>
      </c>
      <c r="K180">
        <f t="shared" ca="1" si="54"/>
        <v>3.5360627450374915</v>
      </c>
      <c r="L180">
        <f t="shared" ca="1" si="55"/>
        <v>150.47862549007499</v>
      </c>
      <c r="M180">
        <f t="shared" ca="1" si="56"/>
        <v>136.334374509925</v>
      </c>
      <c r="N180">
        <f t="shared" ca="1" si="45"/>
        <v>1.3199999999999932</v>
      </c>
      <c r="O180">
        <f t="shared" ca="1" si="46"/>
        <v>1.3199999999999932</v>
      </c>
      <c r="P180">
        <f t="shared" ca="1" si="47"/>
        <v>0</v>
      </c>
      <c r="Q180">
        <f t="shared" ca="1" si="51"/>
        <v>0.72010494310064321</v>
      </c>
      <c r="R180">
        <f t="shared" ca="1" si="52"/>
        <v>0.77965748550796887</v>
      </c>
      <c r="S180">
        <f t="shared" ca="1" si="49"/>
        <v>0.92361704528684729</v>
      </c>
      <c r="T180">
        <f t="shared" ca="1" si="50"/>
        <v>48.0146008037228</v>
      </c>
      <c r="U180">
        <f>70</f>
        <v>70</v>
      </c>
      <c r="V180">
        <f>30</f>
        <v>30</v>
      </c>
      <c r="W180">
        <f t="shared" ca="1" si="48"/>
        <v>141.81763620359138</v>
      </c>
      <c r="X180">
        <f t="shared" ca="1" si="58"/>
        <v>144.02650136748537</v>
      </c>
      <c r="Y180">
        <f t="shared" ca="1" si="57"/>
        <v>-1.8743447064561565</v>
      </c>
      <c r="Z180">
        <f t="shared" ca="1" si="59"/>
        <v>-2.3607373935628009</v>
      </c>
      <c r="AA180">
        <f t="shared" ca="1" si="60"/>
        <v>0.48639268710664441</v>
      </c>
      <c r="AB180">
        <f t="shared" ca="1" si="61"/>
        <v>153.79049999999998</v>
      </c>
    </row>
    <row r="181" spans="1:28" x14ac:dyDescent="0.25">
      <c r="A181" s="20">
        <f t="shared" ca="1" si="41"/>
        <v>45551</v>
      </c>
      <c r="B181" vm="528">
        <f ca="1"/>
        <v>45553</v>
      </c>
      <c r="C181" vm="529">
        <f ca="1"/>
        <v>143.96</v>
      </c>
      <c r="D181" vm="530">
        <f ca="1"/>
        <v>6180252</v>
      </c>
      <c r="E181">
        <f t="shared" ca="1" si="42"/>
        <v>889709077.92000008</v>
      </c>
      <c r="F181">
        <f ca="1">SUM($E$2:E181)/SUM($D$2:D181)</f>
        <v>153.02028308722919</v>
      </c>
      <c r="G181">
        <f ca="1">_xlfn.STDEV.P($C$2:C181)</f>
        <v>6.6843912460482828</v>
      </c>
      <c r="H181">
        <f t="shared" ca="1" si="43"/>
        <v>159.70467433327747</v>
      </c>
      <c r="I181">
        <f t="shared" ca="1" si="44"/>
        <v>146.33589184118091</v>
      </c>
      <c r="J181">
        <f t="shared" ca="1" si="53"/>
        <v>143.37</v>
      </c>
      <c r="K181">
        <f t="shared" ca="1" si="54"/>
        <v>3.5258698068330343</v>
      </c>
      <c r="L181">
        <f t="shared" ca="1" si="55"/>
        <v>150.42173961366606</v>
      </c>
      <c r="M181">
        <f t="shared" ca="1" si="56"/>
        <v>136.31826038633395</v>
      </c>
      <c r="N181">
        <f t="shared" ca="1" si="45"/>
        <v>0.55000000000001137</v>
      </c>
      <c r="O181">
        <f t="shared" ca="1" si="46"/>
        <v>0.55000000000001137</v>
      </c>
      <c r="P181">
        <f t="shared" ca="1" si="47"/>
        <v>0</v>
      </c>
      <c r="Q181">
        <f t="shared" ca="1" si="51"/>
        <v>0.70795459002202665</v>
      </c>
      <c r="R181">
        <f t="shared" ca="1" si="52"/>
        <v>0.72396766511454247</v>
      </c>
      <c r="S181">
        <f t="shared" ca="1" si="49"/>
        <v>0.97788150512221794</v>
      </c>
      <c r="T181">
        <f t="shared" ca="1" si="50"/>
        <v>49.44085389290256</v>
      </c>
      <c r="U181">
        <f>70</f>
        <v>70</v>
      </c>
      <c r="V181">
        <f>30</f>
        <v>30</v>
      </c>
      <c r="W181">
        <f t="shared" ca="1" si="48"/>
        <v>142.14723063380808</v>
      </c>
      <c r="X181">
        <f t="shared" ca="1" si="58"/>
        <v>144.02157534026423</v>
      </c>
      <c r="Y181">
        <f t="shared" ca="1" si="57"/>
        <v>-1.5087307331763213</v>
      </c>
      <c r="Z181">
        <f t="shared" ca="1" si="59"/>
        <v>-2.190336061485505</v>
      </c>
      <c r="AA181">
        <f t="shared" ca="1" si="60"/>
        <v>0.68160532830918363</v>
      </c>
      <c r="AB181">
        <f t="shared" ca="1" si="61"/>
        <v>153.57729999999998</v>
      </c>
    </row>
    <row r="182" spans="1:28" x14ac:dyDescent="0.25">
      <c r="A182" s="20">
        <f t="shared" ca="1" si="41"/>
        <v>45551</v>
      </c>
      <c r="B182" vm="531">
        <f ca="1"/>
        <v>45554</v>
      </c>
      <c r="C182" vm="451">
        <f ca="1"/>
        <v>144.99</v>
      </c>
      <c r="D182" vm="532">
        <f ca="1"/>
        <v>7247416</v>
      </c>
      <c r="E182">
        <f t="shared" ca="1" si="42"/>
        <v>1050802845.84</v>
      </c>
      <c r="F182">
        <f ca="1">SUM($E$2:E182)/SUM($D$2:D182)</f>
        <v>152.97882720668028</v>
      </c>
      <c r="G182">
        <f ca="1">_xlfn.STDEV.P($C$2:C182)</f>
        <v>6.695006029076696</v>
      </c>
      <c r="H182">
        <f t="shared" ca="1" si="43"/>
        <v>159.67383323575697</v>
      </c>
      <c r="I182">
        <f t="shared" ca="1" si="44"/>
        <v>146.28382117760358</v>
      </c>
      <c r="J182">
        <f t="shared" ca="1" si="53"/>
        <v>143.3535</v>
      </c>
      <c r="K182">
        <f t="shared" ca="1" si="54"/>
        <v>3.5170251708839904</v>
      </c>
      <c r="L182">
        <f t="shared" ca="1" si="55"/>
        <v>150.38755034176799</v>
      </c>
      <c r="M182">
        <f t="shared" ca="1" si="56"/>
        <v>136.319449658232</v>
      </c>
      <c r="N182">
        <f t="shared" ca="1" si="45"/>
        <v>1.0300000000000011</v>
      </c>
      <c r="O182">
        <f t="shared" ca="1" si="46"/>
        <v>1.0300000000000011</v>
      </c>
      <c r="P182">
        <f t="shared" ca="1" si="47"/>
        <v>0</v>
      </c>
      <c r="Q182">
        <f t="shared" ca="1" si="51"/>
        <v>0.73095783359188193</v>
      </c>
      <c r="R182">
        <f t="shared" ca="1" si="52"/>
        <v>0.67225568903493227</v>
      </c>
      <c r="S182">
        <f t="shared" ca="1" si="49"/>
        <v>1.0873211569859982</v>
      </c>
      <c r="T182">
        <f t="shared" ca="1" si="50"/>
        <v>52.091703921405326</v>
      </c>
      <c r="U182">
        <f>70</f>
        <v>70</v>
      </c>
      <c r="V182">
        <f>30</f>
        <v>30</v>
      </c>
      <c r="W182">
        <f t="shared" ca="1" si="48"/>
        <v>142.58457976706836</v>
      </c>
      <c r="X182">
        <f t="shared" ca="1" si="58"/>
        <v>144.09331050024468</v>
      </c>
      <c r="Y182">
        <f t="shared" ca="1" si="57"/>
        <v>-1.150044791339667</v>
      </c>
      <c r="Z182">
        <f t="shared" ca="1" si="59"/>
        <v>-1.9822778074563374</v>
      </c>
      <c r="AA182">
        <f t="shared" ca="1" si="60"/>
        <v>0.83223301611667044</v>
      </c>
      <c r="AB182">
        <f t="shared" ca="1" si="61"/>
        <v>153.36829999999998</v>
      </c>
    </row>
    <row r="183" spans="1:28" x14ac:dyDescent="0.25">
      <c r="A183" s="20">
        <f t="shared" ca="1" si="41"/>
        <v>45551</v>
      </c>
      <c r="B183" vm="533">
        <f ca="1"/>
        <v>45555</v>
      </c>
      <c r="C183" vm="534">
        <f ca="1"/>
        <v>145.68</v>
      </c>
      <c r="D183" vm="535">
        <f ca="1"/>
        <v>23162864</v>
      </c>
      <c r="E183">
        <f t="shared" ca="1" si="42"/>
        <v>3374366027.52</v>
      </c>
      <c r="F183">
        <f ca="1">SUM($E$2:E183)/SUM($D$2:D183)</f>
        <v>152.8603566653793</v>
      </c>
      <c r="G183">
        <f ca="1">_xlfn.STDEV.P($C$2:C183)</f>
        <v>6.7006586756525746</v>
      </c>
      <c r="H183">
        <f t="shared" ca="1" si="43"/>
        <v>159.56101534103186</v>
      </c>
      <c r="I183">
        <f t="shared" ca="1" si="44"/>
        <v>146.15969798972674</v>
      </c>
      <c r="J183">
        <f t="shared" ca="1" si="53"/>
        <v>143.351</v>
      </c>
      <c r="K183">
        <f t="shared" ca="1" si="54"/>
        <v>3.5152643083976942</v>
      </c>
      <c r="L183">
        <f t="shared" ca="1" si="55"/>
        <v>150.38152861679538</v>
      </c>
      <c r="M183">
        <f t="shared" ca="1" si="56"/>
        <v>136.32047138320462</v>
      </c>
      <c r="N183">
        <f t="shared" ca="1" si="45"/>
        <v>0.68999999999999773</v>
      </c>
      <c r="O183">
        <f t="shared" ca="1" si="46"/>
        <v>0.68999999999999773</v>
      </c>
      <c r="P183">
        <f t="shared" ca="1" si="47"/>
        <v>0</v>
      </c>
      <c r="Q183">
        <f t="shared" ca="1" si="51"/>
        <v>0.72803227404960447</v>
      </c>
      <c r="R183">
        <f t="shared" ca="1" si="52"/>
        <v>0.62423742553243711</v>
      </c>
      <c r="S183">
        <f t="shared" ca="1" si="49"/>
        <v>1.1662746324904127</v>
      </c>
      <c r="T183">
        <f t="shared" ca="1" si="50"/>
        <v>53.837801310982861</v>
      </c>
      <c r="U183">
        <f>70</f>
        <v>70</v>
      </c>
      <c r="V183">
        <f>30</f>
        <v>30</v>
      </c>
      <c r="W183">
        <f t="shared" ca="1" si="48"/>
        <v>143.06079826444247</v>
      </c>
      <c r="X183">
        <f t="shared" ca="1" si="58"/>
        <v>144.21084305578214</v>
      </c>
      <c r="Y183">
        <f t="shared" ca="1" si="57"/>
        <v>-0.70754105011332058</v>
      </c>
      <c r="Z183">
        <f t="shared" ca="1" si="59"/>
        <v>-1.727330455987734</v>
      </c>
      <c r="AA183">
        <f t="shared" ca="1" si="60"/>
        <v>1.0197894058744135</v>
      </c>
      <c r="AB183">
        <f t="shared" ca="1" si="61"/>
        <v>153.16179999999997</v>
      </c>
    </row>
    <row r="184" spans="1:28" x14ac:dyDescent="0.25">
      <c r="A184" s="20">
        <f t="shared" ca="1" si="41"/>
        <v>45558</v>
      </c>
      <c r="B184" vm="536">
        <f ca="1"/>
        <v>45558</v>
      </c>
      <c r="C184" vm="537">
        <f ca="1"/>
        <v>147.54</v>
      </c>
      <c r="D184" vm="538">
        <f ca="1"/>
        <v>6960639</v>
      </c>
      <c r="E184">
        <f t="shared" ca="1" si="42"/>
        <v>1026972678.0599999</v>
      </c>
      <c r="F184">
        <f ca="1">SUM($E$2:E184)/SUM($D$2:D184)</f>
        <v>152.83453158468157</v>
      </c>
      <c r="G184">
        <f ca="1">_xlfn.STDEV.P($C$2:C184)</f>
        <v>6.6958704482279483</v>
      </c>
      <c r="H184">
        <f t="shared" ca="1" si="43"/>
        <v>159.53040203290951</v>
      </c>
      <c r="I184">
        <f t="shared" ca="1" si="44"/>
        <v>146.13866113645363</v>
      </c>
      <c r="J184">
        <f t="shared" ca="1" si="53"/>
        <v>143.34700000000001</v>
      </c>
      <c r="K184">
        <f t="shared" ca="1" si="54"/>
        <v>3.5101928272119904</v>
      </c>
      <c r="L184">
        <f t="shared" ca="1" si="55"/>
        <v>150.367385654424</v>
      </c>
      <c r="M184">
        <f t="shared" ca="1" si="56"/>
        <v>136.32661434557602</v>
      </c>
      <c r="N184">
        <f t="shared" ca="1" si="45"/>
        <v>1.8599999999999852</v>
      </c>
      <c r="O184">
        <f t="shared" ca="1" si="46"/>
        <v>1.8599999999999852</v>
      </c>
      <c r="P184">
        <f t="shared" ca="1" si="47"/>
        <v>0</v>
      </c>
      <c r="Q184">
        <f t="shared" ca="1" si="51"/>
        <v>0.80888711161748883</v>
      </c>
      <c r="R184">
        <f t="shared" ca="1" si="52"/>
        <v>0.57964903799440581</v>
      </c>
      <c r="S184">
        <f t="shared" ca="1" si="49"/>
        <v>1.3954773640550671</v>
      </c>
      <c r="T184">
        <f t="shared" ca="1" si="50"/>
        <v>58.25466710705215</v>
      </c>
      <c r="U184">
        <f>70</f>
        <v>70</v>
      </c>
      <c r="V184">
        <f>30</f>
        <v>30</v>
      </c>
      <c r="W184">
        <f t="shared" ca="1" si="48"/>
        <v>143.74990622375901</v>
      </c>
      <c r="X184">
        <f t="shared" ca="1" si="58"/>
        <v>144.45744727387233</v>
      </c>
      <c r="Y184">
        <f t="shared" ca="1" si="57"/>
        <v>-0.3599664260743225</v>
      </c>
      <c r="Z184">
        <f t="shared" ca="1" si="59"/>
        <v>-1.453857650005052</v>
      </c>
      <c r="AA184">
        <f t="shared" ca="1" si="60"/>
        <v>1.0938912239307295</v>
      </c>
      <c r="AB184">
        <f t="shared" ca="1" si="61"/>
        <v>153.02449999999996</v>
      </c>
    </row>
    <row r="185" spans="1:28" x14ac:dyDescent="0.25">
      <c r="A185" s="20">
        <f t="shared" ca="1" si="41"/>
        <v>45558</v>
      </c>
      <c r="B185" vm="539">
        <f ca="1"/>
        <v>45559</v>
      </c>
      <c r="C185" vm="540">
        <f ca="1"/>
        <v>147.44999999999999</v>
      </c>
      <c r="D185" vm="541">
        <f ca="1"/>
        <v>6014208</v>
      </c>
      <c r="E185">
        <f t="shared" ca="1" si="42"/>
        <v>886794969.5999999</v>
      </c>
      <c r="F185">
        <f ca="1">SUM($E$2:E185)/SUM($D$2:D185)</f>
        <v>152.81204308035242</v>
      </c>
      <c r="G185">
        <f ca="1">_xlfn.STDEV.P($C$2:C185)</f>
        <v>6.6914053017269968</v>
      </c>
      <c r="H185">
        <f t="shared" ca="1" si="43"/>
        <v>159.50344838207943</v>
      </c>
      <c r="I185">
        <f t="shared" ca="1" si="44"/>
        <v>146.12063777862542</v>
      </c>
      <c r="J185">
        <f t="shared" ca="1" si="53"/>
        <v>143.2945</v>
      </c>
      <c r="K185">
        <f t="shared" ca="1" si="54"/>
        <v>3.4361368684828815</v>
      </c>
      <c r="L185">
        <f t="shared" ca="1" si="55"/>
        <v>150.16677373696575</v>
      </c>
      <c r="M185">
        <f t="shared" ca="1" si="56"/>
        <v>136.42222626303425</v>
      </c>
      <c r="N185">
        <f t="shared" ca="1" si="45"/>
        <v>-9.0000000000003411E-2</v>
      </c>
      <c r="O185">
        <f t="shared" ca="1" si="46"/>
        <v>0</v>
      </c>
      <c r="P185">
        <f t="shared" ca="1" si="47"/>
        <v>9.0000000000003411E-2</v>
      </c>
      <c r="Q185">
        <f t="shared" ca="1" si="51"/>
        <v>0.75110946078766816</v>
      </c>
      <c r="R185">
        <f t="shared" ca="1" si="52"/>
        <v>0.54467410670909133</v>
      </c>
      <c r="S185">
        <f t="shared" ca="1" si="49"/>
        <v>1.3790071008255829</v>
      </c>
      <c r="T185">
        <f t="shared" ca="1" si="50"/>
        <v>57.965657199889336</v>
      </c>
      <c r="U185">
        <f>70</f>
        <v>70</v>
      </c>
      <c r="V185">
        <f>30</f>
        <v>30</v>
      </c>
      <c r="W185">
        <f t="shared" ca="1" si="48"/>
        <v>144.31915142010376</v>
      </c>
      <c r="X185">
        <f t="shared" ca="1" si="58"/>
        <v>144.67911784617809</v>
      </c>
      <c r="Y185">
        <f t="shared" ca="1" si="57"/>
        <v>-0.36115478130216161</v>
      </c>
      <c r="Z185">
        <f t="shared" ca="1" si="59"/>
        <v>-1.2353170762644741</v>
      </c>
      <c r="AA185">
        <f t="shared" ca="1" si="60"/>
        <v>0.87416229496231246</v>
      </c>
      <c r="AB185">
        <f t="shared" ca="1" si="61"/>
        <v>152.90269999999998</v>
      </c>
    </row>
    <row r="186" spans="1:28" x14ac:dyDescent="0.25">
      <c r="A186" s="20">
        <f t="shared" ca="1" si="41"/>
        <v>45558</v>
      </c>
      <c r="B186" vm="542">
        <f ca="1"/>
        <v>45560</v>
      </c>
      <c r="C186" vm="543">
        <f ca="1"/>
        <v>143.97</v>
      </c>
      <c r="D186" vm="544">
        <f ca="1"/>
        <v>7888444</v>
      </c>
      <c r="E186">
        <f t="shared" ca="1" si="42"/>
        <v>1135699282.6800001</v>
      </c>
      <c r="F186">
        <f ca="1">SUM($E$2:E186)/SUM($D$2:D186)</f>
        <v>152.76386987093574</v>
      </c>
      <c r="G186">
        <f ca="1">_xlfn.STDEV.P($C$2:C186)</f>
        <v>6.7079035519914552</v>
      </c>
      <c r="H186">
        <f t="shared" ca="1" si="43"/>
        <v>159.47177342292719</v>
      </c>
      <c r="I186">
        <f t="shared" ca="1" si="44"/>
        <v>146.05596631894429</v>
      </c>
      <c r="J186">
        <f t="shared" ca="1" si="53"/>
        <v>143.1455</v>
      </c>
      <c r="K186">
        <f t="shared" ca="1" si="54"/>
        <v>3.3323241059909527</v>
      </c>
      <c r="L186">
        <f t="shared" ca="1" si="55"/>
        <v>149.8101482119819</v>
      </c>
      <c r="M186">
        <f t="shared" ca="1" si="56"/>
        <v>136.4808517880181</v>
      </c>
      <c r="N186">
        <f t="shared" ca="1" si="45"/>
        <v>-3.4799999999999898</v>
      </c>
      <c r="O186">
        <f t="shared" ca="1" si="46"/>
        <v>0</v>
      </c>
      <c r="P186">
        <f t="shared" ca="1" si="47"/>
        <v>3.4799999999999898</v>
      </c>
      <c r="Q186">
        <f t="shared" ca="1" si="51"/>
        <v>0.69745878501712044</v>
      </c>
      <c r="R186">
        <f t="shared" ca="1" si="52"/>
        <v>0.7543402419441555</v>
      </c>
      <c r="S186">
        <f t="shared" ca="1" si="49"/>
        <v>0.92459442866201214</v>
      </c>
      <c r="T186">
        <f t="shared" ca="1" si="50"/>
        <v>48.041000997014983</v>
      </c>
      <c r="U186">
        <f>70</f>
        <v>70</v>
      </c>
      <c r="V186">
        <f>30</f>
        <v>30</v>
      </c>
      <c r="W186">
        <f t="shared" ca="1" si="48"/>
        <v>144.26543581701088</v>
      </c>
      <c r="X186">
        <f t="shared" ca="1" si="58"/>
        <v>144.62659059831304</v>
      </c>
      <c r="Y186">
        <f t="shared" ca="1" si="57"/>
        <v>-0.51591882279063839</v>
      </c>
      <c r="Z186">
        <f t="shared" ca="1" si="59"/>
        <v>-1.091437425569707</v>
      </c>
      <c r="AA186">
        <f t="shared" ca="1" si="60"/>
        <v>0.57551860277906863</v>
      </c>
      <c r="AB186">
        <f t="shared" ca="1" si="61"/>
        <v>152.73509999999999</v>
      </c>
    </row>
    <row r="187" spans="1:28" x14ac:dyDescent="0.25">
      <c r="A187" s="20">
        <f t="shared" ca="1" si="41"/>
        <v>45558</v>
      </c>
      <c r="B187" vm="545">
        <f ca="1"/>
        <v>45561</v>
      </c>
      <c r="C187" vm="546">
        <f ca="1"/>
        <v>141.99</v>
      </c>
      <c r="D187" vm="547">
        <f ca="1"/>
        <v>8046171</v>
      </c>
      <c r="E187">
        <f t="shared" ca="1" si="42"/>
        <v>1142475820.29</v>
      </c>
      <c r="F187">
        <f ca="1">SUM($E$2:E187)/SUM($D$2:D187)</f>
        <v>152.70432890992291</v>
      </c>
      <c r="G187">
        <f ca="1">_xlfn.STDEV.P($C$2:C187)</f>
        <v>6.7398917682777402</v>
      </c>
      <c r="H187">
        <f t="shared" ca="1" si="43"/>
        <v>159.44422067820065</v>
      </c>
      <c r="I187">
        <f t="shared" ca="1" si="44"/>
        <v>145.96443714164516</v>
      </c>
      <c r="J187">
        <f t="shared" ca="1" si="53"/>
        <v>142.94499999999999</v>
      </c>
      <c r="K187">
        <f t="shared" ca="1" si="54"/>
        <v>3.2716187848959715</v>
      </c>
      <c r="L187">
        <f t="shared" ca="1" si="55"/>
        <v>149.48823756979195</v>
      </c>
      <c r="M187">
        <f t="shared" ca="1" si="56"/>
        <v>136.40176243020804</v>
      </c>
      <c r="N187">
        <f t="shared" ca="1" si="45"/>
        <v>-1.9799999999999898</v>
      </c>
      <c r="O187">
        <f t="shared" ca="1" si="46"/>
        <v>0</v>
      </c>
      <c r="P187">
        <f t="shared" ca="1" si="47"/>
        <v>1.9799999999999898</v>
      </c>
      <c r="Q187">
        <f t="shared" ca="1" si="51"/>
        <v>0.64764030037304043</v>
      </c>
      <c r="R187">
        <f t="shared" ca="1" si="52"/>
        <v>0.84188736751957216</v>
      </c>
      <c r="S187">
        <f t="shared" ca="1" si="49"/>
        <v>0.7692719066223358</v>
      </c>
      <c r="T187">
        <f t="shared" ca="1" si="50"/>
        <v>43.479575058133932</v>
      </c>
      <c r="U187">
        <f>70</f>
        <v>70</v>
      </c>
      <c r="V187">
        <f>30</f>
        <v>30</v>
      </c>
      <c r="W187">
        <f t="shared" ca="1" si="48"/>
        <v>143.91536876823997</v>
      </c>
      <c r="X187">
        <f t="shared" ca="1" si="58"/>
        <v>144.43128759103061</v>
      </c>
      <c r="Y187">
        <f t="shared" ca="1" si="57"/>
        <v>-0.35209100546347827</v>
      </c>
      <c r="Z187">
        <f t="shared" ca="1" si="59"/>
        <v>-0.94356814154846136</v>
      </c>
      <c r="AA187">
        <f t="shared" ca="1" si="60"/>
        <v>0.59147713608498309</v>
      </c>
      <c r="AB187">
        <f t="shared" ca="1" si="61"/>
        <v>152.55249999999998</v>
      </c>
    </row>
    <row r="188" spans="1:28" x14ac:dyDescent="0.25">
      <c r="A188" s="20">
        <f t="shared" ca="1" si="41"/>
        <v>45558</v>
      </c>
      <c r="B188" vm="548">
        <f ca="1"/>
        <v>45562</v>
      </c>
      <c r="C188" vm="549">
        <f ca="1"/>
        <v>145.49</v>
      </c>
      <c r="D188" vm="550">
        <f ca="1"/>
        <v>8049155</v>
      </c>
      <c r="E188">
        <f t="shared" ca="1" si="42"/>
        <v>1171071560.95</v>
      </c>
      <c r="F188">
        <f ca="1">SUM($E$2:E188)/SUM($D$2:D188)</f>
        <v>152.66466397805507</v>
      </c>
      <c r="G188">
        <f ca="1">_xlfn.STDEV.P($C$2:C188)</f>
        <v>6.744964761188303</v>
      </c>
      <c r="H188">
        <f t="shared" ca="1" si="43"/>
        <v>159.40962873924337</v>
      </c>
      <c r="I188">
        <f t="shared" ca="1" si="44"/>
        <v>145.91969921686677</v>
      </c>
      <c r="J188">
        <f t="shared" ca="1" si="53"/>
        <v>142.84849999999997</v>
      </c>
      <c r="K188">
        <f t="shared" ca="1" si="54"/>
        <v>3.1592092198423374</v>
      </c>
      <c r="L188">
        <f t="shared" ca="1" si="55"/>
        <v>149.16691843968465</v>
      </c>
      <c r="M188">
        <f t="shared" ca="1" si="56"/>
        <v>136.5300815603153</v>
      </c>
      <c r="N188">
        <f t="shared" ca="1" si="45"/>
        <v>3.5</v>
      </c>
      <c r="O188">
        <f t="shared" ca="1" si="46"/>
        <v>3.5</v>
      </c>
      <c r="P188">
        <f t="shared" ca="1" si="47"/>
        <v>0</v>
      </c>
      <c r="Q188">
        <f t="shared" ca="1" si="51"/>
        <v>0.8513802789178232</v>
      </c>
      <c r="R188">
        <f t="shared" ca="1" si="52"/>
        <v>0.78175255555388845</v>
      </c>
      <c r="S188">
        <f t="shared" ca="1" si="49"/>
        <v>1.0890661921976093</v>
      </c>
      <c r="T188">
        <f t="shared" ca="1" si="50"/>
        <v>52.131722597643382</v>
      </c>
      <c r="U188">
        <f>70</f>
        <v>70</v>
      </c>
      <c r="V188">
        <f>30</f>
        <v>30</v>
      </c>
      <c r="W188">
        <f t="shared" ca="1" si="48"/>
        <v>144.15761972697229</v>
      </c>
      <c r="X188">
        <f t="shared" ca="1" si="58"/>
        <v>144.50971073243576</v>
      </c>
      <c r="Y188">
        <f t="shared" ca="1" si="57"/>
        <v>-7.7729142822931863E-2</v>
      </c>
      <c r="Z188">
        <f t="shared" ca="1" si="59"/>
        <v>-0.77040034180335559</v>
      </c>
      <c r="AA188">
        <f t="shared" ca="1" si="60"/>
        <v>0.69267119898042373</v>
      </c>
      <c r="AB188">
        <f t="shared" ca="1" si="61"/>
        <v>152.3844</v>
      </c>
    </row>
    <row r="189" spans="1:28" x14ac:dyDescent="0.25">
      <c r="A189" s="20">
        <f t="shared" ca="1" si="41"/>
        <v>45565</v>
      </c>
      <c r="B189" vm="551">
        <f ca="1"/>
        <v>45565</v>
      </c>
      <c r="C189" vm="26">
        <f ca="1"/>
        <v>147.27000000000001</v>
      </c>
      <c r="D189" vm="552">
        <f ca="1"/>
        <v>7494608</v>
      </c>
      <c r="E189">
        <f t="shared" ca="1" si="42"/>
        <v>1103730920.1600001</v>
      </c>
      <c r="F189">
        <f ca="1">SUM($E$2:E189)/SUM($D$2:D189)</f>
        <v>152.63718780783191</v>
      </c>
      <c r="G189">
        <f ca="1">_xlfn.STDEV.P($C$2:C189)</f>
        <v>6.7403536934286281</v>
      </c>
      <c r="H189">
        <f t="shared" ca="1" si="43"/>
        <v>159.37754150126054</v>
      </c>
      <c r="I189">
        <f t="shared" ca="1" si="44"/>
        <v>145.89683411440328</v>
      </c>
      <c r="J189">
        <f t="shared" ca="1" si="53"/>
        <v>142.81449999999998</v>
      </c>
      <c r="K189">
        <f t="shared" ca="1" si="54"/>
        <v>3.1046035004065877</v>
      </c>
      <c r="L189">
        <f t="shared" ca="1" si="55"/>
        <v>149.02370700081315</v>
      </c>
      <c r="M189">
        <f t="shared" ca="1" si="56"/>
        <v>136.60529299918682</v>
      </c>
      <c r="N189">
        <f t="shared" ca="1" si="45"/>
        <v>1.7800000000000011</v>
      </c>
      <c r="O189">
        <f t="shared" ca="1" si="46"/>
        <v>1.7800000000000011</v>
      </c>
      <c r="P189">
        <f t="shared" ca="1" si="47"/>
        <v>0</v>
      </c>
      <c r="Q189">
        <f t="shared" ca="1" si="51"/>
        <v>0.9177102589951216</v>
      </c>
      <c r="R189">
        <f t="shared" ca="1" si="52"/>
        <v>0.72591308730003934</v>
      </c>
      <c r="S189">
        <f t="shared" ca="1" si="49"/>
        <v>1.2642150624511435</v>
      </c>
      <c r="T189">
        <f t="shared" ca="1" si="50"/>
        <v>55.834584064755653</v>
      </c>
      <c r="U189">
        <f>70</f>
        <v>70</v>
      </c>
      <c r="V189">
        <f>30</f>
        <v>30</v>
      </c>
      <c r="W189">
        <f t="shared" ca="1" si="48"/>
        <v>144.63644746128426</v>
      </c>
      <c r="X189">
        <f t="shared" ca="1" si="58"/>
        <v>144.71417660410719</v>
      </c>
      <c r="Y189">
        <f t="shared" ca="1" si="57"/>
        <v>0.33195868850879151</v>
      </c>
      <c r="Z189">
        <f t="shared" ca="1" si="59"/>
        <v>-0.54992853574092615</v>
      </c>
      <c r="AA189">
        <f t="shared" ca="1" si="60"/>
        <v>0.88188722424971766</v>
      </c>
      <c r="AB189">
        <f t="shared" ca="1" si="61"/>
        <v>152.23039999999997</v>
      </c>
    </row>
    <row r="190" spans="1:28" x14ac:dyDescent="0.25">
      <c r="A190" s="20">
        <f t="shared" ca="1" si="41"/>
        <v>45565</v>
      </c>
      <c r="B190" vm="553">
        <f ca="1"/>
        <v>45566</v>
      </c>
      <c r="C190" vm="554">
        <f ca="1"/>
        <v>149.69999999999999</v>
      </c>
      <c r="D190" vm="555">
        <f ca="1"/>
        <v>9489121</v>
      </c>
      <c r="E190">
        <f t="shared" ca="1" si="42"/>
        <v>1420521413.6999998</v>
      </c>
      <c r="F190">
        <f ca="1">SUM($E$2:E190)/SUM($D$2:D190)</f>
        <v>152.61836826987667</v>
      </c>
      <c r="G190">
        <f ca="1">_xlfn.STDEV.P($C$2:C190)</f>
        <v>6.7269390762994723</v>
      </c>
      <c r="H190">
        <f t="shared" ca="1" si="43"/>
        <v>159.34530734617613</v>
      </c>
      <c r="I190">
        <f t="shared" ca="1" si="44"/>
        <v>145.89142919357721</v>
      </c>
      <c r="J190">
        <f t="shared" ca="1" si="53"/>
        <v>143.06649999999996</v>
      </c>
      <c r="K190">
        <f t="shared" ca="1" si="54"/>
        <v>3.4478586413201895</v>
      </c>
      <c r="L190">
        <f t="shared" ca="1" si="55"/>
        <v>149.96221728264035</v>
      </c>
      <c r="M190">
        <f t="shared" ca="1" si="56"/>
        <v>136.17078271735957</v>
      </c>
      <c r="N190">
        <f t="shared" ca="1" si="45"/>
        <v>2.4299999999999784</v>
      </c>
      <c r="O190">
        <f t="shared" ca="1" si="46"/>
        <v>2.4299999999999784</v>
      </c>
      <c r="P190">
        <f t="shared" ca="1" si="47"/>
        <v>0</v>
      </c>
      <c r="Q190">
        <f t="shared" ca="1" si="51"/>
        <v>1.0257309547811828</v>
      </c>
      <c r="R190">
        <f t="shared" ca="1" si="52"/>
        <v>0.6740621524928937</v>
      </c>
      <c r="S190">
        <f t="shared" ca="1" si="49"/>
        <v>1.5217156919250063</v>
      </c>
      <c r="T190">
        <f t="shared" ca="1" si="50"/>
        <v>60.344459004550657</v>
      </c>
      <c r="U190">
        <f>70</f>
        <v>70</v>
      </c>
      <c r="V190">
        <f>30</f>
        <v>30</v>
      </c>
      <c r="W190">
        <f t="shared" ca="1" si="48"/>
        <v>145.41545554416359</v>
      </c>
      <c r="X190">
        <f t="shared" ca="1" si="58"/>
        <v>145.0834968556548</v>
      </c>
      <c r="Y190">
        <f t="shared" ca="1" si="57"/>
        <v>0.74887127785976304</v>
      </c>
      <c r="Z190">
        <f t="shared" ca="1" si="59"/>
        <v>-0.2901685730207883</v>
      </c>
      <c r="AA190">
        <f t="shared" ca="1" si="60"/>
        <v>1.0390398508805514</v>
      </c>
      <c r="AB190">
        <f t="shared" ca="1" si="61"/>
        <v>152.10199999999998</v>
      </c>
    </row>
    <row r="191" spans="1:28" x14ac:dyDescent="0.25">
      <c r="A191" s="20">
        <f t="shared" ca="1" si="41"/>
        <v>45565</v>
      </c>
      <c r="B191" vm="556">
        <f ca="1"/>
        <v>45567</v>
      </c>
      <c r="C191" vm="557">
        <f ca="1"/>
        <v>150.94999999999999</v>
      </c>
      <c r="D191" vm="558">
        <f ca="1"/>
        <v>8105420</v>
      </c>
      <c r="E191">
        <f t="shared" ca="1" si="42"/>
        <v>1223513149</v>
      </c>
      <c r="F191">
        <f ca="1">SUM($E$2:E191)/SUM($D$2:D191)</f>
        <v>152.60928696449022</v>
      </c>
      <c r="G191">
        <f ca="1">_xlfn.STDEV.P($C$2:C191)</f>
        <v>6.7109350637122747</v>
      </c>
      <c r="H191">
        <f t="shared" ca="1" si="43"/>
        <v>159.32022202820249</v>
      </c>
      <c r="I191">
        <f t="shared" ca="1" si="44"/>
        <v>145.89835190077795</v>
      </c>
      <c r="J191">
        <f t="shared" ca="1" si="53"/>
        <v>143.51049999999998</v>
      </c>
      <c r="K191">
        <f t="shared" ca="1" si="54"/>
        <v>3.859920199611437</v>
      </c>
      <c r="L191">
        <f t="shared" ca="1" si="55"/>
        <v>151.23034039922285</v>
      </c>
      <c r="M191">
        <f t="shared" ca="1" si="56"/>
        <v>135.7906596007771</v>
      </c>
      <c r="N191">
        <f t="shared" ca="1" si="45"/>
        <v>1.25</v>
      </c>
      <c r="O191">
        <f t="shared" ca="1" si="46"/>
        <v>1.25</v>
      </c>
      <c r="P191">
        <f t="shared" ca="1" si="47"/>
        <v>0</v>
      </c>
      <c r="Q191">
        <f t="shared" ca="1" si="51"/>
        <v>1.0417501722968125</v>
      </c>
      <c r="R191">
        <f t="shared" ca="1" si="52"/>
        <v>0.6259148558862585</v>
      </c>
      <c r="S191">
        <f t="shared" ca="1" si="49"/>
        <v>1.6643640305066028</v>
      </c>
      <c r="T191">
        <f t="shared" ca="1" si="50"/>
        <v>62.467591194366186</v>
      </c>
      <c r="U191">
        <f>70</f>
        <v>70</v>
      </c>
      <c r="V191">
        <f>30</f>
        <v>30</v>
      </c>
      <c r="W191">
        <f t="shared" ca="1" si="48"/>
        <v>146.26692392198458</v>
      </c>
      <c r="X191">
        <f t="shared" ca="1" si="58"/>
        <v>145.51805264412482</v>
      </c>
      <c r="Y191">
        <f t="shared" ca="1" si="57"/>
        <v>1.0909096737574373</v>
      </c>
      <c r="Z191">
        <f t="shared" ca="1" si="59"/>
        <v>-1.3952923665143169E-2</v>
      </c>
      <c r="AA191">
        <f t="shared" ca="1" si="60"/>
        <v>1.1048625974225805</v>
      </c>
      <c r="AB191">
        <f t="shared" ca="1" si="61"/>
        <v>151.95699999999999</v>
      </c>
    </row>
    <row r="192" spans="1:28" x14ac:dyDescent="0.25">
      <c r="A192" s="20">
        <f t="shared" ca="1" si="41"/>
        <v>45565</v>
      </c>
      <c r="B192" vm="559">
        <f ca="1"/>
        <v>45568</v>
      </c>
      <c r="C192" vm="560">
        <f ca="1"/>
        <v>151.25</v>
      </c>
      <c r="D192" vm="561">
        <f ca="1"/>
        <v>6553282</v>
      </c>
      <c r="E192">
        <f t="shared" ca="1" si="42"/>
        <v>991183902.5</v>
      </c>
      <c r="F192">
        <f ca="1">SUM($E$2:E192)/SUM($D$2:D192)</f>
        <v>152.6033311143884</v>
      </c>
      <c r="G192">
        <f ca="1">_xlfn.STDEV.P($C$2:C192)</f>
        <v>6.6945902855650479</v>
      </c>
      <c r="H192">
        <f t="shared" ca="1" si="43"/>
        <v>159.29792139995345</v>
      </c>
      <c r="I192">
        <f t="shared" ca="1" si="44"/>
        <v>145.90874082882334</v>
      </c>
      <c r="J192">
        <f t="shared" ca="1" si="53"/>
        <v>144.0265</v>
      </c>
      <c r="K192">
        <f t="shared" ca="1" si="54"/>
        <v>4.173831100156252</v>
      </c>
      <c r="L192">
        <f t="shared" ca="1" si="55"/>
        <v>152.3741622003125</v>
      </c>
      <c r="M192">
        <f t="shared" ca="1" si="56"/>
        <v>135.6788377996875</v>
      </c>
      <c r="N192">
        <f t="shared" ca="1" si="45"/>
        <v>0.30000000000001137</v>
      </c>
      <c r="O192">
        <f t="shared" ca="1" si="46"/>
        <v>0.30000000000001137</v>
      </c>
      <c r="P192">
        <f t="shared" ca="1" si="47"/>
        <v>0</v>
      </c>
      <c r="Q192">
        <f t="shared" ca="1" si="51"/>
        <v>0.98876801713275531</v>
      </c>
      <c r="R192">
        <f t="shared" ca="1" si="52"/>
        <v>0.58120665189438292</v>
      </c>
      <c r="S192">
        <f t="shared" ca="1" si="49"/>
        <v>1.7012331395553859</v>
      </c>
      <c r="T192">
        <f t="shared" ca="1" si="50"/>
        <v>62.979870735459855</v>
      </c>
      <c r="U192">
        <f>70</f>
        <v>70</v>
      </c>
      <c r="V192">
        <f>30</f>
        <v>30</v>
      </c>
      <c r="W192">
        <f t="shared" ca="1" si="48"/>
        <v>147.03355101091003</v>
      </c>
      <c r="X192">
        <f t="shared" ca="1" si="58"/>
        <v>145.94264133715259</v>
      </c>
      <c r="Y192">
        <f t="shared" ca="1" si="57"/>
        <v>1.3057726942042223</v>
      </c>
      <c r="Z192">
        <f t="shared" ca="1" si="59"/>
        <v>0.2499921999087299</v>
      </c>
      <c r="AA192">
        <f t="shared" ca="1" si="60"/>
        <v>1.0557804942954925</v>
      </c>
      <c r="AB192">
        <f t="shared" ca="1" si="61"/>
        <v>151.81129999999999</v>
      </c>
    </row>
    <row r="193" spans="1:28" x14ac:dyDescent="0.25">
      <c r="A193" s="20">
        <f t="shared" ca="1" si="41"/>
        <v>45565</v>
      </c>
      <c r="B193" vm="562">
        <f ca="1"/>
        <v>45569</v>
      </c>
      <c r="C193" vm="563">
        <f ca="1"/>
        <v>150.74</v>
      </c>
      <c r="D193" vm="564">
        <f ca="1"/>
        <v>7895285</v>
      </c>
      <c r="E193">
        <f t="shared" ca="1" si="42"/>
        <v>1190135260.9000001</v>
      </c>
      <c r="F193">
        <f ca="1">SUM($E$2:E193)/SUM($D$2:D193)</f>
        <v>152.59354647014027</v>
      </c>
      <c r="G193">
        <f ca="1">_xlfn.STDEV.P($C$2:C193)</f>
        <v>6.6791687442731105</v>
      </c>
      <c r="H193">
        <f t="shared" ca="1" si="43"/>
        <v>159.27271521441338</v>
      </c>
      <c r="I193">
        <f t="shared" ca="1" si="44"/>
        <v>145.91437772586715</v>
      </c>
      <c r="J193">
        <f t="shared" ca="1" si="53"/>
        <v>144.63550000000001</v>
      </c>
      <c r="K193">
        <f t="shared" ca="1" si="54"/>
        <v>4.2225416080340672</v>
      </c>
      <c r="L193">
        <f t="shared" ca="1" si="55"/>
        <v>153.08058321606813</v>
      </c>
      <c r="M193">
        <f t="shared" ca="1" si="56"/>
        <v>136.19041678393188</v>
      </c>
      <c r="N193">
        <f t="shared" ca="1" si="45"/>
        <v>-0.50999999999999091</v>
      </c>
      <c r="O193">
        <f t="shared" ca="1" si="46"/>
        <v>0</v>
      </c>
      <c r="P193">
        <f t="shared" ca="1" si="47"/>
        <v>0.50999999999999091</v>
      </c>
      <c r="Q193">
        <f t="shared" ca="1" si="51"/>
        <v>0.91814173019470136</v>
      </c>
      <c r="R193">
        <f t="shared" ca="1" si="52"/>
        <v>0.57612046247335491</v>
      </c>
      <c r="S193">
        <f t="shared" ca="1" si="49"/>
        <v>1.5936627667293881</v>
      </c>
      <c r="T193">
        <f t="shared" ca="1" si="50"/>
        <v>61.444486429475134</v>
      </c>
      <c r="U193">
        <f>70</f>
        <v>70</v>
      </c>
      <c r="V193">
        <f>30</f>
        <v>30</v>
      </c>
      <c r="W193">
        <f t="shared" ca="1" si="48"/>
        <v>147.60377393230848</v>
      </c>
      <c r="X193">
        <f t="shared" ca="1" si="58"/>
        <v>146.29800123810426</v>
      </c>
      <c r="Y193">
        <f t="shared" ca="1" si="57"/>
        <v>1.4895454572983908</v>
      </c>
      <c r="Z193">
        <f t="shared" ca="1" si="59"/>
        <v>0.49790285138666213</v>
      </c>
      <c r="AA193">
        <f t="shared" ca="1" si="60"/>
        <v>0.9916426059117287</v>
      </c>
      <c r="AB193">
        <f t="shared" ca="1" si="61"/>
        <v>151.67339999999999</v>
      </c>
    </row>
    <row r="194" spans="1:28" x14ac:dyDescent="0.25">
      <c r="A194" s="20">
        <f t="shared" ca="1" si="41"/>
        <v>45572</v>
      </c>
      <c r="B194" vm="565">
        <f ca="1"/>
        <v>45572</v>
      </c>
      <c r="C194" vm="566">
        <f ca="1"/>
        <v>151.12</v>
      </c>
      <c r="D194" vm="567">
        <f ca="1"/>
        <v>5895852</v>
      </c>
      <c r="E194">
        <f t="shared" ca="1" si="42"/>
        <v>890981154.24000001</v>
      </c>
      <c r="F194">
        <f ca="1">SUM($E$2:E194)/SUM($D$2:D194)</f>
        <v>152.58779077319392</v>
      </c>
      <c r="G194">
        <f ca="1">_xlfn.STDEV.P($C$2:C194)</f>
        <v>6.6632369523074511</v>
      </c>
      <c r="H194">
        <f t="shared" ca="1" si="43"/>
        <v>159.25102772550136</v>
      </c>
      <c r="I194">
        <f t="shared" ca="1" si="44"/>
        <v>145.92455382088647</v>
      </c>
      <c r="J194">
        <f t="shared" ca="1" si="53"/>
        <v>145.17649999999998</v>
      </c>
      <c r="K194">
        <f t="shared" ca="1" si="54"/>
        <v>4.3296156083178401</v>
      </c>
      <c r="L194">
        <f t="shared" ca="1" si="55"/>
        <v>153.83573121663565</v>
      </c>
      <c r="M194">
        <f t="shared" ca="1" si="56"/>
        <v>136.5172687833643</v>
      </c>
      <c r="N194">
        <f t="shared" ca="1" si="45"/>
        <v>0.37999999999999545</v>
      </c>
      <c r="O194">
        <f t="shared" ca="1" si="46"/>
        <v>0.37999999999999545</v>
      </c>
      <c r="P194">
        <f t="shared" ca="1" si="47"/>
        <v>0</v>
      </c>
      <c r="Q194">
        <f t="shared" ca="1" si="51"/>
        <v>0.87970303518079374</v>
      </c>
      <c r="R194">
        <f t="shared" ca="1" si="52"/>
        <v>0.53496900086811527</v>
      </c>
      <c r="S194">
        <f t="shared" ca="1" si="49"/>
        <v>1.644400018979165</v>
      </c>
      <c r="T194">
        <f t="shared" ca="1" si="50"/>
        <v>62.184238661969282</v>
      </c>
      <c r="U194">
        <f>70</f>
        <v>70</v>
      </c>
      <c r="V194">
        <f>30</f>
        <v>30</v>
      </c>
      <c r="W194">
        <f t="shared" ca="1" si="48"/>
        <v>148.14473178887641</v>
      </c>
      <c r="X194">
        <f t="shared" ca="1" si="58"/>
        <v>146.65518633157802</v>
      </c>
      <c r="Y194">
        <f t="shared" ca="1" si="57"/>
        <v>1.4274922607790472</v>
      </c>
      <c r="Z194">
        <f t="shared" ca="1" si="59"/>
        <v>0.68382073326513915</v>
      </c>
      <c r="AA194">
        <f t="shared" ca="1" si="60"/>
        <v>0.74367152751390808</v>
      </c>
      <c r="AB194">
        <f t="shared" ca="1" si="61"/>
        <v>151.54849999999999</v>
      </c>
    </row>
    <row r="195" spans="1:28" x14ac:dyDescent="0.25">
      <c r="A195" s="20">
        <f t="shared" ref="A195:A258" ca="1" si="62">B195 - WEEKDAY(B195, 2) + 1</f>
        <v>45572</v>
      </c>
      <c r="B195" vm="568">
        <f ca="1"/>
        <v>45573</v>
      </c>
      <c r="C195" vm="569">
        <f ca="1"/>
        <v>148.75</v>
      </c>
      <c r="D195" vm="570">
        <f ca="1"/>
        <v>5892739</v>
      </c>
      <c r="E195">
        <f t="shared" ref="E195:E258" ca="1" si="63">C195*D195</f>
        <v>876544926.25</v>
      </c>
      <c r="F195">
        <f ca="1">SUM($E$2:E195)/SUM($D$2:D195)</f>
        <v>152.572866477509</v>
      </c>
      <c r="G195">
        <f ca="1">_xlfn.STDEV.P($C$2:C195)</f>
        <v>6.6530346880278621</v>
      </c>
      <c r="H195">
        <f t="shared" ref="H195:H258" ca="1" si="64">F195 + G195</f>
        <v>159.22590116553687</v>
      </c>
      <c r="I195">
        <f t="shared" ref="I195:I258" ca="1" si="65">F195 - G195</f>
        <v>145.91983178948112</v>
      </c>
      <c r="J195">
        <f t="shared" ca="1" si="53"/>
        <v>145.70250000000001</v>
      </c>
      <c r="K195">
        <f t="shared" ca="1" si="54"/>
        <v>4.0726841982834054</v>
      </c>
      <c r="L195">
        <f t="shared" ca="1" si="55"/>
        <v>153.84786839656684</v>
      </c>
      <c r="M195">
        <f t="shared" ca="1" si="56"/>
        <v>137.55713160343319</v>
      </c>
      <c r="N195">
        <f t="shared" ca="1" si="45"/>
        <v>-2.3700000000000045</v>
      </c>
      <c r="O195">
        <f t="shared" ca="1" si="46"/>
        <v>0</v>
      </c>
      <c r="P195">
        <f t="shared" ca="1" si="47"/>
        <v>2.3700000000000045</v>
      </c>
      <c r="Q195">
        <f t="shared" ca="1" si="51"/>
        <v>0.81686710409645136</v>
      </c>
      <c r="R195">
        <f t="shared" ca="1" si="52"/>
        <v>0.66604264366325017</v>
      </c>
      <c r="S195">
        <f t="shared" ca="1" si="49"/>
        <v>1.226448654403963</v>
      </c>
      <c r="T195">
        <f t="shared" ca="1" si="50"/>
        <v>55.085422786553885</v>
      </c>
      <c r="U195">
        <f>70</f>
        <v>70</v>
      </c>
      <c r="V195">
        <f>30</f>
        <v>30</v>
      </c>
      <c r="W195">
        <f t="shared" ca="1" si="48"/>
        <v>148.23784997520312</v>
      </c>
      <c r="X195">
        <f t="shared" ca="1" si="58"/>
        <v>146.81035771442407</v>
      </c>
      <c r="Y195">
        <f t="shared" ca="1" si="57"/>
        <v>1.4344022377421766</v>
      </c>
      <c r="Z195">
        <f t="shared" ca="1" si="59"/>
        <v>0.83393703416054665</v>
      </c>
      <c r="AA195">
        <f t="shared" ca="1" si="60"/>
        <v>0.60046520358162991</v>
      </c>
      <c r="AB195">
        <f t="shared" ca="1" si="61"/>
        <v>151.40549999999999</v>
      </c>
    </row>
    <row r="196" spans="1:28" x14ac:dyDescent="0.25">
      <c r="A196" s="20">
        <f t="shared" ca="1" si="62"/>
        <v>45572</v>
      </c>
      <c r="B196" vm="571">
        <f ca="1"/>
        <v>45574</v>
      </c>
      <c r="C196" vm="572">
        <f ca="1"/>
        <v>149.65</v>
      </c>
      <c r="D196" vm="573">
        <f ca="1"/>
        <v>4973453</v>
      </c>
      <c r="E196">
        <f t="shared" ca="1" si="63"/>
        <v>744277241.45000005</v>
      </c>
      <c r="F196">
        <f ca="1">SUM($E$2:E196)/SUM($D$2:D196)</f>
        <v>152.56330468599347</v>
      </c>
      <c r="G196">
        <f ca="1">_xlfn.STDEV.P($C$2:C196)</f>
        <v>6.6402322199041937</v>
      </c>
      <c r="H196">
        <f t="shared" ca="1" si="64"/>
        <v>159.20353690589766</v>
      </c>
      <c r="I196">
        <f t="shared" ca="1" si="65"/>
        <v>145.92307246608928</v>
      </c>
      <c r="J196">
        <f t="shared" ca="1" si="53"/>
        <v>146.291</v>
      </c>
      <c r="K196">
        <f t="shared" ca="1" si="54"/>
        <v>3.7177595120547617</v>
      </c>
      <c r="L196">
        <f t="shared" ca="1" si="55"/>
        <v>153.72651902410951</v>
      </c>
      <c r="M196">
        <f t="shared" ca="1" si="56"/>
        <v>138.85548097589049</v>
      </c>
      <c r="N196">
        <f t="shared" ref="N196:N259" ca="1" si="66">C196-C195</f>
        <v>0.90000000000000568</v>
      </c>
      <c r="O196">
        <f t="shared" ref="O196:O259" ca="1" si="67">MAX(N196,0)</f>
        <v>0.90000000000000568</v>
      </c>
      <c r="P196">
        <f t="shared" ref="P196:P259" ca="1" si="68">MAX(-N196,0)</f>
        <v>0</v>
      </c>
      <c r="Q196">
        <f t="shared" ca="1" si="51"/>
        <v>0.82280516808956239</v>
      </c>
      <c r="R196">
        <f t="shared" ca="1" si="52"/>
        <v>0.6184681691158751</v>
      </c>
      <c r="S196">
        <f t="shared" ca="1" si="49"/>
        <v>1.3303921029044958</v>
      </c>
      <c r="T196">
        <f t="shared" ca="1" si="50"/>
        <v>57.088766360234182</v>
      </c>
      <c r="U196">
        <f>70</f>
        <v>70</v>
      </c>
      <c r="V196">
        <f>30</f>
        <v>30</v>
      </c>
      <c r="W196">
        <f t="shared" ca="1" si="48"/>
        <v>148.45510382517188</v>
      </c>
      <c r="X196">
        <f t="shared" ca="1" si="58"/>
        <v>147.0207015874297</v>
      </c>
      <c r="Y196">
        <f t="shared" ca="1" si="57"/>
        <v>1.5008484904882948</v>
      </c>
      <c r="Z196">
        <f t="shared" ca="1" si="59"/>
        <v>0.96731932542609633</v>
      </c>
      <c r="AA196">
        <f t="shared" ca="1" si="60"/>
        <v>0.5335291650621985</v>
      </c>
      <c r="AB196">
        <f t="shared" ca="1" si="61"/>
        <v>151.2911</v>
      </c>
    </row>
    <row r="197" spans="1:28" x14ac:dyDescent="0.25">
      <c r="A197" s="20">
        <f t="shared" ca="1" si="62"/>
        <v>45572</v>
      </c>
      <c r="B197" vm="574">
        <f ca="1"/>
        <v>45575</v>
      </c>
      <c r="C197" vm="575">
        <f ca="1"/>
        <v>150.62</v>
      </c>
      <c r="D197" vm="576">
        <f ca="1"/>
        <v>4420891</v>
      </c>
      <c r="E197">
        <f t="shared" ca="1" si="63"/>
        <v>665874602.42000008</v>
      </c>
      <c r="F197">
        <f ca="1">SUM($E$2:E197)/SUM($D$2:D197)</f>
        <v>152.55767010117376</v>
      </c>
      <c r="G197">
        <f ca="1">_xlfn.STDEV.P($C$2:C197)</f>
        <v>6.6253863087059042</v>
      </c>
      <c r="H197">
        <f t="shared" ca="1" si="64"/>
        <v>159.18305640987967</v>
      </c>
      <c r="I197">
        <f t="shared" ca="1" si="65"/>
        <v>145.93228379246784</v>
      </c>
      <c r="J197">
        <f t="shared" ca="1" si="53"/>
        <v>146.86150000000001</v>
      </c>
      <c r="K197">
        <f t="shared" ca="1" si="54"/>
        <v>3.438965993618305</v>
      </c>
      <c r="L197">
        <f t="shared" ca="1" si="55"/>
        <v>153.73943198723663</v>
      </c>
      <c r="M197">
        <f t="shared" ca="1" si="56"/>
        <v>139.98356801276339</v>
      </c>
      <c r="N197">
        <f t="shared" ca="1" si="66"/>
        <v>0.96999999999999886</v>
      </c>
      <c r="O197">
        <f t="shared" ca="1" si="67"/>
        <v>0.96999999999999886</v>
      </c>
      <c r="P197">
        <f t="shared" ca="1" si="68"/>
        <v>0</v>
      </c>
      <c r="Q197">
        <f t="shared" ca="1" si="51"/>
        <v>0.83331908465459359</v>
      </c>
      <c r="R197">
        <f t="shared" ca="1" si="52"/>
        <v>0.57429187132188397</v>
      </c>
      <c r="S197">
        <f t="shared" ca="1" si="49"/>
        <v>1.4510375756085321</v>
      </c>
      <c r="T197">
        <f t="shared" ca="1" si="50"/>
        <v>59.200951876401781</v>
      </c>
      <c r="U197">
        <f>70</f>
        <v>70</v>
      </c>
      <c r="V197">
        <f>30</f>
        <v>30</v>
      </c>
      <c r="W197">
        <f t="shared" ca="1" si="48"/>
        <v>148.78816477514542</v>
      </c>
      <c r="X197">
        <f t="shared" ca="1" si="58"/>
        <v>147.28731628465712</v>
      </c>
      <c r="Y197">
        <f t="shared" ca="1" si="57"/>
        <v>1.5996214977339775</v>
      </c>
      <c r="Z197">
        <f t="shared" ca="1" si="59"/>
        <v>1.0937797598876726</v>
      </c>
      <c r="AA197">
        <f t="shared" ca="1" si="60"/>
        <v>0.50584173784630493</v>
      </c>
      <c r="AB197">
        <f t="shared" ca="1" si="61"/>
        <v>151.17060000000001</v>
      </c>
    </row>
    <row r="198" spans="1:28" x14ac:dyDescent="0.25">
      <c r="A198" s="20">
        <f t="shared" ca="1" si="62"/>
        <v>45572</v>
      </c>
      <c r="B198" vm="577">
        <f ca="1"/>
        <v>45576</v>
      </c>
      <c r="C198" vm="578">
        <f ca="1"/>
        <v>151.41999999999999</v>
      </c>
      <c r="D198" vm="579">
        <f ca="1"/>
        <v>5051314</v>
      </c>
      <c r="E198">
        <f t="shared" ca="1" si="63"/>
        <v>764869965.88</v>
      </c>
      <c r="F198">
        <f ca="1">SUM($E$2:E198)/SUM($D$2:D198)</f>
        <v>152.55391349639822</v>
      </c>
      <c r="G198">
        <f ca="1">_xlfn.STDEV.P($C$2:C198)</f>
        <v>6.6094525418475376</v>
      </c>
      <c r="H198">
        <f t="shared" ca="1" si="64"/>
        <v>159.16336603824575</v>
      </c>
      <c r="I198">
        <f t="shared" ca="1" si="65"/>
        <v>145.94446095455069</v>
      </c>
      <c r="J198">
        <f t="shared" ca="1" si="53"/>
        <v>147.40200000000002</v>
      </c>
      <c r="K198">
        <f t="shared" ca="1" si="54"/>
        <v>3.2489603195321912</v>
      </c>
      <c r="L198">
        <f t="shared" ca="1" si="55"/>
        <v>153.89992063906439</v>
      </c>
      <c r="M198">
        <f t="shared" ca="1" si="56"/>
        <v>140.90407936093564</v>
      </c>
      <c r="N198">
        <f t="shared" ca="1" si="66"/>
        <v>0.79999999999998295</v>
      </c>
      <c r="O198">
        <f t="shared" ca="1" si="67"/>
        <v>0.79999999999998295</v>
      </c>
      <c r="P198">
        <f t="shared" ca="1" si="68"/>
        <v>0</v>
      </c>
      <c r="Q198">
        <f t="shared" ca="1" si="51"/>
        <v>0.83093915003640717</v>
      </c>
      <c r="R198">
        <f t="shared" ca="1" si="52"/>
        <v>0.53327102337032084</v>
      </c>
      <c r="S198">
        <f t="shared" ca="1" si="49"/>
        <v>1.5581929518405051</v>
      </c>
      <c r="T198">
        <f t="shared" ca="1" si="50"/>
        <v>60.909907156121868</v>
      </c>
      <c r="U198">
        <f>70</f>
        <v>70</v>
      </c>
      <c r="V198">
        <f>30</f>
        <v>30</v>
      </c>
      <c r="W198">
        <f t="shared" ca="1" si="48"/>
        <v>149.19306250204613</v>
      </c>
      <c r="X198">
        <f t="shared" ca="1" si="58"/>
        <v>147.59344100431215</v>
      </c>
      <c r="Y198">
        <f t="shared" ca="1" si="57"/>
        <v>1.6874964008725328</v>
      </c>
      <c r="Z198">
        <f t="shared" ca="1" si="59"/>
        <v>1.2125230880846447</v>
      </c>
      <c r="AA198">
        <f t="shared" ca="1" si="60"/>
        <v>0.47497331278788812</v>
      </c>
      <c r="AB198">
        <f t="shared" ca="1" si="61"/>
        <v>151.07340000000002</v>
      </c>
    </row>
    <row r="199" spans="1:28" x14ac:dyDescent="0.25">
      <c r="A199" s="20">
        <f t="shared" ca="1" si="62"/>
        <v>45579</v>
      </c>
      <c r="B199" vm="580">
        <f ca="1"/>
        <v>45579</v>
      </c>
      <c r="C199" vm="581">
        <f ca="1"/>
        <v>151.78</v>
      </c>
      <c r="D199" vm="582">
        <f ca="1"/>
        <v>4214721</v>
      </c>
      <c r="E199">
        <f t="shared" ca="1" si="63"/>
        <v>639710353.38</v>
      </c>
      <c r="F199">
        <f ca="1">SUM($E$2:E199)/SUM($D$2:D199)</f>
        <v>152.55178711506781</v>
      </c>
      <c r="G199">
        <f ca="1">_xlfn.STDEV.P($C$2:C199)</f>
        <v>6.5932623650145263</v>
      </c>
      <c r="H199">
        <f t="shared" ca="1" si="64"/>
        <v>159.14504948008235</v>
      </c>
      <c r="I199">
        <f t="shared" ca="1" si="65"/>
        <v>145.95852475005327</v>
      </c>
      <c r="J199">
        <f t="shared" ca="1" si="53"/>
        <v>147.88650000000001</v>
      </c>
      <c r="K199">
        <f t="shared" ca="1" si="54"/>
        <v>3.1356511537310272</v>
      </c>
      <c r="L199">
        <f t="shared" ca="1" si="55"/>
        <v>154.15780230746208</v>
      </c>
      <c r="M199">
        <f t="shared" ca="1" si="56"/>
        <v>141.61519769253795</v>
      </c>
      <c r="N199">
        <f t="shared" ca="1" si="66"/>
        <v>0.36000000000001364</v>
      </c>
      <c r="O199">
        <f t="shared" ca="1" si="67"/>
        <v>0.36000000000001364</v>
      </c>
      <c r="P199">
        <f t="shared" ca="1" si="68"/>
        <v>0</v>
      </c>
      <c r="Q199">
        <f t="shared" ca="1" si="51"/>
        <v>0.79730063931952189</v>
      </c>
      <c r="R199">
        <f t="shared" ca="1" si="52"/>
        <v>0.4951802359867265</v>
      </c>
      <c r="S199">
        <f t="shared" ca="1" si="49"/>
        <v>1.6101220957067717</v>
      </c>
      <c r="T199">
        <f t="shared" ca="1" si="50"/>
        <v>61.687616006743973</v>
      </c>
      <c r="U199">
        <f>70</f>
        <v>70</v>
      </c>
      <c r="V199">
        <f>30</f>
        <v>30</v>
      </c>
      <c r="W199">
        <f t="shared" ca="1" si="48"/>
        <v>149.59105288634674</v>
      </c>
      <c r="X199">
        <f t="shared" ca="1" si="58"/>
        <v>147.90355648547421</v>
      </c>
      <c r="Y199">
        <f t="shared" ca="1" si="57"/>
        <v>1.4140366081648494</v>
      </c>
      <c r="Z199">
        <f t="shared" ca="1" si="59"/>
        <v>1.2528257921006858</v>
      </c>
      <c r="AA199">
        <f t="shared" ca="1" si="60"/>
        <v>0.16121081606416365</v>
      </c>
      <c r="AB199">
        <f t="shared" ca="1" si="61"/>
        <v>150.9915</v>
      </c>
    </row>
    <row r="200" spans="1:28" x14ac:dyDescent="0.25">
      <c r="A200" s="20">
        <f t="shared" ca="1" si="62"/>
        <v>45579</v>
      </c>
      <c r="B200" vm="583">
        <f ca="1"/>
        <v>45580</v>
      </c>
      <c r="C200" vm="584">
        <f ca="1"/>
        <v>147.72999999999999</v>
      </c>
      <c r="D200" vm="585">
        <f ca="1"/>
        <v>6704610</v>
      </c>
      <c r="E200">
        <f t="shared" ca="1" si="63"/>
        <v>990472035.29999995</v>
      </c>
      <c r="F200">
        <f ca="1">SUM($E$2:E200)/SUM($D$2:D200)</f>
        <v>152.5308041234951</v>
      </c>
      <c r="G200">
        <f ca="1">_xlfn.STDEV.P($C$2:C200)</f>
        <v>6.5870008794859602</v>
      </c>
      <c r="H200">
        <f t="shared" ca="1" si="64"/>
        <v>159.11780500298107</v>
      </c>
      <c r="I200">
        <f t="shared" ca="1" si="65"/>
        <v>145.94380324400913</v>
      </c>
      <c r="J200">
        <f t="shared" ca="1" si="53"/>
        <v>148.10250000000002</v>
      </c>
      <c r="K200">
        <f t="shared" ca="1" si="54"/>
        <v>2.9546232728066206</v>
      </c>
      <c r="L200">
        <f t="shared" ca="1" si="55"/>
        <v>154.01174654561325</v>
      </c>
      <c r="M200">
        <f t="shared" ca="1" si="56"/>
        <v>142.19325345438679</v>
      </c>
      <c r="N200">
        <f t="shared" ca="1" si="66"/>
        <v>-4.0500000000000114</v>
      </c>
      <c r="O200">
        <f t="shared" ca="1" si="67"/>
        <v>0</v>
      </c>
      <c r="P200">
        <f t="shared" ca="1" si="68"/>
        <v>4.0500000000000114</v>
      </c>
      <c r="Q200">
        <f t="shared" ca="1" si="51"/>
        <v>0.74035059365384182</v>
      </c>
      <c r="R200">
        <f t="shared" ca="1" si="52"/>
        <v>0.74909593341624692</v>
      </c>
      <c r="S200">
        <f t="shared" ca="1" si="49"/>
        <v>0.98832547425197992</v>
      </c>
      <c r="T200">
        <f t="shared" ca="1" si="50"/>
        <v>49.706423171175935</v>
      </c>
      <c r="U200">
        <f>70</f>
        <v>70</v>
      </c>
      <c r="V200">
        <f>30</f>
        <v>30</v>
      </c>
      <c r="W200">
        <f t="shared" ca="1" si="48"/>
        <v>149.30473705767801</v>
      </c>
      <c r="X200">
        <f t="shared" ca="1" si="58"/>
        <v>147.89070044951316</v>
      </c>
      <c r="Y200">
        <f t="shared" ca="1" si="57"/>
        <v>1.2634451852951258</v>
      </c>
      <c r="Z200">
        <f t="shared" ca="1" si="59"/>
        <v>1.2549496707395738</v>
      </c>
      <c r="AA200">
        <f t="shared" ca="1" si="60"/>
        <v>8.4955145555520861E-3</v>
      </c>
      <c r="AB200">
        <f t="shared" ca="1" si="61"/>
        <v>150.89310000000003</v>
      </c>
    </row>
    <row r="201" spans="1:28" x14ac:dyDescent="0.25">
      <c r="A201" s="20">
        <f t="shared" ca="1" si="62"/>
        <v>45579</v>
      </c>
      <c r="B201" vm="586">
        <f ca="1"/>
        <v>45581</v>
      </c>
      <c r="C201" vm="587">
        <f ca="1"/>
        <v>148.72999999999999</v>
      </c>
      <c r="D201" vm="588">
        <f ca="1"/>
        <v>4303737</v>
      </c>
      <c r="E201">
        <f t="shared" ca="1" si="63"/>
        <v>640094804.00999999</v>
      </c>
      <c r="F201">
        <f ca="1">SUM($E$2:E201)/SUM($D$2:D201)</f>
        <v>152.52021657034629</v>
      </c>
      <c r="G201">
        <f ca="1">_xlfn.STDEV.P($C$2:C201)</f>
        <v>6.5771485415413879</v>
      </c>
      <c r="H201">
        <f t="shared" ca="1" si="64"/>
        <v>159.09736511188768</v>
      </c>
      <c r="I201">
        <f t="shared" ca="1" si="65"/>
        <v>145.9430680288049</v>
      </c>
      <c r="J201">
        <f t="shared" ca="1" si="53"/>
        <v>148.34100000000004</v>
      </c>
      <c r="K201">
        <f t="shared" ca="1" si="54"/>
        <v>2.790604348806712</v>
      </c>
      <c r="L201">
        <f t="shared" ca="1" si="55"/>
        <v>153.92220869761346</v>
      </c>
      <c r="M201">
        <f t="shared" ca="1" si="56"/>
        <v>142.75979130238662</v>
      </c>
      <c r="N201">
        <f t="shared" ca="1" si="66"/>
        <v>1</v>
      </c>
      <c r="O201">
        <f t="shared" ca="1" si="67"/>
        <v>1</v>
      </c>
      <c r="P201">
        <f t="shared" ca="1" si="68"/>
        <v>0</v>
      </c>
      <c r="Q201">
        <f t="shared" ca="1" si="51"/>
        <v>0.75889697982142457</v>
      </c>
      <c r="R201">
        <f t="shared" ca="1" si="52"/>
        <v>0.69558908102937222</v>
      </c>
      <c r="S201">
        <f t="shared" ca="1" si="49"/>
        <v>1.0910133590630344</v>
      </c>
      <c r="T201">
        <f t="shared" ca="1" si="50"/>
        <v>52.176297886107648</v>
      </c>
      <c r="U201">
        <f>70</f>
        <v>70</v>
      </c>
      <c r="V201">
        <f>30</f>
        <v>30</v>
      </c>
      <c r="W201">
        <f t="shared" ca="1" si="48"/>
        <v>149.21631597188139</v>
      </c>
      <c r="X201">
        <f t="shared" ca="1" si="58"/>
        <v>147.95287078658626</v>
      </c>
      <c r="Y201">
        <f t="shared" ca="1" si="57"/>
        <v>1.3280992535847247</v>
      </c>
      <c r="Z201">
        <f t="shared" ca="1" si="59"/>
        <v>1.269579587308604</v>
      </c>
      <c r="AA201">
        <f t="shared" ca="1" si="60"/>
        <v>5.8519666276120708E-2</v>
      </c>
      <c r="AB201">
        <f t="shared" ca="1" si="61"/>
        <v>150.81100000000004</v>
      </c>
    </row>
    <row r="202" spans="1:28" x14ac:dyDescent="0.25">
      <c r="A202" s="20">
        <f t="shared" ca="1" si="62"/>
        <v>45579</v>
      </c>
      <c r="B202" vm="589">
        <f ca="1"/>
        <v>45582</v>
      </c>
      <c r="C202" vm="590">
        <f ca="1"/>
        <v>151.19999999999999</v>
      </c>
      <c r="D202" vm="591">
        <f ca="1"/>
        <v>6593136</v>
      </c>
      <c r="E202">
        <f t="shared" ca="1" si="63"/>
        <v>996882163.19999993</v>
      </c>
      <c r="F202">
        <f ca="1">SUM($E$2:E202)/SUM($D$2:D202)</f>
        <v>152.51460657854548</v>
      </c>
      <c r="G202">
        <f ca="1">_xlfn.STDEV.P($C$2:C202)</f>
        <v>6.5618531331987118</v>
      </c>
      <c r="H202">
        <f t="shared" ca="1" si="64"/>
        <v>159.07645971174421</v>
      </c>
      <c r="I202">
        <f t="shared" ca="1" si="65"/>
        <v>145.95275344534676</v>
      </c>
      <c r="J202">
        <f t="shared" ca="1" si="53"/>
        <v>148.6515</v>
      </c>
      <c r="K202">
        <f t="shared" ca="1" si="54"/>
        <v>2.7432064891482826</v>
      </c>
      <c r="L202">
        <f t="shared" ca="1" si="55"/>
        <v>154.13791297829655</v>
      </c>
      <c r="M202">
        <f t="shared" ca="1" si="56"/>
        <v>143.16508702170344</v>
      </c>
      <c r="N202">
        <f t="shared" ca="1" si="66"/>
        <v>2.4699999999999989</v>
      </c>
      <c r="O202">
        <f t="shared" ca="1" si="67"/>
        <v>2.4699999999999989</v>
      </c>
      <c r="P202">
        <f t="shared" ca="1" si="68"/>
        <v>0</v>
      </c>
      <c r="Q202">
        <f t="shared" ca="1" si="51"/>
        <v>0.88111862411989417</v>
      </c>
      <c r="R202">
        <f t="shared" ca="1" si="52"/>
        <v>0.6459041466701313</v>
      </c>
      <c r="S202">
        <f t="shared" ca="1" si="49"/>
        <v>1.3641631326604393</v>
      </c>
      <c r="T202">
        <f t="shared" ca="1" si="50"/>
        <v>57.70173444525885</v>
      </c>
      <c r="U202">
        <f>70</f>
        <v>70</v>
      </c>
      <c r="V202">
        <f>30</f>
        <v>30</v>
      </c>
      <c r="W202">
        <f t="shared" ca="1" si="48"/>
        <v>149.52149813005349</v>
      </c>
      <c r="X202">
        <f t="shared" ca="1" si="58"/>
        <v>148.19339887646876</v>
      </c>
      <c r="Y202">
        <f t="shared" ca="1" si="57"/>
        <v>1.3277216802665066</v>
      </c>
      <c r="Z202">
        <f t="shared" ca="1" si="59"/>
        <v>1.2812080059001847</v>
      </c>
      <c r="AA202">
        <f t="shared" ca="1" si="60"/>
        <v>4.6513674366321922E-2</v>
      </c>
      <c r="AB202">
        <f t="shared" ca="1" si="61"/>
        <v>150.74550000000002</v>
      </c>
    </row>
    <row r="203" spans="1:28" x14ac:dyDescent="0.25">
      <c r="A203" s="20">
        <f t="shared" ca="1" si="62"/>
        <v>45579</v>
      </c>
      <c r="B203" vm="592">
        <f ca="1"/>
        <v>45583</v>
      </c>
      <c r="C203" vm="593">
        <f ca="1"/>
        <v>150.75</v>
      </c>
      <c r="D203" vm="594">
        <f ca="1"/>
        <v>5208202</v>
      </c>
      <c r="E203">
        <f t="shared" ca="1" si="63"/>
        <v>785136451.5</v>
      </c>
      <c r="F203">
        <f ca="1">SUM($E$2:E203)/SUM($D$2:D203)</f>
        <v>152.50870313559375</v>
      </c>
      <c r="G203">
        <f ca="1">_xlfn.STDEV.P($C$2:C203)</f>
        <v>6.5473110467539852</v>
      </c>
      <c r="H203">
        <f t="shared" ca="1" si="64"/>
        <v>159.05601418234772</v>
      </c>
      <c r="I203">
        <f t="shared" ca="1" si="65"/>
        <v>145.96139208883977</v>
      </c>
      <c r="J203">
        <f t="shared" ca="1" si="53"/>
        <v>148.90500000000003</v>
      </c>
      <c r="K203">
        <f t="shared" ca="1" si="54"/>
        <v>2.6878586663971573</v>
      </c>
      <c r="L203">
        <f t="shared" ca="1" si="55"/>
        <v>154.28071733279435</v>
      </c>
      <c r="M203">
        <f t="shared" ca="1" si="56"/>
        <v>143.52928266720571</v>
      </c>
      <c r="N203">
        <f t="shared" ca="1" si="66"/>
        <v>-0.44999999999998863</v>
      </c>
      <c r="O203">
        <f t="shared" ca="1" si="67"/>
        <v>0</v>
      </c>
      <c r="P203">
        <f t="shared" ca="1" si="68"/>
        <v>0.44999999999998863</v>
      </c>
      <c r="Q203">
        <f t="shared" ca="1" si="51"/>
        <v>0.81818157953990167</v>
      </c>
      <c r="R203">
        <f t="shared" ca="1" si="52"/>
        <v>0.63191099333654965</v>
      </c>
      <c r="S203">
        <f t="shared" ca="1" si="49"/>
        <v>1.2947734541217992</v>
      </c>
      <c r="T203">
        <f t="shared" ca="1" si="50"/>
        <v>56.422713614547362</v>
      </c>
      <c r="U203">
        <f>70</f>
        <v>70</v>
      </c>
      <c r="V203">
        <f>30</f>
        <v>30</v>
      </c>
      <c r="W203">
        <f t="shared" ca="1" si="48"/>
        <v>149.71049841773757</v>
      </c>
      <c r="X203">
        <f t="shared" ca="1" si="58"/>
        <v>148.38277673747106</v>
      </c>
      <c r="Y203">
        <f t="shared" ca="1" si="57"/>
        <v>1.3226654996865079</v>
      </c>
      <c r="Z203">
        <f t="shared" ca="1" si="59"/>
        <v>1.2894995046574496</v>
      </c>
      <c r="AA203">
        <f t="shared" ca="1" si="60"/>
        <v>3.316599502905837E-2</v>
      </c>
      <c r="AB203">
        <f t="shared" ca="1" si="61"/>
        <v>150.66260000000003</v>
      </c>
    </row>
    <row r="204" spans="1:28" x14ac:dyDescent="0.25">
      <c r="A204" s="20">
        <f t="shared" ca="1" si="62"/>
        <v>45586</v>
      </c>
      <c r="B204" vm="595">
        <f ca="1"/>
        <v>45586</v>
      </c>
      <c r="C204" vm="596">
        <f ca="1"/>
        <v>150.88</v>
      </c>
      <c r="D204" vm="597">
        <f ca="1"/>
        <v>5073999</v>
      </c>
      <c r="E204">
        <f t="shared" ca="1" si="63"/>
        <v>765564969.12</v>
      </c>
      <c r="F204">
        <f ca="1">SUM($E$2:E204)/SUM($D$2:D204)</f>
        <v>152.50341200127721</v>
      </c>
      <c r="G204">
        <f ca="1">_xlfn.STDEV.P($C$2:C204)</f>
        <v>6.5326622298020682</v>
      </c>
      <c r="H204">
        <f t="shared" ca="1" si="64"/>
        <v>159.03607423107928</v>
      </c>
      <c r="I204">
        <f t="shared" ca="1" si="65"/>
        <v>145.97074977147514</v>
      </c>
      <c r="J204">
        <f t="shared" ca="1" si="53"/>
        <v>149.072</v>
      </c>
      <c r="K204">
        <f t="shared" ca="1" si="54"/>
        <v>2.7023062275338829</v>
      </c>
      <c r="L204">
        <f t="shared" ca="1" si="55"/>
        <v>154.47661245506777</v>
      </c>
      <c r="M204">
        <f t="shared" ca="1" si="56"/>
        <v>143.66738754493224</v>
      </c>
      <c r="N204">
        <f t="shared" ca="1" si="66"/>
        <v>0.12999999999999545</v>
      </c>
      <c r="O204">
        <f t="shared" ca="1" si="67"/>
        <v>0.12999999999999545</v>
      </c>
      <c r="P204">
        <f t="shared" ca="1" si="68"/>
        <v>0</v>
      </c>
      <c r="Q204">
        <f t="shared" ca="1" si="51"/>
        <v>0.76902575242990845</v>
      </c>
      <c r="R204">
        <f t="shared" ca="1" si="52"/>
        <v>0.58677449381251034</v>
      </c>
      <c r="S204">
        <f t="shared" ca="1" si="49"/>
        <v>1.3105984676212461</v>
      </c>
      <c r="T204">
        <f t="shared" ca="1" si="50"/>
        <v>56.721169254929144</v>
      </c>
      <c r="U204">
        <f>70</f>
        <v>70</v>
      </c>
      <c r="V204">
        <f>30</f>
        <v>30</v>
      </c>
      <c r="W204">
        <f t="shared" ca="1" si="48"/>
        <v>149.89042173808565</v>
      </c>
      <c r="X204">
        <f t="shared" ca="1" si="58"/>
        <v>148.56775623839914</v>
      </c>
      <c r="Y204">
        <f t="shared" ca="1" si="57"/>
        <v>1.3068218767285487</v>
      </c>
      <c r="Z204">
        <f t="shared" ca="1" si="59"/>
        <v>1.2929639790716694</v>
      </c>
      <c r="AA204">
        <f t="shared" ca="1" si="60"/>
        <v>1.3857897656879281E-2</v>
      </c>
      <c r="AB204">
        <f t="shared" ca="1" si="61"/>
        <v>150.60240000000002</v>
      </c>
    </row>
    <row r="205" spans="1:28" x14ac:dyDescent="0.25">
      <c r="A205" s="20">
        <f t="shared" ca="1" si="62"/>
        <v>45586</v>
      </c>
      <c r="B205" vm="598">
        <f ca="1"/>
        <v>45587</v>
      </c>
      <c r="C205" vm="599">
        <f ca="1"/>
        <v>150.91999999999999</v>
      </c>
      <c r="D205" vm="600">
        <f ca="1"/>
        <v>4416409</v>
      </c>
      <c r="E205">
        <f t="shared" ca="1" si="63"/>
        <v>666524446.27999997</v>
      </c>
      <c r="F205">
        <f ca="1">SUM($E$2:E205)/SUM($D$2:D205)</f>
        <v>152.49894728983912</v>
      </c>
      <c r="G205">
        <f ca="1">_xlfn.STDEV.P($C$2:C205)</f>
        <v>6.5180510414605495</v>
      </c>
      <c r="H205">
        <f t="shared" ca="1" si="64"/>
        <v>159.01699833129967</v>
      </c>
      <c r="I205">
        <f t="shared" ca="1" si="65"/>
        <v>145.98089624837857</v>
      </c>
      <c r="J205">
        <f t="shared" ca="1" si="53"/>
        <v>149.24550000000002</v>
      </c>
      <c r="K205">
        <f t="shared" ca="1" si="54"/>
        <v>2.7040797150348848</v>
      </c>
      <c r="L205">
        <f t="shared" ca="1" si="55"/>
        <v>154.65365943006978</v>
      </c>
      <c r="M205">
        <f t="shared" ca="1" si="56"/>
        <v>143.83734056993026</v>
      </c>
      <c r="N205">
        <f t="shared" ca="1" si="66"/>
        <v>3.9999999999992042E-2</v>
      </c>
      <c r="O205">
        <f t="shared" ca="1" si="67"/>
        <v>3.9999999999992042E-2</v>
      </c>
      <c r="P205">
        <f t="shared" ca="1" si="68"/>
        <v>0</v>
      </c>
      <c r="Q205">
        <f t="shared" ca="1" si="51"/>
        <v>0.71695248439920012</v>
      </c>
      <c r="R205">
        <f t="shared" ca="1" si="52"/>
        <v>0.54486202996875954</v>
      </c>
      <c r="S205">
        <f t="shared" ca="1" si="49"/>
        <v>1.3158422590766834</v>
      </c>
      <c r="T205">
        <f t="shared" ca="1" si="50"/>
        <v>56.81916606881957</v>
      </c>
      <c r="U205">
        <f>70</f>
        <v>70</v>
      </c>
      <c r="V205">
        <f>30</f>
        <v>30</v>
      </c>
      <c r="W205">
        <f t="shared" ca="1" si="48"/>
        <v>150.04881839376478</v>
      </c>
      <c r="X205">
        <f t="shared" ca="1" si="58"/>
        <v>148.74199651703623</v>
      </c>
      <c r="Y205">
        <f t="shared" ca="1" si="57"/>
        <v>1.2444165097189739</v>
      </c>
      <c r="Z205">
        <f t="shared" ca="1" si="59"/>
        <v>1.2832544852011303</v>
      </c>
      <c r="AA205">
        <f t="shared" ca="1" si="60"/>
        <v>-3.8837975482156395E-2</v>
      </c>
      <c r="AB205">
        <f t="shared" ca="1" si="61"/>
        <v>150.52900000000002</v>
      </c>
    </row>
    <row r="206" spans="1:28" x14ac:dyDescent="0.25">
      <c r="A206" s="20">
        <f t="shared" ca="1" si="62"/>
        <v>45586</v>
      </c>
      <c r="B206" vm="601">
        <f ca="1"/>
        <v>45588</v>
      </c>
      <c r="C206" vm="602">
        <f ca="1"/>
        <v>150.47999999999999</v>
      </c>
      <c r="D206" vm="603">
        <f ca="1"/>
        <v>5248853</v>
      </c>
      <c r="E206">
        <f t="shared" ca="1" si="63"/>
        <v>789847399.43999994</v>
      </c>
      <c r="F206">
        <f ca="1">SUM($E$2:E206)/SUM($D$2:D206)</f>
        <v>152.49220408097219</v>
      </c>
      <c r="G206">
        <f ca="1">_xlfn.STDEV.P($C$2:C206)</f>
        <v>6.504245034176094</v>
      </c>
      <c r="H206">
        <f t="shared" ca="1" si="64"/>
        <v>158.99644911514827</v>
      </c>
      <c r="I206">
        <f t="shared" ca="1" si="65"/>
        <v>145.98795904679611</v>
      </c>
      <c r="J206">
        <f t="shared" ca="1" si="53"/>
        <v>149.571</v>
      </c>
      <c r="K206">
        <f t="shared" ca="1" si="54"/>
        <v>2.4116273169354869</v>
      </c>
      <c r="L206">
        <f t="shared" ca="1" si="55"/>
        <v>154.39425463387096</v>
      </c>
      <c r="M206">
        <f t="shared" ca="1" si="56"/>
        <v>144.74774536612904</v>
      </c>
      <c r="N206">
        <f t="shared" ca="1" si="66"/>
        <v>-0.43999999999999773</v>
      </c>
      <c r="O206">
        <f t="shared" ca="1" si="67"/>
        <v>0</v>
      </c>
      <c r="P206">
        <f t="shared" ca="1" si="68"/>
        <v>0.43999999999999773</v>
      </c>
      <c r="Q206">
        <f t="shared" ca="1" si="51"/>
        <v>0.66574159265640009</v>
      </c>
      <c r="R206">
        <f t="shared" ca="1" si="52"/>
        <v>0.53737188497099087</v>
      </c>
      <c r="S206">
        <f t="shared" ca="1" si="49"/>
        <v>1.23888430205525</v>
      </c>
      <c r="T206">
        <f t="shared" ca="1" si="50"/>
        <v>55.334896087215384</v>
      </c>
      <c r="U206">
        <f>70</f>
        <v>70</v>
      </c>
      <c r="V206">
        <f>30</f>
        <v>30</v>
      </c>
      <c r="W206">
        <f t="shared" ca="1" si="48"/>
        <v>150.11515402549327</v>
      </c>
      <c r="X206">
        <f t="shared" ca="1" si="58"/>
        <v>148.87073751577429</v>
      </c>
      <c r="Y206">
        <f t="shared" ca="1" si="57"/>
        <v>1.1789488687887513</v>
      </c>
      <c r="Z206">
        <f t="shared" ca="1" si="59"/>
        <v>1.2623933619186547</v>
      </c>
      <c r="AA206">
        <f t="shared" ca="1" si="60"/>
        <v>-8.344449312990343E-2</v>
      </c>
      <c r="AB206">
        <f t="shared" ca="1" si="61"/>
        <v>150.41080000000002</v>
      </c>
    </row>
    <row r="207" spans="1:28" x14ac:dyDescent="0.25">
      <c r="A207" s="20">
        <f t="shared" ca="1" si="62"/>
        <v>45586</v>
      </c>
      <c r="B207" vm="604">
        <f ca="1"/>
        <v>45589</v>
      </c>
      <c r="C207" vm="605">
        <f ca="1"/>
        <v>150.44999999999999</v>
      </c>
      <c r="D207" vm="606">
        <f ca="1"/>
        <v>5474258</v>
      </c>
      <c r="E207">
        <f t="shared" ca="1" si="63"/>
        <v>823602116.0999999</v>
      </c>
      <c r="F207">
        <f ca="1">SUM($E$2:E207)/SUM($D$2:D207)</f>
        <v>152.48511497557882</v>
      </c>
      <c r="G207">
        <f ca="1">_xlfn.STDEV.P($C$2:C207)</f>
        <v>6.4905768693830392</v>
      </c>
      <c r="H207">
        <f t="shared" ca="1" si="64"/>
        <v>158.97569184496186</v>
      </c>
      <c r="I207">
        <f t="shared" ca="1" si="65"/>
        <v>145.99453810619579</v>
      </c>
      <c r="J207">
        <f t="shared" ca="1" si="53"/>
        <v>149.99399999999997</v>
      </c>
      <c r="K207">
        <f t="shared" ca="1" si="54"/>
        <v>1.6258678654151035</v>
      </c>
      <c r="L207">
        <f t="shared" ca="1" si="55"/>
        <v>153.24573573083018</v>
      </c>
      <c r="M207">
        <f t="shared" ca="1" si="56"/>
        <v>146.74226426916977</v>
      </c>
      <c r="N207">
        <f t="shared" ca="1" si="66"/>
        <v>-3.0000000000001137E-2</v>
      </c>
      <c r="O207">
        <f t="shared" ca="1" si="67"/>
        <v>0</v>
      </c>
      <c r="P207">
        <f t="shared" ca="1" si="68"/>
        <v>3.0000000000001137E-2</v>
      </c>
      <c r="Q207">
        <f t="shared" ca="1" si="51"/>
        <v>0.61818862175237144</v>
      </c>
      <c r="R207">
        <f t="shared" ca="1" si="52"/>
        <v>0.50113103604449161</v>
      </c>
      <c r="S207">
        <f t="shared" ca="1" si="49"/>
        <v>1.2335867812774766</v>
      </c>
      <c r="T207">
        <f t="shared" ca="1" si="50"/>
        <v>55.228961400458296</v>
      </c>
      <c r="U207">
        <f>70</f>
        <v>70</v>
      </c>
      <c r="V207">
        <f>30</f>
        <v>30</v>
      </c>
      <c r="W207">
        <f t="shared" ref="W207:W270" ca="1" si="69">C207*(2/(12+1)) + W206*(1-(2/(12+1)))</f>
        <v>150.16666879080199</v>
      </c>
      <c r="X207">
        <f t="shared" ca="1" si="58"/>
        <v>148.98771992201324</v>
      </c>
      <c r="Y207">
        <f t="shared" ca="1" si="57"/>
        <v>1.1429391914925588</v>
      </c>
      <c r="Z207">
        <f t="shared" ca="1" si="59"/>
        <v>1.2385025278334356</v>
      </c>
      <c r="AA207">
        <f t="shared" ca="1" si="60"/>
        <v>-9.556333634087677E-2</v>
      </c>
      <c r="AB207">
        <f t="shared" ca="1" si="61"/>
        <v>150.34070000000003</v>
      </c>
    </row>
    <row r="208" spans="1:28" x14ac:dyDescent="0.25">
      <c r="A208" s="20">
        <f t="shared" ca="1" si="62"/>
        <v>45586</v>
      </c>
      <c r="B208" vm="607">
        <f ca="1"/>
        <v>45590</v>
      </c>
      <c r="C208" vm="608">
        <f ca="1"/>
        <v>150.81</v>
      </c>
      <c r="D208" vm="609">
        <f ca="1"/>
        <v>6839894</v>
      </c>
      <c r="E208">
        <f t="shared" ca="1" si="63"/>
        <v>1031524414.14</v>
      </c>
      <c r="F208">
        <f ca="1">SUM($E$2:E208)/SUM($D$2:D208)</f>
        <v>152.47788092659414</v>
      </c>
      <c r="G208">
        <f ca="1">_xlfn.STDEV.P($C$2:C208)</f>
        <v>6.4764024853776361</v>
      </c>
      <c r="H208">
        <f t="shared" ca="1" si="64"/>
        <v>158.95428341197177</v>
      </c>
      <c r="I208">
        <f t="shared" ca="1" si="65"/>
        <v>146.00147844121651</v>
      </c>
      <c r="J208">
        <f t="shared" ca="1" si="53"/>
        <v>150.26000000000002</v>
      </c>
      <c r="K208">
        <f t="shared" ca="1" si="54"/>
        <v>1.2394863112553809</v>
      </c>
      <c r="L208">
        <f t="shared" ca="1" si="55"/>
        <v>152.73897262251077</v>
      </c>
      <c r="M208">
        <f t="shared" ca="1" si="56"/>
        <v>147.78102737748927</v>
      </c>
      <c r="N208">
        <f t="shared" ca="1" si="66"/>
        <v>0.36000000000001364</v>
      </c>
      <c r="O208">
        <f t="shared" ca="1" si="67"/>
        <v>0.36000000000001364</v>
      </c>
      <c r="P208">
        <f t="shared" ca="1" si="68"/>
        <v>0</v>
      </c>
      <c r="Q208">
        <f t="shared" ca="1" si="51"/>
        <v>0.59974657734148873</v>
      </c>
      <c r="R208">
        <f t="shared" ca="1" si="52"/>
        <v>0.46533596204131367</v>
      </c>
      <c r="S208">
        <f t="shared" ref="S208:S271" ca="1" si="70">IF(R208=0,NA(),Q208/R208)</f>
        <v>1.2888463954312686</v>
      </c>
      <c r="T208">
        <f t="shared" ref="T208:T271" ca="1" si="71">100-(100/(1+S208))</f>
        <v>56.309868499865928</v>
      </c>
      <c r="U208">
        <f>70</f>
        <v>70</v>
      </c>
      <c r="V208">
        <f>30</f>
        <v>30</v>
      </c>
      <c r="W208">
        <f t="shared" ca="1" si="69"/>
        <v>150.26564282298631</v>
      </c>
      <c r="X208">
        <f t="shared" ca="1" si="58"/>
        <v>149.12270363149375</v>
      </c>
      <c r="Y208">
        <f t="shared" ca="1" si="57"/>
        <v>1.0801630717705564</v>
      </c>
      <c r="Z208">
        <f t="shared" ca="1" si="59"/>
        <v>1.2068346366208598</v>
      </c>
      <c r="AA208">
        <f t="shared" ca="1" si="60"/>
        <v>-0.1266715648503034</v>
      </c>
      <c r="AB208">
        <f t="shared" ca="1" si="61"/>
        <v>150.28749999999999</v>
      </c>
    </row>
    <row r="209" spans="1:28" x14ac:dyDescent="0.25">
      <c r="A209" s="20">
        <f t="shared" ca="1" si="62"/>
        <v>45593</v>
      </c>
      <c r="B209" vm="610">
        <f ca="1"/>
        <v>45593</v>
      </c>
      <c r="C209" vm="611">
        <f ca="1"/>
        <v>150.54</v>
      </c>
      <c r="D209" vm="612">
        <f ca="1"/>
        <v>8892039</v>
      </c>
      <c r="E209">
        <f t="shared" ca="1" si="63"/>
        <v>1338607551.0599999</v>
      </c>
      <c r="F209">
        <f ca="1">SUM($E$2:E209)/SUM($D$2:D209)</f>
        <v>152.46706199195239</v>
      </c>
      <c r="G209">
        <f ca="1">_xlfn.STDEV.P($C$2:C209)</f>
        <v>6.4627489930344231</v>
      </c>
      <c r="H209">
        <f t="shared" ca="1" si="64"/>
        <v>158.9298109849868</v>
      </c>
      <c r="I209">
        <f t="shared" ca="1" si="65"/>
        <v>146.00431299891798</v>
      </c>
      <c r="J209">
        <f t="shared" ca="1" si="53"/>
        <v>150.42350000000002</v>
      </c>
      <c r="K209">
        <f t="shared" ca="1" si="54"/>
        <v>1.0206771488111535</v>
      </c>
      <c r="L209">
        <f t="shared" ca="1" si="55"/>
        <v>152.46485429762234</v>
      </c>
      <c r="M209">
        <f t="shared" ca="1" si="56"/>
        <v>148.3821457023777</v>
      </c>
      <c r="N209">
        <f t="shared" ca="1" si="66"/>
        <v>-0.27000000000001023</v>
      </c>
      <c r="O209">
        <f t="shared" ca="1" si="67"/>
        <v>0</v>
      </c>
      <c r="P209">
        <f t="shared" ca="1" si="68"/>
        <v>0.27000000000001023</v>
      </c>
      <c r="Q209">
        <f t="shared" ref="Q209:Q272" ca="1" si="72">(Q208*13+O209)/14</f>
        <v>0.55690753610281096</v>
      </c>
      <c r="R209">
        <f t="shared" ref="R209:R272" ca="1" si="73">(R208*13+P209)/14</f>
        <v>0.45138339332407768</v>
      </c>
      <c r="S209">
        <f t="shared" ca="1" si="70"/>
        <v>1.2337794086788005</v>
      </c>
      <c r="T209">
        <f t="shared" ca="1" si="71"/>
        <v>55.232822179542616</v>
      </c>
      <c r="U209">
        <f>70</f>
        <v>70</v>
      </c>
      <c r="V209">
        <f>30</f>
        <v>30</v>
      </c>
      <c r="W209">
        <f t="shared" ca="1" si="69"/>
        <v>150.30785161944996</v>
      </c>
      <c r="X209">
        <f t="shared" ca="1" si="58"/>
        <v>149.22768854767941</v>
      </c>
      <c r="Y209">
        <f t="shared" ca="1" si="57"/>
        <v>0.85753035037274117</v>
      </c>
      <c r="Z209">
        <f t="shared" ca="1" si="59"/>
        <v>1.1369737793712362</v>
      </c>
      <c r="AA209">
        <f t="shared" ca="1" si="60"/>
        <v>-0.27944342899849506</v>
      </c>
      <c r="AB209">
        <f t="shared" ca="1" si="61"/>
        <v>150.24310000000003</v>
      </c>
    </row>
    <row r="210" spans="1:28" x14ac:dyDescent="0.25">
      <c r="A210" s="20">
        <f t="shared" ca="1" si="62"/>
        <v>45593</v>
      </c>
      <c r="B210" vm="613">
        <f ca="1"/>
        <v>45594</v>
      </c>
      <c r="C210" vm="614">
        <f ca="1"/>
        <v>148.52000000000001</v>
      </c>
      <c r="D210" vm="615">
        <f ca="1"/>
        <v>6014676</v>
      </c>
      <c r="E210">
        <f t="shared" ca="1" si="63"/>
        <v>893299679.5200001</v>
      </c>
      <c r="F210">
        <f ca="1">SUM($E$2:E210)/SUM($D$2:D210)</f>
        <v>152.45221271555815</v>
      </c>
      <c r="G210">
        <f ca="1">_xlfn.STDEV.P($C$2:C210)</f>
        <v>6.4540758658154473</v>
      </c>
      <c r="H210">
        <f t="shared" ca="1" si="64"/>
        <v>158.90628858137359</v>
      </c>
      <c r="I210">
        <f t="shared" ca="1" si="65"/>
        <v>145.99813684974271</v>
      </c>
      <c r="J210">
        <f t="shared" ca="1" si="53"/>
        <v>150.36449999999999</v>
      </c>
      <c r="K210">
        <f t="shared" ca="1" si="54"/>
        <v>1.0960237944017164</v>
      </c>
      <c r="L210">
        <f t="shared" ca="1" si="55"/>
        <v>152.55654758880343</v>
      </c>
      <c r="M210">
        <f t="shared" ca="1" si="56"/>
        <v>148.17245241119656</v>
      </c>
      <c r="N210">
        <f t="shared" ca="1" si="66"/>
        <v>-2.0199999999999818</v>
      </c>
      <c r="O210">
        <f t="shared" ca="1" si="67"/>
        <v>0</v>
      </c>
      <c r="P210">
        <f t="shared" ca="1" si="68"/>
        <v>2.0199999999999818</v>
      </c>
      <c r="Q210">
        <f t="shared" ca="1" si="72"/>
        <v>0.51712842638118162</v>
      </c>
      <c r="R210">
        <f t="shared" ca="1" si="73"/>
        <v>0.56342743665807082</v>
      </c>
      <c r="S210">
        <f t="shared" ca="1" si="70"/>
        <v>0.91782613471663987</v>
      </c>
      <c r="T210">
        <f t="shared" ca="1" si="71"/>
        <v>47.857629954148543</v>
      </c>
      <c r="U210">
        <f>70</f>
        <v>70</v>
      </c>
      <c r="V210">
        <f>30</f>
        <v>30</v>
      </c>
      <c r="W210">
        <f t="shared" ca="1" si="69"/>
        <v>150.03279752414997</v>
      </c>
      <c r="X210">
        <f t="shared" ca="1" si="58"/>
        <v>149.17526717377723</v>
      </c>
      <c r="Y210">
        <f t="shared" ca="1" si="57"/>
        <v>0.63583770141008245</v>
      </c>
      <c r="Z210">
        <f t="shared" ca="1" si="59"/>
        <v>1.0367465637790056</v>
      </c>
      <c r="AA210">
        <f t="shared" ca="1" si="60"/>
        <v>-0.4009088623689232</v>
      </c>
      <c r="AB210">
        <f t="shared" ca="1" si="61"/>
        <v>150.16900000000001</v>
      </c>
    </row>
    <row r="211" spans="1:28" x14ac:dyDescent="0.25">
      <c r="A211" s="20">
        <f t="shared" ca="1" si="62"/>
        <v>45593</v>
      </c>
      <c r="B211" vm="616">
        <f ca="1"/>
        <v>45595</v>
      </c>
      <c r="C211" vm="617">
        <f ca="1"/>
        <v>148.05000000000001</v>
      </c>
      <c r="D211" vm="618">
        <f ca="1"/>
        <v>5784011</v>
      </c>
      <c r="E211">
        <f t="shared" ca="1" si="63"/>
        <v>856322828.55000007</v>
      </c>
      <c r="F211">
        <f ca="1">SUM($E$2:E211)/SUM($D$2:D211)</f>
        <v>152.43634366763843</v>
      </c>
      <c r="G211">
        <f ca="1">_xlfn.STDEV.P($C$2:C211)</f>
        <v>6.4469672465434886</v>
      </c>
      <c r="H211">
        <f t="shared" ca="1" si="64"/>
        <v>158.88331091418192</v>
      </c>
      <c r="I211">
        <f t="shared" ca="1" si="65"/>
        <v>145.98937642109493</v>
      </c>
      <c r="J211">
        <f t="shared" ca="1" si="53"/>
        <v>150.21949999999998</v>
      </c>
      <c r="K211">
        <f t="shared" ca="1" si="54"/>
        <v>1.2012645749156863</v>
      </c>
      <c r="L211">
        <f t="shared" ca="1" si="55"/>
        <v>152.62202914983135</v>
      </c>
      <c r="M211">
        <f t="shared" ca="1" si="56"/>
        <v>147.81697085016862</v>
      </c>
      <c r="N211">
        <f t="shared" ca="1" si="66"/>
        <v>-0.46999999999999886</v>
      </c>
      <c r="O211">
        <f t="shared" ca="1" si="67"/>
        <v>0</v>
      </c>
      <c r="P211">
        <f t="shared" ca="1" si="68"/>
        <v>0.46999999999999886</v>
      </c>
      <c r="Q211">
        <f t="shared" ca="1" si="72"/>
        <v>0.48019068163966866</v>
      </c>
      <c r="R211">
        <f t="shared" ca="1" si="73"/>
        <v>0.55675404832535136</v>
      </c>
      <c r="S211">
        <f t="shared" ca="1" si="70"/>
        <v>0.86248260445348168</v>
      </c>
      <c r="T211">
        <f t="shared" ca="1" si="71"/>
        <v>46.308223356886849</v>
      </c>
      <c r="U211">
        <f>70</f>
        <v>70</v>
      </c>
      <c r="V211">
        <f>30</f>
        <v>30</v>
      </c>
      <c r="W211">
        <f t="shared" ca="1" si="69"/>
        <v>149.72775175120381</v>
      </c>
      <c r="X211">
        <f t="shared" ca="1" si="58"/>
        <v>149.09191404979373</v>
      </c>
      <c r="Y211">
        <f t="shared" ca="1" si="57"/>
        <v>0.51632536730642187</v>
      </c>
      <c r="Z211">
        <f t="shared" ca="1" si="59"/>
        <v>0.93266232448448894</v>
      </c>
      <c r="AA211">
        <f t="shared" ca="1" si="60"/>
        <v>-0.41633695717806707</v>
      </c>
      <c r="AB211">
        <f t="shared" ca="1" si="61"/>
        <v>150.08869999999999</v>
      </c>
    </row>
    <row r="212" spans="1:28" x14ac:dyDescent="0.25">
      <c r="A212" s="20">
        <f t="shared" ca="1" si="62"/>
        <v>45593</v>
      </c>
      <c r="B212" vm="619">
        <f ca="1"/>
        <v>45596</v>
      </c>
      <c r="C212" vm="620">
        <f ca="1"/>
        <v>148.82</v>
      </c>
      <c r="D212" vm="621">
        <f ca="1"/>
        <v>8400855</v>
      </c>
      <c r="E212">
        <f t="shared" ca="1" si="63"/>
        <v>1250215241.0999999</v>
      </c>
      <c r="F212">
        <f ca="1">SUM($E$2:E212)/SUM($D$2:D212)</f>
        <v>152.41750821675615</v>
      </c>
      <c r="G212">
        <f ca="1">_xlfn.STDEV.P($C$2:C212)</f>
        <v>6.4373941323769497</v>
      </c>
      <c r="H212">
        <f t="shared" ca="1" si="64"/>
        <v>158.85490234913308</v>
      </c>
      <c r="I212">
        <f t="shared" ca="1" si="65"/>
        <v>145.98011408437921</v>
      </c>
      <c r="J212">
        <f t="shared" ca="1" si="53"/>
        <v>150.09800000000001</v>
      </c>
      <c r="K212">
        <f t="shared" ca="1" si="54"/>
        <v>1.2143683651659352</v>
      </c>
      <c r="L212">
        <f t="shared" ca="1" si="55"/>
        <v>152.52673673033189</v>
      </c>
      <c r="M212">
        <f t="shared" ca="1" si="56"/>
        <v>147.66926326966814</v>
      </c>
      <c r="N212">
        <f t="shared" ca="1" si="66"/>
        <v>0.76999999999998181</v>
      </c>
      <c r="O212">
        <f t="shared" ca="1" si="67"/>
        <v>0.76999999999998181</v>
      </c>
      <c r="P212">
        <f t="shared" ca="1" si="68"/>
        <v>0</v>
      </c>
      <c r="Q212">
        <f t="shared" ca="1" si="72"/>
        <v>0.50089134723683393</v>
      </c>
      <c r="R212">
        <f t="shared" ca="1" si="73"/>
        <v>0.51698590201639771</v>
      </c>
      <c r="S212">
        <f t="shared" ca="1" si="70"/>
        <v>0.96886848419504235</v>
      </c>
      <c r="T212">
        <f t="shared" ca="1" si="71"/>
        <v>49.209405908650993</v>
      </c>
      <c r="U212">
        <f>70</f>
        <v>70</v>
      </c>
      <c r="V212">
        <f>30</f>
        <v>30</v>
      </c>
      <c r="W212">
        <f t="shared" ca="1" si="69"/>
        <v>149.58809763563397</v>
      </c>
      <c r="X212">
        <f t="shared" ca="1" si="58"/>
        <v>149.07177226832755</v>
      </c>
      <c r="Y212">
        <f t="shared" ca="1" si="57"/>
        <v>0.75583763697102313</v>
      </c>
      <c r="Z212">
        <f t="shared" ca="1" si="59"/>
        <v>0.89729738698179573</v>
      </c>
      <c r="AA212">
        <f t="shared" ca="1" si="60"/>
        <v>-0.1414597500107726</v>
      </c>
      <c r="AB212">
        <f t="shared" ca="1" si="61"/>
        <v>150.0095</v>
      </c>
    </row>
    <row r="213" spans="1:28" x14ac:dyDescent="0.25">
      <c r="A213" s="20">
        <f t="shared" ca="1" si="62"/>
        <v>45593</v>
      </c>
      <c r="B213" vm="622">
        <f ca="1"/>
        <v>45597</v>
      </c>
      <c r="C213" vm="623">
        <f ca="1"/>
        <v>153.07</v>
      </c>
      <c r="D213" vm="624">
        <f ca="1"/>
        <v>11727977</v>
      </c>
      <c r="E213">
        <f t="shared" ca="1" si="63"/>
        <v>1795201439.3899999</v>
      </c>
      <c r="F213">
        <f ca="1">SUM($E$2:E213)/SUM($D$2:D213)</f>
        <v>152.42221836497163</v>
      </c>
      <c r="G213">
        <f ca="1">_xlfn.STDEV.P($C$2:C213)</f>
        <v>6.4222305064378729</v>
      </c>
      <c r="H213">
        <f t="shared" ca="1" si="64"/>
        <v>158.8444488714095</v>
      </c>
      <c r="I213">
        <f t="shared" ca="1" si="65"/>
        <v>145.99998785853376</v>
      </c>
      <c r="J213">
        <f t="shared" ca="1" si="53"/>
        <v>150.21450000000002</v>
      </c>
      <c r="K213">
        <f t="shared" ca="1" si="54"/>
        <v>1.3797081117700967</v>
      </c>
      <c r="L213">
        <f t="shared" ca="1" si="55"/>
        <v>152.97391622354021</v>
      </c>
      <c r="M213">
        <f t="shared" ca="1" si="56"/>
        <v>147.45508377645982</v>
      </c>
      <c r="N213">
        <f t="shared" ca="1" si="66"/>
        <v>4.25</v>
      </c>
      <c r="O213">
        <f t="shared" ca="1" si="67"/>
        <v>4.25</v>
      </c>
      <c r="P213">
        <f t="shared" ca="1" si="68"/>
        <v>0</v>
      </c>
      <c r="Q213">
        <f t="shared" ca="1" si="72"/>
        <v>0.76868482243420289</v>
      </c>
      <c r="R213">
        <f t="shared" ca="1" si="73"/>
        <v>0.48005833758665506</v>
      </c>
      <c r="S213">
        <f t="shared" ca="1" si="70"/>
        <v>1.601232105036501</v>
      </c>
      <c r="T213">
        <f t="shared" ca="1" si="71"/>
        <v>61.556679311169432</v>
      </c>
      <c r="U213">
        <f>70</f>
        <v>70</v>
      </c>
      <c r="V213">
        <f>30</f>
        <v>30</v>
      </c>
      <c r="W213">
        <f t="shared" ca="1" si="69"/>
        <v>150.12377492245952</v>
      </c>
      <c r="X213">
        <f t="shared" ca="1" si="58"/>
        <v>149.36793728548849</v>
      </c>
      <c r="Y213">
        <f t="shared" ca="1" si="57"/>
        <v>1.0066710375689922</v>
      </c>
      <c r="Z213">
        <f t="shared" ca="1" si="59"/>
        <v>0.91917211709923508</v>
      </c>
      <c r="AA213">
        <f t="shared" ca="1" si="60"/>
        <v>8.7498920469757158E-2</v>
      </c>
      <c r="AB213">
        <f t="shared" ca="1" si="61"/>
        <v>149.97529999999998</v>
      </c>
    </row>
    <row r="214" spans="1:28" x14ac:dyDescent="0.25">
      <c r="A214" s="20">
        <f t="shared" ca="1" si="62"/>
        <v>45600</v>
      </c>
      <c r="B214" vm="625">
        <f ca="1"/>
        <v>45600</v>
      </c>
      <c r="C214" vm="626">
        <f ca="1"/>
        <v>153.97</v>
      </c>
      <c r="D214" vm="627">
        <f ca="1"/>
        <v>6129961</v>
      </c>
      <c r="E214">
        <f t="shared" ca="1" si="63"/>
        <v>943830095.16999996</v>
      </c>
      <c r="F214">
        <f ca="1">SUM($E$2:E214)/SUM($D$2:D214)</f>
        <v>152.42803629219549</v>
      </c>
      <c r="G214">
        <f ca="1">_xlfn.STDEV.P($C$2:C214)</f>
        <v>6.4076763225398681</v>
      </c>
      <c r="H214">
        <f t="shared" ca="1" si="64"/>
        <v>158.83571261473534</v>
      </c>
      <c r="I214">
        <f t="shared" ca="1" si="65"/>
        <v>146.02035996965563</v>
      </c>
      <c r="J214">
        <f t="shared" ref="J214:J277" ca="1" si="74">AVERAGE(C195:C214)</f>
        <v>150.35700000000003</v>
      </c>
      <c r="K214">
        <f t="shared" ref="K214:K277" ca="1" si="75">_xlfn.STDEV.S(C195:C214)</f>
        <v>1.6066640824031031</v>
      </c>
      <c r="L214">
        <f t="shared" ref="L214:L277" ca="1" si="76">J214 + 2*K214</f>
        <v>153.57032816480623</v>
      </c>
      <c r="M214">
        <f t="shared" ref="M214:M277" ca="1" si="77">J214-2*K214</f>
        <v>147.14367183519383</v>
      </c>
      <c r="N214">
        <f t="shared" ca="1" si="66"/>
        <v>0.90000000000000568</v>
      </c>
      <c r="O214">
        <f t="shared" ca="1" si="67"/>
        <v>0.90000000000000568</v>
      </c>
      <c r="P214">
        <f t="shared" ca="1" si="68"/>
        <v>0</v>
      </c>
      <c r="Q214">
        <f t="shared" ca="1" si="72"/>
        <v>0.77806447797461742</v>
      </c>
      <c r="R214">
        <f t="shared" ca="1" si="73"/>
        <v>0.44576845633046541</v>
      </c>
      <c r="S214">
        <f t="shared" ca="1" si="70"/>
        <v>1.7454453470745541</v>
      </c>
      <c r="T214">
        <f t="shared" ca="1" si="71"/>
        <v>63.576036905430904</v>
      </c>
      <c r="U214">
        <f>70</f>
        <v>70</v>
      </c>
      <c r="V214">
        <f>30</f>
        <v>30</v>
      </c>
      <c r="W214">
        <f t="shared" ca="1" si="69"/>
        <v>150.71550185746574</v>
      </c>
      <c r="X214">
        <f t="shared" ca="1" si="58"/>
        <v>149.70883081989675</v>
      </c>
      <c r="Y214">
        <f t="shared" ca="1" si="57"/>
        <v>1.1470485333358624</v>
      </c>
      <c r="Z214">
        <f t="shared" ca="1" si="59"/>
        <v>0.96474740034656059</v>
      </c>
      <c r="AA214">
        <f t="shared" ca="1" si="60"/>
        <v>0.18230113298930184</v>
      </c>
      <c r="AB214">
        <f t="shared" ca="1" si="61"/>
        <v>149.97279999999998</v>
      </c>
    </row>
    <row r="215" spans="1:28" x14ac:dyDescent="0.25">
      <c r="A215" s="20">
        <f t="shared" ca="1" si="62"/>
        <v>45600</v>
      </c>
      <c r="B215" vm="628">
        <f ca="1"/>
        <v>45601</v>
      </c>
      <c r="C215" vm="629">
        <f ca="1"/>
        <v>153.41</v>
      </c>
      <c r="D215" vm="630">
        <f ca="1"/>
        <v>5978897</v>
      </c>
      <c r="E215">
        <f t="shared" ca="1" si="63"/>
        <v>917222588.76999998</v>
      </c>
      <c r="F215">
        <f ca="1">SUM($E$2:E215)/SUM($D$2:D215)</f>
        <v>152.43162326490452</v>
      </c>
      <c r="G215">
        <f ca="1">_xlfn.STDEV.P($C$2:C215)</f>
        <v>6.3928414360394452</v>
      </c>
      <c r="H215">
        <f t="shared" ca="1" si="64"/>
        <v>158.82446470094396</v>
      </c>
      <c r="I215">
        <f t="shared" ca="1" si="65"/>
        <v>146.03878182886507</v>
      </c>
      <c r="J215">
        <f t="shared" ca="1" si="74"/>
        <v>150.59</v>
      </c>
      <c r="K215">
        <f t="shared" ca="1" si="75"/>
        <v>1.696724398424954</v>
      </c>
      <c r="L215">
        <f t="shared" ca="1" si="76"/>
        <v>153.9834487968499</v>
      </c>
      <c r="M215">
        <f t="shared" ca="1" si="77"/>
        <v>147.19655120315011</v>
      </c>
      <c r="N215">
        <f t="shared" ca="1" si="66"/>
        <v>-0.56000000000000227</v>
      </c>
      <c r="O215">
        <f t="shared" ca="1" si="67"/>
        <v>0</v>
      </c>
      <c r="P215">
        <f t="shared" ca="1" si="68"/>
        <v>0.56000000000000227</v>
      </c>
      <c r="Q215">
        <f t="shared" ca="1" si="72"/>
        <v>0.72248844383357336</v>
      </c>
      <c r="R215">
        <f t="shared" ca="1" si="73"/>
        <v>0.45392785230686089</v>
      </c>
      <c r="S215">
        <f t="shared" ca="1" si="70"/>
        <v>1.5916371735329475</v>
      </c>
      <c r="T215">
        <f t="shared" ca="1" si="71"/>
        <v>61.41435189259964</v>
      </c>
      <c r="U215">
        <f>70</f>
        <v>70</v>
      </c>
      <c r="V215">
        <f>30</f>
        <v>30</v>
      </c>
      <c r="W215">
        <f t="shared" ca="1" si="69"/>
        <v>151.13004003324025</v>
      </c>
      <c r="X215">
        <f t="shared" ca="1" si="58"/>
        <v>149.98299149990439</v>
      </c>
      <c r="Y215">
        <f t="shared" ca="1" si="57"/>
        <v>1.5877767874741551</v>
      </c>
      <c r="Z215">
        <f t="shared" ca="1" si="59"/>
        <v>1.0893532777720796</v>
      </c>
      <c r="AA215">
        <f t="shared" ca="1" si="60"/>
        <v>0.4984235097020755</v>
      </c>
      <c r="AB215">
        <f t="shared" ca="1" si="61"/>
        <v>149.97849999999997</v>
      </c>
    </row>
    <row r="216" spans="1:28" x14ac:dyDescent="0.25">
      <c r="A216" s="20">
        <f t="shared" ca="1" si="62"/>
        <v>45600</v>
      </c>
      <c r="B216" vm="631">
        <f ca="1"/>
        <v>45602</v>
      </c>
      <c r="C216" vm="632">
        <f ca="1"/>
        <v>157.72</v>
      </c>
      <c r="D216" vm="633">
        <f ca="1"/>
        <v>12118908</v>
      </c>
      <c r="E216">
        <f t="shared" ca="1" si="63"/>
        <v>1911394169.76</v>
      </c>
      <c r="F216">
        <f ca="1">SUM($E$2:E216)/SUM($D$2:D216)</f>
        <v>152.47049140000973</v>
      </c>
      <c r="G216">
        <f ca="1">_xlfn.STDEV.P($C$2:C216)</f>
        <v>6.3868697607877944</v>
      </c>
      <c r="H216">
        <f t="shared" ca="1" si="64"/>
        <v>158.85736116079752</v>
      </c>
      <c r="I216">
        <f t="shared" ca="1" si="65"/>
        <v>146.08362163922195</v>
      </c>
      <c r="J216">
        <f t="shared" ca="1" si="74"/>
        <v>150.99350000000001</v>
      </c>
      <c r="K216">
        <f t="shared" ca="1" si="75"/>
        <v>2.3101111274249622</v>
      </c>
      <c r="L216">
        <f t="shared" ca="1" si="76"/>
        <v>155.61372225484993</v>
      </c>
      <c r="M216">
        <f t="shared" ca="1" si="77"/>
        <v>146.37327774515009</v>
      </c>
      <c r="N216">
        <f t="shared" ca="1" si="66"/>
        <v>4.3100000000000023</v>
      </c>
      <c r="O216">
        <f t="shared" ca="1" si="67"/>
        <v>4.3100000000000023</v>
      </c>
      <c r="P216">
        <f t="shared" ca="1" si="68"/>
        <v>0</v>
      </c>
      <c r="Q216">
        <f t="shared" ca="1" si="72"/>
        <v>0.97873926927403254</v>
      </c>
      <c r="R216">
        <f t="shared" ca="1" si="73"/>
        <v>0.42150443428494228</v>
      </c>
      <c r="S216">
        <f t="shared" ca="1" si="70"/>
        <v>2.3220141703477135</v>
      </c>
      <c r="T216">
        <f t="shared" ca="1" si="71"/>
        <v>69.897780421107285</v>
      </c>
      <c r="U216">
        <f>70</f>
        <v>70</v>
      </c>
      <c r="V216">
        <f>30</f>
        <v>30</v>
      </c>
      <c r="W216">
        <f t="shared" ca="1" si="69"/>
        <v>152.14388002812638</v>
      </c>
      <c r="X216">
        <f t="shared" ca="1" si="58"/>
        <v>150.55610324065222</v>
      </c>
      <c r="Y216">
        <f t="shared" ca="1" si="57"/>
        <v>1.8391989035371807</v>
      </c>
      <c r="Z216">
        <f t="shared" ca="1" si="59"/>
        <v>1.2393224029251</v>
      </c>
      <c r="AA216">
        <f t="shared" ca="1" si="60"/>
        <v>0.59987650061208075</v>
      </c>
      <c r="AB216">
        <f t="shared" ca="1" si="61"/>
        <v>150.02999999999997</v>
      </c>
    </row>
    <row r="217" spans="1:28" x14ac:dyDescent="0.25">
      <c r="A217" s="20">
        <f t="shared" ca="1" si="62"/>
        <v>45600</v>
      </c>
      <c r="B217" vm="634">
        <f ca="1"/>
        <v>45603</v>
      </c>
      <c r="C217" vm="635">
        <f ca="1"/>
        <v>156.77000000000001</v>
      </c>
      <c r="D217" vm="636">
        <f ca="1"/>
        <v>8143245</v>
      </c>
      <c r="E217">
        <f t="shared" ca="1" si="63"/>
        <v>1276616518.6500001</v>
      </c>
      <c r="F217">
        <f ca="1">SUM($E$2:E217)/SUM($D$2:D217)</f>
        <v>152.49162067606264</v>
      </c>
      <c r="G217">
        <f ca="1">_xlfn.STDEV.P($C$2:C217)</f>
        <v>6.3778055795235966</v>
      </c>
      <c r="H217">
        <f t="shared" ca="1" si="64"/>
        <v>158.86942625558623</v>
      </c>
      <c r="I217">
        <f t="shared" ca="1" si="65"/>
        <v>146.11381509653904</v>
      </c>
      <c r="J217">
        <f t="shared" ca="1" si="74"/>
        <v>151.30099999999999</v>
      </c>
      <c r="K217">
        <f t="shared" ca="1" si="75"/>
        <v>2.6430940800110543</v>
      </c>
      <c r="L217">
        <f t="shared" ca="1" si="76"/>
        <v>156.58718816002209</v>
      </c>
      <c r="M217">
        <f t="shared" ca="1" si="77"/>
        <v>146.01481183997788</v>
      </c>
      <c r="N217">
        <f t="shared" ca="1" si="66"/>
        <v>-0.94999999999998863</v>
      </c>
      <c r="O217">
        <f t="shared" ca="1" si="67"/>
        <v>0</v>
      </c>
      <c r="P217">
        <f t="shared" ca="1" si="68"/>
        <v>0.94999999999998863</v>
      </c>
      <c r="Q217">
        <f t="shared" ca="1" si="72"/>
        <v>0.90882932146874451</v>
      </c>
      <c r="R217">
        <f t="shared" ca="1" si="73"/>
        <v>0.45925411755030277</v>
      </c>
      <c r="S217">
        <f t="shared" ca="1" si="70"/>
        <v>1.9789247101724659</v>
      </c>
      <c r="T217">
        <f t="shared" ca="1" si="71"/>
        <v>66.430840075105337</v>
      </c>
      <c r="U217">
        <f>70</f>
        <v>70</v>
      </c>
      <c r="V217">
        <f>30</f>
        <v>30</v>
      </c>
      <c r="W217">
        <f t="shared" ca="1" si="69"/>
        <v>152.85559079302999</v>
      </c>
      <c r="X217">
        <f t="shared" ca="1" si="58"/>
        <v>151.01639188949281</v>
      </c>
      <c r="Y217">
        <f t="shared" ca="1" si="57"/>
        <v>2.027986044002148</v>
      </c>
      <c r="Z217">
        <f t="shared" ca="1" si="59"/>
        <v>1.3970551311405095</v>
      </c>
      <c r="AA217">
        <f t="shared" ca="1" si="60"/>
        <v>0.63093091286163849</v>
      </c>
      <c r="AB217">
        <f t="shared" ca="1" si="61"/>
        <v>150.06579999999997</v>
      </c>
    </row>
    <row r="218" spans="1:28" x14ac:dyDescent="0.25">
      <c r="A218" s="20">
        <f t="shared" ca="1" si="62"/>
        <v>45600</v>
      </c>
      <c r="B218" vm="637">
        <f ca="1"/>
        <v>45604</v>
      </c>
      <c r="C218" vm="638">
        <f ca="1"/>
        <v>156.93</v>
      </c>
      <c r="D218" vm="639">
        <f ca="1"/>
        <v>6041457</v>
      </c>
      <c r="E218">
        <f t="shared" ca="1" si="63"/>
        <v>948085847.00999999</v>
      </c>
      <c r="F218">
        <f ca="1">SUM($E$2:E218)/SUM($D$2:D218)</f>
        <v>152.50774397347504</v>
      </c>
      <c r="G218">
        <f ca="1">_xlfn.STDEV.P($C$2:C218)</f>
        <v>6.3692257456288219</v>
      </c>
      <c r="H218">
        <f t="shared" ca="1" si="64"/>
        <v>158.87696971910387</v>
      </c>
      <c r="I218">
        <f t="shared" ca="1" si="65"/>
        <v>146.13851822784622</v>
      </c>
      <c r="J218">
        <f t="shared" ca="1" si="74"/>
        <v>151.57649999999995</v>
      </c>
      <c r="K218">
        <f t="shared" ca="1" si="75"/>
        <v>2.9279636807497269</v>
      </c>
      <c r="L218">
        <f t="shared" ca="1" si="76"/>
        <v>157.43242736149941</v>
      </c>
      <c r="M218">
        <f t="shared" ca="1" si="77"/>
        <v>145.7205726385005</v>
      </c>
      <c r="N218">
        <f t="shared" ca="1" si="66"/>
        <v>0.15999999999999659</v>
      </c>
      <c r="O218">
        <f t="shared" ca="1" si="67"/>
        <v>0.15999999999999659</v>
      </c>
      <c r="P218">
        <f t="shared" ca="1" si="68"/>
        <v>0</v>
      </c>
      <c r="Q218">
        <f t="shared" ca="1" si="72"/>
        <v>0.85534151279240533</v>
      </c>
      <c r="R218">
        <f t="shared" ca="1" si="73"/>
        <v>0.42645025201099546</v>
      </c>
      <c r="S218">
        <f t="shared" ca="1" si="70"/>
        <v>2.0057240176524775</v>
      </c>
      <c r="T218">
        <f t="shared" ca="1" si="71"/>
        <v>66.73014574435156</v>
      </c>
      <c r="U218">
        <f>70</f>
        <v>70</v>
      </c>
      <c r="V218">
        <f>30</f>
        <v>30</v>
      </c>
      <c r="W218">
        <f t="shared" ca="1" si="69"/>
        <v>153.48242297871769</v>
      </c>
      <c r="X218">
        <f t="shared" ca="1" si="58"/>
        <v>151.45443693471555</v>
      </c>
      <c r="Y218">
        <f t="shared" ca="1" si="57"/>
        <v>2.1184832504176541</v>
      </c>
      <c r="Z218">
        <f t="shared" ca="1" si="59"/>
        <v>1.5413407549959386</v>
      </c>
      <c r="AA218">
        <f t="shared" ca="1" si="60"/>
        <v>0.57714249542171547</v>
      </c>
      <c r="AB218">
        <f t="shared" ca="1" si="61"/>
        <v>150.10179999999997</v>
      </c>
    </row>
    <row r="219" spans="1:28" x14ac:dyDescent="0.25">
      <c r="A219" s="20">
        <f t="shared" ca="1" si="62"/>
        <v>45607</v>
      </c>
      <c r="B219" vm="640">
        <f ca="1"/>
        <v>45607</v>
      </c>
      <c r="C219" vm="641">
        <f ca="1"/>
        <v>156.5</v>
      </c>
      <c r="D219" vm="642">
        <f ca="1"/>
        <v>7771691</v>
      </c>
      <c r="E219">
        <f t="shared" ca="1" si="63"/>
        <v>1216269641.5</v>
      </c>
      <c r="F219">
        <f ca="1">SUM($E$2:E219)/SUM($D$2:D219)</f>
        <v>152.52631333212159</v>
      </c>
      <c r="G219">
        <f ca="1">_xlfn.STDEV.P($C$2:C219)</f>
        <v>6.3594557200914146</v>
      </c>
      <c r="H219">
        <f t="shared" ca="1" si="64"/>
        <v>158.88576905221299</v>
      </c>
      <c r="I219">
        <f t="shared" ca="1" si="65"/>
        <v>146.16685761203019</v>
      </c>
      <c r="J219">
        <f t="shared" ca="1" si="74"/>
        <v>151.81249999999994</v>
      </c>
      <c r="K219">
        <f t="shared" ca="1" si="75"/>
        <v>3.1285777414362808</v>
      </c>
      <c r="L219">
        <f t="shared" ca="1" si="76"/>
        <v>158.06965548287249</v>
      </c>
      <c r="M219">
        <f t="shared" ca="1" si="77"/>
        <v>145.55534451712739</v>
      </c>
      <c r="N219">
        <f t="shared" ca="1" si="66"/>
        <v>-0.43000000000000682</v>
      </c>
      <c r="O219">
        <f t="shared" ca="1" si="67"/>
        <v>0</v>
      </c>
      <c r="P219">
        <f t="shared" ca="1" si="68"/>
        <v>0.43000000000000682</v>
      </c>
      <c r="Q219">
        <f t="shared" ca="1" si="72"/>
        <v>0.79424569045009075</v>
      </c>
      <c r="R219">
        <f t="shared" ca="1" si="73"/>
        <v>0.426703805438782</v>
      </c>
      <c r="S219">
        <f t="shared" ca="1" si="70"/>
        <v>1.8613513175336303</v>
      </c>
      <c r="T219">
        <f t="shared" ca="1" si="71"/>
        <v>65.05147781496612</v>
      </c>
      <c r="U219">
        <f>70</f>
        <v>70</v>
      </c>
      <c r="V219">
        <f>30</f>
        <v>30</v>
      </c>
      <c r="W219">
        <f t="shared" ca="1" si="69"/>
        <v>153.94666559737649</v>
      </c>
      <c r="X219">
        <f t="shared" ca="1" si="58"/>
        <v>151.82818234695884</v>
      </c>
      <c r="Y219">
        <f t="shared" ca="1" si="57"/>
        <v>2.0687191443281847</v>
      </c>
      <c r="Z219">
        <f t="shared" ca="1" si="59"/>
        <v>1.646816432862388</v>
      </c>
      <c r="AA219">
        <f t="shared" ca="1" si="60"/>
        <v>0.42190271146579672</v>
      </c>
      <c r="AB219">
        <f t="shared" ca="1" si="61"/>
        <v>150.10039999999998</v>
      </c>
    </row>
    <row r="220" spans="1:28" x14ac:dyDescent="0.25">
      <c r="A220" s="20">
        <f t="shared" ca="1" si="62"/>
        <v>45607</v>
      </c>
      <c r="B220" vm="643">
        <f ca="1"/>
        <v>45608</v>
      </c>
      <c r="C220" vm="644">
        <f ca="1"/>
        <v>155.29</v>
      </c>
      <c r="D220" vm="645">
        <f ca="1"/>
        <v>5681869</v>
      </c>
      <c r="E220">
        <f t="shared" ca="1" si="63"/>
        <v>882337437.00999999</v>
      </c>
      <c r="F220">
        <f ca="1">SUM($E$2:E220)/SUM($D$2:D220)</f>
        <v>152.53567964502599</v>
      </c>
      <c r="G220">
        <f ca="1">_xlfn.STDEV.P($C$2:C220)</f>
        <v>6.3470693060890229</v>
      </c>
      <c r="H220">
        <f t="shared" ca="1" si="64"/>
        <v>158.88274895111502</v>
      </c>
      <c r="I220">
        <f t="shared" ca="1" si="65"/>
        <v>146.18861033893697</v>
      </c>
      <c r="J220">
        <f t="shared" ca="1" si="74"/>
        <v>152.19049999999996</v>
      </c>
      <c r="K220">
        <f t="shared" ca="1" si="75"/>
        <v>3.0654311536706782</v>
      </c>
      <c r="L220">
        <f t="shared" ca="1" si="76"/>
        <v>158.3213623073413</v>
      </c>
      <c r="M220">
        <f t="shared" ca="1" si="77"/>
        <v>146.05963769265861</v>
      </c>
      <c r="N220">
        <f t="shared" ca="1" si="66"/>
        <v>-1.210000000000008</v>
      </c>
      <c r="O220">
        <f t="shared" ca="1" si="67"/>
        <v>0</v>
      </c>
      <c r="P220">
        <f t="shared" ca="1" si="68"/>
        <v>1.210000000000008</v>
      </c>
      <c r="Q220">
        <f t="shared" ca="1" si="72"/>
        <v>0.73751385541794146</v>
      </c>
      <c r="R220">
        <f t="shared" ca="1" si="73"/>
        <v>0.48265353362172675</v>
      </c>
      <c r="S220">
        <f t="shared" ca="1" si="70"/>
        <v>1.5280398962042161</v>
      </c>
      <c r="T220">
        <f t="shared" ca="1" si="71"/>
        <v>60.443662241981507</v>
      </c>
      <c r="U220">
        <f>70</f>
        <v>70</v>
      </c>
      <c r="V220">
        <f>30</f>
        <v>30</v>
      </c>
      <c r="W220">
        <f t="shared" ca="1" si="69"/>
        <v>154.15333242854933</v>
      </c>
      <c r="X220">
        <f t="shared" ca="1" si="58"/>
        <v>152.08461328422115</v>
      </c>
      <c r="Y220">
        <f t="shared" ref="Y220:Y283" ca="1" si="78">W221-X221</f>
        <v>2.2797732589951067</v>
      </c>
      <c r="Z220">
        <f t="shared" ca="1" si="59"/>
        <v>1.7734077980889318</v>
      </c>
      <c r="AA220">
        <f t="shared" ca="1" si="60"/>
        <v>0.50636546090617496</v>
      </c>
      <c r="AB220">
        <f t="shared" ca="1" si="61"/>
        <v>150.10049999999998</v>
      </c>
    </row>
    <row r="221" spans="1:28" x14ac:dyDescent="0.25">
      <c r="A221" s="20">
        <f t="shared" ca="1" si="62"/>
        <v>45607</v>
      </c>
      <c r="B221" vm="646">
        <f ca="1"/>
        <v>45609</v>
      </c>
      <c r="C221" vm="647">
        <f ca="1"/>
        <v>158.72</v>
      </c>
      <c r="D221" vm="648">
        <f ca="1"/>
        <v>8824013</v>
      </c>
      <c r="E221">
        <f t="shared" ca="1" si="63"/>
        <v>1400547343.3599999</v>
      </c>
      <c r="F221">
        <f ca="1">SUM($E$2:E221)/SUM($D$2:D221)</f>
        <v>152.5680589073209</v>
      </c>
      <c r="G221">
        <f ca="1">_xlfn.STDEV.P($C$2:C221)</f>
        <v>6.3449205094044441</v>
      </c>
      <c r="H221">
        <f t="shared" ca="1" si="64"/>
        <v>158.91297941672534</v>
      </c>
      <c r="I221">
        <f t="shared" ca="1" si="65"/>
        <v>146.22313839791647</v>
      </c>
      <c r="J221">
        <f t="shared" ca="1" si="74"/>
        <v>152.68999999999997</v>
      </c>
      <c r="K221">
        <f t="shared" ca="1" si="75"/>
        <v>3.2783965914035358</v>
      </c>
      <c r="L221">
        <f t="shared" ca="1" si="76"/>
        <v>159.24679318280704</v>
      </c>
      <c r="M221">
        <f t="shared" ca="1" si="77"/>
        <v>146.1332068171929</v>
      </c>
      <c r="N221">
        <f t="shared" ca="1" si="66"/>
        <v>3.4300000000000068</v>
      </c>
      <c r="O221">
        <f t="shared" ca="1" si="67"/>
        <v>3.4300000000000068</v>
      </c>
      <c r="P221">
        <f t="shared" ca="1" si="68"/>
        <v>0</v>
      </c>
      <c r="Q221">
        <f t="shared" ca="1" si="72"/>
        <v>0.92983429431666043</v>
      </c>
      <c r="R221">
        <f t="shared" ca="1" si="73"/>
        <v>0.44817828122017483</v>
      </c>
      <c r="S221">
        <f t="shared" ca="1" si="70"/>
        <v>2.0746973543322245</v>
      </c>
      <c r="T221">
        <f t="shared" ca="1" si="71"/>
        <v>67.476473787216548</v>
      </c>
      <c r="U221">
        <f>70</f>
        <v>70</v>
      </c>
      <c r="V221">
        <f>30</f>
        <v>30</v>
      </c>
      <c r="W221">
        <f t="shared" ca="1" si="69"/>
        <v>154.85589667031098</v>
      </c>
      <c r="X221">
        <f t="shared" ref="X221:X284" ca="1" si="79">C221*(2/(26+1)) + X220*(1-(2/(26+1)))</f>
        <v>152.57612341131588</v>
      </c>
      <c r="Y221">
        <f t="shared" ca="1" si="78"/>
        <v>2.664846730497743</v>
      </c>
      <c r="Z221">
        <f t="shared" ca="1" si="59"/>
        <v>1.951695584570694</v>
      </c>
      <c r="AA221">
        <f t="shared" ca="1" si="60"/>
        <v>0.71315114592704898</v>
      </c>
      <c r="AB221">
        <f t="shared" ca="1" si="61"/>
        <v>150.09459999999999</v>
      </c>
    </row>
    <row r="222" spans="1:28" x14ac:dyDescent="0.25">
      <c r="A222" s="20">
        <f t="shared" ca="1" si="62"/>
        <v>45607</v>
      </c>
      <c r="B222" vm="649">
        <f ca="1"/>
        <v>45610</v>
      </c>
      <c r="C222" vm="650">
        <f ca="1"/>
        <v>161.80000000000001</v>
      </c>
      <c r="D222" vm="651">
        <f ca="1"/>
        <v>10111234</v>
      </c>
      <c r="E222">
        <f t="shared" ca="1" si="63"/>
        <v>1635997661.2</v>
      </c>
      <c r="F222">
        <f ca="1">SUM($E$2:E222)/SUM($D$2:D222)</f>
        <v>152.62311536499308</v>
      </c>
      <c r="G222">
        <f ca="1">_xlfn.STDEV.P($C$2:C222)</f>
        <v>6.3588062998504711</v>
      </c>
      <c r="H222">
        <f t="shared" ca="1" si="64"/>
        <v>158.98192166484355</v>
      </c>
      <c r="I222">
        <f t="shared" ca="1" si="65"/>
        <v>146.26430906514261</v>
      </c>
      <c r="J222">
        <f t="shared" ca="1" si="74"/>
        <v>153.21999999999997</v>
      </c>
      <c r="K222">
        <f t="shared" ca="1" si="75"/>
        <v>3.8344957810299984</v>
      </c>
      <c r="L222">
        <f t="shared" ca="1" si="76"/>
        <v>160.88899156205997</v>
      </c>
      <c r="M222">
        <f t="shared" ca="1" si="77"/>
        <v>145.55100843793997</v>
      </c>
      <c r="N222">
        <f t="shared" ca="1" si="66"/>
        <v>3.0800000000000125</v>
      </c>
      <c r="O222">
        <f t="shared" ca="1" si="67"/>
        <v>3.0800000000000125</v>
      </c>
      <c r="P222">
        <f t="shared" ca="1" si="68"/>
        <v>0</v>
      </c>
      <c r="Q222">
        <f t="shared" ca="1" si="72"/>
        <v>1.0834175590083284</v>
      </c>
      <c r="R222">
        <f t="shared" ca="1" si="73"/>
        <v>0.41616554684730517</v>
      </c>
      <c r="S222">
        <f t="shared" ca="1" si="70"/>
        <v>2.6033331380164535</v>
      </c>
      <c r="T222">
        <f t="shared" ca="1" si="71"/>
        <v>72.247917089606773</v>
      </c>
      <c r="U222">
        <f>70</f>
        <v>70</v>
      </c>
      <c r="V222">
        <f>30</f>
        <v>30</v>
      </c>
      <c r="W222">
        <f t="shared" ca="1" si="69"/>
        <v>155.92422025949392</v>
      </c>
      <c r="X222">
        <f t="shared" ca="1" si="79"/>
        <v>153.25937352899618</v>
      </c>
      <c r="Y222">
        <f t="shared" ca="1" si="78"/>
        <v>2.9058604562562209</v>
      </c>
      <c r="Z222">
        <f t="shared" ca="1" si="59"/>
        <v>2.1425285589077996</v>
      </c>
      <c r="AA222">
        <f t="shared" ca="1" si="60"/>
        <v>0.76333189734842133</v>
      </c>
      <c r="AB222">
        <f t="shared" ca="1" si="61"/>
        <v>150.12799999999999</v>
      </c>
    </row>
    <row r="223" spans="1:28" x14ac:dyDescent="0.25">
      <c r="A223" s="20">
        <f t="shared" ca="1" si="62"/>
        <v>45607</v>
      </c>
      <c r="B223" vm="652">
        <f ca="1"/>
        <v>45611</v>
      </c>
      <c r="C223" vm="653">
        <f ca="1"/>
        <v>161.41999999999999</v>
      </c>
      <c r="D223" vm="654">
        <f ca="1"/>
        <v>9022753</v>
      </c>
      <c r="E223">
        <f t="shared" ca="1" si="63"/>
        <v>1456452789.26</v>
      </c>
      <c r="F223">
        <f ca="1">SUM($E$2:E223)/SUM($D$2:D223)</f>
        <v>152.66968190703318</v>
      </c>
      <c r="G223">
        <f ca="1">_xlfn.STDEV.P($C$2:C223)</f>
        <v>6.3699601757478499</v>
      </c>
      <c r="H223">
        <f t="shared" ca="1" si="64"/>
        <v>159.03964208278103</v>
      </c>
      <c r="I223">
        <f t="shared" ca="1" si="65"/>
        <v>146.29972173128533</v>
      </c>
      <c r="J223">
        <f t="shared" ca="1" si="74"/>
        <v>153.75349999999997</v>
      </c>
      <c r="K223">
        <f t="shared" ca="1" si="75"/>
        <v>4.1978092970901919</v>
      </c>
      <c r="L223">
        <f t="shared" ca="1" si="76"/>
        <v>162.14911859418035</v>
      </c>
      <c r="M223">
        <f t="shared" ca="1" si="77"/>
        <v>145.3578814058196</v>
      </c>
      <c r="N223">
        <f t="shared" ca="1" si="66"/>
        <v>-0.38000000000002387</v>
      </c>
      <c r="O223">
        <f t="shared" ca="1" si="67"/>
        <v>0</v>
      </c>
      <c r="P223">
        <f t="shared" ca="1" si="68"/>
        <v>0.38000000000002387</v>
      </c>
      <c r="Q223">
        <f t="shared" ca="1" si="72"/>
        <v>1.0060305905077336</v>
      </c>
      <c r="R223">
        <f t="shared" ca="1" si="73"/>
        <v>0.41358229350107079</v>
      </c>
      <c r="S223">
        <f t="shared" ca="1" si="70"/>
        <v>2.4324798385139981</v>
      </c>
      <c r="T223">
        <f t="shared" ca="1" si="71"/>
        <v>70.866544100870129</v>
      </c>
      <c r="U223">
        <f>70</f>
        <v>70</v>
      </c>
      <c r="V223">
        <f>30</f>
        <v>30</v>
      </c>
      <c r="W223">
        <f t="shared" ca="1" si="69"/>
        <v>156.76972483495638</v>
      </c>
      <c r="X223">
        <f t="shared" ca="1" si="79"/>
        <v>153.86386437870016</v>
      </c>
      <c r="Y223">
        <f t="shared" ca="1" si="78"/>
        <v>3.0089240823489831</v>
      </c>
      <c r="Z223">
        <f t="shared" ca="1" si="59"/>
        <v>2.3158076635960363</v>
      </c>
      <c r="AA223">
        <f t="shared" ca="1" si="60"/>
        <v>0.69311641875294683</v>
      </c>
      <c r="AB223">
        <f t="shared" ca="1" si="61"/>
        <v>150.18269999999998</v>
      </c>
    </row>
    <row r="224" spans="1:28" x14ac:dyDescent="0.25">
      <c r="A224" s="20">
        <f t="shared" ca="1" si="62"/>
        <v>45614</v>
      </c>
      <c r="B224" vm="655">
        <f ca="1"/>
        <v>45614</v>
      </c>
      <c r="C224" vm="656">
        <f ca="1"/>
        <v>160.76</v>
      </c>
      <c r="D224" vm="657">
        <f ca="1"/>
        <v>6092141</v>
      </c>
      <c r="E224">
        <f t="shared" ca="1" si="63"/>
        <v>979372587.15999997</v>
      </c>
      <c r="F224">
        <f ca="1">SUM($E$2:E224)/SUM($D$2:D224)</f>
        <v>152.69849514659234</v>
      </c>
      <c r="G224">
        <f ca="1">_xlfn.STDEV.P($C$2:C224)</f>
        <v>6.3770112694112191</v>
      </c>
      <c r="H224">
        <f t="shared" ca="1" si="64"/>
        <v>159.07550641600355</v>
      </c>
      <c r="I224">
        <f t="shared" ca="1" si="65"/>
        <v>146.32148387718112</v>
      </c>
      <c r="J224">
        <f t="shared" ca="1" si="74"/>
        <v>154.2475</v>
      </c>
      <c r="K224">
        <f t="shared" ca="1" si="75"/>
        <v>4.4174520817703096</v>
      </c>
      <c r="L224">
        <f t="shared" ca="1" si="76"/>
        <v>163.08240416354062</v>
      </c>
      <c r="M224">
        <f t="shared" ca="1" si="77"/>
        <v>145.41259583645939</v>
      </c>
      <c r="N224">
        <f t="shared" ca="1" si="66"/>
        <v>-0.65999999999999659</v>
      </c>
      <c r="O224">
        <f t="shared" ca="1" si="67"/>
        <v>0</v>
      </c>
      <c r="P224">
        <f t="shared" ca="1" si="68"/>
        <v>0.65999999999999659</v>
      </c>
      <c r="Q224">
        <f t="shared" ca="1" si="72"/>
        <v>0.93417126261432404</v>
      </c>
      <c r="R224">
        <f t="shared" ca="1" si="73"/>
        <v>0.43118355825099408</v>
      </c>
      <c r="S224">
        <f t="shared" ca="1" si="70"/>
        <v>2.16652802440704</v>
      </c>
      <c r="T224">
        <f t="shared" ca="1" si="71"/>
        <v>68.419669988953956</v>
      </c>
      <c r="U224">
        <f>70</f>
        <v>70</v>
      </c>
      <c r="V224">
        <f>30</f>
        <v>30</v>
      </c>
      <c r="W224">
        <f t="shared" ca="1" si="69"/>
        <v>157.38361332188617</v>
      </c>
      <c r="X224">
        <f t="shared" ca="1" si="79"/>
        <v>154.37468923953719</v>
      </c>
      <c r="Y224">
        <f t="shared" ca="1" si="78"/>
        <v>2.9628465918820837</v>
      </c>
      <c r="Z224">
        <f t="shared" ca="1" si="59"/>
        <v>2.4452154492532459</v>
      </c>
      <c r="AA224">
        <f t="shared" ca="1" si="60"/>
        <v>0.5176311426288378</v>
      </c>
      <c r="AB224">
        <f t="shared" ca="1" si="61"/>
        <v>150.22709999999998</v>
      </c>
    </row>
    <row r="225" spans="1:28" x14ac:dyDescent="0.25">
      <c r="A225" s="20">
        <f t="shared" ca="1" si="62"/>
        <v>45614</v>
      </c>
      <c r="B225" vm="658">
        <f ca="1"/>
        <v>45615</v>
      </c>
      <c r="C225" vm="659">
        <f ca="1"/>
        <v>159.6</v>
      </c>
      <c r="D225" vm="660">
        <f ca="1"/>
        <v>4657409</v>
      </c>
      <c r="E225">
        <f t="shared" ca="1" si="63"/>
        <v>743322476.39999998</v>
      </c>
      <c r="F225">
        <f ca="1">SUM($E$2:E225)/SUM($D$2:D225)</f>
        <v>152.71723490001975</v>
      </c>
      <c r="G225">
        <f ca="1">_xlfn.STDEV.P($C$2:C225)</f>
        <v>6.3779946121207782</v>
      </c>
      <c r="H225">
        <f t="shared" ca="1" si="64"/>
        <v>159.09522951214052</v>
      </c>
      <c r="I225">
        <f t="shared" ca="1" si="65"/>
        <v>146.33924028789897</v>
      </c>
      <c r="J225">
        <f t="shared" ca="1" si="74"/>
        <v>154.68149999999997</v>
      </c>
      <c r="K225">
        <f t="shared" ca="1" si="75"/>
        <v>4.4989686244972322</v>
      </c>
      <c r="L225">
        <f t="shared" ca="1" si="76"/>
        <v>163.67943724899445</v>
      </c>
      <c r="M225">
        <f t="shared" ca="1" si="77"/>
        <v>145.6835627510055</v>
      </c>
      <c r="N225">
        <f t="shared" ca="1" si="66"/>
        <v>-1.1599999999999966</v>
      </c>
      <c r="O225">
        <f t="shared" ca="1" si="67"/>
        <v>0</v>
      </c>
      <c r="P225">
        <f t="shared" ca="1" si="68"/>
        <v>1.1599999999999966</v>
      </c>
      <c r="Q225">
        <f t="shared" ca="1" si="72"/>
        <v>0.867444743856158</v>
      </c>
      <c r="R225">
        <f t="shared" ca="1" si="73"/>
        <v>0.48324187551878001</v>
      </c>
      <c r="S225">
        <f t="shared" ca="1" si="70"/>
        <v>1.7950529285669219</v>
      </c>
      <c r="T225">
        <f t="shared" ca="1" si="71"/>
        <v>64.222502200961202</v>
      </c>
      <c r="U225">
        <f>70</f>
        <v>70</v>
      </c>
      <c r="V225">
        <f>30</f>
        <v>30</v>
      </c>
      <c r="W225">
        <f t="shared" ca="1" si="69"/>
        <v>157.72459588774984</v>
      </c>
      <c r="X225">
        <f t="shared" ca="1" si="79"/>
        <v>154.76174929586776</v>
      </c>
      <c r="Y225">
        <f t="shared" ca="1" si="78"/>
        <v>3.0309870584179066</v>
      </c>
      <c r="Z225">
        <f t="shared" ca="1" si="59"/>
        <v>2.5623697710861784</v>
      </c>
      <c r="AA225">
        <f t="shared" ca="1" si="60"/>
        <v>0.46861728733172825</v>
      </c>
      <c r="AB225">
        <f t="shared" ca="1" si="61"/>
        <v>150.25890000000001</v>
      </c>
    </row>
    <row r="226" spans="1:28" x14ac:dyDescent="0.25">
      <c r="A226" s="20">
        <f t="shared" ca="1" si="62"/>
        <v>45614</v>
      </c>
      <c r="B226" vm="661">
        <f ca="1"/>
        <v>45616</v>
      </c>
      <c r="C226" vm="662">
        <f ca="1"/>
        <v>161.33000000000001</v>
      </c>
      <c r="D226" vm="663">
        <f ca="1"/>
        <v>6391252</v>
      </c>
      <c r="E226">
        <f t="shared" ca="1" si="63"/>
        <v>1031100685.1600001</v>
      </c>
      <c r="F226">
        <f ca="1">SUM($E$2:E226)/SUM($D$2:D226)</f>
        <v>152.74920831298181</v>
      </c>
      <c r="G226">
        <f ca="1">_xlfn.STDEV.P($C$2:C226)</f>
        <v>6.3877609847288941</v>
      </c>
      <c r="H226">
        <f t="shared" ca="1" si="64"/>
        <v>159.13696929771069</v>
      </c>
      <c r="I226">
        <f t="shared" ca="1" si="65"/>
        <v>146.36144732825292</v>
      </c>
      <c r="J226">
        <f t="shared" ca="1" si="74"/>
        <v>155.22399999999999</v>
      </c>
      <c r="K226">
        <f t="shared" ca="1" si="75"/>
        <v>4.6182559934517089</v>
      </c>
      <c r="L226">
        <f t="shared" ca="1" si="76"/>
        <v>164.46051198690341</v>
      </c>
      <c r="M226">
        <f t="shared" ca="1" si="77"/>
        <v>145.98748801309657</v>
      </c>
      <c r="N226">
        <f t="shared" ca="1" si="66"/>
        <v>1.7300000000000182</v>
      </c>
      <c r="O226">
        <f t="shared" ca="1" si="67"/>
        <v>1.7300000000000182</v>
      </c>
      <c r="P226">
        <f t="shared" ca="1" si="68"/>
        <v>0</v>
      </c>
      <c r="Q226">
        <f t="shared" ca="1" si="72"/>
        <v>0.92905583358071941</v>
      </c>
      <c r="R226">
        <f t="shared" ca="1" si="73"/>
        <v>0.44872459869601</v>
      </c>
      <c r="S226">
        <f t="shared" ca="1" si="70"/>
        <v>2.0704366024963821</v>
      </c>
      <c r="T226">
        <f t="shared" ca="1" si="71"/>
        <v>67.431341875387957</v>
      </c>
      <c r="U226">
        <f>70</f>
        <v>70</v>
      </c>
      <c r="V226">
        <f>30</f>
        <v>30</v>
      </c>
      <c r="W226">
        <f t="shared" ca="1" si="69"/>
        <v>158.27927344348063</v>
      </c>
      <c r="X226">
        <f t="shared" ca="1" si="79"/>
        <v>155.24828638506273</v>
      </c>
      <c r="Y226">
        <f t="shared" ca="1" si="78"/>
        <v>3.0737639246961805</v>
      </c>
      <c r="Z226">
        <f t="shared" ca="1" si="59"/>
        <v>2.664648601808179</v>
      </c>
      <c r="AA226">
        <f t="shared" ca="1" si="60"/>
        <v>0.40911532288800156</v>
      </c>
      <c r="AB226">
        <f t="shared" ca="1" si="61"/>
        <v>150.30700000000002</v>
      </c>
    </row>
    <row r="227" spans="1:28" x14ac:dyDescent="0.25">
      <c r="A227" s="20">
        <f t="shared" ca="1" si="62"/>
        <v>45614</v>
      </c>
      <c r="B227" vm="664">
        <f ca="1"/>
        <v>45617</v>
      </c>
      <c r="C227" vm="665">
        <f ca="1"/>
        <v>161.63</v>
      </c>
      <c r="D227" vm="666">
        <f ca="1"/>
        <v>7945531</v>
      </c>
      <c r="E227">
        <f t="shared" ca="1" si="63"/>
        <v>1284236175.53</v>
      </c>
      <c r="F227">
        <f ca="1">SUM($E$2:E227)/SUM($D$2:D227)</f>
        <v>152.79000598199184</v>
      </c>
      <c r="G227">
        <f ca="1">_xlfn.STDEV.P($C$2:C227)</f>
        <v>6.3989554719531005</v>
      </c>
      <c r="H227">
        <f t="shared" ca="1" si="64"/>
        <v>159.18896145394493</v>
      </c>
      <c r="I227">
        <f t="shared" ca="1" si="65"/>
        <v>146.39105051003875</v>
      </c>
      <c r="J227">
        <f t="shared" ca="1" si="74"/>
        <v>155.78300000000002</v>
      </c>
      <c r="K227">
        <f t="shared" ca="1" si="75"/>
        <v>4.6861139775432603</v>
      </c>
      <c r="L227">
        <f t="shared" ca="1" si="76"/>
        <v>165.15522795508653</v>
      </c>
      <c r="M227">
        <f t="shared" ca="1" si="77"/>
        <v>146.4107720449135</v>
      </c>
      <c r="N227">
        <f t="shared" ca="1" si="66"/>
        <v>0.29999999999998295</v>
      </c>
      <c r="O227">
        <f t="shared" ca="1" si="67"/>
        <v>0.29999999999998295</v>
      </c>
      <c r="P227">
        <f t="shared" ca="1" si="68"/>
        <v>0</v>
      </c>
      <c r="Q227">
        <f t="shared" ca="1" si="72"/>
        <v>0.88412327403923818</v>
      </c>
      <c r="R227">
        <f t="shared" ca="1" si="73"/>
        <v>0.41667284164629503</v>
      </c>
      <c r="S227">
        <f t="shared" ca="1" si="70"/>
        <v>2.1218644117673313</v>
      </c>
      <c r="T227">
        <f t="shared" ca="1" si="71"/>
        <v>67.96785932692427</v>
      </c>
      <c r="U227">
        <f>70</f>
        <v>70</v>
      </c>
      <c r="V227">
        <f>30</f>
        <v>30</v>
      </c>
      <c r="W227">
        <f t="shared" ca="1" si="69"/>
        <v>158.79476983679132</v>
      </c>
      <c r="X227">
        <f t="shared" ca="1" si="79"/>
        <v>155.72100591209514</v>
      </c>
      <c r="Y227">
        <f t="shared" ca="1" si="78"/>
        <v>3.1304835330373066</v>
      </c>
      <c r="Z227">
        <f t="shared" ca="1" si="59"/>
        <v>2.7578155880540045</v>
      </c>
      <c r="AA227">
        <f t="shared" ca="1" si="60"/>
        <v>0.37266794498330214</v>
      </c>
      <c r="AB227">
        <f t="shared" ca="1" si="61"/>
        <v>150.35580000000002</v>
      </c>
    </row>
    <row r="228" spans="1:28" x14ac:dyDescent="0.25">
      <c r="A228" s="20">
        <f t="shared" ca="1" si="62"/>
        <v>45614</v>
      </c>
      <c r="B228" vm="667">
        <f ca="1"/>
        <v>45618</v>
      </c>
      <c r="C228" vm="668">
        <f ca="1"/>
        <v>162.36000000000001</v>
      </c>
      <c r="D228" vm="669">
        <f ca="1"/>
        <v>7006293</v>
      </c>
      <c r="E228">
        <f t="shared" ca="1" si="63"/>
        <v>1137541731.48</v>
      </c>
      <c r="F228">
        <f ca="1">SUM($E$2:E228)/SUM($D$2:D228)</f>
        <v>152.82861644259896</v>
      </c>
      <c r="G228">
        <f ca="1">_xlfn.STDEV.P($C$2:C228)</f>
        <v>6.4142540717543461</v>
      </c>
      <c r="H228">
        <f t="shared" ca="1" si="64"/>
        <v>159.24287051435331</v>
      </c>
      <c r="I228">
        <f t="shared" ca="1" si="65"/>
        <v>146.4143623708446</v>
      </c>
      <c r="J228">
        <f t="shared" ca="1" si="74"/>
        <v>156.3605</v>
      </c>
      <c r="K228">
        <f t="shared" ca="1" si="75"/>
        <v>4.7522277047606574</v>
      </c>
      <c r="L228">
        <f t="shared" ca="1" si="76"/>
        <v>165.86495540952131</v>
      </c>
      <c r="M228">
        <f t="shared" ca="1" si="77"/>
        <v>146.85604459047869</v>
      </c>
      <c r="N228">
        <f t="shared" ca="1" si="66"/>
        <v>0.73000000000001819</v>
      </c>
      <c r="O228">
        <f t="shared" ca="1" si="67"/>
        <v>0.73000000000001819</v>
      </c>
      <c r="P228">
        <f t="shared" ca="1" si="68"/>
        <v>0</v>
      </c>
      <c r="Q228">
        <f t="shared" ca="1" si="72"/>
        <v>0.87311446875072252</v>
      </c>
      <c r="R228">
        <f t="shared" ca="1" si="73"/>
        <v>0.38691049581441683</v>
      </c>
      <c r="S228">
        <f t="shared" ca="1" si="70"/>
        <v>2.2566316452927535</v>
      </c>
      <c r="T228">
        <f t="shared" ca="1" si="71"/>
        <v>69.293426186365465</v>
      </c>
      <c r="U228">
        <f>70</f>
        <v>70</v>
      </c>
      <c r="V228">
        <f>30</f>
        <v>30</v>
      </c>
      <c r="W228">
        <f t="shared" ca="1" si="69"/>
        <v>159.34326678497726</v>
      </c>
      <c r="X228">
        <f t="shared" ca="1" si="79"/>
        <v>156.21278325193995</v>
      </c>
      <c r="Y228">
        <f t="shared" ca="1" si="78"/>
        <v>2.9797027870591535</v>
      </c>
      <c r="Z228">
        <f t="shared" ca="1" si="59"/>
        <v>2.8021930278550342</v>
      </c>
      <c r="AA228">
        <f t="shared" ca="1" si="60"/>
        <v>0.17750975920411927</v>
      </c>
      <c r="AB228">
        <f t="shared" ca="1" si="61"/>
        <v>150.41230000000002</v>
      </c>
    </row>
    <row r="229" spans="1:28" x14ac:dyDescent="0.25">
      <c r="A229" s="20">
        <f t="shared" ca="1" si="62"/>
        <v>45621</v>
      </c>
      <c r="B229" vm="670">
        <f ca="1"/>
        <v>45621</v>
      </c>
      <c r="C229" vm="671">
        <f ca="1"/>
        <v>160.36000000000001</v>
      </c>
      <c r="D229" vm="672">
        <f ca="1"/>
        <v>10702395</v>
      </c>
      <c r="E229">
        <f t="shared" ca="1" si="63"/>
        <v>1716236062.2</v>
      </c>
      <c r="F229">
        <f ca="1">SUM($E$2:E229)/SUM($D$2:D229)</f>
        <v>152.8747473988806</v>
      </c>
      <c r="G229">
        <f ca="1">_xlfn.STDEV.P($C$2:C229)</f>
        <v>6.417946590069084</v>
      </c>
      <c r="H229">
        <f t="shared" ca="1" si="64"/>
        <v>159.29269398894968</v>
      </c>
      <c r="I229">
        <f t="shared" ca="1" si="65"/>
        <v>146.45680080881152</v>
      </c>
      <c r="J229">
        <f t="shared" ca="1" si="74"/>
        <v>156.85150000000002</v>
      </c>
      <c r="K229">
        <f t="shared" ca="1" si="75"/>
        <v>4.6247950452453903</v>
      </c>
      <c r="L229">
        <f t="shared" ca="1" si="76"/>
        <v>166.1010900904908</v>
      </c>
      <c r="M229">
        <f t="shared" ca="1" si="77"/>
        <v>147.60190990950923</v>
      </c>
      <c r="N229">
        <f t="shared" ca="1" si="66"/>
        <v>-2</v>
      </c>
      <c r="O229">
        <f t="shared" ca="1" si="67"/>
        <v>0</v>
      </c>
      <c r="P229">
        <f t="shared" ca="1" si="68"/>
        <v>2</v>
      </c>
      <c r="Q229">
        <f t="shared" ca="1" si="72"/>
        <v>0.81074914955424238</v>
      </c>
      <c r="R229">
        <f t="shared" ca="1" si="73"/>
        <v>0.50213117468481561</v>
      </c>
      <c r="S229">
        <f t="shared" ca="1" si="70"/>
        <v>1.6146162405931961</v>
      </c>
      <c r="T229">
        <f t="shared" ca="1" si="71"/>
        <v>61.75346942031068</v>
      </c>
      <c r="U229">
        <f>70</f>
        <v>70</v>
      </c>
      <c r="V229">
        <f>30</f>
        <v>30</v>
      </c>
      <c r="W229">
        <f t="shared" ca="1" si="69"/>
        <v>159.49968727959615</v>
      </c>
      <c r="X229">
        <f t="shared" ca="1" si="79"/>
        <v>156.51998449253699</v>
      </c>
      <c r="Y229">
        <f t="shared" ca="1" si="78"/>
        <v>3.0007184101581856</v>
      </c>
      <c r="Z229">
        <f t="shared" ca="1" si="59"/>
        <v>2.8418981043156646</v>
      </c>
      <c r="AA229">
        <f t="shared" ca="1" si="60"/>
        <v>0.15882030584252105</v>
      </c>
      <c r="AB229">
        <f t="shared" ca="1" si="61"/>
        <v>150.47280000000001</v>
      </c>
    </row>
    <row r="230" spans="1:28" x14ac:dyDescent="0.25">
      <c r="A230" s="20">
        <f t="shared" ca="1" si="62"/>
        <v>45621</v>
      </c>
      <c r="B230" vm="673">
        <f ca="1"/>
        <v>45622</v>
      </c>
      <c r="C230" vm="674">
        <f ca="1"/>
        <v>162.53</v>
      </c>
      <c r="D230" vm="675">
        <f ca="1"/>
        <v>7369944</v>
      </c>
      <c r="E230">
        <f t="shared" ca="1" si="63"/>
        <v>1197836998.3199999</v>
      </c>
      <c r="F230">
        <f ca="1">SUM($E$2:E230)/SUM($D$2:D230)</f>
        <v>152.91530166683819</v>
      </c>
      <c r="G230">
        <f ca="1">_xlfn.STDEV.P($C$2:C230)</f>
        <v>6.4335991684983558</v>
      </c>
      <c r="H230">
        <f t="shared" ca="1" si="64"/>
        <v>159.34890083533654</v>
      </c>
      <c r="I230">
        <f t="shared" ca="1" si="65"/>
        <v>146.48170249833984</v>
      </c>
      <c r="J230">
        <f t="shared" ca="1" si="74"/>
        <v>157.55200000000002</v>
      </c>
      <c r="K230">
        <f t="shared" ca="1" si="75"/>
        <v>4.3492486949502345</v>
      </c>
      <c r="L230">
        <f t="shared" ca="1" si="76"/>
        <v>166.25049738990049</v>
      </c>
      <c r="M230">
        <f t="shared" ca="1" si="77"/>
        <v>148.85350261009955</v>
      </c>
      <c r="N230">
        <f t="shared" ca="1" si="66"/>
        <v>2.1699999999999875</v>
      </c>
      <c r="O230">
        <f t="shared" ca="1" si="67"/>
        <v>2.1699999999999875</v>
      </c>
      <c r="P230">
        <f t="shared" ca="1" si="68"/>
        <v>0</v>
      </c>
      <c r="Q230">
        <f t="shared" ca="1" si="72"/>
        <v>0.90783849601465272</v>
      </c>
      <c r="R230">
        <f t="shared" ca="1" si="73"/>
        <v>0.46626466220732876</v>
      </c>
      <c r="S230">
        <f t="shared" ca="1" si="70"/>
        <v>1.9470454649444873</v>
      </c>
      <c r="T230">
        <f t="shared" ca="1" si="71"/>
        <v>66.06771046137095</v>
      </c>
      <c r="U230">
        <f>70</f>
        <v>70</v>
      </c>
      <c r="V230">
        <f>30</f>
        <v>30</v>
      </c>
      <c r="W230">
        <f t="shared" ca="1" si="69"/>
        <v>159.96588923658135</v>
      </c>
      <c r="X230">
        <f t="shared" ca="1" si="79"/>
        <v>156.96517082642316</v>
      </c>
      <c r="Y230">
        <f t="shared" ca="1" si="78"/>
        <v>2.9494831472283067</v>
      </c>
      <c r="Z230">
        <f t="shared" ref="Z230:Z293" ca="1" si="80">Y230*(2/(9+1)) + Z229*(1-(2/(9+1)))</f>
        <v>2.8634151128981933</v>
      </c>
      <c r="AA230">
        <f t="shared" ref="AA230:AA293" ca="1" si="81">Y230-Z230</f>
        <v>8.6068034330113452E-2</v>
      </c>
      <c r="AB230">
        <f t="shared" ref="AB230:AB293" ca="1" si="82">AVERAGE(C131:C230)</f>
        <v>150.5548</v>
      </c>
    </row>
    <row r="231" spans="1:28" x14ac:dyDescent="0.25">
      <c r="A231" s="20">
        <f t="shared" ca="1" si="62"/>
        <v>45621</v>
      </c>
      <c r="B231" vm="676">
        <f ca="1"/>
        <v>45623</v>
      </c>
      <c r="C231" vm="677">
        <f ca="1"/>
        <v>162.11000000000001</v>
      </c>
      <c r="D231" vm="678">
        <f ca="1"/>
        <v>7674474</v>
      </c>
      <c r="E231">
        <f t="shared" ca="1" si="63"/>
        <v>1244108980.1400001</v>
      </c>
      <c r="F231">
        <f ca="1">SUM($E$2:E231)/SUM($D$2:D231)</f>
        <v>152.95534216517558</v>
      </c>
      <c r="G231">
        <f ca="1">_xlfn.STDEV.P($C$2:C231)</f>
        <v>6.446253249340379</v>
      </c>
      <c r="H231">
        <f t="shared" ca="1" si="64"/>
        <v>159.40159541451595</v>
      </c>
      <c r="I231">
        <f t="shared" ca="1" si="65"/>
        <v>146.50908891583521</v>
      </c>
      <c r="J231">
        <f t="shared" ca="1" si="74"/>
        <v>158.25500000000005</v>
      </c>
      <c r="K231">
        <f t="shared" ca="1" si="75"/>
        <v>3.8389040376813721</v>
      </c>
      <c r="L231">
        <f t="shared" ca="1" si="76"/>
        <v>165.9328080753628</v>
      </c>
      <c r="M231">
        <f t="shared" ca="1" si="77"/>
        <v>150.5771919246373</v>
      </c>
      <c r="N231">
        <f t="shared" ca="1" si="66"/>
        <v>-0.41999999999998749</v>
      </c>
      <c r="O231">
        <f t="shared" ca="1" si="67"/>
        <v>0</v>
      </c>
      <c r="P231">
        <f t="shared" ca="1" si="68"/>
        <v>0.41999999999998749</v>
      </c>
      <c r="Q231">
        <f t="shared" ca="1" si="72"/>
        <v>0.8429928891564632</v>
      </c>
      <c r="R231">
        <f t="shared" ca="1" si="73"/>
        <v>0.46296004347823294</v>
      </c>
      <c r="S231">
        <f t="shared" ca="1" si="70"/>
        <v>1.8208761231812403</v>
      </c>
      <c r="T231">
        <f t="shared" ca="1" si="71"/>
        <v>64.550020761909565</v>
      </c>
      <c r="U231">
        <f>70</f>
        <v>70</v>
      </c>
      <c r="V231">
        <f>30</f>
        <v>30</v>
      </c>
      <c r="W231">
        <f t="shared" ca="1" si="69"/>
        <v>160.29575243095346</v>
      </c>
      <c r="X231">
        <f t="shared" ca="1" si="79"/>
        <v>157.34626928372515</v>
      </c>
      <c r="Y231">
        <f t="shared" ca="1" si="78"/>
        <v>2.8613702415456146</v>
      </c>
      <c r="Z231">
        <f t="shared" ca="1" si="80"/>
        <v>2.8630061386276777</v>
      </c>
      <c r="AA231">
        <f t="shared" ca="1" si="81"/>
        <v>-1.6358970820631313E-3</v>
      </c>
      <c r="AB231">
        <f t="shared" ca="1" si="82"/>
        <v>150.64610000000002</v>
      </c>
    </row>
    <row r="232" spans="1:28" x14ac:dyDescent="0.25">
      <c r="A232" s="20">
        <f t="shared" ca="1" si="62"/>
        <v>45621</v>
      </c>
      <c r="B232" vm="679">
        <f ca="1"/>
        <v>45625</v>
      </c>
      <c r="C232" vm="680">
        <f ca="1"/>
        <v>161.93</v>
      </c>
      <c r="D232" vm="681">
        <f ca="1"/>
        <v>5076953</v>
      </c>
      <c r="E232">
        <f t="shared" ca="1" si="63"/>
        <v>822110999.29000008</v>
      </c>
      <c r="F232">
        <f ca="1">SUM($E$2:E232)/SUM($D$2:D232)</f>
        <v>152.98112229415395</v>
      </c>
      <c r="G232">
        <f ca="1">_xlfn.STDEV.P($C$2:C232)</f>
        <v>6.457490594584387</v>
      </c>
      <c r="H232">
        <f t="shared" ca="1" si="64"/>
        <v>159.43861288873833</v>
      </c>
      <c r="I232">
        <f t="shared" ca="1" si="65"/>
        <v>146.52363169956956</v>
      </c>
      <c r="J232">
        <f t="shared" ca="1" si="74"/>
        <v>158.91050000000001</v>
      </c>
      <c r="K232">
        <f t="shared" ca="1" si="75"/>
        <v>3.2109950499068569</v>
      </c>
      <c r="L232">
        <f t="shared" ca="1" si="76"/>
        <v>165.33249009981373</v>
      </c>
      <c r="M232">
        <f t="shared" ca="1" si="77"/>
        <v>152.4885099001863</v>
      </c>
      <c r="N232">
        <f t="shared" ca="1" si="66"/>
        <v>-0.18000000000000682</v>
      </c>
      <c r="O232">
        <f t="shared" ca="1" si="67"/>
        <v>0</v>
      </c>
      <c r="P232">
        <f t="shared" ca="1" si="68"/>
        <v>0.18000000000000682</v>
      </c>
      <c r="Q232">
        <f t="shared" ca="1" si="72"/>
        <v>0.7827791113595729</v>
      </c>
      <c r="R232">
        <f t="shared" ca="1" si="73"/>
        <v>0.44274861180121677</v>
      </c>
      <c r="S232">
        <f t="shared" ca="1" si="70"/>
        <v>1.7679990190709427</v>
      </c>
      <c r="T232">
        <f t="shared" ca="1" si="71"/>
        <v>63.872819567123898</v>
      </c>
      <c r="U232">
        <f>70</f>
        <v>70</v>
      </c>
      <c r="V232">
        <f>30</f>
        <v>30</v>
      </c>
      <c r="W232">
        <f t="shared" ca="1" si="69"/>
        <v>160.54717513388371</v>
      </c>
      <c r="X232">
        <f t="shared" ca="1" si="79"/>
        <v>157.6858048923381</v>
      </c>
      <c r="Y232">
        <f t="shared" ca="1" si="78"/>
        <v>2.7820638881868263</v>
      </c>
      <c r="Z232">
        <f t="shared" ca="1" si="80"/>
        <v>2.8468176885395078</v>
      </c>
      <c r="AA232">
        <f t="shared" ca="1" si="81"/>
        <v>-6.4753800352681523E-2</v>
      </c>
      <c r="AB232">
        <f t="shared" ca="1" si="82"/>
        <v>150.71410000000003</v>
      </c>
    </row>
    <row r="233" spans="1:28" x14ac:dyDescent="0.25">
      <c r="A233" s="20">
        <f t="shared" ca="1" si="62"/>
        <v>45628</v>
      </c>
      <c r="B233" vm="682">
        <f ca="1"/>
        <v>45628</v>
      </c>
      <c r="C233" vm="683">
        <f ca="1"/>
        <v>162.21</v>
      </c>
      <c r="D233" vm="684">
        <f ca="1"/>
        <v>6229596</v>
      </c>
      <c r="E233">
        <f t="shared" ca="1" si="63"/>
        <v>1010502767.1600001</v>
      </c>
      <c r="F233">
        <f ca="1">SUM($E$2:E233)/SUM($D$2:D233)</f>
        <v>153.01353719850522</v>
      </c>
      <c r="G233">
        <f ca="1">_xlfn.STDEV.P($C$2:C233)</f>
        <v>6.4700279838419084</v>
      </c>
      <c r="H233">
        <f t="shared" ca="1" si="64"/>
        <v>159.48356518234712</v>
      </c>
      <c r="I233">
        <f t="shared" ca="1" si="65"/>
        <v>146.54350921466332</v>
      </c>
      <c r="J233">
        <f t="shared" ca="1" si="74"/>
        <v>159.36750000000001</v>
      </c>
      <c r="K233">
        <f t="shared" ca="1" si="75"/>
        <v>2.9779680020196069</v>
      </c>
      <c r="L233">
        <f t="shared" ca="1" si="76"/>
        <v>165.32343600403922</v>
      </c>
      <c r="M233">
        <f t="shared" ca="1" si="77"/>
        <v>153.41156399596079</v>
      </c>
      <c r="N233">
        <f t="shared" ca="1" si="66"/>
        <v>0.28000000000000114</v>
      </c>
      <c r="O233">
        <f t="shared" ca="1" si="67"/>
        <v>0.28000000000000114</v>
      </c>
      <c r="P233">
        <f t="shared" ca="1" si="68"/>
        <v>0</v>
      </c>
      <c r="Q233">
        <f t="shared" ca="1" si="72"/>
        <v>0.74686631769103207</v>
      </c>
      <c r="R233">
        <f t="shared" ca="1" si="73"/>
        <v>0.41112371095827271</v>
      </c>
      <c r="S233">
        <f t="shared" ca="1" si="70"/>
        <v>1.8166461767680331</v>
      </c>
      <c r="T233">
        <f t="shared" ca="1" si="71"/>
        <v>64.496783151249332</v>
      </c>
      <c r="U233">
        <f>70</f>
        <v>70</v>
      </c>
      <c r="V233">
        <f>30</f>
        <v>30</v>
      </c>
      <c r="W233">
        <f t="shared" ca="1" si="69"/>
        <v>160.80299434405543</v>
      </c>
      <c r="X233">
        <f t="shared" ca="1" si="79"/>
        <v>158.02093045586861</v>
      </c>
      <c r="Y233">
        <f t="shared" ca="1" si="78"/>
        <v>2.6650909459463321</v>
      </c>
      <c r="Z233">
        <f t="shared" ca="1" si="80"/>
        <v>2.8104723400208727</v>
      </c>
      <c r="AA233">
        <f t="shared" ca="1" si="81"/>
        <v>-0.14538139407454054</v>
      </c>
      <c r="AB233">
        <f t="shared" ca="1" si="82"/>
        <v>150.78360000000001</v>
      </c>
    </row>
    <row r="234" spans="1:28" x14ac:dyDescent="0.25">
      <c r="A234" s="20">
        <f t="shared" ca="1" si="62"/>
        <v>45628</v>
      </c>
      <c r="B234" vm="685">
        <f ca="1"/>
        <v>45629</v>
      </c>
      <c r="C234" vm="228">
        <f ca="1"/>
        <v>161.91999999999999</v>
      </c>
      <c r="D234" vm="686">
        <f ca="1"/>
        <v>5900066</v>
      </c>
      <c r="E234">
        <f t="shared" ca="1" si="63"/>
        <v>955338686.71999991</v>
      </c>
      <c r="F234">
        <f ca="1">SUM($E$2:E234)/SUM($D$2:D234)</f>
        <v>153.04306667842104</v>
      </c>
      <c r="G234">
        <f ca="1">_xlfn.STDEV.P($C$2:C234)</f>
        <v>6.4805371449077818</v>
      </c>
      <c r="H234">
        <f t="shared" ca="1" si="64"/>
        <v>159.52360382332881</v>
      </c>
      <c r="I234">
        <f t="shared" ca="1" si="65"/>
        <v>146.56252953351327</v>
      </c>
      <c r="J234">
        <f t="shared" ca="1" si="74"/>
        <v>159.76500000000001</v>
      </c>
      <c r="K234">
        <f t="shared" ca="1" si="75"/>
        <v>2.7407231085782358</v>
      </c>
      <c r="L234">
        <f t="shared" ca="1" si="76"/>
        <v>165.24644621715649</v>
      </c>
      <c r="M234">
        <f t="shared" ca="1" si="77"/>
        <v>154.28355378284354</v>
      </c>
      <c r="N234">
        <f t="shared" ca="1" si="66"/>
        <v>-0.29000000000002046</v>
      </c>
      <c r="O234">
        <f t="shared" ca="1" si="67"/>
        <v>0</v>
      </c>
      <c r="P234">
        <f t="shared" ca="1" si="68"/>
        <v>0.29000000000002046</v>
      </c>
      <c r="Q234">
        <f t="shared" ca="1" si="72"/>
        <v>0.69351872357024402</v>
      </c>
      <c r="R234">
        <f t="shared" ca="1" si="73"/>
        <v>0.4024720173183976</v>
      </c>
      <c r="S234">
        <f t="shared" ca="1" si="70"/>
        <v>1.7231476816476359</v>
      </c>
      <c r="T234">
        <f t="shared" ca="1" si="71"/>
        <v>63.277790376945269</v>
      </c>
      <c r="U234">
        <f>70</f>
        <v>70</v>
      </c>
      <c r="V234">
        <f>30</f>
        <v>30</v>
      </c>
      <c r="W234">
        <f t="shared" ca="1" si="69"/>
        <v>160.9748413680469</v>
      </c>
      <c r="X234">
        <f t="shared" ca="1" si="79"/>
        <v>158.30975042210056</v>
      </c>
      <c r="Y234">
        <f t="shared" ca="1" si="78"/>
        <v>2.2558945844081109</v>
      </c>
      <c r="Z234">
        <f t="shared" ca="1" si="80"/>
        <v>2.6995567888983203</v>
      </c>
      <c r="AA234">
        <f t="shared" ca="1" si="81"/>
        <v>-0.44366220449020943</v>
      </c>
      <c r="AB234">
        <f t="shared" ca="1" si="82"/>
        <v>150.84690000000001</v>
      </c>
    </row>
    <row r="235" spans="1:28" x14ac:dyDescent="0.25">
      <c r="A235" s="20">
        <f t="shared" ca="1" si="62"/>
        <v>45628</v>
      </c>
      <c r="B235" vm="687">
        <f ca="1"/>
        <v>45630</v>
      </c>
      <c r="C235" vm="688">
        <f ca="1"/>
        <v>158.32</v>
      </c>
      <c r="D235" vm="689">
        <f ca="1"/>
        <v>7862728</v>
      </c>
      <c r="E235">
        <f t="shared" ca="1" si="63"/>
        <v>1244827096.96</v>
      </c>
      <c r="F235">
        <f ca="1">SUM($E$2:E235)/SUM($D$2:D235)</f>
        <v>153.06627981679418</v>
      </c>
      <c r="G235">
        <f ca="1">_xlfn.STDEV.P($C$2:C235)</f>
        <v>6.4747609890420117</v>
      </c>
      <c r="H235">
        <f t="shared" ca="1" si="64"/>
        <v>159.54104080583619</v>
      </c>
      <c r="I235">
        <f t="shared" ca="1" si="65"/>
        <v>146.59151882775217</v>
      </c>
      <c r="J235">
        <f t="shared" ca="1" si="74"/>
        <v>160.01050000000004</v>
      </c>
      <c r="K235">
        <f t="shared" ca="1" si="75"/>
        <v>2.3307587989638434</v>
      </c>
      <c r="L235">
        <f t="shared" ca="1" si="76"/>
        <v>164.67201759792772</v>
      </c>
      <c r="M235">
        <f t="shared" ca="1" si="77"/>
        <v>155.34898240207235</v>
      </c>
      <c r="N235">
        <f t="shared" ca="1" si="66"/>
        <v>-3.5999999999999943</v>
      </c>
      <c r="O235">
        <f t="shared" ca="1" si="67"/>
        <v>0</v>
      </c>
      <c r="P235">
        <f t="shared" ca="1" si="68"/>
        <v>3.5999999999999943</v>
      </c>
      <c r="Q235">
        <f t="shared" ca="1" si="72"/>
        <v>0.64398167188665512</v>
      </c>
      <c r="R235">
        <f t="shared" ca="1" si="73"/>
        <v>0.63086687322422585</v>
      </c>
      <c r="S235">
        <f t="shared" ca="1" si="70"/>
        <v>1.0207885359321569</v>
      </c>
      <c r="T235">
        <f t="shared" ca="1" si="71"/>
        <v>50.514366930594434</v>
      </c>
      <c r="U235">
        <f>70</f>
        <v>70</v>
      </c>
      <c r="V235">
        <f>30</f>
        <v>30</v>
      </c>
      <c r="W235">
        <f t="shared" ca="1" si="69"/>
        <v>160.56640423450122</v>
      </c>
      <c r="X235">
        <f t="shared" ca="1" si="79"/>
        <v>158.31050965009311</v>
      </c>
      <c r="Y235">
        <f t="shared" ca="1" si="78"/>
        <v>1.9901607446341814</v>
      </c>
      <c r="Z235">
        <f t="shared" ca="1" si="80"/>
        <v>2.5576775800454925</v>
      </c>
      <c r="AA235">
        <f t="shared" ca="1" si="81"/>
        <v>-0.56751683541131115</v>
      </c>
      <c r="AB235">
        <f t="shared" ca="1" si="82"/>
        <v>150.84970000000001</v>
      </c>
    </row>
    <row r="236" spans="1:28" x14ac:dyDescent="0.25">
      <c r="A236" s="20">
        <f t="shared" ca="1" si="62"/>
        <v>45628</v>
      </c>
      <c r="B236" vm="690">
        <f ca="1"/>
        <v>45631</v>
      </c>
      <c r="C236" vm="691">
        <f ca="1"/>
        <v>159.33000000000001</v>
      </c>
      <c r="D236" vm="692">
        <f ca="1"/>
        <v>6358358</v>
      </c>
      <c r="E236">
        <f t="shared" ca="1" si="63"/>
        <v>1013077180.1400001</v>
      </c>
      <c r="F236">
        <f ca="1">SUM($E$2:E236)/SUM($D$2:D236)</f>
        <v>153.08848294363474</v>
      </c>
      <c r="G236">
        <f ca="1">_xlfn.STDEV.P($C$2:C236)</f>
        <v>6.4725600902755049</v>
      </c>
      <c r="H236">
        <f t="shared" ca="1" si="64"/>
        <v>159.56104303391024</v>
      </c>
      <c r="I236">
        <f t="shared" ca="1" si="65"/>
        <v>146.61592285335925</v>
      </c>
      <c r="J236">
        <f t="shared" ca="1" si="74"/>
        <v>160.09100000000004</v>
      </c>
      <c r="K236">
        <f t="shared" ca="1" si="75"/>
        <v>2.2746125176089143</v>
      </c>
      <c r="L236">
        <f t="shared" ca="1" si="76"/>
        <v>164.64022503521787</v>
      </c>
      <c r="M236">
        <f t="shared" ca="1" si="77"/>
        <v>155.54177496478221</v>
      </c>
      <c r="N236">
        <f t="shared" ca="1" si="66"/>
        <v>1.0100000000000193</v>
      </c>
      <c r="O236">
        <f t="shared" ca="1" si="67"/>
        <v>1.0100000000000193</v>
      </c>
      <c r="P236">
        <f t="shared" ca="1" si="68"/>
        <v>0</v>
      </c>
      <c r="Q236">
        <f t="shared" ca="1" si="72"/>
        <v>0.67012583818046689</v>
      </c>
      <c r="R236">
        <f t="shared" ca="1" si="73"/>
        <v>0.58580495370820973</v>
      </c>
      <c r="S236">
        <f t="shared" ca="1" si="70"/>
        <v>1.1439402038827031</v>
      </c>
      <c r="T236">
        <f t="shared" ca="1" si="71"/>
        <v>53.356908080319258</v>
      </c>
      <c r="U236">
        <f>70</f>
        <v>70</v>
      </c>
      <c r="V236">
        <f>30</f>
        <v>30</v>
      </c>
      <c r="W236">
        <f t="shared" ca="1" si="69"/>
        <v>160.3761881984241</v>
      </c>
      <c r="X236">
        <f t="shared" ca="1" si="79"/>
        <v>158.38602745378992</v>
      </c>
      <c r="Y236">
        <f t="shared" ca="1" si="78"/>
        <v>1.4330170155277244</v>
      </c>
      <c r="Z236">
        <f t="shared" ca="1" si="80"/>
        <v>2.332745467141939</v>
      </c>
      <c r="AA236">
        <f t="shared" ca="1" si="81"/>
        <v>-0.89972845161421455</v>
      </c>
      <c r="AB236">
        <f t="shared" ca="1" si="82"/>
        <v>150.86529999999999</v>
      </c>
    </row>
    <row r="237" spans="1:28" x14ac:dyDescent="0.25">
      <c r="A237" s="20">
        <f t="shared" ca="1" si="62"/>
        <v>45628</v>
      </c>
      <c r="B237" vm="693">
        <f ca="1"/>
        <v>45632</v>
      </c>
      <c r="C237" vm="694">
        <f ca="1"/>
        <v>155.24</v>
      </c>
      <c r="D237" vm="695">
        <f ca="1"/>
        <v>9701694</v>
      </c>
      <c r="E237">
        <f t="shared" ca="1" si="63"/>
        <v>1506090976.5600002</v>
      </c>
      <c r="F237">
        <f ca="1">SUM($E$2:E237)/SUM($D$2:D237)</f>
        <v>153.10005702650159</v>
      </c>
      <c r="G237">
        <f ca="1">_xlfn.STDEV.P($C$2:C237)</f>
        <v>6.4599292528875694</v>
      </c>
      <c r="H237">
        <f t="shared" ca="1" si="64"/>
        <v>159.55998627938916</v>
      </c>
      <c r="I237">
        <f t="shared" ca="1" si="65"/>
        <v>146.64012777361401</v>
      </c>
      <c r="J237">
        <f t="shared" ca="1" si="74"/>
        <v>160.01450000000006</v>
      </c>
      <c r="K237">
        <f t="shared" ca="1" si="75"/>
        <v>2.4136617192011078</v>
      </c>
      <c r="L237">
        <f t="shared" ca="1" si="76"/>
        <v>164.84182343840226</v>
      </c>
      <c r="M237">
        <f t="shared" ca="1" si="77"/>
        <v>155.18717656159785</v>
      </c>
      <c r="N237">
        <f t="shared" ca="1" si="66"/>
        <v>-4.0900000000000034</v>
      </c>
      <c r="O237">
        <f t="shared" ca="1" si="67"/>
        <v>0</v>
      </c>
      <c r="P237">
        <f t="shared" ca="1" si="68"/>
        <v>4.0900000000000034</v>
      </c>
      <c r="Q237">
        <f t="shared" ca="1" si="72"/>
        <v>0.62225970688186216</v>
      </c>
      <c r="R237">
        <f t="shared" ca="1" si="73"/>
        <v>0.83610459987190922</v>
      </c>
      <c r="S237">
        <f t="shared" ca="1" si="70"/>
        <v>0.74423667442708963</v>
      </c>
      <c r="T237">
        <f t="shared" ca="1" si="71"/>
        <v>42.668330814196466</v>
      </c>
      <c r="U237">
        <f>70</f>
        <v>70</v>
      </c>
      <c r="V237">
        <f>30</f>
        <v>30</v>
      </c>
      <c r="W237">
        <f t="shared" ca="1" si="69"/>
        <v>159.58600539866654</v>
      </c>
      <c r="X237">
        <f t="shared" ca="1" si="79"/>
        <v>158.15298838313882</v>
      </c>
      <c r="Y237">
        <f t="shared" ca="1" si="78"/>
        <v>1.1269583443984459</v>
      </c>
      <c r="Z237">
        <f t="shared" ca="1" si="80"/>
        <v>2.0915880425932403</v>
      </c>
      <c r="AA237">
        <f t="shared" ca="1" si="81"/>
        <v>-0.96462969819479438</v>
      </c>
      <c r="AB237">
        <f t="shared" ca="1" si="82"/>
        <v>150.80540000000002</v>
      </c>
    </row>
    <row r="238" spans="1:28" x14ac:dyDescent="0.25">
      <c r="A238" s="20">
        <f t="shared" ca="1" si="62"/>
        <v>45635</v>
      </c>
      <c r="B238" vm="696">
        <f ca="1"/>
        <v>45635</v>
      </c>
      <c r="C238" vm="697">
        <f ca="1"/>
        <v>157.08000000000001</v>
      </c>
      <c r="D238" vm="698">
        <f ca="1"/>
        <v>9404473</v>
      </c>
      <c r="E238">
        <f t="shared" ca="1" si="63"/>
        <v>1477254618.8400002</v>
      </c>
      <c r="F238">
        <f ca="1">SUM($E$2:E238)/SUM($D$2:D238)</f>
        <v>153.12070353918307</v>
      </c>
      <c r="G238">
        <f ca="1">_xlfn.STDEV.P($C$2:C238)</f>
        <v>6.4506616865513964</v>
      </c>
      <c r="H238">
        <f t="shared" ca="1" si="64"/>
        <v>159.57136522573447</v>
      </c>
      <c r="I238">
        <f t="shared" ca="1" si="65"/>
        <v>146.67004185263167</v>
      </c>
      <c r="J238">
        <f t="shared" ca="1" si="74"/>
        <v>160.02199999999999</v>
      </c>
      <c r="K238">
        <f t="shared" ca="1" si="75"/>
        <v>2.4037856108975069</v>
      </c>
      <c r="L238">
        <f t="shared" ca="1" si="76"/>
        <v>164.82957122179499</v>
      </c>
      <c r="M238">
        <f t="shared" ca="1" si="77"/>
        <v>155.21442877820499</v>
      </c>
      <c r="N238">
        <f t="shared" ca="1" si="66"/>
        <v>1.8400000000000034</v>
      </c>
      <c r="O238">
        <f t="shared" ca="1" si="67"/>
        <v>1.8400000000000034</v>
      </c>
      <c r="P238">
        <f t="shared" ca="1" si="68"/>
        <v>0</v>
      </c>
      <c r="Q238">
        <f t="shared" ca="1" si="72"/>
        <v>0.70924115639030083</v>
      </c>
      <c r="R238">
        <f t="shared" ca="1" si="73"/>
        <v>0.77638284273820146</v>
      </c>
      <c r="S238">
        <f t="shared" ca="1" si="70"/>
        <v>0.91351987363463538</v>
      </c>
      <c r="T238">
        <f t="shared" ca="1" si="71"/>
        <v>47.740286694773125</v>
      </c>
      <c r="U238">
        <f>70</f>
        <v>70</v>
      </c>
      <c r="V238">
        <f>30</f>
        <v>30</v>
      </c>
      <c r="W238">
        <f t="shared" ca="1" si="69"/>
        <v>159.20046610656402</v>
      </c>
      <c r="X238">
        <f t="shared" ca="1" si="79"/>
        <v>158.07350776216558</v>
      </c>
      <c r="Y238">
        <f t="shared" ca="1" si="78"/>
        <v>0.86794419072850815</v>
      </c>
      <c r="Z238">
        <f t="shared" ca="1" si="80"/>
        <v>1.8468592722202939</v>
      </c>
      <c r="AA238">
        <f t="shared" ca="1" si="81"/>
        <v>-0.97891508149178574</v>
      </c>
      <c r="AB238">
        <f t="shared" ca="1" si="82"/>
        <v>150.75649999999999</v>
      </c>
    </row>
    <row r="239" spans="1:28" x14ac:dyDescent="0.25">
      <c r="A239" s="20">
        <f t="shared" ca="1" si="62"/>
        <v>45635</v>
      </c>
      <c r="B239" vm="699">
        <f ca="1"/>
        <v>45636</v>
      </c>
      <c r="C239" vm="700">
        <f ca="1"/>
        <v>157</v>
      </c>
      <c r="D239" vm="701">
        <f ca="1"/>
        <v>9126158</v>
      </c>
      <c r="E239">
        <f t="shared" ca="1" si="63"/>
        <v>1432806806</v>
      </c>
      <c r="F239">
        <f ca="1">SUM($E$2:E239)/SUM($D$2:D239)</f>
        <v>153.14013455666969</v>
      </c>
      <c r="G239">
        <f ca="1">_xlfn.STDEV.P($C$2:C239)</f>
        <v>6.4412346239981462</v>
      </c>
      <c r="H239">
        <f t="shared" ca="1" si="64"/>
        <v>159.58136918066785</v>
      </c>
      <c r="I239">
        <f t="shared" ca="1" si="65"/>
        <v>146.69889993267154</v>
      </c>
      <c r="J239">
        <f t="shared" ca="1" si="74"/>
        <v>160.04700000000003</v>
      </c>
      <c r="K239">
        <f t="shared" ca="1" si="75"/>
        <v>2.3675550346518381</v>
      </c>
      <c r="L239">
        <f t="shared" ca="1" si="76"/>
        <v>164.78211006930371</v>
      </c>
      <c r="M239">
        <f t="shared" ca="1" si="77"/>
        <v>155.31188993069634</v>
      </c>
      <c r="N239">
        <f t="shared" ca="1" si="66"/>
        <v>-8.0000000000012506E-2</v>
      </c>
      <c r="O239">
        <f t="shared" ca="1" si="67"/>
        <v>0</v>
      </c>
      <c r="P239">
        <f t="shared" ca="1" si="68"/>
        <v>8.0000000000012506E-2</v>
      </c>
      <c r="Q239">
        <f t="shared" ca="1" si="72"/>
        <v>0.65858107379099362</v>
      </c>
      <c r="R239">
        <f t="shared" ca="1" si="73"/>
        <v>0.72664121111404512</v>
      </c>
      <c r="S239">
        <f t="shared" ca="1" si="70"/>
        <v>0.90633597945992417</v>
      </c>
      <c r="T239">
        <f t="shared" ca="1" si="71"/>
        <v>47.543349610213738</v>
      </c>
      <c r="U239">
        <f>70</f>
        <v>70</v>
      </c>
      <c r="V239">
        <f>30</f>
        <v>30</v>
      </c>
      <c r="W239">
        <f t="shared" ca="1" si="69"/>
        <v>158.86193285940033</v>
      </c>
      <c r="X239">
        <f t="shared" ca="1" si="79"/>
        <v>157.99398866867182</v>
      </c>
      <c r="Y239">
        <f t="shared" ca="1" si="78"/>
        <v>0.59210182884200435</v>
      </c>
      <c r="Z239">
        <f t="shared" ca="1" si="80"/>
        <v>1.595907783544636</v>
      </c>
      <c r="AA239">
        <f t="shared" ca="1" si="81"/>
        <v>-1.0038059547026317</v>
      </c>
      <c r="AB239">
        <f t="shared" ca="1" si="82"/>
        <v>150.73500000000001</v>
      </c>
    </row>
    <row r="240" spans="1:28" x14ac:dyDescent="0.25">
      <c r="A240" s="20">
        <f t="shared" ca="1" si="62"/>
        <v>45635</v>
      </c>
      <c r="B240" vm="702">
        <f ca="1"/>
        <v>45637</v>
      </c>
      <c r="C240" vm="703">
        <f ca="1"/>
        <v>156.21</v>
      </c>
      <c r="D240" vm="704">
        <f ca="1"/>
        <v>13764742</v>
      </c>
      <c r="E240">
        <f t="shared" ca="1" si="63"/>
        <v>2150190347.8200002</v>
      </c>
      <c r="F240">
        <f ca="1">SUM($E$2:E240)/SUM($D$2:D240)</f>
        <v>153.16315286116037</v>
      </c>
      <c r="G240">
        <f ca="1">_xlfn.STDEV.P($C$2:C240)</f>
        <v>6.4302212499327043</v>
      </c>
      <c r="H240">
        <f t="shared" ca="1" si="64"/>
        <v>159.59337411109308</v>
      </c>
      <c r="I240">
        <f t="shared" ca="1" si="65"/>
        <v>146.73293161122766</v>
      </c>
      <c r="J240">
        <f t="shared" ca="1" si="74"/>
        <v>160.09299999999999</v>
      </c>
      <c r="K240">
        <f t="shared" ca="1" si="75"/>
        <v>2.2774896152053952</v>
      </c>
      <c r="L240">
        <f t="shared" ca="1" si="76"/>
        <v>164.64797923041078</v>
      </c>
      <c r="M240">
        <f t="shared" ca="1" si="77"/>
        <v>155.5380207695892</v>
      </c>
      <c r="N240">
        <f t="shared" ca="1" si="66"/>
        <v>-0.78999999999999204</v>
      </c>
      <c r="O240">
        <f t="shared" ca="1" si="67"/>
        <v>0</v>
      </c>
      <c r="P240">
        <f t="shared" ca="1" si="68"/>
        <v>0.78999999999999204</v>
      </c>
      <c r="Q240">
        <f t="shared" ca="1" si="72"/>
        <v>0.61153956852020841</v>
      </c>
      <c r="R240">
        <f t="shared" ca="1" si="73"/>
        <v>0.73116683889161282</v>
      </c>
      <c r="S240">
        <f t="shared" ca="1" si="70"/>
        <v>0.83638854498277126</v>
      </c>
      <c r="T240">
        <f t="shared" ca="1" si="71"/>
        <v>45.545293084509964</v>
      </c>
      <c r="U240">
        <f>70</f>
        <v>70</v>
      </c>
      <c r="V240">
        <f>30</f>
        <v>30</v>
      </c>
      <c r="W240">
        <f t="shared" ca="1" si="69"/>
        <v>158.45394318872334</v>
      </c>
      <c r="X240">
        <f t="shared" ca="1" si="79"/>
        <v>157.86184135988134</v>
      </c>
      <c r="Y240">
        <f t="shared" ca="1" si="78"/>
        <v>0.24958029939998028</v>
      </c>
      <c r="Z240">
        <f t="shared" ca="1" si="80"/>
        <v>1.3266422867157051</v>
      </c>
      <c r="AA240">
        <f t="shared" ca="1" si="81"/>
        <v>-1.0770619873157248</v>
      </c>
      <c r="AB240">
        <f t="shared" ca="1" si="82"/>
        <v>150.72719999999998</v>
      </c>
    </row>
    <row r="241" spans="1:28" x14ac:dyDescent="0.25">
      <c r="A241" s="20">
        <f t="shared" ca="1" si="62"/>
        <v>45635</v>
      </c>
      <c r="B241" vm="705">
        <f ca="1"/>
        <v>45638</v>
      </c>
      <c r="C241" vm="706">
        <f ca="1"/>
        <v>154.71</v>
      </c>
      <c r="D241" vm="707">
        <f ca="1"/>
        <v>7621522</v>
      </c>
      <c r="E241">
        <f t="shared" ca="1" si="63"/>
        <v>1179125668.6200001</v>
      </c>
      <c r="F241">
        <f ca="1">SUM($E$2:E241)/SUM($D$2:D241)</f>
        <v>153.1695483785806</v>
      </c>
      <c r="G241">
        <f ca="1">_xlfn.STDEV.P($C$2:C241)</f>
        <v>6.4173183327098036</v>
      </c>
      <c r="H241">
        <f t="shared" ca="1" si="64"/>
        <v>159.58686671129041</v>
      </c>
      <c r="I241">
        <f t="shared" ca="1" si="65"/>
        <v>146.75223004587079</v>
      </c>
      <c r="J241">
        <f t="shared" ca="1" si="74"/>
        <v>159.89250000000001</v>
      </c>
      <c r="K241">
        <f t="shared" ca="1" si="75"/>
        <v>2.5633014792810083</v>
      </c>
      <c r="L241">
        <f t="shared" ca="1" si="76"/>
        <v>165.01910295856203</v>
      </c>
      <c r="M241">
        <f t="shared" ca="1" si="77"/>
        <v>154.765897041438</v>
      </c>
      <c r="N241">
        <f t="shared" ca="1" si="66"/>
        <v>-1.5</v>
      </c>
      <c r="O241">
        <f t="shared" ca="1" si="67"/>
        <v>0</v>
      </c>
      <c r="P241">
        <f t="shared" ca="1" si="68"/>
        <v>1.5</v>
      </c>
      <c r="Q241">
        <f t="shared" ca="1" si="72"/>
        <v>0.56785817076876499</v>
      </c>
      <c r="R241">
        <f t="shared" ca="1" si="73"/>
        <v>0.78608349325649762</v>
      </c>
      <c r="S241">
        <f t="shared" ca="1" si="70"/>
        <v>0.72238912995909188</v>
      </c>
      <c r="T241">
        <f t="shared" ca="1" si="71"/>
        <v>41.941110600033177</v>
      </c>
      <c r="U241">
        <f>70</f>
        <v>70</v>
      </c>
      <c r="V241">
        <f>30</f>
        <v>30</v>
      </c>
      <c r="W241">
        <f t="shared" ca="1" si="69"/>
        <v>157.87795192891974</v>
      </c>
      <c r="X241">
        <f t="shared" ca="1" si="79"/>
        <v>157.62837162951976</v>
      </c>
      <c r="Y241">
        <f t="shared" ca="1" si="78"/>
        <v>-8.862979118163139E-2</v>
      </c>
      <c r="Z241">
        <f t="shared" ca="1" si="80"/>
        <v>1.0435878711362379</v>
      </c>
      <c r="AA241">
        <f t="shared" ca="1" si="81"/>
        <v>-1.1322176623178692</v>
      </c>
      <c r="AB241">
        <f t="shared" ca="1" si="82"/>
        <v>150.73339999999999</v>
      </c>
    </row>
    <row r="242" spans="1:28" x14ac:dyDescent="0.25">
      <c r="A242" s="20">
        <f t="shared" ca="1" si="62"/>
        <v>45635</v>
      </c>
      <c r="B242" vm="708">
        <f ca="1"/>
        <v>45639</v>
      </c>
      <c r="C242" vm="709">
        <f ca="1"/>
        <v>153.87</v>
      </c>
      <c r="D242" vm="710">
        <f ca="1"/>
        <v>5816180</v>
      </c>
      <c r="E242">
        <f t="shared" ca="1" si="63"/>
        <v>894935616.60000002</v>
      </c>
      <c r="F242">
        <f ca="1">SUM($E$2:E242)/SUM($D$2:D242)</f>
        <v>153.17175147975979</v>
      </c>
      <c r="G242">
        <f ca="1">_xlfn.STDEV.P($C$2:C242)</f>
        <v>6.4040441278760643</v>
      </c>
      <c r="H242">
        <f t="shared" ca="1" si="64"/>
        <v>159.57579560763585</v>
      </c>
      <c r="I242">
        <f t="shared" ca="1" si="65"/>
        <v>146.76770735188373</v>
      </c>
      <c r="J242">
        <f t="shared" ca="1" si="74"/>
        <v>159.49600000000001</v>
      </c>
      <c r="K242">
        <f t="shared" ca="1" si="75"/>
        <v>2.8499998153277857</v>
      </c>
      <c r="L242">
        <f t="shared" ca="1" si="76"/>
        <v>165.19599963065559</v>
      </c>
      <c r="M242">
        <f t="shared" ca="1" si="77"/>
        <v>153.79600036934443</v>
      </c>
      <c r="N242">
        <f t="shared" ca="1" si="66"/>
        <v>-0.84000000000000341</v>
      </c>
      <c r="O242">
        <f t="shared" ca="1" si="67"/>
        <v>0</v>
      </c>
      <c r="P242">
        <f t="shared" ca="1" si="68"/>
        <v>0.84000000000000341</v>
      </c>
      <c r="Q242">
        <f t="shared" ca="1" si="72"/>
        <v>0.52729687285671034</v>
      </c>
      <c r="R242">
        <f t="shared" ca="1" si="73"/>
        <v>0.78993467230960512</v>
      </c>
      <c r="S242">
        <f t="shared" ca="1" si="70"/>
        <v>0.66751959540528039</v>
      </c>
      <c r="T242">
        <f t="shared" ca="1" si="71"/>
        <v>40.030689728899041</v>
      </c>
      <c r="U242">
        <f>70</f>
        <v>70</v>
      </c>
      <c r="V242">
        <f>30</f>
        <v>30</v>
      </c>
      <c r="W242">
        <f t="shared" ca="1" si="69"/>
        <v>157.26134393985518</v>
      </c>
      <c r="X242">
        <f t="shared" ca="1" si="79"/>
        <v>157.34997373103681</v>
      </c>
      <c r="Y242">
        <f t="shared" ca="1" si="78"/>
        <v>-0.71237126054123223</v>
      </c>
      <c r="Z242">
        <f t="shared" ca="1" si="80"/>
        <v>0.69239604480074379</v>
      </c>
      <c r="AA242">
        <f t="shared" ca="1" si="81"/>
        <v>-1.404767305341976</v>
      </c>
      <c r="AB242">
        <f t="shared" ca="1" si="82"/>
        <v>150.72139999999999</v>
      </c>
    </row>
    <row r="243" spans="1:28" x14ac:dyDescent="0.25">
      <c r="A243" s="20">
        <f t="shared" ca="1" si="62"/>
        <v>45642</v>
      </c>
      <c r="B243" vm="711">
        <f ca="1"/>
        <v>45642</v>
      </c>
      <c r="C243" vm="712">
        <f ca="1"/>
        <v>149.36000000000001</v>
      </c>
      <c r="D243" vm="713">
        <f ca="1"/>
        <v>11961219</v>
      </c>
      <c r="E243">
        <f t="shared" ca="1" si="63"/>
        <v>1786527669.8400002</v>
      </c>
      <c r="F243">
        <f ca="1">SUM($E$2:E243)/SUM($D$2:D243)</f>
        <v>153.14725417223741</v>
      </c>
      <c r="G243">
        <f ca="1">_xlfn.STDEV.P($C$2:C243)</f>
        <v>6.3962198434149125</v>
      </c>
      <c r="H243">
        <f t="shared" ca="1" si="64"/>
        <v>159.54347401565232</v>
      </c>
      <c r="I243">
        <f t="shared" ca="1" si="65"/>
        <v>146.7510343288225</v>
      </c>
      <c r="J243">
        <f t="shared" ca="1" si="74"/>
        <v>158.893</v>
      </c>
      <c r="K243">
        <f t="shared" ca="1" si="75"/>
        <v>3.5989181122869907</v>
      </c>
      <c r="L243">
        <f t="shared" ca="1" si="76"/>
        <v>166.09083622457399</v>
      </c>
      <c r="M243">
        <f t="shared" ca="1" si="77"/>
        <v>151.69516377542601</v>
      </c>
      <c r="N243">
        <f t="shared" ca="1" si="66"/>
        <v>-4.5099999999999909</v>
      </c>
      <c r="O243">
        <f t="shared" ca="1" si="67"/>
        <v>0</v>
      </c>
      <c r="P243">
        <f t="shared" ca="1" si="68"/>
        <v>4.5099999999999909</v>
      </c>
      <c r="Q243">
        <f t="shared" ca="1" si="72"/>
        <v>0.48963281050980251</v>
      </c>
      <c r="R243">
        <f t="shared" ca="1" si="73"/>
        <v>1.0556536242874899</v>
      </c>
      <c r="S243">
        <f t="shared" ca="1" si="70"/>
        <v>0.46381957040149285</v>
      </c>
      <c r="T243">
        <f t="shared" ca="1" si="71"/>
        <v>31.685569709542662</v>
      </c>
      <c r="U243">
        <f>70</f>
        <v>70</v>
      </c>
      <c r="V243">
        <f>30</f>
        <v>30</v>
      </c>
      <c r="W243">
        <f t="shared" ca="1" si="69"/>
        <v>156.04575256449286</v>
      </c>
      <c r="X243">
        <f t="shared" ca="1" si="79"/>
        <v>156.75812382503409</v>
      </c>
      <c r="Y243">
        <f t="shared" ca="1" si="78"/>
        <v>-1.2926545056458849</v>
      </c>
      <c r="Z243">
        <f t="shared" ca="1" si="80"/>
        <v>0.29538593471141805</v>
      </c>
      <c r="AA243">
        <f t="shared" ca="1" si="81"/>
        <v>-1.588040440357303</v>
      </c>
      <c r="AB243">
        <f t="shared" ca="1" si="82"/>
        <v>150.63959999999997</v>
      </c>
    </row>
    <row r="244" spans="1:28" x14ac:dyDescent="0.25">
      <c r="A244" s="20">
        <f t="shared" ca="1" si="62"/>
        <v>45642</v>
      </c>
      <c r="B244" vm="714">
        <f ca="1"/>
        <v>45643</v>
      </c>
      <c r="C244" vm="715">
        <f ca="1"/>
        <v>148.11000000000001</v>
      </c>
      <c r="D244" vm="716">
        <f ca="1"/>
        <v>11909333</v>
      </c>
      <c r="E244">
        <f t="shared" ca="1" si="63"/>
        <v>1763891310.6300001</v>
      </c>
      <c r="F244">
        <f ca="1">SUM($E$2:E244)/SUM($D$2:D244)</f>
        <v>153.11522619712991</v>
      </c>
      <c r="G244">
        <f ca="1">_xlfn.STDEV.P($C$2:C244)</f>
        <v>6.3921836456507535</v>
      </c>
      <c r="H244">
        <f t="shared" ca="1" si="64"/>
        <v>159.50740984278067</v>
      </c>
      <c r="I244">
        <f t="shared" ca="1" si="65"/>
        <v>146.72304255147915</v>
      </c>
      <c r="J244">
        <f t="shared" ca="1" si="74"/>
        <v>158.26050000000001</v>
      </c>
      <c r="K244">
        <f t="shared" ca="1" si="75"/>
        <v>4.2973571743817747</v>
      </c>
      <c r="L244">
        <f t="shared" ca="1" si="76"/>
        <v>166.85521434876355</v>
      </c>
      <c r="M244">
        <f t="shared" ca="1" si="77"/>
        <v>149.66578565123646</v>
      </c>
      <c r="N244">
        <f t="shared" ca="1" si="66"/>
        <v>-1.25</v>
      </c>
      <c r="O244">
        <f t="shared" ca="1" si="67"/>
        <v>0</v>
      </c>
      <c r="P244">
        <f t="shared" ca="1" si="68"/>
        <v>1.25</v>
      </c>
      <c r="Q244">
        <f t="shared" ca="1" si="72"/>
        <v>0.45465903833053095</v>
      </c>
      <c r="R244">
        <f t="shared" ca="1" si="73"/>
        <v>1.0695355082669549</v>
      </c>
      <c r="S244">
        <f t="shared" ca="1" si="70"/>
        <v>0.42509952667887352</v>
      </c>
      <c r="T244">
        <f t="shared" ca="1" si="71"/>
        <v>29.82946234425799</v>
      </c>
      <c r="U244">
        <f>70</f>
        <v>70</v>
      </c>
      <c r="V244">
        <f>30</f>
        <v>30</v>
      </c>
      <c r="W244">
        <f t="shared" ca="1" si="69"/>
        <v>154.82486755457086</v>
      </c>
      <c r="X244">
        <f t="shared" ca="1" si="79"/>
        <v>156.11752206021674</v>
      </c>
      <c r="Y244">
        <f t="shared" ca="1" si="78"/>
        <v>-2.0540427517461239</v>
      </c>
      <c r="Z244">
        <f t="shared" ca="1" si="80"/>
        <v>-0.17449980258009035</v>
      </c>
      <c r="AA244">
        <f t="shared" ca="1" si="81"/>
        <v>-1.8795429491660336</v>
      </c>
      <c r="AB244">
        <f t="shared" ca="1" si="82"/>
        <v>150.54229999999998</v>
      </c>
    </row>
    <row r="245" spans="1:28" x14ac:dyDescent="0.25">
      <c r="A245" s="20">
        <f t="shared" ca="1" si="62"/>
        <v>45642</v>
      </c>
      <c r="B245" vm="717">
        <f ca="1"/>
        <v>45644</v>
      </c>
      <c r="C245" vm="718">
        <f ca="1"/>
        <v>144.08000000000001</v>
      </c>
      <c r="D245" vm="719">
        <f ca="1"/>
        <v>10174494</v>
      </c>
      <c r="E245">
        <f t="shared" ca="1" si="63"/>
        <v>1465941095.5200002</v>
      </c>
      <c r="F245">
        <f ca="1">SUM($E$2:E245)/SUM($D$2:D245)</f>
        <v>153.06641186882868</v>
      </c>
      <c r="G245">
        <f ca="1">_xlfn.STDEV.P($C$2:C245)</f>
        <v>6.406950297425376</v>
      </c>
      <c r="H245">
        <f t="shared" ca="1" si="64"/>
        <v>159.47336216625405</v>
      </c>
      <c r="I245">
        <f t="shared" ca="1" si="65"/>
        <v>146.65946157140331</v>
      </c>
      <c r="J245">
        <f t="shared" ca="1" si="74"/>
        <v>157.4845</v>
      </c>
      <c r="K245">
        <f t="shared" ca="1" si="75"/>
        <v>5.3218867598071364</v>
      </c>
      <c r="L245">
        <f t="shared" ca="1" si="76"/>
        <v>168.12827351961428</v>
      </c>
      <c r="M245">
        <f t="shared" ca="1" si="77"/>
        <v>146.84072648038571</v>
      </c>
      <c r="N245">
        <f t="shared" ca="1" si="66"/>
        <v>-4.0300000000000011</v>
      </c>
      <c r="O245">
        <f t="shared" ca="1" si="67"/>
        <v>0</v>
      </c>
      <c r="P245">
        <f t="shared" ca="1" si="68"/>
        <v>4.0300000000000011</v>
      </c>
      <c r="Q245">
        <f t="shared" ca="1" si="72"/>
        <v>0.42218339273549305</v>
      </c>
      <c r="R245">
        <f t="shared" ca="1" si="73"/>
        <v>1.2809972576764583</v>
      </c>
      <c r="S245">
        <f t="shared" ca="1" si="70"/>
        <v>0.32957400197817127</v>
      </c>
      <c r="T245">
        <f t="shared" ca="1" si="71"/>
        <v>24.787939707592301</v>
      </c>
      <c r="U245">
        <f>70</f>
        <v>70</v>
      </c>
      <c r="V245">
        <f>30</f>
        <v>30</v>
      </c>
      <c r="W245">
        <f t="shared" ca="1" si="69"/>
        <v>153.17181100771381</v>
      </c>
      <c r="X245">
        <f t="shared" ca="1" si="79"/>
        <v>155.22585375945994</v>
      </c>
      <c r="Y245">
        <f t="shared" ca="1" si="78"/>
        <v>-2.8608963035141812</v>
      </c>
      <c r="Z245">
        <f t="shared" ca="1" si="80"/>
        <v>-0.71177910276690859</v>
      </c>
      <c r="AA245">
        <f t="shared" ca="1" si="81"/>
        <v>-2.1491172007472725</v>
      </c>
      <c r="AB245">
        <f t="shared" ca="1" si="82"/>
        <v>150.41709999999998</v>
      </c>
    </row>
    <row r="246" spans="1:28" x14ac:dyDescent="0.25">
      <c r="A246" s="20">
        <f t="shared" ca="1" si="62"/>
        <v>45642</v>
      </c>
      <c r="B246" vm="720">
        <f ca="1"/>
        <v>45645</v>
      </c>
      <c r="C246" vm="721">
        <f ca="1"/>
        <v>141.15</v>
      </c>
      <c r="D246" vm="722">
        <f ca="1"/>
        <v>16544329</v>
      </c>
      <c r="E246">
        <f t="shared" ca="1" si="63"/>
        <v>2335232038.3499999</v>
      </c>
      <c r="F246">
        <f ca="1">SUM($E$2:E246)/SUM($D$2:D246)</f>
        <v>152.9626371678923</v>
      </c>
      <c r="G246">
        <f ca="1">_xlfn.STDEV.P($C$2:C246)</f>
        <v>6.4412861958405774</v>
      </c>
      <c r="H246">
        <f t="shared" ca="1" si="64"/>
        <v>159.40392336373287</v>
      </c>
      <c r="I246">
        <f t="shared" ca="1" si="65"/>
        <v>146.52135097205172</v>
      </c>
      <c r="J246">
        <f t="shared" ca="1" si="74"/>
        <v>156.47550000000001</v>
      </c>
      <c r="K246">
        <f t="shared" ca="1" si="75"/>
        <v>6.3651745541864866</v>
      </c>
      <c r="L246">
        <f t="shared" ca="1" si="76"/>
        <v>169.20584910837297</v>
      </c>
      <c r="M246">
        <f t="shared" ca="1" si="77"/>
        <v>143.74515089162705</v>
      </c>
      <c r="N246">
        <f t="shared" ca="1" si="66"/>
        <v>-2.9300000000000068</v>
      </c>
      <c r="O246">
        <f t="shared" ca="1" si="67"/>
        <v>0</v>
      </c>
      <c r="P246">
        <f t="shared" ca="1" si="68"/>
        <v>2.9300000000000068</v>
      </c>
      <c r="Q246">
        <f t="shared" ca="1" si="72"/>
        <v>0.39202743611152924</v>
      </c>
      <c r="R246">
        <f t="shared" ca="1" si="73"/>
        <v>1.3987831678424261</v>
      </c>
      <c r="S246">
        <f t="shared" ca="1" si="70"/>
        <v>0.28026319241188596</v>
      </c>
      <c r="T246">
        <f t="shared" ca="1" si="71"/>
        <v>21.891060687599591</v>
      </c>
      <c r="U246">
        <f>70</f>
        <v>70</v>
      </c>
      <c r="V246">
        <f>30</f>
        <v>30</v>
      </c>
      <c r="W246">
        <f t="shared" ca="1" si="69"/>
        <v>151.32230162191169</v>
      </c>
      <c r="X246">
        <f t="shared" ca="1" si="79"/>
        <v>154.18319792542587</v>
      </c>
      <c r="Y246">
        <f t="shared" ca="1" si="78"/>
        <v>-3.3248311796456846</v>
      </c>
      <c r="Z246">
        <f t="shared" ca="1" si="80"/>
        <v>-1.2343895181426638</v>
      </c>
      <c r="AA246">
        <f t="shared" ca="1" si="81"/>
        <v>-2.0904416615030206</v>
      </c>
      <c r="AB246">
        <f t="shared" ca="1" si="82"/>
        <v>150.23289999999994</v>
      </c>
    </row>
    <row r="247" spans="1:28" x14ac:dyDescent="0.25">
      <c r="A247" s="20">
        <f t="shared" ca="1" si="62"/>
        <v>45642</v>
      </c>
      <c r="B247" vm="723">
        <f ca="1"/>
        <v>45646</v>
      </c>
      <c r="C247" vm="724">
        <f ca="1"/>
        <v>142.85</v>
      </c>
      <c r="D247" vm="725">
        <f ca="1"/>
        <v>32209195</v>
      </c>
      <c r="E247">
        <f t="shared" ca="1" si="63"/>
        <v>4601083505.75</v>
      </c>
      <c r="F247">
        <f ca="1">SUM($E$2:E247)/SUM($D$2:D247)</f>
        <v>152.79404409008666</v>
      </c>
      <c r="G247">
        <f ca="1">_xlfn.STDEV.P($C$2:C247)</f>
        <v>6.4627203799559751</v>
      </c>
      <c r="H247">
        <f t="shared" ca="1" si="64"/>
        <v>159.25676447004264</v>
      </c>
      <c r="I247">
        <f t="shared" ca="1" si="65"/>
        <v>146.33132371013068</v>
      </c>
      <c r="J247">
        <f t="shared" ca="1" si="74"/>
        <v>155.53649999999999</v>
      </c>
      <c r="K247">
        <f t="shared" ca="1" si="75"/>
        <v>6.9253328059873205</v>
      </c>
      <c r="L247">
        <f t="shared" ca="1" si="76"/>
        <v>169.38716561197464</v>
      </c>
      <c r="M247">
        <f t="shared" ca="1" si="77"/>
        <v>141.68583438802534</v>
      </c>
      <c r="N247">
        <f t="shared" ca="1" si="66"/>
        <v>1.6999999999999886</v>
      </c>
      <c r="O247">
        <f t="shared" ca="1" si="67"/>
        <v>1.6999999999999886</v>
      </c>
      <c r="P247">
        <f t="shared" ca="1" si="68"/>
        <v>0</v>
      </c>
      <c r="Q247">
        <f t="shared" ca="1" si="72"/>
        <v>0.48545404781784779</v>
      </c>
      <c r="R247">
        <f t="shared" ca="1" si="73"/>
        <v>1.2988700844251098</v>
      </c>
      <c r="S247">
        <f t="shared" ca="1" si="70"/>
        <v>0.37375104226279382</v>
      </c>
      <c r="T247">
        <f t="shared" ca="1" si="71"/>
        <v>27.206606638650072</v>
      </c>
      <c r="U247">
        <f>70</f>
        <v>70</v>
      </c>
      <c r="V247">
        <f>30</f>
        <v>30</v>
      </c>
      <c r="W247">
        <f t="shared" ca="1" si="69"/>
        <v>150.01887060315605</v>
      </c>
      <c r="X247">
        <f t="shared" ca="1" si="79"/>
        <v>153.34370178280173</v>
      </c>
      <c r="Y247">
        <f t="shared" ca="1" si="78"/>
        <v>-3.640850456618864</v>
      </c>
      <c r="Z247">
        <f t="shared" ca="1" si="80"/>
        <v>-1.7156817058379041</v>
      </c>
      <c r="AA247">
        <f t="shared" ca="1" si="81"/>
        <v>-1.9251687507809598</v>
      </c>
      <c r="AB247">
        <f t="shared" ca="1" si="82"/>
        <v>150.05669999999998</v>
      </c>
    </row>
    <row r="248" spans="1:28" x14ac:dyDescent="0.25">
      <c r="A248" s="20">
        <f t="shared" ca="1" si="62"/>
        <v>45649</v>
      </c>
      <c r="B248" vm="726">
        <f ca="1"/>
        <v>45649</v>
      </c>
      <c r="C248" vm="727">
        <f ca="1"/>
        <v>142.97</v>
      </c>
      <c r="D248" vm="728">
        <f ca="1"/>
        <v>8156466</v>
      </c>
      <c r="E248">
        <f t="shared" ca="1" si="63"/>
        <v>1166129944.02</v>
      </c>
      <c r="F248">
        <f ca="1">SUM($E$2:E248)/SUM($D$2:D248)</f>
        <v>152.75274332167413</v>
      </c>
      <c r="G248">
        <f ca="1">_xlfn.STDEV.P($C$2:C248)</f>
        <v>6.4828591001306952</v>
      </c>
      <c r="H248">
        <f t="shared" ca="1" si="64"/>
        <v>159.23560242180483</v>
      </c>
      <c r="I248">
        <f t="shared" ca="1" si="65"/>
        <v>146.26988422154344</v>
      </c>
      <c r="J248">
        <f t="shared" ca="1" si="74"/>
        <v>154.56699999999998</v>
      </c>
      <c r="K248">
        <f t="shared" ca="1" si="75"/>
        <v>7.2685429655540492</v>
      </c>
      <c r="L248">
        <f t="shared" ca="1" si="76"/>
        <v>169.10408593110807</v>
      </c>
      <c r="M248">
        <f t="shared" ca="1" si="77"/>
        <v>140.02991406889188</v>
      </c>
      <c r="N248">
        <f t="shared" ca="1" si="66"/>
        <v>0.12000000000000455</v>
      </c>
      <c r="O248">
        <f t="shared" ca="1" si="67"/>
        <v>0.12000000000000455</v>
      </c>
      <c r="P248">
        <f t="shared" ca="1" si="68"/>
        <v>0</v>
      </c>
      <c r="Q248">
        <f t="shared" ca="1" si="72"/>
        <v>0.45935018725943039</v>
      </c>
      <c r="R248">
        <f t="shared" ca="1" si="73"/>
        <v>1.2060936498233161</v>
      </c>
      <c r="S248">
        <f t="shared" ca="1" si="70"/>
        <v>0.38085781093924326</v>
      </c>
      <c r="T248">
        <f t="shared" ca="1" si="71"/>
        <v>27.581247534834034</v>
      </c>
      <c r="U248">
        <f>70</f>
        <v>70</v>
      </c>
      <c r="V248">
        <f>30</f>
        <v>30</v>
      </c>
      <c r="W248">
        <f t="shared" ca="1" si="69"/>
        <v>148.93442897190127</v>
      </c>
      <c r="X248">
        <f t="shared" ca="1" si="79"/>
        <v>152.57527942852013</v>
      </c>
      <c r="Y248">
        <f t="shared" ca="1" si="78"/>
        <v>-3.7775510245423618</v>
      </c>
      <c r="Z248">
        <f t="shared" ca="1" si="80"/>
        <v>-2.1280555695787959</v>
      </c>
      <c r="AA248">
        <f t="shared" ca="1" si="81"/>
        <v>-1.6494954549635659</v>
      </c>
      <c r="AB248">
        <f t="shared" ca="1" si="82"/>
        <v>149.96019999999996</v>
      </c>
    </row>
    <row r="249" spans="1:28" x14ac:dyDescent="0.25">
      <c r="A249" s="20">
        <f t="shared" ca="1" si="62"/>
        <v>45649</v>
      </c>
      <c r="B249" vm="729">
        <f ca="1"/>
        <v>45650</v>
      </c>
      <c r="C249" vm="730">
        <f ca="1"/>
        <v>143.84</v>
      </c>
      <c r="D249" vm="731">
        <f ca="1"/>
        <v>3556081</v>
      </c>
      <c r="E249">
        <f t="shared" ca="1" si="63"/>
        <v>511506691.04000002</v>
      </c>
      <c r="F249">
        <f ca="1">SUM($E$2:E249)/SUM($D$2:D249)</f>
        <v>152.73643709197808</v>
      </c>
      <c r="G249">
        <f ca="1">_xlfn.STDEV.P($C$2:C249)</f>
        <v>6.4972149018794561</v>
      </c>
      <c r="H249">
        <f t="shared" ca="1" si="64"/>
        <v>159.23365199385753</v>
      </c>
      <c r="I249">
        <f t="shared" ca="1" si="65"/>
        <v>146.23922219009862</v>
      </c>
      <c r="J249">
        <f t="shared" ca="1" si="74"/>
        <v>153.74100000000001</v>
      </c>
      <c r="K249">
        <f t="shared" ca="1" si="75"/>
        <v>7.5102273425537591</v>
      </c>
      <c r="L249">
        <f t="shared" ca="1" si="76"/>
        <v>168.76145468510754</v>
      </c>
      <c r="M249">
        <f t="shared" ca="1" si="77"/>
        <v>138.72054531489249</v>
      </c>
      <c r="N249">
        <f t="shared" ca="1" si="66"/>
        <v>0.87000000000000455</v>
      </c>
      <c r="O249">
        <f t="shared" ca="1" si="67"/>
        <v>0.87000000000000455</v>
      </c>
      <c r="P249">
        <f t="shared" ca="1" si="68"/>
        <v>0</v>
      </c>
      <c r="Q249">
        <f t="shared" ca="1" si="72"/>
        <v>0.48868231674089996</v>
      </c>
      <c r="R249">
        <f t="shared" ca="1" si="73"/>
        <v>1.1199441034073649</v>
      </c>
      <c r="S249">
        <f t="shared" ca="1" si="70"/>
        <v>0.43634527406690421</v>
      </c>
      <c r="T249">
        <f t="shared" ca="1" si="71"/>
        <v>30.378856807279021</v>
      </c>
      <c r="U249">
        <f>70</f>
        <v>70</v>
      </c>
      <c r="V249">
        <f>30</f>
        <v>30</v>
      </c>
      <c r="W249">
        <f t="shared" ca="1" si="69"/>
        <v>148.15067066853183</v>
      </c>
      <c r="X249">
        <f t="shared" ca="1" si="79"/>
        <v>151.92822169307419</v>
      </c>
      <c r="Y249">
        <f t="shared" ca="1" si="78"/>
        <v>-3.8304355034049991</v>
      </c>
      <c r="Z249">
        <f t="shared" ca="1" si="80"/>
        <v>-2.4685315563440366</v>
      </c>
      <c r="AA249">
        <f t="shared" ca="1" si="81"/>
        <v>-1.3619039470609624</v>
      </c>
      <c r="AB249">
        <f t="shared" ca="1" si="82"/>
        <v>149.91309999999999</v>
      </c>
    </row>
    <row r="250" spans="1:28" x14ac:dyDescent="0.25">
      <c r="A250" s="20">
        <f t="shared" ca="1" si="62"/>
        <v>45649</v>
      </c>
      <c r="B250" vm="732">
        <f ca="1"/>
        <v>45652</v>
      </c>
      <c r="C250" vm="733">
        <f ca="1"/>
        <v>143.97999999999999</v>
      </c>
      <c r="D250" vm="734">
        <f ca="1"/>
        <v>4494424</v>
      </c>
      <c r="E250">
        <f t="shared" ca="1" si="63"/>
        <v>647107167.51999998</v>
      </c>
      <c r="F250">
        <f ca="1">SUM($E$2:E250)/SUM($D$2:D250)</f>
        <v>152.7162362754745</v>
      </c>
      <c r="G250">
        <f ca="1">_xlfn.STDEV.P($C$2:C250)</f>
        <v>6.5104052661418539</v>
      </c>
      <c r="H250">
        <f t="shared" ca="1" si="64"/>
        <v>159.22664154161635</v>
      </c>
      <c r="I250">
        <f t="shared" ca="1" si="65"/>
        <v>146.20583100933266</v>
      </c>
      <c r="J250">
        <f t="shared" ca="1" si="74"/>
        <v>152.8135</v>
      </c>
      <c r="K250">
        <f t="shared" ca="1" si="75"/>
        <v>7.5131192449923017</v>
      </c>
      <c r="L250">
        <f t="shared" ca="1" si="76"/>
        <v>167.8397384899846</v>
      </c>
      <c r="M250">
        <f t="shared" ca="1" si="77"/>
        <v>137.78726151001541</v>
      </c>
      <c r="N250">
        <f t="shared" ca="1" si="66"/>
        <v>0.13999999999998636</v>
      </c>
      <c r="O250">
        <f t="shared" ca="1" si="67"/>
        <v>0.13999999999998636</v>
      </c>
      <c r="P250">
        <f t="shared" ca="1" si="68"/>
        <v>0</v>
      </c>
      <c r="Q250">
        <f t="shared" ca="1" si="72"/>
        <v>0.46377643697369181</v>
      </c>
      <c r="R250">
        <f t="shared" ca="1" si="73"/>
        <v>1.0399480960211247</v>
      </c>
      <c r="S250">
        <f t="shared" ca="1" si="70"/>
        <v>0.44596113858770026</v>
      </c>
      <c r="T250">
        <f t="shared" ca="1" si="71"/>
        <v>30.841848144223263</v>
      </c>
      <c r="U250">
        <f>70</f>
        <v>70</v>
      </c>
      <c r="V250">
        <f>30</f>
        <v>30</v>
      </c>
      <c r="W250">
        <f t="shared" ca="1" si="69"/>
        <v>147.50902902721924</v>
      </c>
      <c r="X250">
        <f t="shared" ca="1" si="79"/>
        <v>151.33946453062424</v>
      </c>
      <c r="Y250">
        <f t="shared" ca="1" si="78"/>
        <v>-3.8266220836717082</v>
      </c>
      <c r="Z250">
        <f t="shared" ca="1" si="80"/>
        <v>-2.7401496618095713</v>
      </c>
      <c r="AA250">
        <f t="shared" ca="1" si="81"/>
        <v>-1.0864724218621369</v>
      </c>
      <c r="AB250">
        <f t="shared" ca="1" si="82"/>
        <v>149.90629999999996</v>
      </c>
    </row>
    <row r="251" spans="1:28" x14ac:dyDescent="0.25">
      <c r="A251" s="20">
        <f t="shared" ca="1" si="62"/>
        <v>45649</v>
      </c>
      <c r="B251" vm="735">
        <f ca="1"/>
        <v>45653</v>
      </c>
      <c r="C251" vm="736">
        <f ca="1"/>
        <v>144</v>
      </c>
      <c r="D251" vm="737">
        <f ca="1"/>
        <v>5296875</v>
      </c>
      <c r="E251">
        <f t="shared" ca="1" si="63"/>
        <v>762750000</v>
      </c>
      <c r="F251">
        <f ca="1">SUM($E$2:E251)/SUM($D$2:D251)</f>
        <v>152.69260228887978</v>
      </c>
      <c r="G251">
        <f ca="1">_xlfn.STDEV.P($C$2:C251)</f>
        <v>6.5231432066450923</v>
      </c>
      <c r="H251">
        <f t="shared" ca="1" si="64"/>
        <v>159.21574549552489</v>
      </c>
      <c r="I251">
        <f t="shared" ca="1" si="65"/>
        <v>146.16945908223468</v>
      </c>
      <c r="J251">
        <f t="shared" ca="1" si="74"/>
        <v>151.90800000000002</v>
      </c>
      <c r="K251">
        <f t="shared" ca="1" si="75"/>
        <v>7.4245202574059679</v>
      </c>
      <c r="L251">
        <f t="shared" ca="1" si="76"/>
        <v>166.75704051481196</v>
      </c>
      <c r="M251">
        <f t="shared" ca="1" si="77"/>
        <v>137.05895948518807</v>
      </c>
      <c r="N251">
        <f t="shared" ca="1" si="66"/>
        <v>2.0000000000010232E-2</v>
      </c>
      <c r="O251">
        <f t="shared" ca="1" si="67"/>
        <v>2.0000000000010232E-2</v>
      </c>
      <c r="P251">
        <f t="shared" ca="1" si="68"/>
        <v>0</v>
      </c>
      <c r="Q251">
        <f t="shared" ca="1" si="72"/>
        <v>0.43207812004700025</v>
      </c>
      <c r="R251">
        <f t="shared" ca="1" si="73"/>
        <v>0.96566608916247287</v>
      </c>
      <c r="S251">
        <f t="shared" ca="1" si="70"/>
        <v>0.44744050236013133</v>
      </c>
      <c r="T251">
        <f t="shared" ca="1" si="71"/>
        <v>30.912531577674869</v>
      </c>
      <c r="U251">
        <f>70</f>
        <v>70</v>
      </c>
      <c r="V251">
        <f>30</f>
        <v>30</v>
      </c>
      <c r="W251">
        <f t="shared" ca="1" si="69"/>
        <v>146.96917840764704</v>
      </c>
      <c r="X251">
        <f t="shared" ca="1" si="79"/>
        <v>150.79580049131874</v>
      </c>
      <c r="Y251">
        <f t="shared" ca="1" si="78"/>
        <v>-3.8542141669726959</v>
      </c>
      <c r="Z251">
        <f t="shared" ca="1" si="80"/>
        <v>-2.9629625628421965</v>
      </c>
      <c r="AA251">
        <f t="shared" ca="1" si="81"/>
        <v>-0.89125160413049942</v>
      </c>
      <c r="AB251">
        <f t="shared" ca="1" si="82"/>
        <v>149.91399999999996</v>
      </c>
    </row>
    <row r="252" spans="1:28" x14ac:dyDescent="0.25">
      <c r="A252" s="20">
        <f t="shared" ca="1" si="62"/>
        <v>45656</v>
      </c>
      <c r="B252" vm="738">
        <f ca="1"/>
        <v>45656</v>
      </c>
      <c r="C252" vm="739">
        <f ca="1"/>
        <v>143.07</v>
      </c>
      <c r="D252" vm="740">
        <f ca="1"/>
        <v>6194835</v>
      </c>
      <c r="E252">
        <f t="shared" ca="1" si="63"/>
        <v>886295043.44999993</v>
      </c>
      <c r="F252">
        <f ca="1">SUM($E$2:E252)/SUM($D$2:D252)</f>
        <v>152.66218394899323</v>
      </c>
      <c r="G252">
        <f ca="1">_xlfn.STDEV.P($C$2:C252)</f>
        <v>6.5409732425554239</v>
      </c>
      <c r="H252">
        <f t="shared" ca="1" si="64"/>
        <v>159.20315719154866</v>
      </c>
      <c r="I252">
        <f t="shared" ca="1" si="65"/>
        <v>146.12121070643781</v>
      </c>
      <c r="J252">
        <f t="shared" ca="1" si="74"/>
        <v>150.965</v>
      </c>
      <c r="K252">
        <f t="shared" ca="1" si="75"/>
        <v>7.2809459333393312</v>
      </c>
      <c r="L252">
        <f t="shared" ca="1" si="76"/>
        <v>165.52689186667865</v>
      </c>
      <c r="M252">
        <f t="shared" ca="1" si="77"/>
        <v>136.40310813332135</v>
      </c>
      <c r="N252">
        <f t="shared" ca="1" si="66"/>
        <v>-0.93000000000000682</v>
      </c>
      <c r="O252">
        <f t="shared" ca="1" si="67"/>
        <v>0</v>
      </c>
      <c r="P252">
        <f t="shared" ca="1" si="68"/>
        <v>0.93000000000000682</v>
      </c>
      <c r="Q252">
        <f t="shared" ca="1" si="72"/>
        <v>0.40121539718650023</v>
      </c>
      <c r="R252">
        <f t="shared" ca="1" si="73"/>
        <v>0.96311851136515381</v>
      </c>
      <c r="S252">
        <f t="shared" ca="1" si="70"/>
        <v>0.41657946810492219</v>
      </c>
      <c r="T252">
        <f t="shared" ca="1" si="71"/>
        <v>29.407419596601642</v>
      </c>
      <c r="U252">
        <f>70</f>
        <v>70</v>
      </c>
      <c r="V252">
        <f>30</f>
        <v>30</v>
      </c>
      <c r="W252">
        <f t="shared" ca="1" si="69"/>
        <v>146.36930480647058</v>
      </c>
      <c r="X252">
        <f t="shared" ca="1" si="79"/>
        <v>150.22351897344328</v>
      </c>
      <c r="Y252">
        <f t="shared" ca="1" si="78"/>
        <v>-3.690712646288631</v>
      </c>
      <c r="Z252">
        <f t="shared" ca="1" si="80"/>
        <v>-3.1085125795314839</v>
      </c>
      <c r="AA252">
        <f t="shared" ca="1" si="81"/>
        <v>-0.58220006675714719</v>
      </c>
      <c r="AB252">
        <f t="shared" ca="1" si="82"/>
        <v>149.92059999999995</v>
      </c>
    </row>
    <row r="253" spans="1:28" x14ac:dyDescent="0.25">
      <c r="A253" s="20">
        <f t="shared" ca="1" si="62"/>
        <v>45656</v>
      </c>
      <c r="B253" vm="741">
        <f ca="1"/>
        <v>45657</v>
      </c>
      <c r="C253" vm="742">
        <f ca="1"/>
        <v>144.84</v>
      </c>
      <c r="D253" vm="743">
        <f ca="1"/>
        <v>6137843</v>
      </c>
      <c r="E253">
        <f t="shared" ca="1" si="63"/>
        <v>889005180.12</v>
      </c>
      <c r="F253">
        <f ca="1">SUM($E$2:E253)/SUM($D$2:D253)</f>
        <v>152.63776095394726</v>
      </c>
      <c r="G253">
        <f ca="1">_xlfn.STDEV.P($C$2:C253)</f>
        <v>6.5486081542472476</v>
      </c>
      <c r="H253">
        <f t="shared" ca="1" si="64"/>
        <v>159.18636910819453</v>
      </c>
      <c r="I253">
        <f t="shared" ca="1" si="65"/>
        <v>146.0891527997</v>
      </c>
      <c r="J253">
        <f t="shared" ca="1" si="74"/>
        <v>150.09650000000005</v>
      </c>
      <c r="K253">
        <f t="shared" ca="1" si="75"/>
        <v>6.8947388599836348</v>
      </c>
      <c r="L253">
        <f t="shared" ca="1" si="76"/>
        <v>163.88597771996731</v>
      </c>
      <c r="M253">
        <f t="shared" ca="1" si="77"/>
        <v>136.30702228003278</v>
      </c>
      <c r="N253">
        <f t="shared" ca="1" si="66"/>
        <v>1.7700000000000102</v>
      </c>
      <c r="O253">
        <f t="shared" ca="1" si="67"/>
        <v>1.7700000000000102</v>
      </c>
      <c r="P253">
        <f t="shared" ca="1" si="68"/>
        <v>0</v>
      </c>
      <c r="Q253">
        <f t="shared" ca="1" si="72"/>
        <v>0.49898572595889379</v>
      </c>
      <c r="R253">
        <f t="shared" ca="1" si="73"/>
        <v>0.89432433198192851</v>
      </c>
      <c r="S253">
        <f t="shared" ca="1" si="70"/>
        <v>0.55794716537912192</v>
      </c>
      <c r="T253">
        <f t="shared" ca="1" si="71"/>
        <v>35.812970925965075</v>
      </c>
      <c r="U253">
        <f>70</f>
        <v>70</v>
      </c>
      <c r="V253">
        <f>30</f>
        <v>30</v>
      </c>
      <c r="W253">
        <f t="shared" ca="1" si="69"/>
        <v>146.13402714393663</v>
      </c>
      <c r="X253">
        <f t="shared" ca="1" si="79"/>
        <v>149.82473979022527</v>
      </c>
      <c r="Y253">
        <f t="shared" ca="1" si="78"/>
        <v>-3.3713799717208701</v>
      </c>
      <c r="Z253">
        <f t="shared" ca="1" si="80"/>
        <v>-3.1610860579693609</v>
      </c>
      <c r="AA253">
        <f t="shared" ca="1" si="81"/>
        <v>-0.21029391375150919</v>
      </c>
      <c r="AB253">
        <f t="shared" ca="1" si="82"/>
        <v>149.92409999999995</v>
      </c>
    </row>
    <row r="254" spans="1:28" x14ac:dyDescent="0.25">
      <c r="A254" s="20">
        <f t="shared" ca="1" si="62"/>
        <v>45656</v>
      </c>
      <c r="B254" vm="744">
        <f ca="1"/>
        <v>45659</v>
      </c>
      <c r="C254" vm="745">
        <f ca="1"/>
        <v>146.71</v>
      </c>
      <c r="D254" vm="746">
        <f ca="1"/>
        <v>7170257</v>
      </c>
      <c r="E254">
        <f t="shared" ca="1" si="63"/>
        <v>1051948404.47</v>
      </c>
      <c r="F254">
        <f ca="1">SUM($E$2:E254)/SUM($D$2:D254)</f>
        <v>152.6162182934217</v>
      </c>
      <c r="G254">
        <f ca="1">_xlfn.STDEV.P($C$2:C254)</f>
        <v>6.5478172169329198</v>
      </c>
      <c r="H254">
        <f t="shared" ca="1" si="64"/>
        <v>159.16403551035461</v>
      </c>
      <c r="I254">
        <f t="shared" ca="1" si="65"/>
        <v>146.06840107648878</v>
      </c>
      <c r="J254">
        <f t="shared" ca="1" si="74"/>
        <v>149.33600000000004</v>
      </c>
      <c r="K254">
        <f t="shared" ca="1" si="75"/>
        <v>6.3383423036228308</v>
      </c>
      <c r="L254">
        <f t="shared" ca="1" si="76"/>
        <v>162.01268460724572</v>
      </c>
      <c r="M254">
        <f t="shared" ca="1" si="77"/>
        <v>136.65931539275437</v>
      </c>
      <c r="N254">
        <f t="shared" ca="1" si="66"/>
        <v>1.8700000000000045</v>
      </c>
      <c r="O254">
        <f t="shared" ca="1" si="67"/>
        <v>1.8700000000000045</v>
      </c>
      <c r="P254">
        <f t="shared" ca="1" si="68"/>
        <v>0</v>
      </c>
      <c r="Q254">
        <f t="shared" ca="1" si="72"/>
        <v>0.5969153169618302</v>
      </c>
      <c r="R254">
        <f t="shared" ca="1" si="73"/>
        <v>0.83044402255464789</v>
      </c>
      <c r="S254">
        <f t="shared" ca="1" si="70"/>
        <v>0.71879055149987525</v>
      </c>
      <c r="T254">
        <f t="shared" ca="1" si="71"/>
        <v>41.819554504336445</v>
      </c>
      <c r="U254">
        <f>70</f>
        <v>70</v>
      </c>
      <c r="V254">
        <f>30</f>
        <v>30</v>
      </c>
      <c r="W254">
        <f t="shared" ca="1" si="69"/>
        <v>146.22263835256177</v>
      </c>
      <c r="X254">
        <f t="shared" ca="1" si="79"/>
        <v>149.59401832428264</v>
      </c>
      <c r="Y254">
        <f t="shared" ca="1" si="78"/>
        <v>-2.9918300988063038</v>
      </c>
      <c r="Z254">
        <f t="shared" ca="1" si="80"/>
        <v>-3.1272348661367495</v>
      </c>
      <c r="AA254">
        <f t="shared" ca="1" si="81"/>
        <v>0.13540476733044571</v>
      </c>
      <c r="AB254">
        <f t="shared" ca="1" si="82"/>
        <v>149.94129999999996</v>
      </c>
    </row>
    <row r="255" spans="1:28" x14ac:dyDescent="0.25">
      <c r="A255" s="20">
        <f t="shared" ca="1" si="62"/>
        <v>45656</v>
      </c>
      <c r="B255" vm="747">
        <f ca="1"/>
        <v>45660</v>
      </c>
      <c r="C255" vm="748">
        <f ca="1"/>
        <v>147.85</v>
      </c>
      <c r="D255" vm="749">
        <f ca="1"/>
        <v>5813935</v>
      </c>
      <c r="E255">
        <f t="shared" ca="1" si="63"/>
        <v>859590289.75</v>
      </c>
      <c r="F255">
        <f ca="1">SUM($E$2:E255)/SUM($D$2:D255)</f>
        <v>152.60221467857932</v>
      </c>
      <c r="G255">
        <f ca="1">_xlfn.STDEV.P($C$2:C255)</f>
        <v>6.5430008233470014</v>
      </c>
      <c r="H255">
        <f t="shared" ca="1" si="64"/>
        <v>159.14521550192632</v>
      </c>
      <c r="I255">
        <f t="shared" ca="1" si="65"/>
        <v>146.05921385523231</v>
      </c>
      <c r="J255">
        <f t="shared" ca="1" si="74"/>
        <v>148.81250000000003</v>
      </c>
      <c r="K255">
        <f t="shared" ca="1" si="75"/>
        <v>5.9794911550803587</v>
      </c>
      <c r="L255">
        <f t="shared" ca="1" si="76"/>
        <v>160.77148231016074</v>
      </c>
      <c r="M255">
        <f t="shared" ca="1" si="77"/>
        <v>136.85351768983932</v>
      </c>
      <c r="N255">
        <f t="shared" ca="1" si="66"/>
        <v>1.1399999999999864</v>
      </c>
      <c r="O255">
        <f t="shared" ca="1" si="67"/>
        <v>1.1399999999999864</v>
      </c>
      <c r="P255">
        <f t="shared" ca="1" si="68"/>
        <v>0</v>
      </c>
      <c r="Q255">
        <f t="shared" ca="1" si="72"/>
        <v>0.6357070800359842</v>
      </c>
      <c r="R255">
        <f t="shared" ca="1" si="73"/>
        <v>0.77112659237217307</v>
      </c>
      <c r="S255">
        <f t="shared" ca="1" si="70"/>
        <v>0.82438744341625481</v>
      </c>
      <c r="T255">
        <f t="shared" ca="1" si="71"/>
        <v>45.187081636154488</v>
      </c>
      <c r="U255">
        <f>70</f>
        <v>70</v>
      </c>
      <c r="V255">
        <f>30</f>
        <v>30</v>
      </c>
      <c r="W255">
        <f t="shared" ca="1" si="69"/>
        <v>146.47300168293688</v>
      </c>
      <c r="X255">
        <f t="shared" ca="1" si="79"/>
        <v>149.46483178174319</v>
      </c>
      <c r="Y255">
        <f t="shared" ca="1" si="78"/>
        <v>-2.7074325619210242</v>
      </c>
      <c r="Z255">
        <f t="shared" ca="1" si="80"/>
        <v>-3.0432744052936047</v>
      </c>
      <c r="AA255">
        <f t="shared" ca="1" si="81"/>
        <v>0.3358418433725805</v>
      </c>
      <c r="AB255">
        <f t="shared" ca="1" si="82"/>
        <v>149.96959999999996</v>
      </c>
    </row>
    <row r="256" spans="1:28" x14ac:dyDescent="0.25">
      <c r="A256" s="20">
        <f t="shared" ca="1" si="62"/>
        <v>45663</v>
      </c>
      <c r="B256" vm="750">
        <f ca="1"/>
        <v>45663</v>
      </c>
      <c r="C256" vm="751">
        <f ca="1"/>
        <v>147.26</v>
      </c>
      <c r="D256" vm="752">
        <f ca="1"/>
        <v>5888731</v>
      </c>
      <c r="E256">
        <f t="shared" ca="1" si="63"/>
        <v>867174527.05999994</v>
      </c>
      <c r="F256">
        <f ca="1">SUM($E$2:E256)/SUM($D$2:D256)</f>
        <v>152.58636397251937</v>
      </c>
      <c r="G256">
        <f ca="1">_xlfn.STDEV.P($C$2:C256)</f>
        <v>6.5400824441293723</v>
      </c>
      <c r="H256">
        <f t="shared" ca="1" si="64"/>
        <v>159.12644641664875</v>
      </c>
      <c r="I256">
        <f t="shared" ca="1" si="65"/>
        <v>146.04628152838998</v>
      </c>
      <c r="J256">
        <f t="shared" ca="1" si="74"/>
        <v>148.209</v>
      </c>
      <c r="K256">
        <f t="shared" ca="1" si="75"/>
        <v>5.4475498113710215</v>
      </c>
      <c r="L256">
        <f t="shared" ca="1" si="76"/>
        <v>159.10409962274204</v>
      </c>
      <c r="M256">
        <f t="shared" ca="1" si="77"/>
        <v>137.31390037725797</v>
      </c>
      <c r="N256">
        <f t="shared" ca="1" si="66"/>
        <v>-0.59000000000000341</v>
      </c>
      <c r="O256">
        <f t="shared" ca="1" si="67"/>
        <v>0</v>
      </c>
      <c r="P256">
        <f t="shared" ca="1" si="68"/>
        <v>0.59000000000000341</v>
      </c>
      <c r="Q256">
        <f t="shared" ca="1" si="72"/>
        <v>0.59029943146198527</v>
      </c>
      <c r="R256">
        <f t="shared" ca="1" si="73"/>
        <v>0.75818897863130374</v>
      </c>
      <c r="S256">
        <f t="shared" ca="1" si="70"/>
        <v>0.77856503866305771</v>
      </c>
      <c r="T256">
        <f t="shared" ca="1" si="71"/>
        <v>43.774898400583808</v>
      </c>
      <c r="U256">
        <f>70</f>
        <v>70</v>
      </c>
      <c r="V256">
        <f>30</f>
        <v>30</v>
      </c>
      <c r="W256">
        <f t="shared" ca="1" si="69"/>
        <v>146.59407834710044</v>
      </c>
      <c r="X256">
        <f t="shared" ca="1" si="79"/>
        <v>149.30151090902146</v>
      </c>
      <c r="Y256">
        <f t="shared" ca="1" si="78"/>
        <v>-2.2678911006927081</v>
      </c>
      <c r="Z256">
        <f t="shared" ca="1" si="80"/>
        <v>-2.8881977443734259</v>
      </c>
      <c r="AA256">
        <f t="shared" ca="1" si="81"/>
        <v>0.62030664368071786</v>
      </c>
      <c r="AB256">
        <f t="shared" ca="1" si="82"/>
        <v>150.00069999999997</v>
      </c>
    </row>
    <row r="257" spans="1:28" x14ac:dyDescent="0.25">
      <c r="A257" s="20">
        <f t="shared" ca="1" si="62"/>
        <v>45663</v>
      </c>
      <c r="B257" vm="753">
        <f ca="1"/>
        <v>45664</v>
      </c>
      <c r="C257" vm="130">
        <f ca="1"/>
        <v>149.59</v>
      </c>
      <c r="D257" vm="754">
        <f ca="1"/>
        <v>7735997</v>
      </c>
      <c r="E257">
        <f t="shared" ca="1" si="63"/>
        <v>1157227791.23</v>
      </c>
      <c r="F257">
        <f ca="1">SUM($E$2:E257)/SUM($D$2:D257)</f>
        <v>152.57473003015619</v>
      </c>
      <c r="G257">
        <f ca="1">_xlfn.STDEV.P($C$2:C257)</f>
        <v>6.5307607667347449</v>
      </c>
      <c r="H257">
        <f t="shared" ca="1" si="64"/>
        <v>159.10549079689093</v>
      </c>
      <c r="I257">
        <f t="shared" ca="1" si="65"/>
        <v>146.04396926342145</v>
      </c>
      <c r="J257">
        <f t="shared" ca="1" si="74"/>
        <v>147.92650000000003</v>
      </c>
      <c r="K257">
        <f t="shared" ca="1" si="75"/>
        <v>5.2048370974052931</v>
      </c>
      <c r="L257">
        <f t="shared" ca="1" si="76"/>
        <v>158.33617419481061</v>
      </c>
      <c r="M257">
        <f t="shared" ca="1" si="77"/>
        <v>137.51682580518946</v>
      </c>
      <c r="N257">
        <f t="shared" ca="1" si="66"/>
        <v>2.3300000000000125</v>
      </c>
      <c r="O257">
        <f t="shared" ca="1" si="67"/>
        <v>2.3300000000000125</v>
      </c>
      <c r="P257">
        <f t="shared" ca="1" si="68"/>
        <v>0</v>
      </c>
      <c r="Q257">
        <f t="shared" ca="1" si="72"/>
        <v>0.71456375778613002</v>
      </c>
      <c r="R257">
        <f t="shared" ca="1" si="73"/>
        <v>0.70403262301478198</v>
      </c>
      <c r="S257">
        <f t="shared" ca="1" si="70"/>
        <v>1.0149583050942328</v>
      </c>
      <c r="T257">
        <f t="shared" ca="1" si="71"/>
        <v>50.371181504262765</v>
      </c>
      <c r="U257">
        <f>70</f>
        <v>70</v>
      </c>
      <c r="V257">
        <f>30</f>
        <v>30</v>
      </c>
      <c r="W257">
        <f t="shared" ca="1" si="69"/>
        <v>147.05498937062345</v>
      </c>
      <c r="X257">
        <f t="shared" ca="1" si="79"/>
        <v>149.32288047131615</v>
      </c>
      <c r="Y257">
        <f t="shared" ca="1" si="78"/>
        <v>-1.841037920520165</v>
      </c>
      <c r="Z257">
        <f t="shared" ca="1" si="80"/>
        <v>-2.6787657796027737</v>
      </c>
      <c r="AA257">
        <f t="shared" ca="1" si="81"/>
        <v>0.83772785908260872</v>
      </c>
      <c r="AB257">
        <f t="shared" ca="1" si="82"/>
        <v>150.04989999999995</v>
      </c>
    </row>
    <row r="258" spans="1:28" x14ac:dyDescent="0.25">
      <c r="A258" s="20">
        <f t="shared" ca="1" si="62"/>
        <v>45663</v>
      </c>
      <c r="B258" vm="755">
        <f ca="1"/>
        <v>45665</v>
      </c>
      <c r="C258" vm="756">
        <f ca="1"/>
        <v>150.30000000000001</v>
      </c>
      <c r="D258" vm="757">
        <f ca="1"/>
        <v>7640885</v>
      </c>
      <c r="E258">
        <f t="shared" ca="1" si="63"/>
        <v>1148425015.5</v>
      </c>
      <c r="F258">
        <f ca="1">SUM($E$2:E258)/SUM($D$2:D258)</f>
        <v>152.56603988039728</v>
      </c>
      <c r="G258">
        <f ca="1">_xlfn.STDEV.P($C$2:C258)</f>
        <v>6.5201880364808371</v>
      </c>
      <c r="H258">
        <f t="shared" ca="1" si="64"/>
        <v>159.08622791687813</v>
      </c>
      <c r="I258">
        <f t="shared" ca="1" si="65"/>
        <v>146.04585184391644</v>
      </c>
      <c r="J258">
        <f t="shared" ca="1" si="74"/>
        <v>147.58750000000003</v>
      </c>
      <c r="K258">
        <f t="shared" ca="1" si="75"/>
        <v>4.7807991789525843</v>
      </c>
      <c r="L258">
        <f t="shared" ca="1" si="76"/>
        <v>157.14909835790519</v>
      </c>
      <c r="M258">
        <f t="shared" ca="1" si="77"/>
        <v>138.02590164209488</v>
      </c>
      <c r="N258">
        <f t="shared" ca="1" si="66"/>
        <v>0.71000000000000796</v>
      </c>
      <c r="O258">
        <f t="shared" ca="1" si="67"/>
        <v>0.71000000000000796</v>
      </c>
      <c r="P258">
        <f t="shared" ca="1" si="68"/>
        <v>0</v>
      </c>
      <c r="Q258">
        <f t="shared" ca="1" si="72"/>
        <v>0.71423777508712127</v>
      </c>
      <c r="R258">
        <f t="shared" ca="1" si="73"/>
        <v>0.65374457851372614</v>
      </c>
      <c r="S258">
        <f t="shared" ca="1" si="70"/>
        <v>1.0925333816318983</v>
      </c>
      <c r="T258">
        <f t="shared" ca="1" si="71"/>
        <v>52.211037167773505</v>
      </c>
      <c r="U258">
        <f>70</f>
        <v>70</v>
      </c>
      <c r="V258">
        <f>30</f>
        <v>30</v>
      </c>
      <c r="W258">
        <f t="shared" ca="1" si="69"/>
        <v>147.55422177514293</v>
      </c>
      <c r="X258">
        <f t="shared" ca="1" si="79"/>
        <v>149.3952596956631</v>
      </c>
      <c r="Y258">
        <f t="shared" ca="1" si="78"/>
        <v>-1.2590755950799633</v>
      </c>
      <c r="Z258">
        <f t="shared" ca="1" si="80"/>
        <v>-2.3948277426982116</v>
      </c>
      <c r="AA258">
        <f t="shared" ca="1" si="81"/>
        <v>1.1357521476182484</v>
      </c>
      <c r="AB258">
        <f t="shared" ca="1" si="82"/>
        <v>150.08489999999995</v>
      </c>
    </row>
    <row r="259" spans="1:28" x14ac:dyDescent="0.25">
      <c r="A259" s="20">
        <f t="shared" ref="A259:A322" ca="1" si="83">B259 - WEEKDAY(B259, 2) + 1</f>
        <v>45663</v>
      </c>
      <c r="B259" vm="758">
        <f ca="1"/>
        <v>45667</v>
      </c>
      <c r="C259" vm="759">
        <f ca="1"/>
        <v>153.13999999999999</v>
      </c>
      <c r="D259" vm="760">
        <f ca="1"/>
        <v>11074716</v>
      </c>
      <c r="E259">
        <f t="shared" ref="E259:E322" ca="1" si="84">C259*D259</f>
        <v>1695982008.2399998</v>
      </c>
      <c r="F259">
        <f ca="1">SUM($E$2:E259)/SUM($D$2:D259)</f>
        <v>152.56920048327459</v>
      </c>
      <c r="G259">
        <f ca="1">_xlfn.STDEV.P($C$2:C259)</f>
        <v>6.507547724656237</v>
      </c>
      <c r="H259">
        <f t="shared" ref="H259:H322" ca="1" si="85">F259 + G259</f>
        <v>159.07674820793082</v>
      </c>
      <c r="I259">
        <f t="shared" ref="I259:I322" ca="1" si="86">F259 - G259</f>
        <v>146.06165275861835</v>
      </c>
      <c r="J259">
        <f t="shared" ca="1" si="74"/>
        <v>147.39449999999999</v>
      </c>
      <c r="K259">
        <f t="shared" ca="1" si="75"/>
        <v>4.4470859471178033</v>
      </c>
      <c r="L259">
        <f t="shared" ca="1" si="76"/>
        <v>156.28867189423559</v>
      </c>
      <c r="M259">
        <f t="shared" ca="1" si="77"/>
        <v>138.5003281057644</v>
      </c>
      <c r="N259">
        <f t="shared" ca="1" si="66"/>
        <v>2.839999999999975</v>
      </c>
      <c r="O259">
        <f t="shared" ca="1" si="67"/>
        <v>2.839999999999975</v>
      </c>
      <c r="P259">
        <f t="shared" ca="1" si="68"/>
        <v>0</v>
      </c>
      <c r="Q259">
        <f t="shared" ca="1" si="72"/>
        <v>0.86607793400946798</v>
      </c>
      <c r="R259">
        <f t="shared" ca="1" si="73"/>
        <v>0.60704853719131713</v>
      </c>
      <c r="S259">
        <f t="shared" ca="1" si="70"/>
        <v>1.426702942101836</v>
      </c>
      <c r="T259">
        <f t="shared" ca="1" si="71"/>
        <v>58.791824798552739</v>
      </c>
      <c r="U259">
        <f>70</f>
        <v>70</v>
      </c>
      <c r="V259">
        <f>30</f>
        <v>30</v>
      </c>
      <c r="W259">
        <f t="shared" ca="1" si="69"/>
        <v>148.41357227127477</v>
      </c>
      <c r="X259">
        <f t="shared" ca="1" si="79"/>
        <v>149.67264786635474</v>
      </c>
      <c r="Y259">
        <f t="shared" ca="1" si="78"/>
        <v>-0.61247747007601561</v>
      </c>
      <c r="Z259">
        <f t="shared" ca="1" si="80"/>
        <v>-2.0383576881737726</v>
      </c>
      <c r="AA259">
        <f t="shared" ca="1" si="81"/>
        <v>1.425880218097757</v>
      </c>
      <c r="AB259">
        <f t="shared" ca="1" si="82"/>
        <v>150.14359999999996</v>
      </c>
    </row>
    <row r="260" spans="1:28" x14ac:dyDescent="0.25">
      <c r="A260" s="20">
        <f t="shared" ca="1" si="83"/>
        <v>45670</v>
      </c>
      <c r="B260" vm="761">
        <f ca="1"/>
        <v>45670</v>
      </c>
      <c r="C260" vm="762">
        <f ca="1"/>
        <v>155.35</v>
      </c>
      <c r="D260" vm="763">
        <f ca="1"/>
        <v>11774073</v>
      </c>
      <c r="E260">
        <f t="shared" ca="1" si="84"/>
        <v>1829102240.55</v>
      </c>
      <c r="F260">
        <f ca="1">SUM($E$2:E260)/SUM($D$2:D260)</f>
        <v>152.58538563963762</v>
      </c>
      <c r="G260">
        <f ca="1">_xlfn.STDEV.P($C$2:C260)</f>
        <v>6.4966403294648964</v>
      </c>
      <c r="H260">
        <f t="shared" ca="1" si="85"/>
        <v>159.08202596910252</v>
      </c>
      <c r="I260">
        <f t="shared" ca="1" si="86"/>
        <v>146.08874531017273</v>
      </c>
      <c r="J260">
        <f t="shared" ca="1" si="74"/>
        <v>147.35149999999999</v>
      </c>
      <c r="K260">
        <f t="shared" ca="1" si="75"/>
        <v>4.3606786953650376</v>
      </c>
      <c r="L260">
        <f t="shared" ca="1" si="76"/>
        <v>156.07285739073006</v>
      </c>
      <c r="M260">
        <f t="shared" ca="1" si="77"/>
        <v>138.63014260926991</v>
      </c>
      <c r="N260">
        <f t="shared" ref="N260:N323" ca="1" si="87">C260-C259</f>
        <v>2.210000000000008</v>
      </c>
      <c r="O260">
        <f t="shared" ref="O260:O323" ca="1" si="88">MAX(N260,0)</f>
        <v>2.210000000000008</v>
      </c>
      <c r="P260">
        <f t="shared" ref="P260:P323" ca="1" si="89">MAX(-N260,0)</f>
        <v>0</v>
      </c>
      <c r="Q260">
        <f t="shared" ca="1" si="72"/>
        <v>0.96207236729450663</v>
      </c>
      <c r="R260">
        <f t="shared" ca="1" si="73"/>
        <v>0.5636879273919374</v>
      </c>
      <c r="S260">
        <f t="shared" ca="1" si="70"/>
        <v>1.7067464470027027</v>
      </c>
      <c r="T260">
        <f t="shared" ca="1" si="71"/>
        <v>63.055276156089789</v>
      </c>
      <c r="U260">
        <f>70</f>
        <v>70</v>
      </c>
      <c r="V260">
        <f>30</f>
        <v>30</v>
      </c>
      <c r="W260">
        <f t="shared" ca="1" si="69"/>
        <v>149.48071499877096</v>
      </c>
      <c r="X260">
        <f t="shared" ca="1" si="79"/>
        <v>150.09319246884698</v>
      </c>
      <c r="Y260">
        <f t="shared" ca="1" si="78"/>
        <v>2.4743026380917854E-2</v>
      </c>
      <c r="Z260">
        <f t="shared" ca="1" si="80"/>
        <v>-1.6257375452628346</v>
      </c>
      <c r="AA260">
        <f t="shared" ca="1" si="81"/>
        <v>1.6504805716437525</v>
      </c>
      <c r="AB260">
        <f t="shared" ca="1" si="82"/>
        <v>150.22879999999995</v>
      </c>
    </row>
    <row r="261" spans="1:28" x14ac:dyDescent="0.25">
      <c r="A261" s="20">
        <f t="shared" ca="1" si="83"/>
        <v>45670</v>
      </c>
      <c r="B261" vm="764">
        <f ca="1"/>
        <v>45671</v>
      </c>
      <c r="C261" vm="302">
        <f ca="1"/>
        <v>156.9</v>
      </c>
      <c r="D261" vm="765">
        <f ca="1"/>
        <v>6830219</v>
      </c>
      <c r="E261">
        <f t="shared" ca="1" si="84"/>
        <v>1071661361.1</v>
      </c>
      <c r="F261">
        <f ca="1">SUM($E$2:E261)/SUM($D$2:D261)</f>
        <v>152.59990452323444</v>
      </c>
      <c r="G261">
        <f ca="1">_xlfn.STDEV.P($C$2:C261)</f>
        <v>6.4886596381231358</v>
      </c>
      <c r="H261">
        <f t="shared" ca="1" si="85"/>
        <v>159.08856416135757</v>
      </c>
      <c r="I261">
        <f t="shared" ca="1" si="86"/>
        <v>146.11124488511132</v>
      </c>
      <c r="J261">
        <f t="shared" ca="1" si="74"/>
        <v>147.46099999999998</v>
      </c>
      <c r="K261">
        <f t="shared" ca="1" si="75"/>
        <v>4.5772974099295061</v>
      </c>
      <c r="L261">
        <f t="shared" ca="1" si="76"/>
        <v>156.61559481985898</v>
      </c>
      <c r="M261">
        <f t="shared" ca="1" si="77"/>
        <v>138.30640518014098</v>
      </c>
      <c r="N261">
        <f t="shared" ca="1" si="87"/>
        <v>1.5500000000000114</v>
      </c>
      <c r="O261">
        <f t="shared" ca="1" si="88"/>
        <v>1.5500000000000114</v>
      </c>
      <c r="P261">
        <f t="shared" ca="1" si="89"/>
        <v>0</v>
      </c>
      <c r="Q261">
        <f t="shared" ca="1" si="72"/>
        <v>1.0040671982020426</v>
      </c>
      <c r="R261">
        <f t="shared" ca="1" si="73"/>
        <v>0.52342450400679907</v>
      </c>
      <c r="S261">
        <f t="shared" ca="1" si="70"/>
        <v>1.9182655579093795</v>
      </c>
      <c r="T261">
        <f t="shared" ca="1" si="71"/>
        <v>65.733070546314792</v>
      </c>
      <c r="U261">
        <f>70</f>
        <v>70</v>
      </c>
      <c r="V261">
        <f>30</f>
        <v>30</v>
      </c>
      <c r="W261">
        <f t="shared" ca="1" si="69"/>
        <v>150.62214346049851</v>
      </c>
      <c r="X261">
        <f t="shared" ca="1" si="79"/>
        <v>150.59740043411759</v>
      </c>
      <c r="Y261">
        <f t="shared" ca="1" si="78"/>
        <v>0.63778195635282486</v>
      </c>
      <c r="Z261">
        <f t="shared" ca="1" si="80"/>
        <v>-1.1730336449397027</v>
      </c>
      <c r="AA261">
        <f t="shared" ca="1" si="81"/>
        <v>1.8108156012925276</v>
      </c>
      <c r="AB261">
        <f t="shared" ca="1" si="82"/>
        <v>150.35089999999997</v>
      </c>
    </row>
    <row r="262" spans="1:28" x14ac:dyDescent="0.25">
      <c r="A262" s="20">
        <f t="shared" ca="1" si="83"/>
        <v>45670</v>
      </c>
      <c r="B262" vm="766">
        <f ca="1"/>
        <v>45672</v>
      </c>
      <c r="C262" vm="767">
        <f ca="1"/>
        <v>158.33000000000001</v>
      </c>
      <c r="D262" vm="768">
        <f ca="1"/>
        <v>7899997</v>
      </c>
      <c r="E262">
        <f t="shared" ca="1" si="84"/>
        <v>1250806525.01</v>
      </c>
      <c r="F262">
        <f ca="1">SUM($E$2:E262)/SUM($D$2:D262)</f>
        <v>152.62212013922556</v>
      </c>
      <c r="G262">
        <f ca="1">_xlfn.STDEV.P($C$2:C262)</f>
        <v>6.4845806154057373</v>
      </c>
      <c r="H262">
        <f t="shared" ca="1" si="85"/>
        <v>159.10670075463131</v>
      </c>
      <c r="I262">
        <f t="shared" ca="1" si="86"/>
        <v>146.13753952381981</v>
      </c>
      <c r="J262">
        <f t="shared" ca="1" si="74"/>
        <v>147.684</v>
      </c>
      <c r="K262">
        <f t="shared" ca="1" si="75"/>
        <v>4.9955068232415263</v>
      </c>
      <c r="L262">
        <f t="shared" ca="1" si="76"/>
        <v>157.67501364648305</v>
      </c>
      <c r="M262">
        <f t="shared" ca="1" si="77"/>
        <v>137.69298635351694</v>
      </c>
      <c r="N262">
        <f t="shared" ca="1" si="87"/>
        <v>1.4300000000000068</v>
      </c>
      <c r="O262">
        <f t="shared" ca="1" si="88"/>
        <v>1.4300000000000068</v>
      </c>
      <c r="P262">
        <f t="shared" ca="1" si="89"/>
        <v>0</v>
      </c>
      <c r="Q262">
        <f t="shared" ca="1" si="72"/>
        <v>1.0344909697590401</v>
      </c>
      <c r="R262">
        <f t="shared" ca="1" si="73"/>
        <v>0.48603703943488485</v>
      </c>
      <c r="S262">
        <f t="shared" ca="1" si="70"/>
        <v>2.1284200293908517</v>
      </c>
      <c r="T262">
        <f t="shared" ca="1" si="71"/>
        <v>68.034982815440088</v>
      </c>
      <c r="U262">
        <f>70</f>
        <v>70</v>
      </c>
      <c r="V262">
        <f>30</f>
        <v>30</v>
      </c>
      <c r="W262">
        <f t="shared" ca="1" si="69"/>
        <v>151.80796754349873</v>
      </c>
      <c r="X262">
        <f t="shared" ca="1" si="79"/>
        <v>151.17018558714591</v>
      </c>
      <c r="Y262">
        <f t="shared" ca="1" si="78"/>
        <v>1.1945756256316713</v>
      </c>
      <c r="Z262">
        <f t="shared" ca="1" si="80"/>
        <v>-0.69951179082542791</v>
      </c>
      <c r="AA262">
        <f t="shared" ca="1" si="81"/>
        <v>1.8940874164570993</v>
      </c>
      <c r="AB262">
        <f t="shared" ca="1" si="82"/>
        <v>150.48099999999994</v>
      </c>
    </row>
    <row r="263" spans="1:28" x14ac:dyDescent="0.25">
      <c r="A263" s="20">
        <f t="shared" ca="1" si="83"/>
        <v>45670</v>
      </c>
      <c r="B263" vm="769">
        <f ca="1"/>
        <v>45673</v>
      </c>
      <c r="C263" vm="770">
        <f ca="1"/>
        <v>159.38</v>
      </c>
      <c r="D263" vm="771">
        <f ca="1"/>
        <v>5578902</v>
      </c>
      <c r="E263">
        <f t="shared" ca="1" si="84"/>
        <v>889165400.75999999</v>
      </c>
      <c r="F263">
        <f ca="1">SUM($E$2:E263)/SUM($D$2:D263)</f>
        <v>152.64057204984962</v>
      </c>
      <c r="G263">
        <f ca="1">_xlfn.STDEV.P($C$2:C263)</f>
        <v>6.4840595129828946</v>
      </c>
      <c r="H263">
        <f t="shared" ca="1" si="85"/>
        <v>159.12463156283252</v>
      </c>
      <c r="I263">
        <f t="shared" ca="1" si="86"/>
        <v>146.15651253686673</v>
      </c>
      <c r="J263">
        <f t="shared" ca="1" si="74"/>
        <v>148.185</v>
      </c>
      <c r="K263">
        <f t="shared" ca="1" si="75"/>
        <v>5.6340791056233011</v>
      </c>
      <c r="L263">
        <f t="shared" ca="1" si="76"/>
        <v>159.4531582112466</v>
      </c>
      <c r="M263">
        <f t="shared" ca="1" si="77"/>
        <v>136.9168417887534</v>
      </c>
      <c r="N263">
        <f t="shared" ca="1" si="87"/>
        <v>1.0499999999999829</v>
      </c>
      <c r="O263">
        <f t="shared" ca="1" si="88"/>
        <v>1.0499999999999829</v>
      </c>
      <c r="P263">
        <f t="shared" ca="1" si="89"/>
        <v>0</v>
      </c>
      <c r="Q263">
        <f t="shared" ca="1" si="72"/>
        <v>1.0355987576333932</v>
      </c>
      <c r="R263">
        <f t="shared" ca="1" si="73"/>
        <v>0.45132010804667877</v>
      </c>
      <c r="S263">
        <f t="shared" ca="1" si="70"/>
        <v>2.294599197264847</v>
      </c>
      <c r="T263">
        <f t="shared" ca="1" si="71"/>
        <v>69.647294249625475</v>
      </c>
      <c r="U263">
        <f>70</f>
        <v>70</v>
      </c>
      <c r="V263">
        <f>30</f>
        <v>30</v>
      </c>
      <c r="W263">
        <f t="shared" ca="1" si="69"/>
        <v>152.97289561372972</v>
      </c>
      <c r="X263">
        <f t="shared" ca="1" si="79"/>
        <v>151.77831998809805</v>
      </c>
      <c r="Y263">
        <f t="shared" ca="1" si="78"/>
        <v>1.7839202311848226</v>
      </c>
      <c r="Z263">
        <f t="shared" ca="1" si="80"/>
        <v>-0.20282538642337783</v>
      </c>
      <c r="AA263">
        <f t="shared" ca="1" si="81"/>
        <v>1.9867456176082003</v>
      </c>
      <c r="AB263">
        <f t="shared" ca="1" si="82"/>
        <v>150.61749999999995</v>
      </c>
    </row>
    <row r="264" spans="1:28" x14ac:dyDescent="0.25">
      <c r="A264" s="20">
        <f t="shared" ca="1" si="83"/>
        <v>45670</v>
      </c>
      <c r="B264" vm="772">
        <f ca="1"/>
        <v>45674</v>
      </c>
      <c r="C264" vm="773">
        <f ca="1"/>
        <v>161.47</v>
      </c>
      <c r="D264" vm="774">
        <f ca="1"/>
        <v>9260428</v>
      </c>
      <c r="E264">
        <f t="shared" ca="1" si="84"/>
        <v>1495281309.1600001</v>
      </c>
      <c r="F264">
        <f ca="1">SUM($E$2:E264)/SUM($D$2:D264)</f>
        <v>152.6804086153019</v>
      </c>
      <c r="G264">
        <f ca="1">_xlfn.STDEV.P($C$2:C264)</f>
        <v>6.4924568816158397</v>
      </c>
      <c r="H264">
        <f t="shared" ca="1" si="85"/>
        <v>159.17286549691775</v>
      </c>
      <c r="I264">
        <f t="shared" ca="1" si="86"/>
        <v>146.18795173368605</v>
      </c>
      <c r="J264">
        <f t="shared" ca="1" si="74"/>
        <v>148.85299999999998</v>
      </c>
      <c r="K264">
        <f t="shared" ca="1" si="75"/>
        <v>6.3688188609985241</v>
      </c>
      <c r="L264">
        <f t="shared" ca="1" si="76"/>
        <v>161.59063772199704</v>
      </c>
      <c r="M264">
        <f t="shared" ca="1" si="77"/>
        <v>136.11536227800292</v>
      </c>
      <c r="N264">
        <f t="shared" ca="1" si="87"/>
        <v>2.0900000000000034</v>
      </c>
      <c r="O264">
        <f t="shared" ca="1" si="88"/>
        <v>2.0900000000000034</v>
      </c>
      <c r="P264">
        <f t="shared" ca="1" si="89"/>
        <v>0</v>
      </c>
      <c r="Q264">
        <f t="shared" ca="1" si="72"/>
        <v>1.1109131320881509</v>
      </c>
      <c r="R264">
        <f t="shared" ca="1" si="73"/>
        <v>0.41908295747191598</v>
      </c>
      <c r="S264">
        <f t="shared" ca="1" si="70"/>
        <v>2.6508191571178279</v>
      </c>
      <c r="T264">
        <f t="shared" ca="1" si="71"/>
        <v>72.60888702059242</v>
      </c>
      <c r="U264">
        <f>70</f>
        <v>70</v>
      </c>
      <c r="V264">
        <f>30</f>
        <v>30</v>
      </c>
      <c r="W264">
        <f t="shared" ca="1" si="69"/>
        <v>154.2801424423867</v>
      </c>
      <c r="X264">
        <f t="shared" ca="1" si="79"/>
        <v>152.49622221120188</v>
      </c>
      <c r="Y264">
        <f t="shared" ca="1" si="78"/>
        <v>1.96766406480981</v>
      </c>
      <c r="Z264">
        <f t="shared" ca="1" si="80"/>
        <v>0.23127250382325976</v>
      </c>
      <c r="AA264">
        <f t="shared" ca="1" si="81"/>
        <v>1.7363915609865503</v>
      </c>
      <c r="AB264">
        <f t="shared" ca="1" si="82"/>
        <v>150.75599999999994</v>
      </c>
    </row>
    <row r="265" spans="1:28" x14ac:dyDescent="0.25">
      <c r="A265" s="20">
        <f t="shared" ca="1" si="83"/>
        <v>45677</v>
      </c>
      <c r="B265" vm="775">
        <f ca="1"/>
        <v>45678</v>
      </c>
      <c r="C265" vm="776">
        <f ca="1"/>
        <v>158.24</v>
      </c>
      <c r="D265" vm="777">
        <f ca="1"/>
        <v>10131372</v>
      </c>
      <c r="E265">
        <f t="shared" ca="1" si="84"/>
        <v>1603188305.2800002</v>
      </c>
      <c r="F265">
        <f ca="1">SUM($E$2:E265)/SUM($D$2:D265)</f>
        <v>152.70771668086252</v>
      </c>
      <c r="G265">
        <f ca="1">_xlfn.STDEV.P($C$2:C265)</f>
        <v>6.4879038999981047</v>
      </c>
      <c r="H265">
        <f t="shared" ca="1" si="85"/>
        <v>159.19562058086063</v>
      </c>
      <c r="I265">
        <f t="shared" ca="1" si="86"/>
        <v>146.2198127808644</v>
      </c>
      <c r="J265">
        <f t="shared" ca="1" si="74"/>
        <v>149.56099999999998</v>
      </c>
      <c r="K265">
        <f t="shared" ca="1" si="75"/>
        <v>6.5933945414291255</v>
      </c>
      <c r="L265">
        <f t="shared" ca="1" si="76"/>
        <v>162.74778908285822</v>
      </c>
      <c r="M265">
        <f t="shared" ca="1" si="77"/>
        <v>136.37421091714174</v>
      </c>
      <c r="N265">
        <f t="shared" ca="1" si="87"/>
        <v>-3.2299999999999898</v>
      </c>
      <c r="O265">
        <f t="shared" ca="1" si="88"/>
        <v>0</v>
      </c>
      <c r="P265">
        <f t="shared" ca="1" si="89"/>
        <v>3.2299999999999898</v>
      </c>
      <c r="Q265">
        <f t="shared" ca="1" si="72"/>
        <v>1.0315621940818545</v>
      </c>
      <c r="R265">
        <f t="shared" ca="1" si="73"/>
        <v>0.61986274622392123</v>
      </c>
      <c r="S265">
        <f t="shared" ca="1" si="70"/>
        <v>1.664178401373406</v>
      </c>
      <c r="T265">
        <f t="shared" ca="1" si="71"/>
        <v>62.464976088519762</v>
      </c>
      <c r="U265">
        <f>70</f>
        <v>70</v>
      </c>
      <c r="V265">
        <f>30</f>
        <v>30</v>
      </c>
      <c r="W265">
        <f t="shared" ca="1" si="69"/>
        <v>154.88935129740415</v>
      </c>
      <c r="X265">
        <f t="shared" ca="1" si="79"/>
        <v>152.92168723259434</v>
      </c>
      <c r="Y265">
        <f t="shared" ca="1" si="78"/>
        <v>1.943216480728978</v>
      </c>
      <c r="Z265">
        <f t="shared" ca="1" si="80"/>
        <v>0.57366129920440345</v>
      </c>
      <c r="AA265">
        <f t="shared" ca="1" si="81"/>
        <v>1.3695551815245746</v>
      </c>
      <c r="AB265">
        <f t="shared" ca="1" si="82"/>
        <v>150.85339999999994</v>
      </c>
    </row>
    <row r="266" spans="1:28" x14ac:dyDescent="0.25">
      <c r="A266" s="20">
        <f t="shared" ca="1" si="83"/>
        <v>45677</v>
      </c>
      <c r="B266" vm="778">
        <f ca="1"/>
        <v>45679</v>
      </c>
      <c r="C266" vm="779">
        <f ca="1"/>
        <v>156.41</v>
      </c>
      <c r="D266" vm="780">
        <f ca="1"/>
        <v>7232227</v>
      </c>
      <c r="E266">
        <f t="shared" ca="1" si="84"/>
        <v>1131192625.0699999</v>
      </c>
      <c r="F266">
        <f ca="1">SUM($E$2:E266)/SUM($D$2:D266)</f>
        <v>152.72065272199814</v>
      </c>
      <c r="G266">
        <f ca="1">_xlfn.STDEV.P($C$2:C266)</f>
        <v>6.4788359548069012</v>
      </c>
      <c r="H266">
        <f t="shared" ca="1" si="85"/>
        <v>159.19948867680503</v>
      </c>
      <c r="I266">
        <f t="shared" ca="1" si="86"/>
        <v>146.24181676719124</v>
      </c>
      <c r="J266">
        <f t="shared" ca="1" si="74"/>
        <v>150.32399999999998</v>
      </c>
      <c r="K266">
        <f t="shared" ca="1" si="75"/>
        <v>6.4502332883147897</v>
      </c>
      <c r="L266">
        <f t="shared" ca="1" si="76"/>
        <v>163.22446657662957</v>
      </c>
      <c r="M266">
        <f t="shared" ca="1" si="77"/>
        <v>137.4235334233704</v>
      </c>
      <c r="N266">
        <f t="shared" ca="1" si="87"/>
        <v>-1.8300000000000125</v>
      </c>
      <c r="O266">
        <f t="shared" ca="1" si="88"/>
        <v>0</v>
      </c>
      <c r="P266">
        <f t="shared" ca="1" si="89"/>
        <v>1.8300000000000125</v>
      </c>
      <c r="Q266">
        <f t="shared" ca="1" si="72"/>
        <v>0.95787918021886487</v>
      </c>
      <c r="R266">
        <f t="shared" ca="1" si="73"/>
        <v>0.70630112149364199</v>
      </c>
      <c r="S266">
        <f t="shared" ca="1" si="70"/>
        <v>1.3561909376459733</v>
      </c>
      <c r="T266">
        <f t="shared" ca="1" si="71"/>
        <v>57.558617851273056</v>
      </c>
      <c r="U266">
        <f>70</f>
        <v>70</v>
      </c>
      <c r="V266">
        <f>30</f>
        <v>30</v>
      </c>
      <c r="W266">
        <f t="shared" ca="1" si="69"/>
        <v>155.12329725164966</v>
      </c>
      <c r="X266">
        <f t="shared" ca="1" si="79"/>
        <v>153.18008077092068</v>
      </c>
      <c r="Y266">
        <f t="shared" ca="1" si="78"/>
        <v>1.8700086415690294</v>
      </c>
      <c r="Z266">
        <f t="shared" ca="1" si="80"/>
        <v>0.83293076767732876</v>
      </c>
      <c r="AA266">
        <f t="shared" ca="1" si="81"/>
        <v>1.0370778738917006</v>
      </c>
      <c r="AB266">
        <f t="shared" ca="1" si="82"/>
        <v>150.94799999999995</v>
      </c>
    </row>
    <row r="267" spans="1:28" x14ac:dyDescent="0.25">
      <c r="A267" s="20">
        <f t="shared" ca="1" si="83"/>
        <v>45677</v>
      </c>
      <c r="B267" vm="781">
        <f ca="1"/>
        <v>45680</v>
      </c>
      <c r="C267" vm="782">
        <f ca="1"/>
        <v>156.01</v>
      </c>
      <c r="D267" vm="783">
        <f ca="1"/>
        <v>5979808</v>
      </c>
      <c r="E267">
        <f t="shared" ca="1" si="84"/>
        <v>932909846.07999992</v>
      </c>
      <c r="F267">
        <f ca="1">SUM($E$2:E267)/SUM($D$2:D267)</f>
        <v>152.73012825807803</v>
      </c>
      <c r="G267">
        <f ca="1">_xlfn.STDEV.P($C$2:C267)</f>
        <v>6.4690817951131141</v>
      </c>
      <c r="H267">
        <f t="shared" ca="1" si="85"/>
        <v>159.19921005319114</v>
      </c>
      <c r="I267">
        <f t="shared" ca="1" si="86"/>
        <v>146.26104646296491</v>
      </c>
      <c r="J267">
        <f t="shared" ca="1" si="74"/>
        <v>150.98199999999997</v>
      </c>
      <c r="K267">
        <f t="shared" ca="1" si="75"/>
        <v>6.3175416604545598</v>
      </c>
      <c r="L267">
        <f t="shared" ca="1" si="76"/>
        <v>163.6170833209091</v>
      </c>
      <c r="M267">
        <f t="shared" ca="1" si="77"/>
        <v>138.34691667909084</v>
      </c>
      <c r="N267">
        <f t="shared" ca="1" si="87"/>
        <v>-0.40000000000000568</v>
      </c>
      <c r="O267">
        <f t="shared" ca="1" si="88"/>
        <v>0</v>
      </c>
      <c r="P267">
        <f t="shared" ca="1" si="89"/>
        <v>0.40000000000000568</v>
      </c>
      <c r="Q267">
        <f t="shared" ca="1" si="72"/>
        <v>0.88945923877466015</v>
      </c>
      <c r="R267">
        <f t="shared" ca="1" si="73"/>
        <v>0.68442246995838218</v>
      </c>
      <c r="S267">
        <f t="shared" ca="1" si="70"/>
        <v>1.2995763257578987</v>
      </c>
      <c r="T267">
        <f t="shared" ca="1" si="71"/>
        <v>56.513728689983012</v>
      </c>
      <c r="U267">
        <f>70</f>
        <v>70</v>
      </c>
      <c r="V267">
        <f>30</f>
        <v>30</v>
      </c>
      <c r="W267">
        <f t="shared" ca="1" si="69"/>
        <v>155.25971305908817</v>
      </c>
      <c r="X267">
        <f t="shared" ca="1" si="79"/>
        <v>153.38970441751914</v>
      </c>
      <c r="Y267">
        <f t="shared" ca="1" si="78"/>
        <v>1.762623483918702</v>
      </c>
      <c r="Z267">
        <f t="shared" ca="1" si="80"/>
        <v>1.0188693109256035</v>
      </c>
      <c r="AA267">
        <f t="shared" ca="1" si="81"/>
        <v>0.74375417299309854</v>
      </c>
      <c r="AB267">
        <f t="shared" ca="1" si="82"/>
        <v>151.04809999999995</v>
      </c>
    </row>
    <row r="268" spans="1:28" x14ac:dyDescent="0.25">
      <c r="A268" s="20">
        <f t="shared" ca="1" si="83"/>
        <v>45677</v>
      </c>
      <c r="B268" vm="784">
        <f ca="1"/>
        <v>45681</v>
      </c>
      <c r="C268" vm="785">
        <f ca="1"/>
        <v>155.65</v>
      </c>
      <c r="D268" vm="786">
        <f ca="1"/>
        <v>8003778</v>
      </c>
      <c r="E268">
        <f t="shared" ca="1" si="84"/>
        <v>1245788045.7</v>
      </c>
      <c r="F268">
        <f ca="1">SUM($E$2:E268)/SUM($D$2:D268)</f>
        <v>152.74134313076436</v>
      </c>
      <c r="G268">
        <f ca="1">_xlfn.STDEV.P($C$2:C268)</f>
        <v>6.4588044602836323</v>
      </c>
      <c r="H268">
        <f t="shared" ca="1" si="85"/>
        <v>159.20014759104799</v>
      </c>
      <c r="I268">
        <f t="shared" ca="1" si="86"/>
        <v>146.28253867048073</v>
      </c>
      <c r="J268">
        <f t="shared" ca="1" si="74"/>
        <v>151.61600000000001</v>
      </c>
      <c r="K268">
        <f t="shared" ca="1" si="75"/>
        <v>6.1038136482556204</v>
      </c>
      <c r="L268">
        <f t="shared" ca="1" si="76"/>
        <v>163.82362729651126</v>
      </c>
      <c r="M268">
        <f t="shared" ca="1" si="77"/>
        <v>139.40837270348877</v>
      </c>
      <c r="N268">
        <f t="shared" ca="1" si="87"/>
        <v>-0.35999999999998522</v>
      </c>
      <c r="O268">
        <f t="shared" ca="1" si="88"/>
        <v>0</v>
      </c>
      <c r="P268">
        <f t="shared" ca="1" si="89"/>
        <v>0.35999999999998522</v>
      </c>
      <c r="Q268">
        <f t="shared" ca="1" si="72"/>
        <v>0.82592643600504156</v>
      </c>
      <c r="R268">
        <f t="shared" ca="1" si="73"/>
        <v>0.66124943638992517</v>
      </c>
      <c r="S268">
        <f t="shared" ca="1" si="70"/>
        <v>1.249039153082937</v>
      </c>
      <c r="T268">
        <f t="shared" ca="1" si="71"/>
        <v>55.536567754757833</v>
      </c>
      <c r="U268">
        <f>70</f>
        <v>70</v>
      </c>
      <c r="V268">
        <f>30</f>
        <v>30</v>
      </c>
      <c r="W268">
        <f t="shared" ca="1" si="69"/>
        <v>155.31975720384384</v>
      </c>
      <c r="X268">
        <f t="shared" ca="1" si="79"/>
        <v>153.55713371992513</v>
      </c>
      <c r="Y268">
        <f t="shared" ca="1" si="78"/>
        <v>1.784442822125186</v>
      </c>
      <c r="Z268">
        <f t="shared" ca="1" si="80"/>
        <v>1.1719840131655201</v>
      </c>
      <c r="AA268">
        <f t="shared" ca="1" si="81"/>
        <v>0.61245880895966587</v>
      </c>
      <c r="AB268">
        <f t="shared" ca="1" si="82"/>
        <v>151.13039999999995</v>
      </c>
    </row>
    <row r="269" spans="1:28" x14ac:dyDescent="0.25">
      <c r="A269" s="20">
        <f t="shared" ca="1" si="83"/>
        <v>45684</v>
      </c>
      <c r="B269" vm="787">
        <f ca="1"/>
        <v>45684</v>
      </c>
      <c r="C269" vm="788">
        <f ca="1"/>
        <v>157.22999999999999</v>
      </c>
      <c r="D269" vm="789">
        <f ca="1"/>
        <v>7140991</v>
      </c>
      <c r="E269">
        <f t="shared" ca="1" si="84"/>
        <v>1122778014.9299998</v>
      </c>
      <c r="F269">
        <f ca="1">SUM($E$2:E269)/SUM($D$2:D269)</f>
        <v>152.75667251526332</v>
      </c>
      <c r="G269">
        <f ca="1">_xlfn.STDEV.P($C$2:C269)</f>
        <v>6.4515879903679902</v>
      </c>
      <c r="H269">
        <f t="shared" ca="1" si="85"/>
        <v>159.2082605056313</v>
      </c>
      <c r="I269">
        <f t="shared" ca="1" si="86"/>
        <v>146.30508452489534</v>
      </c>
      <c r="J269">
        <f t="shared" ca="1" si="74"/>
        <v>152.28550000000001</v>
      </c>
      <c r="K269">
        <f t="shared" ca="1" si="75"/>
        <v>5.9381039637421749</v>
      </c>
      <c r="L269">
        <f t="shared" ca="1" si="76"/>
        <v>164.16170792748437</v>
      </c>
      <c r="M269">
        <f t="shared" ca="1" si="77"/>
        <v>140.40929207251565</v>
      </c>
      <c r="N269">
        <f t="shared" ca="1" si="87"/>
        <v>1.5799999999999841</v>
      </c>
      <c r="O269">
        <f t="shared" ca="1" si="88"/>
        <v>1.5799999999999841</v>
      </c>
      <c r="P269">
        <f t="shared" ca="1" si="89"/>
        <v>0</v>
      </c>
      <c r="Q269">
        <f t="shared" ca="1" si="72"/>
        <v>0.87978883343325176</v>
      </c>
      <c r="R269">
        <f t="shared" ca="1" si="73"/>
        <v>0.61401733379064471</v>
      </c>
      <c r="S269">
        <f t="shared" ca="1" si="70"/>
        <v>1.4328403857947509</v>
      </c>
      <c r="T269">
        <f t="shared" ca="1" si="71"/>
        <v>58.895782648177146</v>
      </c>
      <c r="U269">
        <f>70</f>
        <v>70</v>
      </c>
      <c r="V269">
        <f>30</f>
        <v>30</v>
      </c>
      <c r="W269">
        <f t="shared" ca="1" si="69"/>
        <v>155.61364071094476</v>
      </c>
      <c r="X269">
        <f t="shared" ca="1" si="79"/>
        <v>153.82919788881958</v>
      </c>
      <c r="Y269">
        <f t="shared" ca="1" si="78"/>
        <v>1.6998346931174524</v>
      </c>
      <c r="Z269">
        <f t="shared" ca="1" si="80"/>
        <v>1.2775541491559066</v>
      </c>
      <c r="AA269">
        <f t="shared" ca="1" si="81"/>
        <v>0.4222805439615458</v>
      </c>
      <c r="AB269">
        <f t="shared" ca="1" si="82"/>
        <v>151.22319999999993</v>
      </c>
    </row>
    <row r="270" spans="1:28" x14ac:dyDescent="0.25">
      <c r="A270" s="20">
        <f t="shared" ca="1" si="83"/>
        <v>45684</v>
      </c>
      <c r="B270" vm="790">
        <f ca="1"/>
        <v>45685</v>
      </c>
      <c r="C270" vm="703">
        <f ca="1"/>
        <v>156.21</v>
      </c>
      <c r="D270" vm="791">
        <f ca="1"/>
        <v>6425353</v>
      </c>
      <c r="E270">
        <f t="shared" ca="1" si="84"/>
        <v>1003704392.13</v>
      </c>
      <c r="F270">
        <f ca="1">SUM($E$2:E270)/SUM($D$2:D270)</f>
        <v>152.76725169728201</v>
      </c>
      <c r="G270">
        <f ca="1">_xlfn.STDEV.P($C$2:C270)</f>
        <v>6.4422854228800306</v>
      </c>
      <c r="H270">
        <f t="shared" ca="1" si="85"/>
        <v>159.20953712016203</v>
      </c>
      <c r="I270">
        <f t="shared" ca="1" si="86"/>
        <v>146.32496627440199</v>
      </c>
      <c r="J270">
        <f t="shared" ca="1" si="74"/>
        <v>152.89700000000002</v>
      </c>
      <c r="K270">
        <f t="shared" ca="1" si="75"/>
        <v>5.6610498375440832</v>
      </c>
      <c r="L270">
        <f t="shared" ca="1" si="76"/>
        <v>164.21909967508819</v>
      </c>
      <c r="M270">
        <f t="shared" ca="1" si="77"/>
        <v>141.57490032491185</v>
      </c>
      <c r="N270">
        <f t="shared" ca="1" si="87"/>
        <v>-1.0199999999999818</v>
      </c>
      <c r="O270">
        <f t="shared" ca="1" si="88"/>
        <v>0</v>
      </c>
      <c r="P270">
        <f t="shared" ca="1" si="89"/>
        <v>1.0199999999999818</v>
      </c>
      <c r="Q270">
        <f t="shared" ca="1" si="72"/>
        <v>0.8169467739023053</v>
      </c>
      <c r="R270">
        <f t="shared" ca="1" si="73"/>
        <v>0.64301609566274021</v>
      </c>
      <c r="S270">
        <f t="shared" ca="1" si="70"/>
        <v>1.2704919509989858</v>
      </c>
      <c r="T270">
        <f t="shared" ca="1" si="71"/>
        <v>55.956681565860059</v>
      </c>
      <c r="U270">
        <f>70</f>
        <v>70</v>
      </c>
      <c r="V270">
        <f>30</f>
        <v>30</v>
      </c>
      <c r="W270">
        <f t="shared" ca="1" si="69"/>
        <v>155.70538829387633</v>
      </c>
      <c r="X270">
        <f t="shared" ca="1" si="79"/>
        <v>154.00555360075887</v>
      </c>
      <c r="Y270">
        <f t="shared" ca="1" si="78"/>
        <v>1.5726934559391452</v>
      </c>
      <c r="Z270">
        <f t="shared" ca="1" si="80"/>
        <v>1.3365820105125543</v>
      </c>
      <c r="AA270">
        <f t="shared" ca="1" si="81"/>
        <v>0.2361114454265909</v>
      </c>
      <c r="AB270">
        <f t="shared" ca="1" si="82"/>
        <v>151.33869999999996</v>
      </c>
    </row>
    <row r="271" spans="1:28" x14ac:dyDescent="0.25">
      <c r="A271" s="20">
        <f t="shared" ca="1" si="83"/>
        <v>45684</v>
      </c>
      <c r="B271" vm="792">
        <f ca="1"/>
        <v>45686</v>
      </c>
      <c r="C271" vm="793">
        <f ca="1"/>
        <v>155.69</v>
      </c>
      <c r="D271" vm="794">
        <f ca="1"/>
        <v>5630563</v>
      </c>
      <c r="E271">
        <f t="shared" ca="1" si="84"/>
        <v>876622353.47000003</v>
      </c>
      <c r="F271">
        <f ca="1">SUM($E$2:E271)/SUM($D$2:D271)</f>
        <v>152.77507691184167</v>
      </c>
      <c r="G271">
        <f ca="1">_xlfn.STDEV.P($C$2:C271)</f>
        <v>6.432185285738325</v>
      </c>
      <c r="H271">
        <f t="shared" ca="1" si="85"/>
        <v>159.20726219757998</v>
      </c>
      <c r="I271">
        <f t="shared" ca="1" si="86"/>
        <v>146.34289162610335</v>
      </c>
      <c r="J271">
        <f t="shared" ca="1" si="74"/>
        <v>153.48150000000004</v>
      </c>
      <c r="K271">
        <f t="shared" ca="1" si="75"/>
        <v>5.2851014778884764</v>
      </c>
      <c r="L271">
        <f t="shared" ca="1" si="76"/>
        <v>164.05170295577699</v>
      </c>
      <c r="M271">
        <f t="shared" ca="1" si="77"/>
        <v>142.91129704422309</v>
      </c>
      <c r="N271">
        <f t="shared" ca="1" si="87"/>
        <v>-0.52000000000001023</v>
      </c>
      <c r="O271">
        <f t="shared" ca="1" si="88"/>
        <v>0</v>
      </c>
      <c r="P271">
        <f t="shared" ca="1" si="89"/>
        <v>0.52000000000001023</v>
      </c>
      <c r="Q271">
        <f t="shared" ca="1" si="72"/>
        <v>0.75859343290928349</v>
      </c>
      <c r="R271">
        <f t="shared" ca="1" si="73"/>
        <v>0.63422923168683099</v>
      </c>
      <c r="S271">
        <f t="shared" ca="1" si="70"/>
        <v>1.1960871480043369</v>
      </c>
      <c r="T271">
        <f t="shared" ca="1" si="71"/>
        <v>54.464466453039634</v>
      </c>
      <c r="U271">
        <f>70</f>
        <v>70</v>
      </c>
      <c r="V271">
        <f>30</f>
        <v>30</v>
      </c>
      <c r="W271">
        <f t="shared" ref="W271:W334" ca="1" si="90">C271*(2/(12+1)) + W270*(1-(2/(12+1)))</f>
        <v>155.70302086404919</v>
      </c>
      <c r="X271">
        <f t="shared" ca="1" si="79"/>
        <v>154.13032740811005</v>
      </c>
      <c r="Y271">
        <f t="shared" ca="1" si="78"/>
        <v>1.5054153532388739</v>
      </c>
      <c r="Z271">
        <f t="shared" ca="1" si="80"/>
        <v>1.3703486790578183</v>
      </c>
      <c r="AA271">
        <f t="shared" ca="1" si="81"/>
        <v>0.13506667418105556</v>
      </c>
      <c r="AB271">
        <f t="shared" ca="1" si="82"/>
        <v>151.47489999999996</v>
      </c>
    </row>
    <row r="272" spans="1:28" x14ac:dyDescent="0.25">
      <c r="A272" s="20">
        <f t="shared" ca="1" si="83"/>
        <v>45684</v>
      </c>
      <c r="B272" vm="795">
        <f ca="1"/>
        <v>45687</v>
      </c>
      <c r="C272" vm="361">
        <f ca="1"/>
        <v>156.32</v>
      </c>
      <c r="D272" vm="796">
        <f ca="1"/>
        <v>6931918</v>
      </c>
      <c r="E272">
        <f t="shared" ca="1" si="84"/>
        <v>1083597421.76</v>
      </c>
      <c r="F272">
        <f ca="1">SUM($E$2:E272)/SUM($D$2:D272)</f>
        <v>152.78672310811302</v>
      </c>
      <c r="G272">
        <f ca="1">_xlfn.STDEV.P($C$2:C272)</f>
        <v>6.4231542014043024</v>
      </c>
      <c r="H272">
        <f t="shared" ca="1" si="85"/>
        <v>159.20987730951734</v>
      </c>
      <c r="I272">
        <f t="shared" ca="1" si="86"/>
        <v>146.36356890670871</v>
      </c>
      <c r="J272">
        <f t="shared" ca="1" si="74"/>
        <v>154.14400000000001</v>
      </c>
      <c r="K272">
        <f t="shared" ca="1" si="75"/>
        <v>4.7105328785605556</v>
      </c>
      <c r="L272">
        <f t="shared" ca="1" si="76"/>
        <v>163.56506575712112</v>
      </c>
      <c r="M272">
        <f t="shared" ca="1" si="77"/>
        <v>144.72293424287889</v>
      </c>
      <c r="N272">
        <f t="shared" ca="1" si="87"/>
        <v>0.62999999999999545</v>
      </c>
      <c r="O272">
        <f t="shared" ca="1" si="88"/>
        <v>0.62999999999999545</v>
      </c>
      <c r="P272">
        <f t="shared" ca="1" si="89"/>
        <v>0</v>
      </c>
      <c r="Q272">
        <f t="shared" ca="1" si="72"/>
        <v>0.74940818770147721</v>
      </c>
      <c r="R272">
        <f t="shared" ca="1" si="73"/>
        <v>0.58892714370920018</v>
      </c>
      <c r="S272">
        <f t="shared" ref="S272:S335" ca="1" si="91">IF(R272=0,NA(),Q272/R272)</f>
        <v>1.2724972786642674</v>
      </c>
      <c r="T272">
        <f t="shared" ref="T272:T335" ca="1" si="92">100-(100/(1+S272))</f>
        <v>55.995546864294511</v>
      </c>
      <c r="U272">
        <f>70</f>
        <v>70</v>
      </c>
      <c r="V272">
        <f>30</f>
        <v>30</v>
      </c>
      <c r="W272">
        <f t="shared" ca="1" si="90"/>
        <v>155.79794073111856</v>
      </c>
      <c r="X272">
        <f t="shared" ca="1" si="79"/>
        <v>154.29252537787968</v>
      </c>
      <c r="Y272">
        <f t="shared" ca="1" si="78"/>
        <v>0.86677392971884615</v>
      </c>
      <c r="Z272">
        <f t="shared" ca="1" si="80"/>
        <v>1.2696337291900239</v>
      </c>
      <c r="AA272">
        <f t="shared" ca="1" si="81"/>
        <v>-0.40285979947117778</v>
      </c>
      <c r="AB272">
        <f t="shared" ca="1" si="82"/>
        <v>151.62879999999998</v>
      </c>
    </row>
    <row r="273" spans="1:28" x14ac:dyDescent="0.25">
      <c r="A273" s="20">
        <f t="shared" ca="1" si="83"/>
        <v>45684</v>
      </c>
      <c r="B273" vm="797">
        <f ca="1"/>
        <v>45688</v>
      </c>
      <c r="C273" vm="798">
        <f ca="1"/>
        <v>149.19</v>
      </c>
      <c r="D273" vm="799">
        <f ca="1"/>
        <v>16731592</v>
      </c>
      <c r="E273">
        <f t="shared" ca="1" si="84"/>
        <v>2496186210.48</v>
      </c>
      <c r="F273">
        <f ca="1">SUM($E$2:E273)/SUM($D$2:D273)</f>
        <v>152.75842627292792</v>
      </c>
      <c r="G273">
        <f ca="1">_xlfn.STDEV.P($C$2:C273)</f>
        <v>6.415877011046911</v>
      </c>
      <c r="H273">
        <f t="shared" ca="1" si="85"/>
        <v>159.17430328397484</v>
      </c>
      <c r="I273">
        <f t="shared" ca="1" si="86"/>
        <v>146.342549261881</v>
      </c>
      <c r="J273">
        <f t="shared" ca="1" si="74"/>
        <v>154.36150000000004</v>
      </c>
      <c r="K273">
        <f t="shared" ca="1" si="75"/>
        <v>4.3445359209495615</v>
      </c>
      <c r="L273">
        <f t="shared" ca="1" si="76"/>
        <v>163.05057184189917</v>
      </c>
      <c r="M273">
        <f t="shared" ca="1" si="77"/>
        <v>145.6724281581009</v>
      </c>
      <c r="N273">
        <f t="shared" ca="1" si="87"/>
        <v>-7.1299999999999955</v>
      </c>
      <c r="O273">
        <f t="shared" ca="1" si="88"/>
        <v>0</v>
      </c>
      <c r="P273">
        <f t="shared" ca="1" si="89"/>
        <v>7.1299999999999955</v>
      </c>
      <c r="Q273">
        <f t="shared" ref="Q273:Q336" ca="1" si="93">(Q272*13+O273)/14</f>
        <v>0.69587903143708607</v>
      </c>
      <c r="R273">
        <f t="shared" ref="R273:R336" ca="1" si="94">(R272*13+P273)/14</f>
        <v>1.0561466334442571</v>
      </c>
      <c r="S273">
        <f t="shared" ca="1" si="91"/>
        <v>0.65888486446973482</v>
      </c>
      <c r="T273">
        <f t="shared" ca="1" si="92"/>
        <v>39.718540965792009</v>
      </c>
      <c r="U273">
        <f>70</f>
        <v>70</v>
      </c>
      <c r="V273">
        <f>30</f>
        <v>30</v>
      </c>
      <c r="W273">
        <f t="shared" ca="1" si="90"/>
        <v>154.78133446479262</v>
      </c>
      <c r="X273">
        <f t="shared" ca="1" si="79"/>
        <v>153.91456053507378</v>
      </c>
      <c r="Y273">
        <f t="shared" ca="1" si="78"/>
        <v>0.3685018864513836</v>
      </c>
      <c r="Z273">
        <f t="shared" ca="1" si="80"/>
        <v>1.0894073606422958</v>
      </c>
      <c r="AA273">
        <f t="shared" ca="1" si="81"/>
        <v>-0.72090547419091222</v>
      </c>
      <c r="AB273">
        <f t="shared" ca="1" si="82"/>
        <v>151.73509999999999</v>
      </c>
    </row>
    <row r="274" spans="1:28" x14ac:dyDescent="0.25">
      <c r="A274" s="20">
        <f t="shared" ca="1" si="83"/>
        <v>45691</v>
      </c>
      <c r="B274" vm="800">
        <f ca="1"/>
        <v>45691</v>
      </c>
      <c r="C274" vm="801">
        <f ca="1"/>
        <v>149.34</v>
      </c>
      <c r="D274" vm="802">
        <f ca="1"/>
        <v>7604961</v>
      </c>
      <c r="E274">
        <f t="shared" ca="1" si="84"/>
        <v>1135724875.74</v>
      </c>
      <c r="F274">
        <f ca="1">SUM($E$2:E274)/SUM($D$2:D274)</f>
        <v>152.74624573240177</v>
      </c>
      <c r="G274">
        <f ca="1">_xlfn.STDEV.P($C$2:C274)</f>
        <v>6.4082788007552098</v>
      </c>
      <c r="H274">
        <f t="shared" ca="1" si="85"/>
        <v>159.15452453315697</v>
      </c>
      <c r="I274">
        <f t="shared" ca="1" si="86"/>
        <v>146.33796693164658</v>
      </c>
      <c r="J274">
        <f t="shared" ca="1" si="74"/>
        <v>154.49300000000002</v>
      </c>
      <c r="K274">
        <f t="shared" ca="1" si="75"/>
        <v>4.1355265686487863</v>
      </c>
      <c r="L274">
        <f t="shared" ca="1" si="76"/>
        <v>162.76405313729759</v>
      </c>
      <c r="M274">
        <f t="shared" ca="1" si="77"/>
        <v>146.22194686270245</v>
      </c>
      <c r="N274">
        <f t="shared" ca="1" si="87"/>
        <v>0.15000000000000568</v>
      </c>
      <c r="O274">
        <f t="shared" ca="1" si="88"/>
        <v>0.15000000000000568</v>
      </c>
      <c r="P274">
        <f t="shared" ca="1" si="89"/>
        <v>0</v>
      </c>
      <c r="Q274">
        <f t="shared" ca="1" si="93"/>
        <v>0.65688767204872323</v>
      </c>
      <c r="R274">
        <f t="shared" ca="1" si="94"/>
        <v>0.98070758819823867</v>
      </c>
      <c r="S274">
        <f t="shared" ca="1" si="91"/>
        <v>0.66980992087107316</v>
      </c>
      <c r="T274">
        <f t="shared" ca="1" si="92"/>
        <v>40.11294414406521</v>
      </c>
      <c r="U274">
        <f>70</f>
        <v>70</v>
      </c>
      <c r="V274">
        <f>30</f>
        <v>30</v>
      </c>
      <c r="W274">
        <f t="shared" ca="1" si="90"/>
        <v>153.94420608559378</v>
      </c>
      <c r="X274">
        <f t="shared" ca="1" si="79"/>
        <v>153.57570419914239</v>
      </c>
      <c r="Y274">
        <f t="shared" ca="1" si="78"/>
        <v>0.28343402478654411</v>
      </c>
      <c r="Z274">
        <f t="shared" ca="1" si="80"/>
        <v>0.92821269347114554</v>
      </c>
      <c r="AA274">
        <f t="shared" ca="1" si="81"/>
        <v>-0.64477866868460143</v>
      </c>
      <c r="AB274">
        <f t="shared" ca="1" si="82"/>
        <v>151.82549999999998</v>
      </c>
    </row>
    <row r="275" spans="1:28" x14ac:dyDescent="0.25">
      <c r="A275" s="20">
        <f t="shared" ca="1" si="83"/>
        <v>45691</v>
      </c>
      <c r="B275" vm="803">
        <f ca="1"/>
        <v>45692</v>
      </c>
      <c r="C275" vm="804">
        <f ca="1"/>
        <v>153.22</v>
      </c>
      <c r="D275" vm="805">
        <f ca="1"/>
        <v>8458070</v>
      </c>
      <c r="E275">
        <f t="shared" ca="1" si="84"/>
        <v>1295945485.4000001</v>
      </c>
      <c r="F275">
        <f ca="1">SUM($E$2:E275)/SUM($D$2:D275)</f>
        <v>152.74811576893933</v>
      </c>
      <c r="G275">
        <f ca="1">_xlfn.STDEV.P($C$2:C275)</f>
        <v>6.3965756030989906</v>
      </c>
      <c r="H275">
        <f t="shared" ca="1" si="85"/>
        <v>159.14469137203832</v>
      </c>
      <c r="I275">
        <f t="shared" ca="1" si="86"/>
        <v>146.35154016584033</v>
      </c>
      <c r="J275">
        <f t="shared" ca="1" si="74"/>
        <v>154.76150000000001</v>
      </c>
      <c r="K275">
        <f t="shared" ca="1" si="75"/>
        <v>3.845696535363297</v>
      </c>
      <c r="L275">
        <f t="shared" ca="1" si="76"/>
        <v>162.45289307072662</v>
      </c>
      <c r="M275">
        <f t="shared" ca="1" si="77"/>
        <v>147.07010692927341</v>
      </c>
      <c r="N275">
        <f t="shared" ca="1" si="87"/>
        <v>3.8799999999999955</v>
      </c>
      <c r="O275">
        <f t="shared" ca="1" si="88"/>
        <v>3.8799999999999955</v>
      </c>
      <c r="P275">
        <f t="shared" ca="1" si="89"/>
        <v>0</v>
      </c>
      <c r="Q275">
        <f t="shared" ca="1" si="93"/>
        <v>0.88710998118809992</v>
      </c>
      <c r="R275">
        <f t="shared" ca="1" si="94"/>
        <v>0.91065704618407872</v>
      </c>
      <c r="S275">
        <f t="shared" ca="1" si="91"/>
        <v>0.97414277406115957</v>
      </c>
      <c r="T275">
        <f t="shared" ca="1" si="92"/>
        <v>49.345102434368322</v>
      </c>
      <c r="U275">
        <f>70</f>
        <v>70</v>
      </c>
      <c r="V275">
        <f>30</f>
        <v>30</v>
      </c>
      <c r="W275">
        <f t="shared" ca="1" si="90"/>
        <v>153.83278976473321</v>
      </c>
      <c r="X275">
        <f t="shared" ca="1" si="79"/>
        <v>153.54935573994666</v>
      </c>
      <c r="Y275">
        <f t="shared" ca="1" si="78"/>
        <v>0.19520781949597676</v>
      </c>
      <c r="Z275">
        <f t="shared" ca="1" si="80"/>
        <v>0.78161171867611179</v>
      </c>
      <c r="AA275">
        <f t="shared" ca="1" si="81"/>
        <v>-0.58640389918013502</v>
      </c>
      <c r="AB275">
        <f t="shared" ca="1" si="82"/>
        <v>151.97539999999995</v>
      </c>
    </row>
    <row r="276" spans="1:28" x14ac:dyDescent="0.25">
      <c r="A276" s="20">
        <f t="shared" ca="1" si="83"/>
        <v>45691</v>
      </c>
      <c r="B276" vm="806">
        <f ca="1"/>
        <v>45693</v>
      </c>
      <c r="C276" vm="807">
        <f ca="1"/>
        <v>152.99</v>
      </c>
      <c r="D276" vm="808">
        <f ca="1"/>
        <v>6533680</v>
      </c>
      <c r="E276">
        <f t="shared" ca="1" si="84"/>
        <v>999587703.20000005</v>
      </c>
      <c r="F276">
        <f ca="1">SUM($E$2:E276)/SUM($D$2:D276)</f>
        <v>152.7488510762266</v>
      </c>
      <c r="G276">
        <f ca="1">_xlfn.STDEV.P($C$2:C276)</f>
        <v>6.3849420740721063</v>
      </c>
      <c r="H276">
        <f t="shared" ca="1" si="85"/>
        <v>159.13379315029871</v>
      </c>
      <c r="I276">
        <f t="shared" ca="1" si="86"/>
        <v>146.36390900215449</v>
      </c>
      <c r="J276">
        <f t="shared" ca="1" si="74"/>
        <v>155.048</v>
      </c>
      <c r="K276">
        <f t="shared" ca="1" si="75"/>
        <v>3.4505706621857253</v>
      </c>
      <c r="L276">
        <f t="shared" ca="1" si="76"/>
        <v>161.94914132437145</v>
      </c>
      <c r="M276">
        <f t="shared" ca="1" si="77"/>
        <v>148.14685867562855</v>
      </c>
      <c r="N276">
        <f t="shared" ca="1" si="87"/>
        <v>-0.22999999999998977</v>
      </c>
      <c r="O276">
        <f t="shared" ca="1" si="88"/>
        <v>0</v>
      </c>
      <c r="P276">
        <f t="shared" ca="1" si="89"/>
        <v>0.22999999999998977</v>
      </c>
      <c r="Q276">
        <f t="shared" ca="1" si="93"/>
        <v>0.82374498253180717</v>
      </c>
      <c r="R276">
        <f t="shared" ca="1" si="94"/>
        <v>0.86203868574235809</v>
      </c>
      <c r="S276">
        <f t="shared" ca="1" si="91"/>
        <v>0.95557774396450235</v>
      </c>
      <c r="T276">
        <f t="shared" ca="1" si="92"/>
        <v>48.864216567901785</v>
      </c>
      <c r="U276">
        <f>70</f>
        <v>70</v>
      </c>
      <c r="V276">
        <f>30</f>
        <v>30</v>
      </c>
      <c r="W276">
        <f t="shared" ca="1" si="90"/>
        <v>153.70312980092808</v>
      </c>
      <c r="X276">
        <f t="shared" ca="1" si="79"/>
        <v>153.5079219814321</v>
      </c>
      <c r="Y276">
        <f t="shared" ca="1" si="78"/>
        <v>3.6908566695757372E-2</v>
      </c>
      <c r="Z276">
        <f t="shared" ca="1" si="80"/>
        <v>0.63267108828004093</v>
      </c>
      <c r="AA276">
        <f t="shared" ca="1" si="81"/>
        <v>-0.59576252158428356</v>
      </c>
      <c r="AB276">
        <f t="shared" ca="1" si="82"/>
        <v>152.12649999999994</v>
      </c>
    </row>
    <row r="277" spans="1:28" x14ac:dyDescent="0.25">
      <c r="A277" s="20">
        <f t="shared" ca="1" si="83"/>
        <v>45691</v>
      </c>
      <c r="B277" vm="809">
        <f ca="1"/>
        <v>45694</v>
      </c>
      <c r="C277" vm="810">
        <f ca="1"/>
        <v>151.9</v>
      </c>
      <c r="D277" vm="811">
        <f ca="1"/>
        <v>6420525</v>
      </c>
      <c r="E277">
        <f t="shared" ca="1" si="84"/>
        <v>975277747.5</v>
      </c>
      <c r="F277">
        <f ca="1">SUM($E$2:E277)/SUM($D$2:D277)</f>
        <v>152.74632288407616</v>
      </c>
      <c r="G277">
        <f ca="1">_xlfn.STDEV.P($C$2:C277)</f>
        <v>6.3738062606802925</v>
      </c>
      <c r="H277">
        <f t="shared" ca="1" si="85"/>
        <v>159.12012914475645</v>
      </c>
      <c r="I277">
        <f t="shared" ca="1" si="86"/>
        <v>146.37251662339588</v>
      </c>
      <c r="J277">
        <f t="shared" ca="1" si="74"/>
        <v>155.1635</v>
      </c>
      <c r="K277">
        <f t="shared" ca="1" si="75"/>
        <v>3.29333981017191</v>
      </c>
      <c r="L277">
        <f t="shared" ca="1" si="76"/>
        <v>161.75017962034383</v>
      </c>
      <c r="M277">
        <f t="shared" ca="1" si="77"/>
        <v>148.57682037965617</v>
      </c>
      <c r="N277">
        <f t="shared" ca="1" si="87"/>
        <v>-1.0900000000000034</v>
      </c>
      <c r="O277">
        <f t="shared" ca="1" si="88"/>
        <v>0</v>
      </c>
      <c r="P277">
        <f t="shared" ca="1" si="89"/>
        <v>1.0900000000000034</v>
      </c>
      <c r="Q277">
        <f t="shared" ca="1" si="93"/>
        <v>0.76490605520810662</v>
      </c>
      <c r="R277">
        <f t="shared" ca="1" si="94"/>
        <v>0.87832163676076136</v>
      </c>
      <c r="S277">
        <f t="shared" ca="1" si="91"/>
        <v>0.8708723811348541</v>
      </c>
      <c r="T277">
        <f t="shared" ca="1" si="92"/>
        <v>46.548999809735335</v>
      </c>
      <c r="U277">
        <f>70</f>
        <v>70</v>
      </c>
      <c r="V277">
        <f>30</f>
        <v>30</v>
      </c>
      <c r="W277">
        <f t="shared" ca="1" si="90"/>
        <v>153.42572521616992</v>
      </c>
      <c r="X277">
        <f t="shared" ca="1" si="79"/>
        <v>153.38881664947417</v>
      </c>
      <c r="Y277">
        <f t="shared" ca="1" si="78"/>
        <v>-3.0099777426357832E-2</v>
      </c>
      <c r="Z277">
        <f t="shared" ca="1" si="80"/>
        <v>0.50011691513876122</v>
      </c>
      <c r="AA277">
        <f t="shared" ca="1" si="81"/>
        <v>-0.53021669256511905</v>
      </c>
      <c r="AB277">
        <f t="shared" ca="1" si="82"/>
        <v>152.25339999999994</v>
      </c>
    </row>
    <row r="278" spans="1:28" x14ac:dyDescent="0.25">
      <c r="A278" s="20">
        <f t="shared" ca="1" si="83"/>
        <v>45691</v>
      </c>
      <c r="B278" vm="812">
        <f ca="1"/>
        <v>45695</v>
      </c>
      <c r="C278" vm="433">
        <f ca="1"/>
        <v>152.62</v>
      </c>
      <c r="D278" vm="813">
        <f ca="1"/>
        <v>4724947</v>
      </c>
      <c r="E278">
        <f t="shared" ca="1" si="84"/>
        <v>721121411.13999999</v>
      </c>
      <c r="F278">
        <f ca="1">SUM($E$2:E278)/SUM($D$2:D278)</f>
        <v>152.74604661253295</v>
      </c>
      <c r="G278">
        <f ca="1">_xlfn.STDEV.P($C$2:C278)</f>
        <v>6.3623684715574855</v>
      </c>
      <c r="H278">
        <f t="shared" ca="1" si="85"/>
        <v>159.10841508409044</v>
      </c>
      <c r="I278">
        <f t="shared" ca="1" si="86"/>
        <v>146.38367814097546</v>
      </c>
      <c r="J278">
        <f t="shared" ref="J278:J341" ca="1" si="95">AVERAGE(C259:C278)</f>
        <v>155.27950000000004</v>
      </c>
      <c r="K278">
        <f t="shared" ref="K278:K341" ca="1" si="96">_xlfn.STDEV.S(C259:C278)</f>
        <v>3.1507918386536291</v>
      </c>
      <c r="L278">
        <f t="shared" ref="L278:L341" ca="1" si="97">J278 + 2*K278</f>
        <v>161.5810836773073</v>
      </c>
      <c r="M278">
        <f t="shared" ref="M278:M341" ca="1" si="98">J278-2*K278</f>
        <v>148.97791632269278</v>
      </c>
      <c r="N278">
        <f t="shared" ca="1" si="87"/>
        <v>0.71999999999999886</v>
      </c>
      <c r="O278">
        <f t="shared" ca="1" si="88"/>
        <v>0.71999999999999886</v>
      </c>
      <c r="P278">
        <f t="shared" ca="1" si="89"/>
        <v>0</v>
      </c>
      <c r="Q278">
        <f t="shared" ca="1" si="93"/>
        <v>0.76169847983609895</v>
      </c>
      <c r="R278">
        <f t="shared" ca="1" si="94"/>
        <v>0.8155843769921356</v>
      </c>
      <c r="S278">
        <f t="shared" ca="1" si="91"/>
        <v>0.9339297089594002</v>
      </c>
      <c r="T278">
        <f t="shared" ca="1" si="92"/>
        <v>48.291812501392549</v>
      </c>
      <c r="U278">
        <f>70</f>
        <v>70</v>
      </c>
      <c r="V278">
        <f>30</f>
        <v>30</v>
      </c>
      <c r="W278">
        <f t="shared" ca="1" si="90"/>
        <v>153.3017674906053</v>
      </c>
      <c r="X278">
        <f t="shared" ca="1" si="79"/>
        <v>153.33186726803166</v>
      </c>
      <c r="Y278">
        <f t="shared" ca="1" si="78"/>
        <v>0.16902587635183863</v>
      </c>
      <c r="Z278">
        <f t="shared" ca="1" si="80"/>
        <v>0.43389870738137676</v>
      </c>
      <c r="AA278">
        <f t="shared" ca="1" si="81"/>
        <v>-0.26487283102953812</v>
      </c>
      <c r="AB278">
        <f t="shared" ca="1" si="82"/>
        <v>152.37349999999995</v>
      </c>
    </row>
    <row r="279" spans="1:28" x14ac:dyDescent="0.25">
      <c r="A279" s="20">
        <f t="shared" ca="1" si="83"/>
        <v>45698</v>
      </c>
      <c r="B279" vm="814">
        <f ca="1"/>
        <v>45698</v>
      </c>
      <c r="C279" vm="815">
        <f ca="1"/>
        <v>155.77000000000001</v>
      </c>
      <c r="D279" vm="816">
        <f ca="1"/>
        <v>5653770</v>
      </c>
      <c r="E279">
        <f t="shared" ca="1" si="84"/>
        <v>880687752.9000001</v>
      </c>
      <c r="F279">
        <f ca="1">SUM($E$2:E279)/SUM($D$2:D279)</f>
        <v>152.75393949011828</v>
      </c>
      <c r="G279">
        <f ca="1">_xlfn.STDEV.P($C$2:C279)</f>
        <v>6.3528631273512826</v>
      </c>
      <c r="H279">
        <f t="shared" ca="1" si="85"/>
        <v>159.10680261746955</v>
      </c>
      <c r="I279">
        <f t="shared" ca="1" si="86"/>
        <v>146.40107636276701</v>
      </c>
      <c r="J279">
        <f t="shared" ca="1" si="95"/>
        <v>155.411</v>
      </c>
      <c r="K279">
        <f t="shared" ca="1" si="96"/>
        <v>3.1114354446646946</v>
      </c>
      <c r="L279">
        <f t="shared" ca="1" si="97"/>
        <v>161.63387088932939</v>
      </c>
      <c r="M279">
        <f t="shared" ca="1" si="98"/>
        <v>149.18812911067062</v>
      </c>
      <c r="N279">
        <f t="shared" ca="1" si="87"/>
        <v>3.1500000000000057</v>
      </c>
      <c r="O279">
        <f t="shared" ca="1" si="88"/>
        <v>3.1500000000000057</v>
      </c>
      <c r="P279">
        <f t="shared" ca="1" si="89"/>
        <v>0</v>
      </c>
      <c r="Q279">
        <f t="shared" ca="1" si="93"/>
        <v>0.93229144556209231</v>
      </c>
      <c r="R279">
        <f t="shared" ca="1" si="94"/>
        <v>0.7573283500641258</v>
      </c>
      <c r="S279">
        <f t="shared" ca="1" si="91"/>
        <v>1.2310267342865902</v>
      </c>
      <c r="T279">
        <f t="shared" ca="1" si="92"/>
        <v>55.177587761189805</v>
      </c>
      <c r="U279">
        <f>70</f>
        <v>70</v>
      </c>
      <c r="V279">
        <f>30</f>
        <v>30</v>
      </c>
      <c r="W279">
        <f t="shared" ca="1" si="90"/>
        <v>153.68149556897373</v>
      </c>
      <c r="X279">
        <f t="shared" ca="1" si="79"/>
        <v>153.51246969262189</v>
      </c>
      <c r="Y279">
        <f t="shared" ca="1" si="78"/>
        <v>0.4563291563620453</v>
      </c>
      <c r="Z279">
        <f t="shared" ca="1" si="80"/>
        <v>0.4383847971775105</v>
      </c>
      <c r="AA279">
        <f t="shared" ca="1" si="81"/>
        <v>1.7944359184534797E-2</v>
      </c>
      <c r="AB279">
        <f t="shared" ca="1" si="82"/>
        <v>152.51029999999997</v>
      </c>
    </row>
    <row r="280" spans="1:28" x14ac:dyDescent="0.25">
      <c r="A280" s="20">
        <f t="shared" ca="1" si="83"/>
        <v>45698</v>
      </c>
      <c r="B280" vm="817">
        <f ca="1"/>
        <v>45699</v>
      </c>
      <c r="C280" vm="818">
        <f ca="1"/>
        <v>157.44</v>
      </c>
      <c r="D280" vm="819">
        <f ca="1"/>
        <v>6011842</v>
      </c>
      <c r="E280">
        <f t="shared" ca="1" si="84"/>
        <v>946504404.48000002</v>
      </c>
      <c r="F280">
        <f ca="1">SUM($E$2:E280)/SUM($D$2:D280)</f>
        <v>152.76690930881855</v>
      </c>
      <c r="G280">
        <f ca="1">_xlfn.STDEV.P($C$2:C280)</f>
        <v>6.3466438810055594</v>
      </c>
      <c r="H280">
        <f t="shared" ca="1" si="85"/>
        <v>159.1135531898241</v>
      </c>
      <c r="I280">
        <f t="shared" ca="1" si="86"/>
        <v>146.42026542781301</v>
      </c>
      <c r="J280">
        <f t="shared" ca="1" si="95"/>
        <v>155.5155</v>
      </c>
      <c r="K280">
        <f t="shared" ca="1" si="96"/>
        <v>3.1442034804248569</v>
      </c>
      <c r="L280">
        <f t="shared" ca="1" si="97"/>
        <v>161.80390696084973</v>
      </c>
      <c r="M280">
        <f t="shared" ca="1" si="98"/>
        <v>149.22709303915028</v>
      </c>
      <c r="N280">
        <f t="shared" ca="1" si="87"/>
        <v>1.6699999999999875</v>
      </c>
      <c r="O280">
        <f t="shared" ca="1" si="88"/>
        <v>1.6699999999999875</v>
      </c>
      <c r="P280">
        <f t="shared" ca="1" si="89"/>
        <v>0</v>
      </c>
      <c r="Q280">
        <f t="shared" ca="1" si="93"/>
        <v>0.98498491373622776</v>
      </c>
      <c r="R280">
        <f t="shared" ca="1" si="94"/>
        <v>0.70323346791668828</v>
      </c>
      <c r="S280">
        <f t="shared" ca="1" si="91"/>
        <v>1.4006513607127107</v>
      </c>
      <c r="T280">
        <f t="shared" ca="1" si="92"/>
        <v>58.344638610784457</v>
      </c>
      <c r="U280">
        <f>70</f>
        <v>70</v>
      </c>
      <c r="V280">
        <f>30</f>
        <v>30</v>
      </c>
      <c r="W280">
        <f t="shared" ca="1" si="90"/>
        <v>154.25972701990085</v>
      </c>
      <c r="X280">
        <f t="shared" ca="1" si="79"/>
        <v>153.80339786353881</v>
      </c>
      <c r="Y280">
        <f t="shared" ca="1" si="78"/>
        <v>0.47360290387587156</v>
      </c>
      <c r="Z280">
        <f t="shared" ca="1" si="80"/>
        <v>0.44542841851718273</v>
      </c>
      <c r="AA280">
        <f t="shared" ca="1" si="81"/>
        <v>2.8174485358688828E-2</v>
      </c>
      <c r="AB280">
        <f t="shared" ca="1" si="82"/>
        <v>152.65059999999997</v>
      </c>
    </row>
    <row r="281" spans="1:28" x14ac:dyDescent="0.25">
      <c r="A281" s="20">
        <f t="shared" ca="1" si="83"/>
        <v>45698</v>
      </c>
      <c r="B281" vm="820">
        <f ca="1"/>
        <v>45700</v>
      </c>
      <c r="C281" vm="821">
        <f ca="1"/>
        <v>154.9</v>
      </c>
      <c r="D281" vm="822">
        <f ca="1"/>
        <v>6693461</v>
      </c>
      <c r="E281">
        <f t="shared" ca="1" si="84"/>
        <v>1036817108.9000001</v>
      </c>
      <c r="F281">
        <f ca="1">SUM($E$2:E281)/SUM($D$2:D281)</f>
        <v>152.77346234054127</v>
      </c>
      <c r="G281">
        <f ca="1">_xlfn.STDEV.P($C$2:C281)</f>
        <v>6.3361437717813569</v>
      </c>
      <c r="H281">
        <f t="shared" ca="1" si="85"/>
        <v>159.10960611232264</v>
      </c>
      <c r="I281">
        <f t="shared" ca="1" si="86"/>
        <v>146.43731856875991</v>
      </c>
      <c r="J281">
        <f t="shared" ca="1" si="95"/>
        <v>155.41550000000001</v>
      </c>
      <c r="K281">
        <f t="shared" ca="1" si="96"/>
        <v>3.1296232747896759</v>
      </c>
      <c r="L281">
        <f t="shared" ca="1" si="97"/>
        <v>161.67474654957937</v>
      </c>
      <c r="M281">
        <f t="shared" ca="1" si="98"/>
        <v>149.15625345042065</v>
      </c>
      <c r="N281">
        <f t="shared" ca="1" si="87"/>
        <v>-2.539999999999992</v>
      </c>
      <c r="O281">
        <f t="shared" ca="1" si="88"/>
        <v>0</v>
      </c>
      <c r="P281">
        <f t="shared" ca="1" si="89"/>
        <v>2.539999999999992</v>
      </c>
      <c r="Q281">
        <f t="shared" ca="1" si="93"/>
        <v>0.91462884846935444</v>
      </c>
      <c r="R281">
        <f t="shared" ca="1" si="94"/>
        <v>0.83443107735121003</v>
      </c>
      <c r="S281">
        <f t="shared" ca="1" si="91"/>
        <v>1.096110719381068</v>
      </c>
      <c r="T281">
        <f t="shared" ca="1" si="92"/>
        <v>52.292596438070007</v>
      </c>
      <c r="U281">
        <f>70</f>
        <v>70</v>
      </c>
      <c r="V281">
        <f>30</f>
        <v>30</v>
      </c>
      <c r="W281">
        <f t="shared" ca="1" si="90"/>
        <v>154.35823055530071</v>
      </c>
      <c r="X281">
        <f t="shared" ca="1" si="79"/>
        <v>153.88462765142484</v>
      </c>
      <c r="Y281">
        <f t="shared" ca="1" si="78"/>
        <v>0.55991592082975217</v>
      </c>
      <c r="Z281">
        <f t="shared" ca="1" si="80"/>
        <v>0.46832591897969666</v>
      </c>
      <c r="AA281">
        <f t="shared" ca="1" si="81"/>
        <v>9.1590001850055502E-2</v>
      </c>
      <c r="AB281">
        <f t="shared" ca="1" si="82"/>
        <v>152.75999999999996</v>
      </c>
    </row>
    <row r="282" spans="1:28" x14ac:dyDescent="0.25">
      <c r="A282" s="20">
        <f t="shared" ca="1" si="83"/>
        <v>45698</v>
      </c>
      <c r="B282" vm="823">
        <f ca="1"/>
        <v>45701</v>
      </c>
      <c r="C282" vm="824">
        <f ca="1"/>
        <v>155.88</v>
      </c>
      <c r="D282" vm="825">
        <f ca="1"/>
        <v>7836362</v>
      </c>
      <c r="E282">
        <f t="shared" ca="1" si="84"/>
        <v>1221532108.5599999</v>
      </c>
      <c r="F282">
        <f ca="1">SUM($E$2:E282)/SUM($D$2:D282)</f>
        <v>152.78459538972464</v>
      </c>
      <c r="G282">
        <f ca="1">_xlfn.STDEV.P($C$2:C282)</f>
        <v>6.3269128170864439</v>
      </c>
      <c r="H282">
        <f t="shared" ca="1" si="85"/>
        <v>159.1115082068111</v>
      </c>
      <c r="I282">
        <f t="shared" ca="1" si="86"/>
        <v>146.45768257263819</v>
      </c>
      <c r="J282">
        <f t="shared" ca="1" si="95"/>
        <v>155.29300000000001</v>
      </c>
      <c r="K282">
        <f t="shared" ca="1" si="96"/>
        <v>3.0566374714020204</v>
      </c>
      <c r="L282">
        <f t="shared" ca="1" si="97"/>
        <v>161.40627494280406</v>
      </c>
      <c r="M282">
        <f t="shared" ca="1" si="98"/>
        <v>149.17972505719595</v>
      </c>
      <c r="N282">
        <f t="shared" ca="1" si="87"/>
        <v>0.97999999999998977</v>
      </c>
      <c r="O282">
        <f t="shared" ca="1" si="88"/>
        <v>0.97999999999998977</v>
      </c>
      <c r="P282">
        <f t="shared" ca="1" si="89"/>
        <v>0</v>
      </c>
      <c r="Q282">
        <f t="shared" ca="1" si="93"/>
        <v>0.91929821643582843</v>
      </c>
      <c r="R282">
        <f t="shared" ca="1" si="94"/>
        <v>0.77482885754040931</v>
      </c>
      <c r="S282">
        <f t="shared" ca="1" si="91"/>
        <v>1.186453250275187</v>
      </c>
      <c r="T282">
        <f t="shared" ca="1" si="92"/>
        <v>54.263828880213197</v>
      </c>
      <c r="U282">
        <f>70</f>
        <v>70</v>
      </c>
      <c r="V282">
        <f>30</f>
        <v>30</v>
      </c>
      <c r="W282">
        <f t="shared" ca="1" si="90"/>
        <v>154.59234893140828</v>
      </c>
      <c r="X282">
        <f t="shared" ca="1" si="79"/>
        <v>154.03243301057853</v>
      </c>
      <c r="Y282">
        <f t="shared" ca="1" si="78"/>
        <v>0.57808234812034698</v>
      </c>
      <c r="Z282">
        <f t="shared" ca="1" si="80"/>
        <v>0.49027720480782677</v>
      </c>
      <c r="AA282">
        <f t="shared" ca="1" si="81"/>
        <v>8.7805143312520206E-2</v>
      </c>
      <c r="AB282">
        <f t="shared" ca="1" si="82"/>
        <v>152.86889999999997</v>
      </c>
    </row>
    <row r="283" spans="1:28" x14ac:dyDescent="0.25">
      <c r="A283" s="20">
        <f t="shared" ca="1" si="83"/>
        <v>45698</v>
      </c>
      <c r="B283" vm="826">
        <f ca="1"/>
        <v>45702</v>
      </c>
      <c r="C283" vm="827">
        <f ca="1"/>
        <v>155.34</v>
      </c>
      <c r="D283" vm="828">
        <f ca="1"/>
        <v>5828805</v>
      </c>
      <c r="E283">
        <f t="shared" ca="1" si="84"/>
        <v>905446568.70000005</v>
      </c>
      <c r="F283">
        <f ca="1">SUM($E$2:E283)/SUM($D$2:D283)</f>
        <v>152.79138908526522</v>
      </c>
      <c r="G283">
        <f ca="1">_xlfn.STDEV.P($C$2:C283)</f>
        <v>6.3169863869153824</v>
      </c>
      <c r="H283">
        <f t="shared" ca="1" si="85"/>
        <v>159.1083754721806</v>
      </c>
      <c r="I283">
        <f t="shared" ca="1" si="86"/>
        <v>146.47440269834985</v>
      </c>
      <c r="J283">
        <f t="shared" ca="1" si="95"/>
        <v>155.09100000000001</v>
      </c>
      <c r="K283">
        <f t="shared" ca="1" si="96"/>
        <v>2.9019066327611496</v>
      </c>
      <c r="L283">
        <f t="shared" ca="1" si="97"/>
        <v>160.89481326552232</v>
      </c>
      <c r="M283">
        <f t="shared" ca="1" si="98"/>
        <v>149.2871867344777</v>
      </c>
      <c r="N283">
        <f t="shared" ca="1" si="87"/>
        <v>-0.53999999999999204</v>
      </c>
      <c r="O283">
        <f t="shared" ca="1" si="88"/>
        <v>0</v>
      </c>
      <c r="P283">
        <f t="shared" ca="1" si="89"/>
        <v>0.53999999999999204</v>
      </c>
      <c r="Q283">
        <f t="shared" ca="1" si="93"/>
        <v>0.85363405811898363</v>
      </c>
      <c r="R283">
        <f t="shared" ca="1" si="94"/>
        <v>0.75805536771609383</v>
      </c>
      <c r="S283">
        <f t="shared" ca="1" si="91"/>
        <v>1.1260840493628506</v>
      </c>
      <c r="T283">
        <f t="shared" ca="1" si="92"/>
        <v>52.965170859558341</v>
      </c>
      <c r="U283">
        <f>70</f>
        <v>70</v>
      </c>
      <c r="V283">
        <f>30</f>
        <v>30</v>
      </c>
      <c r="W283">
        <f t="shared" ca="1" si="90"/>
        <v>154.70737217273009</v>
      </c>
      <c r="X283">
        <f t="shared" ca="1" si="79"/>
        <v>154.12928982460974</v>
      </c>
      <c r="Y283">
        <f t="shared" ca="1" si="78"/>
        <v>0.65114057636085931</v>
      </c>
      <c r="Z283">
        <f t="shared" ca="1" si="80"/>
        <v>0.52244987911843332</v>
      </c>
      <c r="AA283">
        <f t="shared" ca="1" si="81"/>
        <v>0.12869069724242599</v>
      </c>
      <c r="AB283">
        <f t="shared" ca="1" si="82"/>
        <v>152.96549999999996</v>
      </c>
    </row>
    <row r="284" spans="1:28" x14ac:dyDescent="0.25">
      <c r="A284" s="20">
        <f t="shared" ca="1" si="83"/>
        <v>45705</v>
      </c>
      <c r="B284" vm="829">
        <f ca="1"/>
        <v>45706</v>
      </c>
      <c r="C284" vm="830">
        <f ca="1"/>
        <v>156.16</v>
      </c>
      <c r="D284" vm="831">
        <f ca="1"/>
        <v>5981480</v>
      </c>
      <c r="E284">
        <f t="shared" ca="1" si="84"/>
        <v>934067916.79999995</v>
      </c>
      <c r="F284">
        <f ca="1">SUM($E$2:E284)/SUM($D$2:D284)</f>
        <v>152.80055431085484</v>
      </c>
      <c r="G284">
        <f ca="1">_xlfn.STDEV.P($C$2:C284)</f>
        <v>6.3082770128424333</v>
      </c>
      <c r="H284">
        <f t="shared" ca="1" si="85"/>
        <v>159.10883132369727</v>
      </c>
      <c r="I284">
        <f t="shared" ca="1" si="86"/>
        <v>146.4922772980124</v>
      </c>
      <c r="J284">
        <f t="shared" ca="1" si="95"/>
        <v>154.82550000000001</v>
      </c>
      <c r="K284">
        <f t="shared" ca="1" si="96"/>
        <v>2.5030664877516253</v>
      </c>
      <c r="L284">
        <f t="shared" ca="1" si="97"/>
        <v>159.83163297550325</v>
      </c>
      <c r="M284">
        <f t="shared" ca="1" si="98"/>
        <v>149.81936702449676</v>
      </c>
      <c r="N284">
        <f t="shared" ca="1" si="87"/>
        <v>0.81999999999999318</v>
      </c>
      <c r="O284">
        <f t="shared" ca="1" si="88"/>
        <v>0.81999999999999318</v>
      </c>
      <c r="P284">
        <f t="shared" ca="1" si="89"/>
        <v>0</v>
      </c>
      <c r="Q284">
        <f t="shared" ca="1" si="93"/>
        <v>0.85123162539619857</v>
      </c>
      <c r="R284">
        <f t="shared" ca="1" si="94"/>
        <v>0.70390855573637279</v>
      </c>
      <c r="S284">
        <f t="shared" ca="1" si="91"/>
        <v>1.2092929095111058</v>
      </c>
      <c r="T284">
        <f t="shared" ca="1" si="92"/>
        <v>54.73664919237487</v>
      </c>
      <c r="U284">
        <f>70</f>
        <v>70</v>
      </c>
      <c r="V284">
        <f>30</f>
        <v>30</v>
      </c>
      <c r="W284">
        <f t="shared" ca="1" si="90"/>
        <v>154.93085337692546</v>
      </c>
      <c r="X284">
        <f t="shared" ca="1" si="79"/>
        <v>154.2797128005646</v>
      </c>
      <c r="Y284">
        <f t="shared" ref="Y284:Y347" ca="1" si="99">W285-X285</f>
        <v>0.78631564889846572</v>
      </c>
      <c r="Z284">
        <f t="shared" ca="1" si="80"/>
        <v>0.57522303307443989</v>
      </c>
      <c r="AA284">
        <f t="shared" ca="1" si="81"/>
        <v>0.21109261582402583</v>
      </c>
      <c r="AB284">
        <f t="shared" ca="1" si="82"/>
        <v>153.05169999999995</v>
      </c>
    </row>
    <row r="285" spans="1:28" x14ac:dyDescent="0.25">
      <c r="A285" s="20">
        <f t="shared" ca="1" si="83"/>
        <v>45705</v>
      </c>
      <c r="B285" vm="832">
        <f ca="1"/>
        <v>45707</v>
      </c>
      <c r="C285" vm="788">
        <f ca="1"/>
        <v>157.22999999999999</v>
      </c>
      <c r="D285" vm="833">
        <f ca="1"/>
        <v>4945813</v>
      </c>
      <c r="E285">
        <f t="shared" ca="1" si="84"/>
        <v>777630177.98999989</v>
      </c>
      <c r="F285">
        <f ca="1">SUM($E$2:E285)/SUM($D$2:D285)</f>
        <v>152.81049679249679</v>
      </c>
      <c r="G285">
        <f ca="1">_xlfn.STDEV.P($C$2:C285)</f>
        <v>6.3016816661950728</v>
      </c>
      <c r="H285">
        <f t="shared" ca="1" si="85"/>
        <v>159.11217845869186</v>
      </c>
      <c r="I285">
        <f t="shared" ca="1" si="86"/>
        <v>146.50881512630173</v>
      </c>
      <c r="J285">
        <f t="shared" ca="1" si="95"/>
        <v>154.77500000000003</v>
      </c>
      <c r="K285">
        <f t="shared" ca="1" si="96"/>
        <v>2.4399449950659453</v>
      </c>
      <c r="L285">
        <f t="shared" ca="1" si="97"/>
        <v>159.65488999013192</v>
      </c>
      <c r="M285">
        <f t="shared" ca="1" si="98"/>
        <v>149.89511000986815</v>
      </c>
      <c r="N285">
        <f t="shared" ca="1" si="87"/>
        <v>1.0699999999999932</v>
      </c>
      <c r="O285">
        <f t="shared" ca="1" si="88"/>
        <v>1.0699999999999932</v>
      </c>
      <c r="P285">
        <f t="shared" ca="1" si="89"/>
        <v>0</v>
      </c>
      <c r="Q285">
        <f t="shared" ca="1" si="93"/>
        <v>0.86685793786789822</v>
      </c>
      <c r="R285">
        <f t="shared" ca="1" si="94"/>
        <v>0.65362937318377479</v>
      </c>
      <c r="S285">
        <f t="shared" ca="1" si="91"/>
        <v>1.3262224334342636</v>
      </c>
      <c r="T285">
        <f t="shared" ca="1" si="92"/>
        <v>57.011849527920099</v>
      </c>
      <c r="U285">
        <f>70</f>
        <v>70</v>
      </c>
      <c r="V285">
        <f>30</f>
        <v>30</v>
      </c>
      <c r="W285">
        <f t="shared" ca="1" si="90"/>
        <v>155.28456824201385</v>
      </c>
      <c r="X285">
        <f t="shared" ref="X285:X348" ca="1" si="100">C285*(2/(26+1)) + X284*(1-(2/(26+1)))</f>
        <v>154.49825259311538</v>
      </c>
      <c r="Y285">
        <f t="shared" ca="1" si="99"/>
        <v>1.0077056271099991</v>
      </c>
      <c r="Z285">
        <f t="shared" ca="1" si="80"/>
        <v>0.66171955188155174</v>
      </c>
      <c r="AA285">
        <f t="shared" ca="1" si="81"/>
        <v>0.34598607522844738</v>
      </c>
      <c r="AB285">
        <f t="shared" ca="1" si="82"/>
        <v>153.14949999999996</v>
      </c>
    </row>
    <row r="286" spans="1:28" x14ac:dyDescent="0.25">
      <c r="A286" s="20">
        <f t="shared" ca="1" si="83"/>
        <v>45705</v>
      </c>
      <c r="B286" vm="834">
        <f ca="1"/>
        <v>45708</v>
      </c>
      <c r="C286" vm="835">
        <f ca="1"/>
        <v>158.79</v>
      </c>
      <c r="D286" vm="836">
        <f ca="1"/>
        <v>6256154</v>
      </c>
      <c r="E286">
        <f t="shared" ca="1" si="84"/>
        <v>993414693.65999997</v>
      </c>
      <c r="F286">
        <f ca="1">SUM($E$2:E286)/SUM($D$2:D286)</f>
        <v>152.82742647848124</v>
      </c>
      <c r="G286">
        <f ca="1">_xlfn.STDEV.P($C$2:C286)</f>
        <v>6.2992472170399063</v>
      </c>
      <c r="H286">
        <f t="shared" ca="1" si="85"/>
        <v>159.12667369552116</v>
      </c>
      <c r="I286">
        <f t="shared" ca="1" si="86"/>
        <v>146.52817926144132</v>
      </c>
      <c r="J286">
        <f t="shared" ca="1" si="95"/>
        <v>154.89400000000001</v>
      </c>
      <c r="K286">
        <f t="shared" ca="1" si="96"/>
        <v>2.5780151483773599</v>
      </c>
      <c r="L286">
        <f t="shared" ca="1" si="97"/>
        <v>160.05003029675473</v>
      </c>
      <c r="M286">
        <f t="shared" ca="1" si="98"/>
        <v>149.73796970324528</v>
      </c>
      <c r="N286">
        <f t="shared" ca="1" si="87"/>
        <v>1.5600000000000023</v>
      </c>
      <c r="O286">
        <f t="shared" ca="1" si="88"/>
        <v>1.5600000000000023</v>
      </c>
      <c r="P286">
        <f t="shared" ca="1" si="89"/>
        <v>0</v>
      </c>
      <c r="Q286">
        <f t="shared" ca="1" si="93"/>
        <v>0.91636808516304846</v>
      </c>
      <c r="R286">
        <f t="shared" ca="1" si="94"/>
        <v>0.60694156081350514</v>
      </c>
      <c r="S286">
        <f t="shared" ca="1" si="91"/>
        <v>1.509812713986513</v>
      </c>
      <c r="T286">
        <f t="shared" ca="1" si="92"/>
        <v>60.156389581291528</v>
      </c>
      <c r="U286">
        <f>70</f>
        <v>70</v>
      </c>
      <c r="V286">
        <f>30</f>
        <v>30</v>
      </c>
      <c r="W286">
        <f t="shared" ca="1" si="90"/>
        <v>155.82386543555018</v>
      </c>
      <c r="X286">
        <f t="shared" ca="1" si="100"/>
        <v>154.81615980844018</v>
      </c>
      <c r="Y286">
        <f t="shared" ca="1" si="99"/>
        <v>1.0205016997587961</v>
      </c>
      <c r="Z286">
        <f t="shared" ca="1" si="80"/>
        <v>0.73347598145700066</v>
      </c>
      <c r="AA286">
        <f t="shared" ca="1" si="81"/>
        <v>0.28702571830179546</v>
      </c>
      <c r="AB286">
        <f t="shared" ca="1" si="82"/>
        <v>153.29769999999996</v>
      </c>
    </row>
    <row r="287" spans="1:28" x14ac:dyDescent="0.25">
      <c r="A287" s="20">
        <f t="shared" ca="1" si="83"/>
        <v>45705</v>
      </c>
      <c r="B287" vm="837">
        <f ca="1"/>
        <v>45709</v>
      </c>
      <c r="C287" vm="838">
        <f ca="1"/>
        <v>156.91999999999999</v>
      </c>
      <c r="D287" vm="839">
        <f ca="1"/>
        <v>6689815</v>
      </c>
      <c r="E287">
        <f t="shared" ca="1" si="84"/>
        <v>1049765769.8</v>
      </c>
      <c r="F287">
        <f ca="1">SUM($E$2:E287)/SUM($D$2:D287)</f>
        <v>152.83977952587571</v>
      </c>
      <c r="G287">
        <f ca="1">_xlfn.STDEV.P($C$2:C287)</f>
        <v>6.2919861958888772</v>
      </c>
      <c r="H287">
        <f t="shared" ca="1" si="85"/>
        <v>159.13176572176459</v>
      </c>
      <c r="I287">
        <f t="shared" ca="1" si="86"/>
        <v>146.54779332998683</v>
      </c>
      <c r="J287">
        <f t="shared" ca="1" si="95"/>
        <v>154.93950000000001</v>
      </c>
      <c r="K287">
        <f t="shared" ca="1" si="96"/>
        <v>2.6066200639707198</v>
      </c>
      <c r="L287">
        <f t="shared" ca="1" si="97"/>
        <v>160.15274012794146</v>
      </c>
      <c r="M287">
        <f t="shared" ca="1" si="98"/>
        <v>149.72625987205856</v>
      </c>
      <c r="N287">
        <f t="shared" ca="1" si="87"/>
        <v>-1.8700000000000045</v>
      </c>
      <c r="O287">
        <f t="shared" ca="1" si="88"/>
        <v>0</v>
      </c>
      <c r="P287">
        <f t="shared" ca="1" si="89"/>
        <v>1.8700000000000045</v>
      </c>
      <c r="Q287">
        <f t="shared" ca="1" si="93"/>
        <v>0.85091322193711638</v>
      </c>
      <c r="R287">
        <f t="shared" ca="1" si="94"/>
        <v>0.69716002075539785</v>
      </c>
      <c r="S287">
        <f t="shared" ca="1" si="91"/>
        <v>1.220542194911179</v>
      </c>
      <c r="T287">
        <f t="shared" ca="1" si="92"/>
        <v>54.965953707535839</v>
      </c>
      <c r="U287">
        <f>70</f>
        <v>70</v>
      </c>
      <c r="V287">
        <f>30</f>
        <v>30</v>
      </c>
      <c r="W287">
        <f t="shared" ca="1" si="90"/>
        <v>155.99250152238861</v>
      </c>
      <c r="X287">
        <f t="shared" ca="1" si="100"/>
        <v>154.97199982262981</v>
      </c>
      <c r="Y287">
        <f t="shared" ca="1" si="99"/>
        <v>1.0962763811815535</v>
      </c>
      <c r="Z287">
        <f t="shared" ca="1" si="80"/>
        <v>0.8060360614019112</v>
      </c>
      <c r="AA287">
        <f t="shared" ca="1" si="81"/>
        <v>0.29024031977964226</v>
      </c>
      <c r="AB287">
        <f t="shared" ca="1" si="82"/>
        <v>153.44699999999995</v>
      </c>
    </row>
    <row r="288" spans="1:28" x14ac:dyDescent="0.25">
      <c r="A288" s="20">
        <f t="shared" ca="1" si="83"/>
        <v>45712</v>
      </c>
      <c r="B288" vm="840">
        <f ca="1"/>
        <v>45712</v>
      </c>
      <c r="C288" vm="841">
        <f ca="1"/>
        <v>157.88999999999999</v>
      </c>
      <c r="D288" vm="842">
        <f ca="1"/>
        <v>5925047</v>
      </c>
      <c r="E288">
        <f t="shared" ca="1" si="84"/>
        <v>935505670.82999992</v>
      </c>
      <c r="F288">
        <f ca="1">SUM($E$2:E288)/SUM($D$2:D288)</f>
        <v>152.85324452026907</v>
      </c>
      <c r="G288">
        <f ca="1">_xlfn.STDEV.P($C$2:C288)</f>
        <v>6.2869688328688609</v>
      </c>
      <c r="H288">
        <f t="shared" ca="1" si="85"/>
        <v>159.14021335313794</v>
      </c>
      <c r="I288">
        <f t="shared" ca="1" si="86"/>
        <v>146.56627568740021</v>
      </c>
      <c r="J288">
        <f t="shared" ca="1" si="95"/>
        <v>155.0515</v>
      </c>
      <c r="K288">
        <f t="shared" ca="1" si="96"/>
        <v>2.6856799099943665</v>
      </c>
      <c r="L288">
        <f t="shared" ca="1" si="97"/>
        <v>160.42285981998873</v>
      </c>
      <c r="M288">
        <f t="shared" ca="1" si="98"/>
        <v>149.68014018001128</v>
      </c>
      <c r="N288">
        <f t="shared" ca="1" si="87"/>
        <v>0.96999999999999886</v>
      </c>
      <c r="O288">
        <f t="shared" ca="1" si="88"/>
        <v>0.96999999999999886</v>
      </c>
      <c r="P288">
        <f t="shared" ca="1" si="89"/>
        <v>0</v>
      </c>
      <c r="Q288">
        <f t="shared" ca="1" si="93"/>
        <v>0.85941942037017938</v>
      </c>
      <c r="R288">
        <f t="shared" ca="1" si="94"/>
        <v>0.64736287641572665</v>
      </c>
      <c r="S288">
        <f t="shared" ca="1" si="91"/>
        <v>1.3275698247149303</v>
      </c>
      <c r="T288">
        <f t="shared" ca="1" si="92"/>
        <v>57.036734649948677</v>
      </c>
      <c r="U288">
        <f>70</f>
        <v>70</v>
      </c>
      <c r="V288">
        <f>30</f>
        <v>30</v>
      </c>
      <c r="W288">
        <f t="shared" ca="1" si="90"/>
        <v>156.28442436509806</v>
      </c>
      <c r="X288">
        <f t="shared" ca="1" si="100"/>
        <v>155.18814798391651</v>
      </c>
      <c r="Y288">
        <f t="shared" ca="1" si="99"/>
        <v>1.0258858736787886</v>
      </c>
      <c r="Z288">
        <f t="shared" ca="1" si="80"/>
        <v>0.85000602385728674</v>
      </c>
      <c r="AA288">
        <f t="shared" ca="1" si="81"/>
        <v>0.17587984982150184</v>
      </c>
      <c r="AB288">
        <f t="shared" ca="1" si="82"/>
        <v>153.57099999999997</v>
      </c>
    </row>
    <row r="289" spans="1:28" x14ac:dyDescent="0.25">
      <c r="A289" s="20">
        <f t="shared" ca="1" si="83"/>
        <v>45712</v>
      </c>
      <c r="B289" vm="843">
        <f ca="1"/>
        <v>45713</v>
      </c>
      <c r="C289" vm="364">
        <f ca="1"/>
        <v>156.41999999999999</v>
      </c>
      <c r="D289" vm="844">
        <f ca="1"/>
        <v>6811293</v>
      </c>
      <c r="E289">
        <f t="shared" ca="1" si="84"/>
        <v>1065422451.0599999</v>
      </c>
      <c r="F289">
        <f ca="1">SUM($E$2:E289)/SUM($D$2:D289)</f>
        <v>152.86414329942281</v>
      </c>
      <c r="G289">
        <f ca="1">_xlfn.STDEV.P($C$2:C289)</f>
        <v>6.2787897460541169</v>
      </c>
      <c r="H289">
        <f t="shared" ca="1" si="85"/>
        <v>159.14293304547692</v>
      </c>
      <c r="I289">
        <f t="shared" ca="1" si="86"/>
        <v>146.58535355336869</v>
      </c>
      <c r="J289">
        <f t="shared" ca="1" si="95"/>
        <v>155.01100000000002</v>
      </c>
      <c r="K289">
        <f t="shared" ca="1" si="96"/>
        <v>2.6570539681146226</v>
      </c>
      <c r="L289">
        <f t="shared" ca="1" si="97"/>
        <v>160.32510793622927</v>
      </c>
      <c r="M289">
        <f t="shared" ca="1" si="98"/>
        <v>149.69689206377078</v>
      </c>
      <c r="N289">
        <f t="shared" ca="1" si="87"/>
        <v>-1.4699999999999989</v>
      </c>
      <c r="O289">
        <f t="shared" ca="1" si="88"/>
        <v>0</v>
      </c>
      <c r="P289">
        <f t="shared" ca="1" si="89"/>
        <v>1.4699999999999989</v>
      </c>
      <c r="Q289">
        <f t="shared" ca="1" si="93"/>
        <v>0.79803231891516657</v>
      </c>
      <c r="R289">
        <f t="shared" ca="1" si="94"/>
        <v>0.70612267095746029</v>
      </c>
      <c r="S289">
        <f t="shared" ca="1" si="91"/>
        <v>1.1301610212189934</v>
      </c>
      <c r="T289">
        <f t="shared" ca="1" si="92"/>
        <v>53.055192070515595</v>
      </c>
      <c r="U289">
        <f>70</f>
        <v>70</v>
      </c>
      <c r="V289">
        <f>30</f>
        <v>30</v>
      </c>
      <c r="W289">
        <f t="shared" ca="1" si="90"/>
        <v>156.30528215508298</v>
      </c>
      <c r="X289">
        <f t="shared" ca="1" si="100"/>
        <v>155.27939628140419</v>
      </c>
      <c r="Y289">
        <f t="shared" ca="1" si="99"/>
        <v>0.85693734644809183</v>
      </c>
      <c r="Z289">
        <f t="shared" ca="1" si="80"/>
        <v>0.85139228837544778</v>
      </c>
      <c r="AA289">
        <f t="shared" ca="1" si="81"/>
        <v>5.545058072644049E-3</v>
      </c>
      <c r="AB289">
        <f t="shared" ca="1" si="82"/>
        <v>153.66249999999997</v>
      </c>
    </row>
    <row r="290" spans="1:28" x14ac:dyDescent="0.25">
      <c r="A290" s="20">
        <f t="shared" ca="1" si="83"/>
        <v>45712</v>
      </c>
      <c r="B290" vm="845">
        <f ca="1"/>
        <v>45714</v>
      </c>
      <c r="C290" vm="846">
        <f ca="1"/>
        <v>155.13999999999999</v>
      </c>
      <c r="D290" vm="847">
        <f ca="1"/>
        <v>6005232</v>
      </c>
      <c r="E290">
        <f t="shared" ca="1" si="84"/>
        <v>931651692.4799999</v>
      </c>
      <c r="F290">
        <f ca="1">SUM($E$2:E290)/SUM($D$2:D290)</f>
        <v>152.87025808483151</v>
      </c>
      <c r="G290">
        <f ca="1">_xlfn.STDEV.P($C$2:C290)</f>
        <v>6.2688742002229985</v>
      </c>
      <c r="H290">
        <f t="shared" ca="1" si="85"/>
        <v>159.1391322850545</v>
      </c>
      <c r="I290">
        <f t="shared" ca="1" si="86"/>
        <v>146.60138388460851</v>
      </c>
      <c r="J290">
        <f t="shared" ca="1" si="95"/>
        <v>154.95750000000001</v>
      </c>
      <c r="K290">
        <f t="shared" ca="1" si="96"/>
        <v>2.6423730861321926</v>
      </c>
      <c r="L290">
        <f t="shared" ca="1" si="97"/>
        <v>160.2422461722644</v>
      </c>
      <c r="M290">
        <f t="shared" ca="1" si="98"/>
        <v>149.67275382773562</v>
      </c>
      <c r="N290">
        <f t="shared" ca="1" si="87"/>
        <v>-1.2800000000000011</v>
      </c>
      <c r="O290">
        <f t="shared" ca="1" si="88"/>
        <v>0</v>
      </c>
      <c r="P290">
        <f t="shared" ca="1" si="89"/>
        <v>1.2800000000000011</v>
      </c>
      <c r="Q290">
        <f t="shared" ca="1" si="93"/>
        <v>0.74103001042122607</v>
      </c>
      <c r="R290">
        <f t="shared" ca="1" si="94"/>
        <v>0.7471139087462132</v>
      </c>
      <c r="S290">
        <f t="shared" ca="1" si="91"/>
        <v>0.99185679954051853</v>
      </c>
      <c r="T290">
        <f t="shared" ca="1" si="92"/>
        <v>49.795587703358997</v>
      </c>
      <c r="U290">
        <f>70</f>
        <v>70</v>
      </c>
      <c r="V290">
        <f>30</f>
        <v>30</v>
      </c>
      <c r="W290">
        <f t="shared" ca="1" si="90"/>
        <v>156.1260079773779</v>
      </c>
      <c r="X290">
        <f t="shared" ca="1" si="100"/>
        <v>155.2690706309298</v>
      </c>
      <c r="Y290">
        <f t="shared" ca="1" si="99"/>
        <v>0.83685588099442043</v>
      </c>
      <c r="Z290">
        <f t="shared" ca="1" si="80"/>
        <v>0.84848500689924233</v>
      </c>
      <c r="AA290">
        <f t="shared" ca="1" si="81"/>
        <v>-1.1629125904821902E-2</v>
      </c>
      <c r="AB290">
        <f t="shared" ca="1" si="82"/>
        <v>153.71689999999992</v>
      </c>
    </row>
    <row r="291" spans="1:28" x14ac:dyDescent="0.25">
      <c r="A291" s="20">
        <f t="shared" ca="1" si="83"/>
        <v>45712</v>
      </c>
      <c r="B291" vm="848">
        <f ca="1"/>
        <v>45715</v>
      </c>
      <c r="C291" vm="849">
        <f ca="1"/>
        <v>156.66999999999999</v>
      </c>
      <c r="D291" vm="850">
        <f ca="1"/>
        <v>7517237</v>
      </c>
      <c r="E291">
        <f t="shared" ca="1" si="84"/>
        <v>1177725520.79</v>
      </c>
      <c r="F291">
        <f ca="1">SUM($E$2:E291)/SUM($D$2:D291)</f>
        <v>152.88299489425219</v>
      </c>
      <c r="G291">
        <f ca="1">_xlfn.STDEV.P($C$2:C291)</f>
        <v>6.2612084572251376</v>
      </c>
      <c r="H291">
        <f t="shared" ca="1" si="85"/>
        <v>159.14420335147733</v>
      </c>
      <c r="I291">
        <f t="shared" ca="1" si="86"/>
        <v>146.62178643702705</v>
      </c>
      <c r="J291">
        <f t="shared" ca="1" si="95"/>
        <v>155.00650000000002</v>
      </c>
      <c r="K291">
        <f t="shared" ca="1" si="96"/>
        <v>2.6656553948720569</v>
      </c>
      <c r="L291">
        <f t="shared" ca="1" si="97"/>
        <v>160.33781078974414</v>
      </c>
      <c r="M291">
        <f t="shared" ca="1" si="98"/>
        <v>149.67518921025589</v>
      </c>
      <c r="N291">
        <f t="shared" ca="1" si="87"/>
        <v>1.5300000000000011</v>
      </c>
      <c r="O291">
        <f t="shared" ca="1" si="88"/>
        <v>1.5300000000000011</v>
      </c>
      <c r="P291">
        <f t="shared" ca="1" si="89"/>
        <v>0</v>
      </c>
      <c r="Q291">
        <f t="shared" ca="1" si="93"/>
        <v>0.79738500967685277</v>
      </c>
      <c r="R291">
        <f t="shared" ca="1" si="94"/>
        <v>0.69374862955005512</v>
      </c>
      <c r="S291">
        <f t="shared" ca="1" si="91"/>
        <v>1.1493860682564709</v>
      </c>
      <c r="T291">
        <f t="shared" ca="1" si="92"/>
        <v>53.475086920463042</v>
      </c>
      <c r="U291">
        <f>70</f>
        <v>70</v>
      </c>
      <c r="V291">
        <f>30</f>
        <v>30</v>
      </c>
      <c r="W291">
        <f t="shared" ca="1" si="90"/>
        <v>156.20969905778128</v>
      </c>
      <c r="X291">
        <f t="shared" ca="1" si="100"/>
        <v>155.37284317678686</v>
      </c>
      <c r="Y291">
        <f t="shared" ca="1" si="99"/>
        <v>0.96714127551371121</v>
      </c>
      <c r="Z291">
        <f t="shared" ca="1" si="80"/>
        <v>0.8722162606221362</v>
      </c>
      <c r="AA291">
        <f t="shared" ca="1" si="81"/>
        <v>9.492501489157501E-2</v>
      </c>
      <c r="AB291">
        <f t="shared" ca="1" si="82"/>
        <v>153.77409999999992</v>
      </c>
    </row>
    <row r="292" spans="1:28" x14ac:dyDescent="0.25">
      <c r="A292" s="20">
        <f t="shared" ca="1" si="83"/>
        <v>45712</v>
      </c>
      <c r="B292" vm="851">
        <f ca="1"/>
        <v>45716</v>
      </c>
      <c r="C292" vm="852">
        <f ca="1"/>
        <v>158.62</v>
      </c>
      <c r="D292" vm="853">
        <f ca="1"/>
        <v>8828547</v>
      </c>
      <c r="E292">
        <f t="shared" ca="1" si="84"/>
        <v>1400384125.1400001</v>
      </c>
      <c r="F292">
        <f ca="1">SUM($E$2:E292)/SUM($D$2:D292)</f>
        <v>152.90549147044959</v>
      </c>
      <c r="G292">
        <f ca="1">_xlfn.STDEV.P($C$2:C292)</f>
        <v>6.2582101411717961</v>
      </c>
      <c r="H292">
        <f t="shared" ca="1" si="85"/>
        <v>159.16370161162138</v>
      </c>
      <c r="I292">
        <f t="shared" ca="1" si="86"/>
        <v>146.6472813292778</v>
      </c>
      <c r="J292">
        <f t="shared" ca="1" si="95"/>
        <v>155.1215</v>
      </c>
      <c r="K292">
        <f t="shared" ca="1" si="96"/>
        <v>2.7727646758007429</v>
      </c>
      <c r="L292">
        <f t="shared" ca="1" si="97"/>
        <v>160.66702935160149</v>
      </c>
      <c r="M292">
        <f t="shared" ca="1" si="98"/>
        <v>149.57597064839851</v>
      </c>
      <c r="N292">
        <f t="shared" ca="1" si="87"/>
        <v>1.9500000000000171</v>
      </c>
      <c r="O292">
        <f t="shared" ca="1" si="88"/>
        <v>1.9500000000000171</v>
      </c>
      <c r="P292">
        <f t="shared" ca="1" si="89"/>
        <v>0</v>
      </c>
      <c r="Q292">
        <f t="shared" ca="1" si="93"/>
        <v>0.87971465184279307</v>
      </c>
      <c r="R292">
        <f t="shared" ca="1" si="94"/>
        <v>0.64419515601076538</v>
      </c>
      <c r="S292">
        <f t="shared" ca="1" si="91"/>
        <v>1.3656027115920937</v>
      </c>
      <c r="T292">
        <f t="shared" ca="1" si="92"/>
        <v>57.727474901016585</v>
      </c>
      <c r="U292">
        <f>70</f>
        <v>70</v>
      </c>
      <c r="V292">
        <f>30</f>
        <v>30</v>
      </c>
      <c r="W292">
        <f t="shared" ca="1" si="90"/>
        <v>156.58051458735338</v>
      </c>
      <c r="X292">
        <f t="shared" ca="1" si="100"/>
        <v>155.61337331183967</v>
      </c>
      <c r="Y292">
        <f t="shared" ca="1" si="99"/>
        <v>0.61705557292324897</v>
      </c>
      <c r="Z292">
        <f t="shared" ca="1" si="80"/>
        <v>0.82118412308235877</v>
      </c>
      <c r="AA292">
        <f t="shared" ca="1" si="81"/>
        <v>-0.2041285501591098</v>
      </c>
      <c r="AB292">
        <f t="shared" ca="1" si="82"/>
        <v>153.84779999999992</v>
      </c>
    </row>
    <row r="293" spans="1:28" x14ac:dyDescent="0.25">
      <c r="A293" s="20">
        <f t="shared" ca="1" si="83"/>
        <v>45719</v>
      </c>
      <c r="B293" vm="854">
        <f ca="1"/>
        <v>45719</v>
      </c>
      <c r="C293" vm="855">
        <f ca="1"/>
        <v>153.09</v>
      </c>
      <c r="D293" vm="856">
        <f ca="1"/>
        <v>9059814</v>
      </c>
      <c r="E293">
        <f t="shared" ca="1" si="84"/>
        <v>1386966925.26</v>
      </c>
      <c r="F293">
        <f ca="1">SUM($E$2:E293)/SUM($D$2:D293)</f>
        <v>152.90623096261837</v>
      </c>
      <c r="G293">
        <f ca="1">_xlfn.STDEV.P($C$2:C293)</f>
        <v>6.2474982149922509</v>
      </c>
      <c r="H293">
        <f t="shared" ca="1" si="85"/>
        <v>159.15372917761061</v>
      </c>
      <c r="I293">
        <f t="shared" ca="1" si="86"/>
        <v>146.65873274762612</v>
      </c>
      <c r="J293">
        <f t="shared" ca="1" si="95"/>
        <v>155.31649999999999</v>
      </c>
      <c r="K293">
        <f t="shared" ca="1" si="96"/>
        <v>2.4522820199282007</v>
      </c>
      <c r="L293">
        <f t="shared" ca="1" si="97"/>
        <v>160.2210640398564</v>
      </c>
      <c r="M293">
        <f t="shared" ca="1" si="98"/>
        <v>150.41193596014358</v>
      </c>
      <c r="N293">
        <f t="shared" ca="1" si="87"/>
        <v>-5.5300000000000011</v>
      </c>
      <c r="O293">
        <f t="shared" ca="1" si="88"/>
        <v>0</v>
      </c>
      <c r="P293">
        <f t="shared" ca="1" si="89"/>
        <v>5.5300000000000011</v>
      </c>
      <c r="Q293">
        <f t="shared" ca="1" si="93"/>
        <v>0.81687789099687935</v>
      </c>
      <c r="R293">
        <f t="shared" ca="1" si="94"/>
        <v>0.99318121629571077</v>
      </c>
      <c r="S293">
        <f t="shared" ca="1" si="91"/>
        <v>0.82248624681365434</v>
      </c>
      <c r="T293">
        <f t="shared" ca="1" si="92"/>
        <v>45.129901432817341</v>
      </c>
      <c r="U293">
        <f>70</f>
        <v>70</v>
      </c>
      <c r="V293">
        <f>30</f>
        <v>30</v>
      </c>
      <c r="W293">
        <f t="shared" ca="1" si="90"/>
        <v>156.04351234314515</v>
      </c>
      <c r="X293">
        <f t="shared" ca="1" si="100"/>
        <v>155.4264567702219</v>
      </c>
      <c r="Y293">
        <f t="shared" ca="1" si="99"/>
        <v>0.24878836350993083</v>
      </c>
      <c r="Z293">
        <f t="shared" ca="1" si="80"/>
        <v>0.70670497116787323</v>
      </c>
      <c r="AA293">
        <f t="shared" ca="1" si="81"/>
        <v>-0.4579166076579424</v>
      </c>
      <c r="AB293">
        <f t="shared" ca="1" si="82"/>
        <v>153.87129999999991</v>
      </c>
    </row>
    <row r="294" spans="1:28" x14ac:dyDescent="0.25">
      <c r="A294" s="20">
        <f t="shared" ca="1" si="83"/>
        <v>45719</v>
      </c>
      <c r="B294" vm="857">
        <f ca="1"/>
        <v>45720</v>
      </c>
      <c r="C294" vm="142">
        <f ca="1"/>
        <v>152</v>
      </c>
      <c r="D294" vm="858">
        <f ca="1"/>
        <v>8826344</v>
      </c>
      <c r="E294">
        <f t="shared" ca="1" si="84"/>
        <v>1341604288</v>
      </c>
      <c r="F294">
        <f ca="1">SUM($E$2:E294)/SUM($D$2:D294)</f>
        <v>152.90270623839371</v>
      </c>
      <c r="G294">
        <f ca="1">_xlfn.STDEV.P($C$2:C294)</f>
        <v>6.237296163774432</v>
      </c>
      <c r="H294">
        <f t="shared" ca="1" si="85"/>
        <v>159.14000240216814</v>
      </c>
      <c r="I294">
        <f t="shared" ca="1" si="86"/>
        <v>146.66541007461927</v>
      </c>
      <c r="J294">
        <f t="shared" ca="1" si="95"/>
        <v>155.4495</v>
      </c>
      <c r="K294">
        <f t="shared" ca="1" si="96"/>
        <v>2.1665749710691156</v>
      </c>
      <c r="L294">
        <f t="shared" ca="1" si="97"/>
        <v>159.78264994213822</v>
      </c>
      <c r="M294">
        <f t="shared" ca="1" si="98"/>
        <v>151.11635005786178</v>
      </c>
      <c r="N294">
        <f t="shared" ca="1" si="87"/>
        <v>-1.0900000000000034</v>
      </c>
      <c r="O294">
        <f t="shared" ca="1" si="88"/>
        <v>0</v>
      </c>
      <c r="P294">
        <f t="shared" ca="1" si="89"/>
        <v>1.0900000000000034</v>
      </c>
      <c r="Q294">
        <f t="shared" ca="1" si="93"/>
        <v>0.75852947021138806</v>
      </c>
      <c r="R294">
        <f t="shared" ca="1" si="94"/>
        <v>1.0000968437031603</v>
      </c>
      <c r="S294">
        <f t="shared" ca="1" si="91"/>
        <v>0.75845601852187017</v>
      </c>
      <c r="T294">
        <f t="shared" ca="1" si="92"/>
        <v>43.131929973398826</v>
      </c>
      <c r="U294">
        <f>70</f>
        <v>70</v>
      </c>
      <c r="V294">
        <f>30</f>
        <v>30</v>
      </c>
      <c r="W294">
        <f t="shared" ca="1" si="90"/>
        <v>155.42143352112282</v>
      </c>
      <c r="X294">
        <f t="shared" ca="1" si="100"/>
        <v>155.17264515761289</v>
      </c>
      <c r="Y294">
        <f t="shared" ca="1" si="99"/>
        <v>-0.13750404686811635</v>
      </c>
      <c r="Z294">
        <f t="shared" ref="Z294:Z357" ca="1" si="101">Y294*(2/(9+1)) + Z293*(1-(2/(9+1)))</f>
        <v>0.53786316756067531</v>
      </c>
      <c r="AA294">
        <f t="shared" ref="AA294:AA357" ca="1" si="102">Y294-Z294</f>
        <v>-0.67536721442879166</v>
      </c>
      <c r="AB294">
        <f t="shared" ref="AB294:AB357" ca="1" si="103">AVERAGE(C195:C294)</f>
        <v>153.88009999999994</v>
      </c>
    </row>
    <row r="295" spans="1:28" x14ac:dyDescent="0.25">
      <c r="A295" s="20">
        <f t="shared" ca="1" si="83"/>
        <v>45719</v>
      </c>
      <c r="B295" vm="859">
        <f ca="1"/>
        <v>45721</v>
      </c>
      <c r="C295" vm="608">
        <f ca="1"/>
        <v>150.81</v>
      </c>
      <c r="D295" vm="860">
        <f ca="1"/>
        <v>9288538</v>
      </c>
      <c r="E295">
        <f t="shared" ca="1" si="84"/>
        <v>1400804415.78</v>
      </c>
      <c r="F295">
        <f ca="1">SUM($E$2:E295)/SUM($D$2:D295)</f>
        <v>152.8941754917482</v>
      </c>
      <c r="G295">
        <f ca="1">_xlfn.STDEV.P($C$2:C295)</f>
        <v>6.2283751567410706</v>
      </c>
      <c r="H295">
        <f t="shared" ca="1" si="85"/>
        <v>159.12255064848927</v>
      </c>
      <c r="I295">
        <f t="shared" ca="1" si="86"/>
        <v>146.66580033500713</v>
      </c>
      <c r="J295">
        <f t="shared" ca="1" si="95"/>
        <v>155.32900000000001</v>
      </c>
      <c r="K295">
        <f t="shared" ca="1" si="96"/>
        <v>2.3558525107976429</v>
      </c>
      <c r="L295">
        <f t="shared" ca="1" si="97"/>
        <v>160.0407050215953</v>
      </c>
      <c r="M295">
        <f t="shared" ca="1" si="98"/>
        <v>150.61729497840471</v>
      </c>
      <c r="N295">
        <f t="shared" ca="1" si="87"/>
        <v>-1.1899999999999977</v>
      </c>
      <c r="O295">
        <f t="shared" ca="1" si="88"/>
        <v>0</v>
      </c>
      <c r="P295">
        <f t="shared" ca="1" si="89"/>
        <v>1.1899999999999977</v>
      </c>
      <c r="Q295">
        <f t="shared" ca="1" si="93"/>
        <v>0.70434879376771753</v>
      </c>
      <c r="R295">
        <f t="shared" ca="1" si="94"/>
        <v>1.0136613548672202</v>
      </c>
      <c r="S295">
        <f t="shared" ca="1" si="91"/>
        <v>0.69485611776132117</v>
      </c>
      <c r="T295">
        <f t="shared" ca="1" si="92"/>
        <v>40.997941387445529</v>
      </c>
      <c r="U295">
        <f>70</f>
        <v>70</v>
      </c>
      <c r="V295">
        <f>30</f>
        <v>30</v>
      </c>
      <c r="W295">
        <f t="shared" ca="1" si="90"/>
        <v>154.71198221018085</v>
      </c>
      <c r="X295">
        <f t="shared" ca="1" si="100"/>
        <v>154.84948625704897</v>
      </c>
      <c r="Y295">
        <f t="shared" ca="1" si="99"/>
        <v>-0.2678755473424701</v>
      </c>
      <c r="Z295">
        <f t="shared" ca="1" si="101"/>
        <v>0.37671542458004625</v>
      </c>
      <c r="AA295">
        <f t="shared" ca="1" si="102"/>
        <v>-0.64459097192251635</v>
      </c>
      <c r="AB295">
        <f t="shared" ca="1" si="103"/>
        <v>153.90069999999992</v>
      </c>
    </row>
    <row r="296" spans="1:28" x14ac:dyDescent="0.25">
      <c r="A296" s="20">
        <f t="shared" ca="1" si="83"/>
        <v>45719</v>
      </c>
      <c r="B296" vm="861">
        <f ca="1"/>
        <v>45722</v>
      </c>
      <c r="C296" vm="862">
        <f ca="1"/>
        <v>152.94999999999999</v>
      </c>
      <c r="D296" vm="863">
        <f ca="1"/>
        <v>7314687</v>
      </c>
      <c r="E296">
        <f t="shared" ca="1" si="84"/>
        <v>1118781376.6499999</v>
      </c>
      <c r="F296">
        <f ca="1">SUM($E$2:E296)/SUM($D$2:D296)</f>
        <v>152.89435412411103</v>
      </c>
      <c r="G296">
        <f ca="1">_xlfn.STDEV.P($C$2:C296)</f>
        <v>6.217842448622048</v>
      </c>
      <c r="H296">
        <f t="shared" ca="1" si="85"/>
        <v>159.11219657273307</v>
      </c>
      <c r="I296">
        <f t="shared" ca="1" si="86"/>
        <v>146.676511675489</v>
      </c>
      <c r="J296">
        <f t="shared" ca="1" si="95"/>
        <v>155.327</v>
      </c>
      <c r="K296">
        <f t="shared" ca="1" si="96"/>
        <v>2.3579587514806519</v>
      </c>
      <c r="L296">
        <f t="shared" ca="1" si="97"/>
        <v>160.0429175029613</v>
      </c>
      <c r="M296">
        <f t="shared" ca="1" si="98"/>
        <v>150.61108249703869</v>
      </c>
      <c r="N296">
        <f t="shared" ca="1" si="87"/>
        <v>2.1399999999999864</v>
      </c>
      <c r="O296">
        <f t="shared" ca="1" si="88"/>
        <v>2.1399999999999864</v>
      </c>
      <c r="P296">
        <f t="shared" ca="1" si="89"/>
        <v>0</v>
      </c>
      <c r="Q296">
        <f t="shared" ca="1" si="93"/>
        <v>0.80689530849859381</v>
      </c>
      <c r="R296">
        <f t="shared" ca="1" si="94"/>
        <v>0.94125697237670447</v>
      </c>
      <c r="S296">
        <f t="shared" ca="1" si="91"/>
        <v>0.85725294173508948</v>
      </c>
      <c r="T296">
        <f t="shared" ca="1" si="92"/>
        <v>46.157037766445725</v>
      </c>
      <c r="U296">
        <f>70</f>
        <v>70</v>
      </c>
      <c r="V296">
        <f>30</f>
        <v>30</v>
      </c>
      <c r="W296">
        <f t="shared" ca="1" si="90"/>
        <v>154.44090802399919</v>
      </c>
      <c r="X296">
        <f t="shared" ca="1" si="100"/>
        <v>154.70878357134166</v>
      </c>
      <c r="Y296">
        <f t="shared" ca="1" si="99"/>
        <v>-9.6538397601932502E-2</v>
      </c>
      <c r="Z296">
        <f t="shared" ca="1" si="101"/>
        <v>0.28206466014365056</v>
      </c>
      <c r="AA296">
        <f t="shared" ca="1" si="102"/>
        <v>-0.37860305774558306</v>
      </c>
      <c r="AB296">
        <f t="shared" ca="1" si="103"/>
        <v>153.93369999999996</v>
      </c>
    </row>
    <row r="297" spans="1:28" x14ac:dyDescent="0.25">
      <c r="A297" s="20">
        <f t="shared" ca="1" si="83"/>
        <v>45719</v>
      </c>
      <c r="B297" vm="864">
        <f ca="1"/>
        <v>45723</v>
      </c>
      <c r="C297" vm="865">
        <f ca="1"/>
        <v>156.34</v>
      </c>
      <c r="D297" vm="866">
        <f ca="1"/>
        <v>8562635</v>
      </c>
      <c r="E297">
        <f t="shared" ca="1" si="84"/>
        <v>1338682355.9000001</v>
      </c>
      <c r="F297">
        <f ca="1">SUM($E$2:E297)/SUM($D$2:D297)</f>
        <v>152.90721272783841</v>
      </c>
      <c r="G297">
        <f ca="1">_xlfn.STDEV.P($C$2:C297)</f>
        <v>6.2098422738068626</v>
      </c>
      <c r="H297">
        <f t="shared" ca="1" si="85"/>
        <v>159.11705500164527</v>
      </c>
      <c r="I297">
        <f t="shared" ca="1" si="86"/>
        <v>146.69737045403156</v>
      </c>
      <c r="J297">
        <f t="shared" ca="1" si="95"/>
        <v>155.54900000000001</v>
      </c>
      <c r="K297">
        <f t="shared" ca="1" si="96"/>
        <v>2.2235057667424276</v>
      </c>
      <c r="L297">
        <f t="shared" ca="1" si="97"/>
        <v>159.99601153348488</v>
      </c>
      <c r="M297">
        <f t="shared" ca="1" si="98"/>
        <v>151.10198846651514</v>
      </c>
      <c r="N297">
        <f t="shared" ca="1" si="87"/>
        <v>3.3900000000000148</v>
      </c>
      <c r="O297">
        <f t="shared" ca="1" si="88"/>
        <v>3.3900000000000148</v>
      </c>
      <c r="P297">
        <f t="shared" ca="1" si="89"/>
        <v>0</v>
      </c>
      <c r="Q297">
        <f t="shared" ca="1" si="93"/>
        <v>0.99140278646298097</v>
      </c>
      <c r="R297">
        <f t="shared" ca="1" si="94"/>
        <v>0.87402433149265413</v>
      </c>
      <c r="S297">
        <f t="shared" ca="1" si="91"/>
        <v>1.1342965530145694</v>
      </c>
      <c r="T297">
        <f t="shared" ca="1" si="92"/>
        <v>53.146154943296963</v>
      </c>
      <c r="U297">
        <f>70</f>
        <v>70</v>
      </c>
      <c r="V297">
        <f>30</f>
        <v>30</v>
      </c>
      <c r="W297">
        <f t="shared" ca="1" si="90"/>
        <v>154.73307602030701</v>
      </c>
      <c r="X297">
        <f t="shared" ca="1" si="100"/>
        <v>154.82961441790894</v>
      </c>
      <c r="Y297">
        <f t="shared" ca="1" si="99"/>
        <v>0.13691992082843285</v>
      </c>
      <c r="Z297">
        <f t="shared" ca="1" si="101"/>
        <v>0.25303571228060701</v>
      </c>
      <c r="AA297">
        <f t="shared" ca="1" si="102"/>
        <v>-0.11611579145217416</v>
      </c>
      <c r="AB297">
        <f t="shared" ca="1" si="103"/>
        <v>153.99089999999993</v>
      </c>
    </row>
    <row r="298" spans="1:28" x14ac:dyDescent="0.25">
      <c r="A298" s="20">
        <f t="shared" ca="1" si="83"/>
        <v>45726</v>
      </c>
      <c r="B298" vm="867">
        <f ca="1"/>
        <v>45726</v>
      </c>
      <c r="C298" vm="222">
        <f ca="1"/>
        <v>157.57</v>
      </c>
      <c r="D298" vm="868">
        <f ca="1"/>
        <v>11750302</v>
      </c>
      <c r="E298">
        <f t="shared" ca="1" si="84"/>
        <v>1851495086.1399999</v>
      </c>
      <c r="F298">
        <f ca="1">SUM($E$2:E298)/SUM($D$2:D298)</f>
        <v>152.93096974837761</v>
      </c>
      <c r="G298">
        <f ca="1">_xlfn.STDEV.P($C$2:C298)</f>
        <v>6.2042964304373243</v>
      </c>
      <c r="H298">
        <f t="shared" ca="1" si="85"/>
        <v>159.13526617881493</v>
      </c>
      <c r="I298">
        <f t="shared" ca="1" si="86"/>
        <v>146.72667331794028</v>
      </c>
      <c r="J298">
        <f t="shared" ca="1" si="95"/>
        <v>155.79650000000001</v>
      </c>
      <c r="K298">
        <f t="shared" ca="1" si="96"/>
        <v>2.1547481840906828</v>
      </c>
      <c r="L298">
        <f t="shared" ca="1" si="97"/>
        <v>160.10599636818137</v>
      </c>
      <c r="M298">
        <f t="shared" ca="1" si="98"/>
        <v>151.48700363181865</v>
      </c>
      <c r="N298">
        <f t="shared" ca="1" si="87"/>
        <v>1.2299999999999898</v>
      </c>
      <c r="O298">
        <f t="shared" ca="1" si="88"/>
        <v>1.2299999999999898</v>
      </c>
      <c r="P298">
        <f t="shared" ca="1" si="89"/>
        <v>0</v>
      </c>
      <c r="Q298">
        <f t="shared" ca="1" si="93"/>
        <v>1.0084454445727673</v>
      </c>
      <c r="R298">
        <f t="shared" ca="1" si="94"/>
        <v>0.81159402210032172</v>
      </c>
      <c r="S298">
        <f t="shared" ca="1" si="91"/>
        <v>1.2425491281503211</v>
      </c>
      <c r="T298">
        <f t="shared" ca="1" si="92"/>
        <v>55.407888841890795</v>
      </c>
      <c r="U298">
        <f>70</f>
        <v>70</v>
      </c>
      <c r="V298">
        <f>30</f>
        <v>30</v>
      </c>
      <c r="W298">
        <f t="shared" ca="1" si="90"/>
        <v>155.1695258633367</v>
      </c>
      <c r="X298">
        <f t="shared" ca="1" si="100"/>
        <v>155.03260594250827</v>
      </c>
      <c r="Y298">
        <f t="shared" ca="1" si="99"/>
        <v>3.9863960386924191E-2</v>
      </c>
      <c r="Z298">
        <f t="shared" ca="1" si="101"/>
        <v>0.21040136190187045</v>
      </c>
      <c r="AA298">
        <f t="shared" ca="1" si="102"/>
        <v>-0.17053740151494626</v>
      </c>
      <c r="AB298">
        <f t="shared" ca="1" si="103"/>
        <v>154.05239999999995</v>
      </c>
    </row>
    <row r="299" spans="1:28" x14ac:dyDescent="0.25">
      <c r="A299" s="20">
        <f t="shared" ca="1" si="83"/>
        <v>45726</v>
      </c>
      <c r="B299" vm="869">
        <f ca="1"/>
        <v>45727</v>
      </c>
      <c r="C299" vm="870">
        <f ca="1"/>
        <v>154.08000000000001</v>
      </c>
      <c r="D299" vm="871">
        <f ca="1"/>
        <v>10466294</v>
      </c>
      <c r="E299">
        <f t="shared" ca="1" si="84"/>
        <v>1612646579.5200002</v>
      </c>
      <c r="F299">
        <f ca="1">SUM($E$2:E299)/SUM($D$2:D299)</f>
        <v>152.93616079881366</v>
      </c>
      <c r="G299">
        <f ca="1">_xlfn.STDEV.P($C$2:C299)</f>
        <v>6.1940332996326939</v>
      </c>
      <c r="H299">
        <f t="shared" ca="1" si="85"/>
        <v>159.13019409844637</v>
      </c>
      <c r="I299">
        <f t="shared" ca="1" si="86"/>
        <v>146.74212749918095</v>
      </c>
      <c r="J299">
        <f t="shared" ca="1" si="95"/>
        <v>155.71200000000002</v>
      </c>
      <c r="K299">
        <f t="shared" ca="1" si="96"/>
        <v>2.1887117095150765</v>
      </c>
      <c r="L299">
        <f t="shared" ca="1" si="97"/>
        <v>160.08942341903017</v>
      </c>
      <c r="M299">
        <f t="shared" ca="1" si="98"/>
        <v>151.33457658096987</v>
      </c>
      <c r="N299">
        <f t="shared" ca="1" si="87"/>
        <v>-3.4899999999999807</v>
      </c>
      <c r="O299">
        <f t="shared" ca="1" si="88"/>
        <v>0</v>
      </c>
      <c r="P299">
        <f t="shared" ca="1" si="89"/>
        <v>3.4899999999999807</v>
      </c>
      <c r="Q299">
        <f t="shared" ca="1" si="93"/>
        <v>0.93641362710328391</v>
      </c>
      <c r="R299">
        <f t="shared" ca="1" si="94"/>
        <v>1.0029087348074401</v>
      </c>
      <c r="S299">
        <f t="shared" ca="1" si="91"/>
        <v>0.93369774796415206</v>
      </c>
      <c r="T299">
        <f t="shared" ca="1" si="92"/>
        <v>48.285609731260926</v>
      </c>
      <c r="U299">
        <f>70</f>
        <v>70</v>
      </c>
      <c r="V299">
        <f>30</f>
        <v>30</v>
      </c>
      <c r="W299">
        <f t="shared" ca="1" si="90"/>
        <v>155.00190649974644</v>
      </c>
      <c r="X299">
        <f t="shared" ca="1" si="100"/>
        <v>154.96204253935952</v>
      </c>
      <c r="Y299">
        <f t="shared" ca="1" si="99"/>
        <v>-0.14910995688649109</v>
      </c>
      <c r="Z299">
        <f t="shared" ca="1" si="101"/>
        <v>0.13849909814419817</v>
      </c>
      <c r="AA299">
        <f t="shared" ca="1" si="102"/>
        <v>-0.28760905503068923</v>
      </c>
      <c r="AB299">
        <f t="shared" ca="1" si="103"/>
        <v>154.07539999999992</v>
      </c>
    </row>
    <row r="300" spans="1:28" x14ac:dyDescent="0.25">
      <c r="A300" s="20">
        <f t="shared" ca="1" si="83"/>
        <v>45726</v>
      </c>
      <c r="B300" vm="872">
        <f ca="1"/>
        <v>45728</v>
      </c>
      <c r="C300" vm="873">
        <f ca="1"/>
        <v>152.66999999999999</v>
      </c>
      <c r="D300" vm="874">
        <f ca="1"/>
        <v>9710223</v>
      </c>
      <c r="E300">
        <f t="shared" ca="1" si="84"/>
        <v>1482459745.4099998</v>
      </c>
      <c r="F300">
        <f ca="1">SUM($E$2:E300)/SUM($D$2:D300)</f>
        <v>152.93504986637276</v>
      </c>
      <c r="G300">
        <f ca="1">_xlfn.STDEV.P($C$2:C300)</f>
        <v>6.1837818439114125</v>
      </c>
      <c r="H300">
        <f t="shared" ca="1" si="85"/>
        <v>159.11883171028418</v>
      </c>
      <c r="I300">
        <f t="shared" ca="1" si="86"/>
        <v>146.75126802246135</v>
      </c>
      <c r="J300">
        <f t="shared" ca="1" si="95"/>
        <v>155.4735</v>
      </c>
      <c r="K300">
        <f t="shared" ca="1" si="96"/>
        <v>2.2495479662882425</v>
      </c>
      <c r="L300">
        <f t="shared" ca="1" si="97"/>
        <v>159.9725959325765</v>
      </c>
      <c r="M300">
        <f t="shared" ca="1" si="98"/>
        <v>150.97440406742351</v>
      </c>
      <c r="N300">
        <f t="shared" ca="1" si="87"/>
        <v>-1.410000000000025</v>
      </c>
      <c r="O300">
        <f t="shared" ca="1" si="88"/>
        <v>0</v>
      </c>
      <c r="P300">
        <f t="shared" ca="1" si="89"/>
        <v>1.410000000000025</v>
      </c>
      <c r="Q300">
        <f t="shared" ca="1" si="93"/>
        <v>0.86952693945304937</v>
      </c>
      <c r="R300">
        <f t="shared" ca="1" si="94"/>
        <v>1.0319866823211963</v>
      </c>
      <c r="S300">
        <f t="shared" ca="1" si="91"/>
        <v>0.8425757370213981</v>
      </c>
      <c r="T300">
        <f t="shared" ca="1" si="92"/>
        <v>45.728146750887845</v>
      </c>
      <c r="U300">
        <f>70</f>
        <v>70</v>
      </c>
      <c r="V300">
        <f>30</f>
        <v>30</v>
      </c>
      <c r="W300">
        <f t="shared" ca="1" si="90"/>
        <v>154.64315165363161</v>
      </c>
      <c r="X300">
        <f t="shared" ca="1" si="100"/>
        <v>154.7922616105181</v>
      </c>
      <c r="Y300">
        <f t="shared" ca="1" si="99"/>
        <v>-0.22048143102506401</v>
      </c>
      <c r="Z300">
        <f t="shared" ca="1" si="101"/>
        <v>6.6702992310345738E-2</v>
      </c>
      <c r="AA300">
        <f t="shared" ca="1" si="102"/>
        <v>-0.28718442333540972</v>
      </c>
      <c r="AB300">
        <f t="shared" ca="1" si="103"/>
        <v>154.12479999999994</v>
      </c>
    </row>
    <row r="301" spans="1:28" x14ac:dyDescent="0.25">
      <c r="A301" s="20">
        <f t="shared" ca="1" si="83"/>
        <v>45726</v>
      </c>
      <c r="B301" vm="875">
        <f ca="1"/>
        <v>45729</v>
      </c>
      <c r="C301" vm="876">
        <f ca="1"/>
        <v>153.61000000000001</v>
      </c>
      <c r="D301" vm="877">
        <f ca="1"/>
        <v>9022758</v>
      </c>
      <c r="E301">
        <f t="shared" ca="1" si="84"/>
        <v>1385985856.3800001</v>
      </c>
      <c r="F301">
        <f ca="1">SUM($E$2:E301)/SUM($D$2:D301)</f>
        <v>152.93765748597392</v>
      </c>
      <c r="G301">
        <f ca="1">_xlfn.STDEV.P($C$2:C301)</f>
        <v>6.1734893481905537</v>
      </c>
      <c r="H301">
        <f t="shared" ca="1" si="85"/>
        <v>159.11114683416446</v>
      </c>
      <c r="I301">
        <f t="shared" ca="1" si="86"/>
        <v>146.76416813778337</v>
      </c>
      <c r="J301">
        <f t="shared" ca="1" si="95"/>
        <v>155.40900000000002</v>
      </c>
      <c r="K301">
        <f t="shared" ca="1" si="96"/>
        <v>2.2850703087190691</v>
      </c>
      <c r="L301">
        <f t="shared" ca="1" si="97"/>
        <v>159.97914061743816</v>
      </c>
      <c r="M301">
        <f t="shared" ca="1" si="98"/>
        <v>150.83885938256188</v>
      </c>
      <c r="N301">
        <f t="shared" ca="1" si="87"/>
        <v>0.94000000000002615</v>
      </c>
      <c r="O301">
        <f t="shared" ca="1" si="88"/>
        <v>0.94000000000002615</v>
      </c>
      <c r="P301">
        <f t="shared" ca="1" si="89"/>
        <v>0</v>
      </c>
      <c r="Q301">
        <f t="shared" ca="1" si="93"/>
        <v>0.87456072949211916</v>
      </c>
      <c r="R301">
        <f t="shared" ca="1" si="94"/>
        <v>0.95827334786968232</v>
      </c>
      <c r="S301">
        <f t="shared" ca="1" si="91"/>
        <v>0.9126422345318661</v>
      </c>
      <c r="T301">
        <f t="shared" ca="1" si="92"/>
        <v>47.716306691054655</v>
      </c>
      <c r="U301">
        <f>70</f>
        <v>70</v>
      </c>
      <c r="V301">
        <f>30</f>
        <v>30</v>
      </c>
      <c r="W301">
        <f t="shared" ca="1" si="90"/>
        <v>154.48420524538059</v>
      </c>
      <c r="X301">
        <f t="shared" ca="1" si="100"/>
        <v>154.70468667640566</v>
      </c>
      <c r="Y301">
        <f t="shared" ca="1" si="99"/>
        <v>-1.8638517202305138E-3</v>
      </c>
      <c r="Z301">
        <f t="shared" ca="1" si="101"/>
        <v>5.298962350423049E-2</v>
      </c>
      <c r="AA301">
        <f t="shared" ca="1" si="102"/>
        <v>-5.4853475224461004E-2</v>
      </c>
      <c r="AB301">
        <f t="shared" ca="1" si="103"/>
        <v>154.17359999999996</v>
      </c>
    </row>
    <row r="302" spans="1:28" x14ac:dyDescent="0.25">
      <c r="A302" s="20">
        <f t="shared" ca="1" si="83"/>
        <v>45726</v>
      </c>
      <c r="B302" vm="878">
        <f ca="1"/>
        <v>45730</v>
      </c>
      <c r="C302" vm="879">
        <f ca="1"/>
        <v>157.02000000000001</v>
      </c>
      <c r="D302" vm="880">
        <f ca="1"/>
        <v>6671549</v>
      </c>
      <c r="E302">
        <f t="shared" ca="1" si="84"/>
        <v>1047566623.98</v>
      </c>
      <c r="F302">
        <f ca="1">SUM($E$2:E302)/SUM($D$2:D302)</f>
        <v>152.94928616793592</v>
      </c>
      <c r="G302">
        <f ca="1">_xlfn.STDEV.P($C$2:C302)</f>
        <v>6.1668975622077919</v>
      </c>
      <c r="H302">
        <f t="shared" ca="1" si="85"/>
        <v>159.11618373014372</v>
      </c>
      <c r="I302">
        <f t="shared" ca="1" si="86"/>
        <v>146.78238860572813</v>
      </c>
      <c r="J302">
        <f t="shared" ca="1" si="95"/>
        <v>155.46600000000001</v>
      </c>
      <c r="K302">
        <f t="shared" ca="1" si="96"/>
        <v>2.3115030425654779</v>
      </c>
      <c r="L302">
        <f t="shared" ca="1" si="97"/>
        <v>160.08900608513096</v>
      </c>
      <c r="M302">
        <f t="shared" ca="1" si="98"/>
        <v>150.84299391486906</v>
      </c>
      <c r="N302">
        <f t="shared" ca="1" si="87"/>
        <v>3.4099999999999966</v>
      </c>
      <c r="O302">
        <f t="shared" ca="1" si="88"/>
        <v>3.4099999999999966</v>
      </c>
      <c r="P302">
        <f t="shared" ca="1" si="89"/>
        <v>0</v>
      </c>
      <c r="Q302">
        <f t="shared" ca="1" si="93"/>
        <v>1.0556635345283962</v>
      </c>
      <c r="R302">
        <f t="shared" ca="1" si="94"/>
        <v>0.88982525159327641</v>
      </c>
      <c r="S302">
        <f t="shared" ca="1" si="91"/>
        <v>1.1863717428092517</v>
      </c>
      <c r="T302">
        <f t="shared" ca="1" si="92"/>
        <v>54.262123845640815</v>
      </c>
      <c r="U302">
        <f>70</f>
        <v>70</v>
      </c>
      <c r="V302">
        <f>30</f>
        <v>30</v>
      </c>
      <c r="W302">
        <f t="shared" ca="1" si="90"/>
        <v>154.87432751532205</v>
      </c>
      <c r="X302">
        <f t="shared" ca="1" si="100"/>
        <v>154.87619136704228</v>
      </c>
      <c r="Y302">
        <f t="shared" ca="1" si="99"/>
        <v>0.30505150359519462</v>
      </c>
      <c r="Z302">
        <f t="shared" ca="1" si="101"/>
        <v>0.10340199952242332</v>
      </c>
      <c r="AA302">
        <f t="shared" ca="1" si="102"/>
        <v>0.2016495040727713</v>
      </c>
      <c r="AB302">
        <f t="shared" ca="1" si="103"/>
        <v>154.23179999999994</v>
      </c>
    </row>
    <row r="303" spans="1:28" x14ac:dyDescent="0.25">
      <c r="A303" s="20">
        <f t="shared" ca="1" si="83"/>
        <v>45733</v>
      </c>
      <c r="B303" vm="881">
        <f ca="1"/>
        <v>45733</v>
      </c>
      <c r="C303" vm="647">
        <f ca="1"/>
        <v>158.72</v>
      </c>
      <c r="D303" vm="882">
        <f ca="1"/>
        <v>7615153</v>
      </c>
      <c r="E303">
        <f t="shared" ca="1" si="84"/>
        <v>1208677084.1600001</v>
      </c>
      <c r="F303">
        <f ca="1">SUM($E$2:E303)/SUM($D$2:D303)</f>
        <v>152.96798837073015</v>
      </c>
      <c r="G303">
        <f ca="1">_xlfn.STDEV.P($C$2:C303)</f>
        <v>6.1644473703792961</v>
      </c>
      <c r="H303">
        <f t="shared" ca="1" si="85"/>
        <v>159.13243574110945</v>
      </c>
      <c r="I303">
        <f t="shared" ca="1" si="86"/>
        <v>146.80354100035086</v>
      </c>
      <c r="J303">
        <f t="shared" ca="1" si="95"/>
        <v>155.63499999999999</v>
      </c>
      <c r="K303">
        <f t="shared" ca="1" si="96"/>
        <v>2.4226920650601169</v>
      </c>
      <c r="L303">
        <f t="shared" ca="1" si="97"/>
        <v>160.48038413012023</v>
      </c>
      <c r="M303">
        <f t="shared" ca="1" si="98"/>
        <v>150.78961586987975</v>
      </c>
      <c r="N303">
        <f t="shared" ca="1" si="87"/>
        <v>1.6999999999999886</v>
      </c>
      <c r="O303">
        <f t="shared" ca="1" si="88"/>
        <v>1.6999999999999886</v>
      </c>
      <c r="P303">
        <f t="shared" ca="1" si="89"/>
        <v>0</v>
      </c>
      <c r="Q303">
        <f t="shared" ca="1" si="93"/>
        <v>1.1016875677763671</v>
      </c>
      <c r="R303">
        <f t="shared" ca="1" si="94"/>
        <v>0.82626630505089949</v>
      </c>
      <c r="S303">
        <f t="shared" ca="1" si="91"/>
        <v>1.3333323179728371</v>
      </c>
      <c r="T303">
        <f t="shared" ca="1" si="92"/>
        <v>57.142838493370519</v>
      </c>
      <c r="U303">
        <f>70</f>
        <v>70</v>
      </c>
      <c r="V303">
        <f>30</f>
        <v>30</v>
      </c>
      <c r="W303">
        <f t="shared" ca="1" si="90"/>
        <v>155.46596943604175</v>
      </c>
      <c r="X303">
        <f t="shared" ca="1" si="100"/>
        <v>155.16091793244655</v>
      </c>
      <c r="Y303">
        <f t="shared" ca="1" si="99"/>
        <v>0.70875952837400291</v>
      </c>
      <c r="Z303">
        <f t="shared" ca="1" si="101"/>
        <v>0.22447350529273924</v>
      </c>
      <c r="AA303">
        <f t="shared" ca="1" si="102"/>
        <v>0.48428602308126367</v>
      </c>
      <c r="AB303">
        <f t="shared" ca="1" si="103"/>
        <v>154.31149999999997</v>
      </c>
    </row>
    <row r="304" spans="1:28" x14ac:dyDescent="0.25">
      <c r="A304" s="20">
        <f t="shared" ca="1" si="83"/>
        <v>45733</v>
      </c>
      <c r="B304" vm="883">
        <f ca="1"/>
        <v>45734</v>
      </c>
      <c r="C304" vm="884">
        <f ca="1"/>
        <v>160.81</v>
      </c>
      <c r="D304" vm="885">
        <f ca="1"/>
        <v>9289469</v>
      </c>
      <c r="E304">
        <f t="shared" ca="1" si="84"/>
        <v>1493839509.8900001</v>
      </c>
      <c r="F304">
        <f ca="1">SUM($E$2:E304)/SUM($D$2:D304)</f>
        <v>152.99886923087442</v>
      </c>
      <c r="G304">
        <f ca="1">_xlfn.STDEV.P($C$2:C304)</f>
        <v>6.1691116134943238</v>
      </c>
      <c r="H304">
        <f t="shared" ca="1" si="85"/>
        <v>159.16798084436874</v>
      </c>
      <c r="I304">
        <f t="shared" ca="1" si="86"/>
        <v>146.8297576173801</v>
      </c>
      <c r="J304">
        <f t="shared" ca="1" si="95"/>
        <v>155.86749999999998</v>
      </c>
      <c r="K304">
        <f t="shared" ca="1" si="96"/>
        <v>2.6846853682165035</v>
      </c>
      <c r="L304">
        <f t="shared" ca="1" si="97"/>
        <v>161.23687073643299</v>
      </c>
      <c r="M304">
        <f t="shared" ca="1" si="98"/>
        <v>150.49812926356697</v>
      </c>
      <c r="N304">
        <f t="shared" ca="1" si="87"/>
        <v>2.0900000000000034</v>
      </c>
      <c r="O304">
        <f t="shared" ca="1" si="88"/>
        <v>2.0900000000000034</v>
      </c>
      <c r="P304">
        <f t="shared" ca="1" si="89"/>
        <v>0</v>
      </c>
      <c r="Q304">
        <f t="shared" ca="1" si="93"/>
        <v>1.1722813129351981</v>
      </c>
      <c r="R304">
        <f t="shared" ca="1" si="94"/>
        <v>0.76724728326154956</v>
      </c>
      <c r="S304">
        <f t="shared" ca="1" si="91"/>
        <v>1.527905459569513</v>
      </c>
      <c r="T304">
        <f t="shared" ca="1" si="92"/>
        <v>60.441558594905125</v>
      </c>
      <c r="U304">
        <f>70</f>
        <v>70</v>
      </c>
      <c r="V304">
        <f>30</f>
        <v>30</v>
      </c>
      <c r="W304">
        <f t="shared" ca="1" si="90"/>
        <v>156.28812798434302</v>
      </c>
      <c r="X304">
        <f t="shared" ca="1" si="100"/>
        <v>155.57936845596902</v>
      </c>
      <c r="Y304">
        <f t="shared" ca="1" si="99"/>
        <v>1.2754394961821731</v>
      </c>
      <c r="Z304">
        <f t="shared" ca="1" si="101"/>
        <v>0.43466670347062608</v>
      </c>
      <c r="AA304">
        <f t="shared" ca="1" si="102"/>
        <v>0.84077279271154703</v>
      </c>
      <c r="AB304">
        <f t="shared" ca="1" si="103"/>
        <v>154.41079999999997</v>
      </c>
    </row>
    <row r="305" spans="1:28" x14ac:dyDescent="0.25">
      <c r="A305" s="20">
        <f t="shared" ca="1" si="83"/>
        <v>45733</v>
      </c>
      <c r="B305" vm="886">
        <f ca="1"/>
        <v>45735</v>
      </c>
      <c r="C305" vm="887">
        <f ca="1"/>
        <v>164.05</v>
      </c>
      <c r="D305" vm="888">
        <f ca="1"/>
        <v>11503859</v>
      </c>
      <c r="E305">
        <f t="shared" ca="1" si="84"/>
        <v>1887208068.95</v>
      </c>
      <c r="F305">
        <f ca="1">SUM($E$2:E305)/SUM($D$2:D305)</f>
        <v>153.05249932559977</v>
      </c>
      <c r="G305">
        <f ca="1">_xlfn.STDEV.P($C$2:C305)</f>
        <v>6.1892020315508214</v>
      </c>
      <c r="H305">
        <f t="shared" ca="1" si="85"/>
        <v>159.24170135715059</v>
      </c>
      <c r="I305">
        <f t="shared" ca="1" si="86"/>
        <v>146.86329729404895</v>
      </c>
      <c r="J305">
        <f t="shared" ca="1" si="95"/>
        <v>156.20849999999999</v>
      </c>
      <c r="K305">
        <f t="shared" ca="1" si="96"/>
        <v>3.2421115195599244</v>
      </c>
      <c r="L305">
        <f t="shared" ca="1" si="97"/>
        <v>162.69272303911984</v>
      </c>
      <c r="M305">
        <f t="shared" ca="1" si="98"/>
        <v>149.72427696088013</v>
      </c>
      <c r="N305">
        <f t="shared" ca="1" si="87"/>
        <v>3.2400000000000091</v>
      </c>
      <c r="O305">
        <f t="shared" ca="1" si="88"/>
        <v>3.2400000000000091</v>
      </c>
      <c r="P305">
        <f t="shared" ca="1" si="89"/>
        <v>0</v>
      </c>
      <c r="Q305">
        <f t="shared" ca="1" si="93"/>
        <v>1.319975504868399</v>
      </c>
      <c r="R305">
        <f t="shared" ca="1" si="94"/>
        <v>0.7124439058857247</v>
      </c>
      <c r="S305">
        <f t="shared" ca="1" si="91"/>
        <v>1.8527430636484687</v>
      </c>
      <c r="T305">
        <f t="shared" ca="1" si="92"/>
        <v>64.946019403476654</v>
      </c>
      <c r="U305">
        <f>70</f>
        <v>70</v>
      </c>
      <c r="V305">
        <f>30</f>
        <v>30</v>
      </c>
      <c r="W305">
        <f t="shared" ca="1" si="90"/>
        <v>157.48226214059792</v>
      </c>
      <c r="X305">
        <f t="shared" ca="1" si="100"/>
        <v>156.20682264441575</v>
      </c>
      <c r="Y305">
        <f t="shared" ca="1" si="99"/>
        <v>1.7623205023431865</v>
      </c>
      <c r="Z305">
        <f t="shared" ca="1" si="101"/>
        <v>0.70019746324513821</v>
      </c>
      <c r="AA305">
        <f t="shared" ca="1" si="102"/>
        <v>1.0621230390980483</v>
      </c>
      <c r="AB305">
        <f t="shared" ca="1" si="103"/>
        <v>154.54209999999995</v>
      </c>
    </row>
    <row r="306" spans="1:28" x14ac:dyDescent="0.25">
      <c r="A306" s="20">
        <f t="shared" ca="1" si="83"/>
        <v>45733</v>
      </c>
      <c r="B306" vm="889">
        <f ca="1"/>
        <v>45736</v>
      </c>
      <c r="C306" vm="890">
        <f ca="1"/>
        <v>164.77</v>
      </c>
      <c r="D306" vm="891">
        <f ca="1"/>
        <v>9545886</v>
      </c>
      <c r="E306">
        <f t="shared" ca="1" si="84"/>
        <v>1572875636.22</v>
      </c>
      <c r="F306">
        <f ca="1">SUM($E$2:E306)/SUM($D$2:D306)</f>
        <v>153.09949567926185</v>
      </c>
      <c r="G306">
        <f ca="1">_xlfn.STDEV.P($C$2:C306)</f>
        <v>6.2130660853667177</v>
      </c>
      <c r="H306">
        <f t="shared" ca="1" si="85"/>
        <v>159.31256176462855</v>
      </c>
      <c r="I306">
        <f t="shared" ca="1" si="86"/>
        <v>146.88642959389514</v>
      </c>
      <c r="J306">
        <f t="shared" ca="1" si="95"/>
        <v>156.50749999999999</v>
      </c>
      <c r="K306">
        <f t="shared" ca="1" si="96"/>
        <v>3.7315269556915505</v>
      </c>
      <c r="L306">
        <f t="shared" ca="1" si="97"/>
        <v>163.97055391138309</v>
      </c>
      <c r="M306">
        <f t="shared" ca="1" si="98"/>
        <v>149.04444608861689</v>
      </c>
      <c r="N306">
        <f t="shared" ca="1" si="87"/>
        <v>0.71999999999999886</v>
      </c>
      <c r="O306">
        <f t="shared" ca="1" si="88"/>
        <v>0.71999999999999886</v>
      </c>
      <c r="P306">
        <f t="shared" ca="1" si="89"/>
        <v>0</v>
      </c>
      <c r="Q306">
        <f t="shared" ca="1" si="93"/>
        <v>1.2771201116635134</v>
      </c>
      <c r="R306">
        <f t="shared" ca="1" si="94"/>
        <v>0.66155505546531579</v>
      </c>
      <c r="S306">
        <f t="shared" ca="1" si="91"/>
        <v>1.9304819774451418</v>
      </c>
      <c r="T306">
        <f t="shared" ca="1" si="92"/>
        <v>65.875920490327616</v>
      </c>
      <c r="U306">
        <f>70</f>
        <v>70</v>
      </c>
      <c r="V306">
        <f>30</f>
        <v>30</v>
      </c>
      <c r="W306">
        <f t="shared" ca="1" si="90"/>
        <v>158.60345258050592</v>
      </c>
      <c r="X306">
        <f t="shared" ca="1" si="100"/>
        <v>156.84113207816273</v>
      </c>
      <c r="Y306">
        <f t="shared" ca="1" si="99"/>
        <v>2.122101113981131</v>
      </c>
      <c r="Z306">
        <f t="shared" ca="1" si="101"/>
        <v>0.98457819339233676</v>
      </c>
      <c r="AA306">
        <f t="shared" ca="1" si="102"/>
        <v>1.1375229205887942</v>
      </c>
      <c r="AB306">
        <f t="shared" ca="1" si="103"/>
        <v>154.68499999999997</v>
      </c>
    </row>
    <row r="307" spans="1:28" x14ac:dyDescent="0.25">
      <c r="A307" s="20">
        <f t="shared" ca="1" si="83"/>
        <v>45733</v>
      </c>
      <c r="B307" vm="892">
        <f ca="1"/>
        <v>45737</v>
      </c>
      <c r="C307" vm="893">
        <f ca="1"/>
        <v>164.75</v>
      </c>
      <c r="D307" vm="894">
        <f ca="1"/>
        <v>21625460</v>
      </c>
      <c r="E307">
        <f t="shared" ca="1" si="84"/>
        <v>3562794535</v>
      </c>
      <c r="F307">
        <f ca="1">SUM($E$2:E307)/SUM($D$2:D307)</f>
        <v>153.20440033942293</v>
      </c>
      <c r="G307">
        <f ca="1">_xlfn.STDEV.P($C$2:C307)</f>
        <v>6.236345417138212</v>
      </c>
      <c r="H307">
        <f t="shared" ca="1" si="85"/>
        <v>159.44074575656114</v>
      </c>
      <c r="I307">
        <f t="shared" ca="1" si="86"/>
        <v>146.96805492228472</v>
      </c>
      <c r="J307">
        <f t="shared" ca="1" si="95"/>
        <v>156.89899999999997</v>
      </c>
      <c r="K307">
        <f t="shared" ca="1" si="96"/>
        <v>4.1628986611684313</v>
      </c>
      <c r="L307">
        <f t="shared" ca="1" si="97"/>
        <v>165.22479732233683</v>
      </c>
      <c r="M307">
        <f t="shared" ca="1" si="98"/>
        <v>148.57320267766312</v>
      </c>
      <c r="N307">
        <f t="shared" ca="1" si="87"/>
        <v>-2.0000000000010232E-2</v>
      </c>
      <c r="O307">
        <f t="shared" ca="1" si="88"/>
        <v>0</v>
      </c>
      <c r="P307">
        <f t="shared" ca="1" si="89"/>
        <v>2.0000000000010232E-2</v>
      </c>
      <c r="Q307">
        <f t="shared" ca="1" si="93"/>
        <v>1.1858972465446911</v>
      </c>
      <c r="R307">
        <f t="shared" ca="1" si="94"/>
        <v>0.61572969436065106</v>
      </c>
      <c r="S307">
        <f t="shared" ca="1" si="91"/>
        <v>1.9260030130203141</v>
      </c>
      <c r="T307">
        <f t="shared" ca="1" si="92"/>
        <v>65.823685226907273</v>
      </c>
      <c r="U307">
        <f>70</f>
        <v>70</v>
      </c>
      <c r="V307">
        <f>30</f>
        <v>30</v>
      </c>
      <c r="W307">
        <f t="shared" ca="1" si="90"/>
        <v>159.54907526042808</v>
      </c>
      <c r="X307">
        <f t="shared" ca="1" si="100"/>
        <v>157.42697414644695</v>
      </c>
      <c r="Y307">
        <f t="shared" ca="1" si="99"/>
        <v>2.4013354836235692</v>
      </c>
      <c r="Z307">
        <f t="shared" ca="1" si="101"/>
        <v>1.2679296514385834</v>
      </c>
      <c r="AA307">
        <f t="shared" ca="1" si="102"/>
        <v>1.1334058321849858</v>
      </c>
      <c r="AB307">
        <f t="shared" ca="1" si="103"/>
        <v>154.82799999999997</v>
      </c>
    </row>
    <row r="308" spans="1:28" x14ac:dyDescent="0.25">
      <c r="A308" s="20">
        <f t="shared" ca="1" si="83"/>
        <v>45740</v>
      </c>
      <c r="B308" vm="895">
        <f ca="1"/>
        <v>45740</v>
      </c>
      <c r="C308" vm="896">
        <f ca="1"/>
        <v>165.02</v>
      </c>
      <c r="D308" vm="897">
        <f ca="1"/>
        <v>8068002</v>
      </c>
      <c r="E308">
        <f t="shared" ca="1" si="84"/>
        <v>1331381690.0400002</v>
      </c>
      <c r="F308">
        <f ca="1">SUM($E$2:E308)/SUM($D$2:D308)</f>
        <v>153.24395976526975</v>
      </c>
      <c r="G308">
        <f ca="1">_xlfn.STDEV.P($C$2:C308)</f>
        <v>6.2607678008248859</v>
      </c>
      <c r="H308">
        <f t="shared" ca="1" si="85"/>
        <v>159.50472756609463</v>
      </c>
      <c r="I308">
        <f t="shared" ca="1" si="86"/>
        <v>146.98319196444487</v>
      </c>
      <c r="J308">
        <f t="shared" ca="1" si="95"/>
        <v>157.25549999999998</v>
      </c>
      <c r="K308">
        <f t="shared" ca="1" si="96"/>
        <v>4.5404120784467672</v>
      </c>
      <c r="L308">
        <f t="shared" ca="1" si="97"/>
        <v>166.33632415689351</v>
      </c>
      <c r="M308">
        <f t="shared" ca="1" si="98"/>
        <v>148.17467584310646</v>
      </c>
      <c r="N308">
        <f t="shared" ca="1" si="87"/>
        <v>0.27000000000001023</v>
      </c>
      <c r="O308">
        <f t="shared" ca="1" si="88"/>
        <v>0.27000000000001023</v>
      </c>
      <c r="P308">
        <f t="shared" ca="1" si="89"/>
        <v>0</v>
      </c>
      <c r="Q308">
        <f t="shared" ca="1" si="93"/>
        <v>1.1204760146486425</v>
      </c>
      <c r="R308">
        <f t="shared" ca="1" si="94"/>
        <v>0.57174900190631883</v>
      </c>
      <c r="S308">
        <f t="shared" ca="1" si="91"/>
        <v>1.9597340982017712</v>
      </c>
      <c r="T308">
        <f t="shared" ca="1" si="92"/>
        <v>66.213181089221351</v>
      </c>
      <c r="U308">
        <f>70</f>
        <v>70</v>
      </c>
      <c r="V308">
        <f>30</f>
        <v>30</v>
      </c>
      <c r="W308">
        <f t="shared" ca="1" si="90"/>
        <v>160.39075598959298</v>
      </c>
      <c r="X308">
        <f t="shared" ca="1" si="100"/>
        <v>157.98942050596941</v>
      </c>
      <c r="Y308">
        <f t="shared" ca="1" si="99"/>
        <v>2.6661335170058464</v>
      </c>
      <c r="Z308">
        <f t="shared" ca="1" si="101"/>
        <v>1.5475704245520361</v>
      </c>
      <c r="AA308">
        <f t="shared" ca="1" si="102"/>
        <v>1.1185630924538104</v>
      </c>
      <c r="AB308">
        <f t="shared" ca="1" si="103"/>
        <v>154.97009999999997</v>
      </c>
    </row>
    <row r="309" spans="1:28" x14ac:dyDescent="0.25">
      <c r="A309" s="20">
        <f t="shared" ca="1" si="83"/>
        <v>45740</v>
      </c>
      <c r="B309" vm="898">
        <f ca="1"/>
        <v>45741</v>
      </c>
      <c r="C309" vm="899">
        <f ca="1"/>
        <v>165.94</v>
      </c>
      <c r="D309" vm="900">
        <f ca="1"/>
        <v>7869159</v>
      </c>
      <c r="E309">
        <f t="shared" ca="1" si="84"/>
        <v>1305808244.46</v>
      </c>
      <c r="F309">
        <f ca="1">SUM($E$2:E309)/SUM($D$2:D309)</f>
        <v>153.2852843906326</v>
      </c>
      <c r="G309">
        <f ca="1">_xlfn.STDEV.P($C$2:C309)</f>
        <v>6.2903767277822524</v>
      </c>
      <c r="H309">
        <f t="shared" ca="1" si="85"/>
        <v>159.57566111841484</v>
      </c>
      <c r="I309">
        <f t="shared" ca="1" si="86"/>
        <v>146.99490766285035</v>
      </c>
      <c r="J309">
        <f t="shared" ca="1" si="95"/>
        <v>157.73149999999998</v>
      </c>
      <c r="K309">
        <f t="shared" ca="1" si="96"/>
        <v>4.9304769439413132</v>
      </c>
      <c r="L309">
        <f t="shared" ca="1" si="97"/>
        <v>167.59245388788261</v>
      </c>
      <c r="M309">
        <f t="shared" ca="1" si="98"/>
        <v>147.87054611211735</v>
      </c>
      <c r="N309">
        <f t="shared" ca="1" si="87"/>
        <v>0.91999999999998749</v>
      </c>
      <c r="O309">
        <f t="shared" ca="1" si="88"/>
        <v>0.91999999999998749</v>
      </c>
      <c r="P309">
        <f t="shared" ca="1" si="89"/>
        <v>0</v>
      </c>
      <c r="Q309">
        <f t="shared" ca="1" si="93"/>
        <v>1.1061562993165956</v>
      </c>
      <c r="R309">
        <f t="shared" ca="1" si="94"/>
        <v>0.53090978748443896</v>
      </c>
      <c r="S309">
        <f t="shared" ca="1" si="91"/>
        <v>2.0835108438248886</v>
      </c>
      <c r="T309">
        <f t="shared" ca="1" si="92"/>
        <v>67.569434626681357</v>
      </c>
      <c r="U309">
        <f>70</f>
        <v>70</v>
      </c>
      <c r="V309">
        <f>30</f>
        <v>30</v>
      </c>
      <c r="W309">
        <f t="shared" ca="1" si="90"/>
        <v>161.2444858373479</v>
      </c>
      <c r="X309">
        <f t="shared" ca="1" si="100"/>
        <v>158.57835232034205</v>
      </c>
      <c r="Y309">
        <f t="shared" ca="1" si="99"/>
        <v>3.005150397667137</v>
      </c>
      <c r="Z309">
        <f t="shared" ca="1" si="101"/>
        <v>1.8390864191750564</v>
      </c>
      <c r="AA309">
        <f t="shared" ca="1" si="102"/>
        <v>1.1660639784920805</v>
      </c>
      <c r="AB309">
        <f t="shared" ca="1" si="103"/>
        <v>155.12409999999997</v>
      </c>
    </row>
    <row r="310" spans="1:28" x14ac:dyDescent="0.25">
      <c r="A310" s="20">
        <f t="shared" ca="1" si="83"/>
        <v>45740</v>
      </c>
      <c r="B310" vm="901">
        <f ca="1"/>
        <v>45742</v>
      </c>
      <c r="C310" vm="902">
        <f ca="1"/>
        <v>167.97</v>
      </c>
      <c r="D310" vm="903">
        <f ca="1"/>
        <v>10077764</v>
      </c>
      <c r="E310">
        <f t="shared" ca="1" si="84"/>
        <v>1692762019.0799999</v>
      </c>
      <c r="F310">
        <f ca="1">SUM($E$2:E310)/SUM($D$2:D310)</f>
        <v>153.34624305720277</v>
      </c>
      <c r="G310">
        <f ca="1">_xlfn.STDEV.P($C$2:C310)</f>
        <v>6.3332625947533927</v>
      </c>
      <c r="H310">
        <f t="shared" ca="1" si="85"/>
        <v>159.67950565195616</v>
      </c>
      <c r="I310">
        <f t="shared" ca="1" si="86"/>
        <v>147.01298046244938</v>
      </c>
      <c r="J310">
        <f t="shared" ca="1" si="95"/>
        <v>158.37299999999999</v>
      </c>
      <c r="K310">
        <f t="shared" ca="1" si="96"/>
        <v>5.3888921818281386</v>
      </c>
      <c r="L310">
        <f t="shared" ca="1" si="97"/>
        <v>169.15078436365627</v>
      </c>
      <c r="M310">
        <f t="shared" ca="1" si="98"/>
        <v>147.59521563634371</v>
      </c>
      <c r="N310">
        <f t="shared" ca="1" si="87"/>
        <v>2.0300000000000011</v>
      </c>
      <c r="O310">
        <f t="shared" ca="1" si="88"/>
        <v>2.0300000000000011</v>
      </c>
      <c r="P310">
        <f t="shared" ca="1" si="89"/>
        <v>0</v>
      </c>
      <c r="Q310">
        <f t="shared" ca="1" si="93"/>
        <v>1.1721451350796959</v>
      </c>
      <c r="R310">
        <f t="shared" ca="1" si="94"/>
        <v>0.49298765980697906</v>
      </c>
      <c r="S310">
        <f t="shared" ca="1" si="91"/>
        <v>2.3776358530731363</v>
      </c>
      <c r="T310">
        <f t="shared" ca="1" si="92"/>
        <v>70.393492860097638</v>
      </c>
      <c r="U310">
        <f>70</f>
        <v>70</v>
      </c>
      <c r="V310">
        <f>30</f>
        <v>30</v>
      </c>
      <c r="W310">
        <f t="shared" ca="1" si="90"/>
        <v>162.27918032390977</v>
      </c>
      <c r="X310">
        <f t="shared" ca="1" si="100"/>
        <v>159.27402992624263</v>
      </c>
      <c r="Y310">
        <f t="shared" ca="1" si="99"/>
        <v>3.131216040377069</v>
      </c>
      <c r="Z310">
        <f t="shared" ca="1" si="101"/>
        <v>2.0975123434154592</v>
      </c>
      <c r="AA310">
        <f t="shared" ca="1" si="102"/>
        <v>1.0337036969616098</v>
      </c>
      <c r="AB310">
        <f t="shared" ca="1" si="103"/>
        <v>155.31859999999998</v>
      </c>
    </row>
    <row r="311" spans="1:28" x14ac:dyDescent="0.25">
      <c r="A311" s="20">
        <f t="shared" ca="1" si="83"/>
        <v>45740</v>
      </c>
      <c r="B311" vm="904">
        <f ca="1"/>
        <v>45743</v>
      </c>
      <c r="C311" vm="905">
        <f ca="1"/>
        <v>166.65</v>
      </c>
      <c r="D311" vm="906">
        <f ca="1"/>
        <v>6862691</v>
      </c>
      <c r="E311">
        <f t="shared" ca="1" si="84"/>
        <v>1143667455.1500001</v>
      </c>
      <c r="F311">
        <f ca="1">SUM($E$2:E311)/SUM($D$2:D311)</f>
        <v>153.38374454820209</v>
      </c>
      <c r="G311">
        <f ca="1">_xlfn.STDEV.P($C$2:C311)</f>
        <v>6.3661217314047223</v>
      </c>
      <c r="H311">
        <f t="shared" ca="1" si="85"/>
        <v>159.74986627960681</v>
      </c>
      <c r="I311">
        <f t="shared" ca="1" si="86"/>
        <v>147.01762281679737</v>
      </c>
      <c r="J311">
        <f t="shared" ca="1" si="95"/>
        <v>158.87200000000001</v>
      </c>
      <c r="K311">
        <f t="shared" ca="1" si="96"/>
        <v>5.6772469236046943</v>
      </c>
      <c r="L311">
        <f t="shared" ca="1" si="97"/>
        <v>170.22649384720941</v>
      </c>
      <c r="M311">
        <f t="shared" ca="1" si="98"/>
        <v>147.51750615279062</v>
      </c>
      <c r="N311">
        <f t="shared" ca="1" si="87"/>
        <v>-1.3199999999999932</v>
      </c>
      <c r="O311">
        <f t="shared" ca="1" si="88"/>
        <v>0</v>
      </c>
      <c r="P311">
        <f t="shared" ca="1" si="89"/>
        <v>1.3199999999999932</v>
      </c>
      <c r="Q311">
        <f t="shared" ca="1" si="93"/>
        <v>1.0884204825740034</v>
      </c>
      <c r="R311">
        <f t="shared" ca="1" si="94"/>
        <v>0.55205996982076577</v>
      </c>
      <c r="S311">
        <f t="shared" ca="1" si="91"/>
        <v>1.9715620441151978</v>
      </c>
      <c r="T311">
        <f t="shared" ca="1" si="92"/>
        <v>66.347665465024591</v>
      </c>
      <c r="U311">
        <f>70</f>
        <v>70</v>
      </c>
      <c r="V311">
        <f>30</f>
        <v>30</v>
      </c>
      <c r="W311">
        <f t="shared" ca="1" si="90"/>
        <v>162.95161412023134</v>
      </c>
      <c r="X311">
        <f t="shared" ca="1" si="100"/>
        <v>159.82039807985427</v>
      </c>
      <c r="Y311">
        <f t="shared" ca="1" si="99"/>
        <v>3.1496296802167194</v>
      </c>
      <c r="Z311">
        <f t="shared" ca="1" si="101"/>
        <v>2.3079358107757115</v>
      </c>
      <c r="AA311">
        <f t="shared" ca="1" si="102"/>
        <v>0.84169386944100788</v>
      </c>
      <c r="AB311">
        <f t="shared" ca="1" si="103"/>
        <v>155.50460000000001</v>
      </c>
    </row>
    <row r="312" spans="1:28" x14ac:dyDescent="0.25">
      <c r="A312" s="20">
        <f t="shared" ca="1" si="83"/>
        <v>45740</v>
      </c>
      <c r="B312" vm="907">
        <f ca="1"/>
        <v>45744</v>
      </c>
      <c r="C312" vm="908">
        <f ca="1"/>
        <v>166.09</v>
      </c>
      <c r="D312" vm="909">
        <f ca="1"/>
        <v>4923025</v>
      </c>
      <c r="E312">
        <f t="shared" ca="1" si="84"/>
        <v>817665222.25</v>
      </c>
      <c r="F312">
        <f ca="1">SUM($E$2:E312)/SUM($D$2:D312)</f>
        <v>153.40938655985104</v>
      </c>
      <c r="G312">
        <f ca="1">_xlfn.STDEV.P($C$2:C312)</f>
        <v>6.3947602237526864</v>
      </c>
      <c r="H312">
        <f t="shared" ca="1" si="85"/>
        <v>159.80414678360373</v>
      </c>
      <c r="I312">
        <f t="shared" ca="1" si="86"/>
        <v>147.01462633609836</v>
      </c>
      <c r="J312">
        <f t="shared" ca="1" si="95"/>
        <v>159.24549999999999</v>
      </c>
      <c r="K312">
        <f t="shared" ca="1" si="96"/>
        <v>5.9011037995134092</v>
      </c>
      <c r="L312">
        <f t="shared" ca="1" si="97"/>
        <v>171.04770759902681</v>
      </c>
      <c r="M312">
        <f t="shared" ca="1" si="98"/>
        <v>147.44329240097318</v>
      </c>
      <c r="N312">
        <f t="shared" ca="1" si="87"/>
        <v>-0.56000000000000227</v>
      </c>
      <c r="O312">
        <f t="shared" ca="1" si="88"/>
        <v>0</v>
      </c>
      <c r="P312">
        <f t="shared" ca="1" si="89"/>
        <v>0.56000000000000227</v>
      </c>
      <c r="Q312">
        <f t="shared" ca="1" si="93"/>
        <v>1.0106761623901461</v>
      </c>
      <c r="R312">
        <f t="shared" ca="1" si="94"/>
        <v>0.55262711483356841</v>
      </c>
      <c r="S312">
        <f t="shared" ca="1" si="91"/>
        <v>1.8288573529268932</v>
      </c>
      <c r="T312">
        <f t="shared" ca="1" si="92"/>
        <v>64.650037975038074</v>
      </c>
      <c r="U312">
        <f>70</f>
        <v>70</v>
      </c>
      <c r="V312">
        <f>30</f>
        <v>30</v>
      </c>
      <c r="W312">
        <f t="shared" ca="1" si="90"/>
        <v>163.43444271711883</v>
      </c>
      <c r="X312">
        <f t="shared" ca="1" si="100"/>
        <v>160.28481303690211</v>
      </c>
      <c r="Y312">
        <f t="shared" ca="1" si="99"/>
        <v>3.2238896011143083</v>
      </c>
      <c r="Z312">
        <f t="shared" ca="1" si="101"/>
        <v>2.491126568843431</v>
      </c>
      <c r="AA312">
        <f t="shared" ca="1" si="102"/>
        <v>0.73276303227087736</v>
      </c>
      <c r="AB312">
        <f t="shared" ca="1" si="103"/>
        <v>155.6773</v>
      </c>
    </row>
    <row r="313" spans="1:28" x14ac:dyDescent="0.25">
      <c r="A313" s="20">
        <f t="shared" ca="1" si="83"/>
        <v>45747</v>
      </c>
      <c r="B313" vm="910">
        <f ca="1"/>
        <v>45747</v>
      </c>
      <c r="C313" vm="911">
        <f ca="1"/>
        <v>167.29</v>
      </c>
      <c r="D313" vm="912">
        <f ca="1"/>
        <v>10675731</v>
      </c>
      <c r="E313">
        <f t="shared" ca="1" si="84"/>
        <v>1785943038.99</v>
      </c>
      <c r="F313">
        <f ca="1">SUM($E$2:E313)/SUM($D$2:D313)</f>
        <v>153.46986663551448</v>
      </c>
      <c r="G313">
        <f ca="1">_xlfn.STDEV.P($C$2:C313)</f>
        <v>6.4305954114772863</v>
      </c>
      <c r="H313">
        <f t="shared" ca="1" si="85"/>
        <v>159.90046204699178</v>
      </c>
      <c r="I313">
        <f t="shared" ca="1" si="86"/>
        <v>147.03927122403718</v>
      </c>
      <c r="J313">
        <f t="shared" ca="1" si="95"/>
        <v>159.9555</v>
      </c>
      <c r="K313">
        <f t="shared" ca="1" si="96"/>
        <v>5.9752969316221138</v>
      </c>
      <c r="L313">
        <f t="shared" ca="1" si="97"/>
        <v>171.90609386324422</v>
      </c>
      <c r="M313">
        <f t="shared" ca="1" si="98"/>
        <v>148.00490613675578</v>
      </c>
      <c r="N313">
        <f t="shared" ca="1" si="87"/>
        <v>1.1999999999999886</v>
      </c>
      <c r="O313">
        <f t="shared" ca="1" si="88"/>
        <v>1.1999999999999886</v>
      </c>
      <c r="P313">
        <f t="shared" ca="1" si="89"/>
        <v>0</v>
      </c>
      <c r="Q313">
        <f t="shared" ca="1" si="93"/>
        <v>1.024199293647992</v>
      </c>
      <c r="R313">
        <f t="shared" ca="1" si="94"/>
        <v>0.51315374948831349</v>
      </c>
      <c r="S313">
        <f t="shared" ca="1" si="91"/>
        <v>1.9958916692497382</v>
      </c>
      <c r="T313">
        <f t="shared" ca="1" si="92"/>
        <v>66.620955948970277</v>
      </c>
      <c r="U313">
        <f>70</f>
        <v>70</v>
      </c>
      <c r="V313">
        <f>30</f>
        <v>30</v>
      </c>
      <c r="W313">
        <f t="shared" ca="1" si="90"/>
        <v>164.02760537602364</v>
      </c>
      <c r="X313">
        <f t="shared" ca="1" si="100"/>
        <v>160.80371577490934</v>
      </c>
      <c r="Y313">
        <f t="shared" ca="1" si="99"/>
        <v>3.3426529055085155</v>
      </c>
      <c r="Z313">
        <f t="shared" ca="1" si="101"/>
        <v>2.661431836176448</v>
      </c>
      <c r="AA313">
        <f t="shared" ca="1" si="102"/>
        <v>0.6812210693320675</v>
      </c>
      <c r="AB313">
        <f t="shared" ca="1" si="103"/>
        <v>155.81950000000001</v>
      </c>
    </row>
    <row r="314" spans="1:28" x14ac:dyDescent="0.25">
      <c r="A314" s="20">
        <f t="shared" ca="1" si="83"/>
        <v>45747</v>
      </c>
      <c r="B314" vm="913">
        <f ca="1"/>
        <v>45748</v>
      </c>
      <c r="C314" vm="914">
        <f ca="1"/>
        <v>168.51</v>
      </c>
      <c r="D314" vm="915">
        <f ca="1"/>
        <v>6378587</v>
      </c>
      <c r="E314">
        <f t="shared" ca="1" si="84"/>
        <v>1074855695.3699999</v>
      </c>
      <c r="F314">
        <f ca="1">SUM($E$2:E314)/SUM($D$2:D314)</f>
        <v>153.50891951564819</v>
      </c>
      <c r="G314">
        <f ca="1">_xlfn.STDEV.P($C$2:C314)</f>
        <v>6.4742193827889958</v>
      </c>
      <c r="H314">
        <f t="shared" ca="1" si="85"/>
        <v>159.98313889843718</v>
      </c>
      <c r="I314">
        <f t="shared" ca="1" si="86"/>
        <v>147.0347001328592</v>
      </c>
      <c r="J314">
        <f t="shared" ca="1" si="95"/>
        <v>160.78100000000001</v>
      </c>
      <c r="K314">
        <f t="shared" ca="1" si="96"/>
        <v>5.9588049843995785</v>
      </c>
      <c r="L314">
        <f t="shared" ca="1" si="97"/>
        <v>172.69860996879916</v>
      </c>
      <c r="M314">
        <f t="shared" ca="1" si="98"/>
        <v>148.86339003120085</v>
      </c>
      <c r="N314">
        <f t="shared" ca="1" si="87"/>
        <v>1.2199999999999989</v>
      </c>
      <c r="O314">
        <f t="shared" ca="1" si="88"/>
        <v>1.2199999999999989</v>
      </c>
      <c r="P314">
        <f t="shared" ca="1" si="89"/>
        <v>0</v>
      </c>
      <c r="Q314">
        <f t="shared" ca="1" si="93"/>
        <v>1.038185058387421</v>
      </c>
      <c r="R314">
        <f t="shared" ca="1" si="94"/>
        <v>0.47649991023914823</v>
      </c>
      <c r="S314">
        <f t="shared" ca="1" si="91"/>
        <v>2.1787728309673162</v>
      </c>
      <c r="T314">
        <f t="shared" ca="1" si="92"/>
        <v>68.541319144982907</v>
      </c>
      <c r="U314">
        <f>70</f>
        <v>70</v>
      </c>
      <c r="V314">
        <f>30</f>
        <v>30</v>
      </c>
      <c r="W314">
        <f t="shared" ca="1" si="90"/>
        <v>164.71720454894307</v>
      </c>
      <c r="X314">
        <f t="shared" ca="1" si="100"/>
        <v>161.37455164343456</v>
      </c>
      <c r="Y314">
        <f t="shared" ca="1" si="99"/>
        <v>3.2348731251277911</v>
      </c>
      <c r="Z314">
        <f t="shared" ca="1" si="101"/>
        <v>2.7761200939667168</v>
      </c>
      <c r="AA314">
        <f t="shared" ca="1" si="102"/>
        <v>0.45875303116107435</v>
      </c>
      <c r="AB314">
        <f t="shared" ca="1" si="103"/>
        <v>155.9649</v>
      </c>
    </row>
    <row r="315" spans="1:28" x14ac:dyDescent="0.25">
      <c r="A315" s="20">
        <f t="shared" ca="1" si="83"/>
        <v>45747</v>
      </c>
      <c r="B315" vm="916">
        <f ca="1"/>
        <v>45749</v>
      </c>
      <c r="C315" vm="917">
        <f ca="1"/>
        <v>166.47</v>
      </c>
      <c r="D315" vm="918">
        <f ca="1"/>
        <v>7044869</v>
      </c>
      <c r="E315">
        <f t="shared" ca="1" si="84"/>
        <v>1172759342.4300001</v>
      </c>
      <c r="F315">
        <f ca="1">SUM($E$2:E315)/SUM($D$2:D315)</f>
        <v>153.54598309318638</v>
      </c>
      <c r="G315">
        <f ca="1">_xlfn.STDEV.P($C$2:C315)</f>
        <v>6.5033029825268711</v>
      </c>
      <c r="H315">
        <f t="shared" ca="1" si="85"/>
        <v>160.04928607571324</v>
      </c>
      <c r="I315">
        <f t="shared" ca="1" si="86"/>
        <v>147.04268011065952</v>
      </c>
      <c r="J315">
        <f t="shared" ca="1" si="95"/>
        <v>161.56400000000002</v>
      </c>
      <c r="K315">
        <f t="shared" ca="1" si="96"/>
        <v>5.5975646960366428</v>
      </c>
      <c r="L315">
        <f t="shared" ca="1" si="97"/>
        <v>172.75912939207331</v>
      </c>
      <c r="M315">
        <f t="shared" ca="1" si="98"/>
        <v>150.36887060792674</v>
      </c>
      <c r="N315">
        <f t="shared" ca="1" si="87"/>
        <v>-2.039999999999992</v>
      </c>
      <c r="O315">
        <f t="shared" ca="1" si="88"/>
        <v>0</v>
      </c>
      <c r="P315">
        <f t="shared" ca="1" si="89"/>
        <v>2.039999999999992</v>
      </c>
      <c r="Q315">
        <f t="shared" ca="1" si="93"/>
        <v>0.96402898278831961</v>
      </c>
      <c r="R315">
        <f t="shared" ca="1" si="94"/>
        <v>0.58817848807920847</v>
      </c>
      <c r="S315">
        <f t="shared" ca="1" si="91"/>
        <v>1.6390075501341632</v>
      </c>
      <c r="T315">
        <f t="shared" ca="1" si="92"/>
        <v>62.106967069906204</v>
      </c>
      <c r="U315">
        <f>70</f>
        <v>70</v>
      </c>
      <c r="V315">
        <f>30</f>
        <v>30</v>
      </c>
      <c r="W315">
        <f t="shared" ca="1" si="90"/>
        <v>164.98686538756721</v>
      </c>
      <c r="X315">
        <f t="shared" ca="1" si="100"/>
        <v>161.75199226243942</v>
      </c>
      <c r="Y315">
        <f t="shared" ca="1" si="99"/>
        <v>2.2879246006115466</v>
      </c>
      <c r="Z315">
        <f t="shared" ca="1" si="101"/>
        <v>2.6784809952956827</v>
      </c>
      <c r="AA315">
        <f t="shared" ca="1" si="102"/>
        <v>-0.39055639468413617</v>
      </c>
      <c r="AB315">
        <f t="shared" ca="1" si="103"/>
        <v>156.09550000000002</v>
      </c>
    </row>
    <row r="316" spans="1:28" x14ac:dyDescent="0.25">
      <c r="A316" s="20">
        <f t="shared" ca="1" si="83"/>
        <v>45747</v>
      </c>
      <c r="B316" vm="919">
        <f ca="1"/>
        <v>45750</v>
      </c>
      <c r="C316" vm="920">
        <f ca="1"/>
        <v>156.12</v>
      </c>
      <c r="D316" vm="921">
        <f ca="1"/>
        <v>15500988</v>
      </c>
      <c r="E316">
        <f t="shared" ca="1" si="84"/>
        <v>2420014246.5599999</v>
      </c>
      <c r="F316">
        <f ca="1">SUM($E$2:E316)/SUM($D$2:D316)</f>
        <v>153.56207768396084</v>
      </c>
      <c r="G316">
        <f ca="1">_xlfn.STDEV.P($C$2:C316)</f>
        <v>6.4942564576530026</v>
      </c>
      <c r="H316">
        <f t="shared" ca="1" si="85"/>
        <v>160.05633414161383</v>
      </c>
      <c r="I316">
        <f t="shared" ca="1" si="86"/>
        <v>147.06782122630784</v>
      </c>
      <c r="J316">
        <f t="shared" ca="1" si="95"/>
        <v>161.72249999999997</v>
      </c>
      <c r="K316">
        <f t="shared" ca="1" si="96"/>
        <v>5.3815257814900495</v>
      </c>
      <c r="L316">
        <f t="shared" ca="1" si="97"/>
        <v>172.48555156298008</v>
      </c>
      <c r="M316">
        <f t="shared" ca="1" si="98"/>
        <v>150.95944843701986</v>
      </c>
      <c r="N316">
        <f t="shared" ca="1" si="87"/>
        <v>-10.349999999999994</v>
      </c>
      <c r="O316">
        <f t="shared" ca="1" si="88"/>
        <v>0</v>
      </c>
      <c r="P316">
        <f t="shared" ca="1" si="89"/>
        <v>10.349999999999994</v>
      </c>
      <c r="Q316">
        <f t="shared" ca="1" si="93"/>
        <v>0.89516976973201101</v>
      </c>
      <c r="R316">
        <f t="shared" ca="1" si="94"/>
        <v>1.2854514532164074</v>
      </c>
      <c r="S316">
        <f t="shared" ca="1" si="91"/>
        <v>0.69638551303680229</v>
      </c>
      <c r="T316">
        <f t="shared" ca="1" si="92"/>
        <v>41.051135351312944</v>
      </c>
      <c r="U316">
        <f>70</f>
        <v>70</v>
      </c>
      <c r="V316">
        <f>30</f>
        <v>30</v>
      </c>
      <c r="W316">
        <f t="shared" ca="1" si="90"/>
        <v>163.62273225101839</v>
      </c>
      <c r="X316">
        <f t="shared" ca="1" si="100"/>
        <v>161.33480765040684</v>
      </c>
      <c r="Y316">
        <f t="shared" ca="1" si="99"/>
        <v>0.49566664435963048</v>
      </c>
      <c r="Z316">
        <f t="shared" ca="1" si="101"/>
        <v>2.2419181251084725</v>
      </c>
      <c r="AA316">
        <f t="shared" ca="1" si="102"/>
        <v>-1.7462514807488421</v>
      </c>
      <c r="AB316">
        <f t="shared" ca="1" si="103"/>
        <v>156.0795</v>
      </c>
    </row>
    <row r="317" spans="1:28" x14ac:dyDescent="0.25">
      <c r="A317" s="20">
        <f t="shared" ca="1" si="83"/>
        <v>45747</v>
      </c>
      <c r="B317" vm="922">
        <f ca="1"/>
        <v>45751</v>
      </c>
      <c r="C317" vm="923">
        <f ca="1"/>
        <v>143.28</v>
      </c>
      <c r="D317" vm="924">
        <f ca="1"/>
        <v>20374716</v>
      </c>
      <c r="E317">
        <f t="shared" ca="1" si="84"/>
        <v>2919289308.48</v>
      </c>
      <c r="F317">
        <f ca="1">SUM($E$2:E317)/SUM($D$2:D317)</f>
        <v>153.47826169389816</v>
      </c>
      <c r="G317">
        <f ca="1">_xlfn.STDEV.P($C$2:C317)</f>
        <v>6.5109985438436873</v>
      </c>
      <c r="H317">
        <f t="shared" ca="1" si="85"/>
        <v>159.98926023774186</v>
      </c>
      <c r="I317">
        <f t="shared" ca="1" si="86"/>
        <v>146.96726315005446</v>
      </c>
      <c r="J317">
        <f t="shared" ca="1" si="95"/>
        <v>161.06950000000001</v>
      </c>
      <c r="K317">
        <f t="shared" ca="1" si="96"/>
        <v>6.6998896102453562</v>
      </c>
      <c r="L317">
        <f t="shared" ca="1" si="97"/>
        <v>174.46927922049071</v>
      </c>
      <c r="M317">
        <f t="shared" ca="1" si="98"/>
        <v>147.6697207795093</v>
      </c>
      <c r="N317">
        <f t="shared" ca="1" si="87"/>
        <v>-12.840000000000003</v>
      </c>
      <c r="O317">
        <f t="shared" ca="1" si="88"/>
        <v>0</v>
      </c>
      <c r="P317">
        <f t="shared" ca="1" si="89"/>
        <v>12.840000000000003</v>
      </c>
      <c r="Q317">
        <f t="shared" ca="1" si="93"/>
        <v>0.83122907189401019</v>
      </c>
      <c r="R317">
        <f t="shared" ca="1" si="94"/>
        <v>2.1107763494152354</v>
      </c>
      <c r="S317">
        <f t="shared" ca="1" si="91"/>
        <v>0.39380253247782121</v>
      </c>
      <c r="T317">
        <f t="shared" ca="1" si="92"/>
        <v>28.2538252945876</v>
      </c>
      <c r="U317">
        <f>70</f>
        <v>70</v>
      </c>
      <c r="V317">
        <f>30</f>
        <v>30</v>
      </c>
      <c r="W317">
        <f t="shared" ca="1" si="90"/>
        <v>160.4930811354771</v>
      </c>
      <c r="X317">
        <f t="shared" ca="1" si="100"/>
        <v>159.99741449111747</v>
      </c>
      <c r="Y317">
        <f t="shared" ca="1" si="99"/>
        <v>-1.1638592945198525</v>
      </c>
      <c r="Z317">
        <f t="shared" ca="1" si="101"/>
        <v>1.5607626411828077</v>
      </c>
      <c r="AA317">
        <f t="shared" ca="1" si="102"/>
        <v>-2.7246219357026602</v>
      </c>
      <c r="AB317">
        <f t="shared" ca="1" si="103"/>
        <v>155.94460000000004</v>
      </c>
    </row>
    <row r="318" spans="1:28" x14ac:dyDescent="0.25">
      <c r="A318" s="20">
        <f t="shared" ca="1" si="83"/>
        <v>45754</v>
      </c>
      <c r="B318" vm="925">
        <f ca="1"/>
        <v>45754</v>
      </c>
      <c r="C318" vm="926">
        <f ca="1"/>
        <v>140.15</v>
      </c>
      <c r="D318" vm="927">
        <f ca="1"/>
        <v>17816954</v>
      </c>
      <c r="E318">
        <f t="shared" ca="1" si="84"/>
        <v>2497046103.0999999</v>
      </c>
      <c r="F318">
        <f ca="1">SUM($E$2:E318)/SUM($D$2:D318)</f>
        <v>153.38392588200981</v>
      </c>
      <c r="G318">
        <f ca="1">_xlfn.STDEV.P($C$2:C318)</f>
        <v>6.5456178237750651</v>
      </c>
      <c r="H318">
        <f t="shared" ca="1" si="85"/>
        <v>159.92954370578488</v>
      </c>
      <c r="I318">
        <f t="shared" ca="1" si="86"/>
        <v>146.83830805823473</v>
      </c>
      <c r="J318">
        <f t="shared" ca="1" si="95"/>
        <v>160.1985</v>
      </c>
      <c r="K318">
        <f t="shared" ca="1" si="96"/>
        <v>8.1534237400131779</v>
      </c>
      <c r="L318">
        <f t="shared" ca="1" si="97"/>
        <v>176.50534748002636</v>
      </c>
      <c r="M318">
        <f t="shared" ca="1" si="98"/>
        <v>143.89165251997363</v>
      </c>
      <c r="N318">
        <f t="shared" ca="1" si="87"/>
        <v>-3.1299999999999955</v>
      </c>
      <c r="O318">
        <f t="shared" ca="1" si="88"/>
        <v>0</v>
      </c>
      <c r="P318">
        <f t="shared" ca="1" si="89"/>
        <v>3.1299999999999955</v>
      </c>
      <c r="Q318">
        <f t="shared" ca="1" si="93"/>
        <v>0.7718555667587238</v>
      </c>
      <c r="R318">
        <f t="shared" ca="1" si="94"/>
        <v>2.1835780387427182</v>
      </c>
      <c r="S318">
        <f t="shared" ca="1" si="91"/>
        <v>0.35348201578504168</v>
      </c>
      <c r="T318">
        <f t="shared" ca="1" si="92"/>
        <v>26.116491513189146</v>
      </c>
      <c r="U318">
        <f>70</f>
        <v>70</v>
      </c>
      <c r="V318">
        <f>30</f>
        <v>30</v>
      </c>
      <c r="W318">
        <f t="shared" ca="1" si="90"/>
        <v>157.36337634540371</v>
      </c>
      <c r="X318">
        <f t="shared" ca="1" si="100"/>
        <v>158.52723563992356</v>
      </c>
      <c r="Y318">
        <f t="shared" ca="1" si="99"/>
        <v>-2.7076604227642633</v>
      </c>
      <c r="Z318">
        <f t="shared" ca="1" si="101"/>
        <v>0.70707802839339362</v>
      </c>
      <c r="AA318">
        <f t="shared" ca="1" si="102"/>
        <v>-3.4147384511576568</v>
      </c>
      <c r="AB318">
        <f t="shared" ca="1" si="103"/>
        <v>155.77680000000001</v>
      </c>
    </row>
    <row r="319" spans="1:28" x14ac:dyDescent="0.25">
      <c r="A319" s="20">
        <f t="shared" ca="1" si="83"/>
        <v>45754</v>
      </c>
      <c r="B319" vm="928">
        <f ca="1"/>
        <v>45755</v>
      </c>
      <c r="C319" vm="929">
        <f ca="1"/>
        <v>136.93</v>
      </c>
      <c r="D319" vm="930">
        <f ca="1"/>
        <v>12904424</v>
      </c>
      <c r="E319">
        <f t="shared" ca="1" si="84"/>
        <v>1767002778.3200002</v>
      </c>
      <c r="F319">
        <f ca="1">SUM($E$2:E319)/SUM($D$2:D319)</f>
        <v>153.30000749573034</v>
      </c>
      <c r="G319">
        <f ca="1">_xlfn.STDEV.P($C$2:C319)</f>
        <v>6.6028604367915671</v>
      </c>
      <c r="H319">
        <f t="shared" ca="1" si="85"/>
        <v>159.9028679325219</v>
      </c>
      <c r="I319">
        <f t="shared" ca="1" si="86"/>
        <v>146.69714705893878</v>
      </c>
      <c r="J319">
        <f t="shared" ca="1" si="95"/>
        <v>159.34099999999998</v>
      </c>
      <c r="K319">
        <f t="shared" ca="1" si="96"/>
        <v>9.6036423463074403</v>
      </c>
      <c r="L319">
        <f t="shared" ca="1" si="97"/>
        <v>178.54828469261486</v>
      </c>
      <c r="M319">
        <f t="shared" ca="1" si="98"/>
        <v>140.1337153073851</v>
      </c>
      <c r="N319">
        <f t="shared" ca="1" si="87"/>
        <v>-3.2199999999999989</v>
      </c>
      <c r="O319">
        <f t="shared" ca="1" si="88"/>
        <v>0</v>
      </c>
      <c r="P319">
        <f t="shared" ca="1" si="89"/>
        <v>3.2199999999999989</v>
      </c>
      <c r="Q319">
        <f t="shared" ca="1" si="93"/>
        <v>0.71672302627595774</v>
      </c>
      <c r="R319">
        <f t="shared" ca="1" si="94"/>
        <v>2.2576081788325237</v>
      </c>
      <c r="S319">
        <f t="shared" ca="1" si="91"/>
        <v>0.31747006987129028</v>
      </c>
      <c r="T319">
        <f t="shared" ca="1" si="92"/>
        <v>24.096947409386331</v>
      </c>
      <c r="U319">
        <f>70</f>
        <v>70</v>
      </c>
      <c r="V319">
        <f>30</f>
        <v>30</v>
      </c>
      <c r="W319">
        <f t="shared" ca="1" si="90"/>
        <v>154.21977998457237</v>
      </c>
      <c r="X319">
        <f t="shared" ca="1" si="100"/>
        <v>156.92744040733663</v>
      </c>
      <c r="Y319">
        <f t="shared" ca="1" si="99"/>
        <v>-3.160408766286082</v>
      </c>
      <c r="Z319">
        <f t="shared" ca="1" si="101"/>
        <v>-6.6419330542501598E-2</v>
      </c>
      <c r="AA319">
        <f t="shared" ca="1" si="102"/>
        <v>-3.0939894357435804</v>
      </c>
      <c r="AB319">
        <f t="shared" ca="1" si="103"/>
        <v>155.58110000000002</v>
      </c>
    </row>
    <row r="320" spans="1:28" x14ac:dyDescent="0.25">
      <c r="A320" s="20">
        <f t="shared" ca="1" si="83"/>
        <v>45754</v>
      </c>
      <c r="B320" vm="931">
        <f ca="1"/>
        <v>45756</v>
      </c>
      <c r="C320" vm="932">
        <f ca="1"/>
        <v>146.03</v>
      </c>
      <c r="D320" vm="933">
        <f ca="1"/>
        <v>16846839</v>
      </c>
      <c r="E320">
        <f t="shared" ca="1" si="84"/>
        <v>2460143899.1700001</v>
      </c>
      <c r="F320">
        <f ca="1">SUM($E$2:E320)/SUM($D$2:D320)</f>
        <v>153.2519213307832</v>
      </c>
      <c r="G320">
        <f ca="1">_xlfn.STDEV.P($C$2:C320)</f>
        <v>6.6064387031530583</v>
      </c>
      <c r="H320">
        <f t="shared" ca="1" si="85"/>
        <v>159.85836003393626</v>
      </c>
      <c r="I320">
        <f t="shared" ca="1" si="86"/>
        <v>146.64548262763014</v>
      </c>
      <c r="J320">
        <f t="shared" ca="1" si="95"/>
        <v>159.00899999999999</v>
      </c>
      <c r="K320">
        <f t="shared" ca="1" si="96"/>
        <v>9.954752845275781</v>
      </c>
      <c r="L320">
        <f t="shared" ca="1" si="97"/>
        <v>178.91850569055154</v>
      </c>
      <c r="M320">
        <f t="shared" ca="1" si="98"/>
        <v>139.09949430944843</v>
      </c>
      <c r="N320">
        <f t="shared" ca="1" si="87"/>
        <v>9.0999999999999943</v>
      </c>
      <c r="O320">
        <f t="shared" ca="1" si="88"/>
        <v>9.0999999999999943</v>
      </c>
      <c r="P320">
        <f t="shared" ca="1" si="89"/>
        <v>0</v>
      </c>
      <c r="Q320">
        <f t="shared" ca="1" si="93"/>
        <v>1.3155285243991031</v>
      </c>
      <c r="R320">
        <f t="shared" ca="1" si="94"/>
        <v>2.0963504517730578</v>
      </c>
      <c r="S320">
        <f t="shared" ca="1" si="91"/>
        <v>0.62753273112634922</v>
      </c>
      <c r="T320">
        <f t="shared" ca="1" si="92"/>
        <v>38.557303280288522</v>
      </c>
      <c r="U320">
        <f>70</f>
        <v>70</v>
      </c>
      <c r="V320">
        <f>30</f>
        <v>30</v>
      </c>
      <c r="W320">
        <f t="shared" ca="1" si="90"/>
        <v>152.9598138330997</v>
      </c>
      <c r="X320">
        <f t="shared" ca="1" si="100"/>
        <v>156.12022259938578</v>
      </c>
      <c r="Y320">
        <f t="shared" ca="1" si="99"/>
        <v>-4.3605915566090232</v>
      </c>
      <c r="Z320">
        <f t="shared" ca="1" si="101"/>
        <v>-0.92525377575580603</v>
      </c>
      <c r="AA320">
        <f t="shared" ca="1" si="102"/>
        <v>-3.4353377808532173</v>
      </c>
      <c r="AB320">
        <f t="shared" ca="1" si="103"/>
        <v>155.48850000000002</v>
      </c>
    </row>
    <row r="321" spans="1:28" x14ac:dyDescent="0.25">
      <c r="A321" s="20">
        <f t="shared" ca="1" si="83"/>
        <v>45754</v>
      </c>
      <c r="B321" vm="934">
        <f ca="1"/>
        <v>45757</v>
      </c>
      <c r="C321" vm="935">
        <f ca="1"/>
        <v>134.97999999999999</v>
      </c>
      <c r="D321" vm="936">
        <f ca="1"/>
        <v>20991216</v>
      </c>
      <c r="E321">
        <f t="shared" ca="1" si="84"/>
        <v>2833394335.6799998</v>
      </c>
      <c r="F321">
        <f ca="1">SUM($E$2:E321)/SUM($D$2:D321)</f>
        <v>153.10256483437453</v>
      </c>
      <c r="G321">
        <f ca="1">_xlfn.STDEV.P($C$2:C321)</f>
        <v>6.6781564958896951</v>
      </c>
      <c r="H321">
        <f t="shared" ca="1" si="85"/>
        <v>159.78072133026421</v>
      </c>
      <c r="I321">
        <f t="shared" ca="1" si="86"/>
        <v>146.42440833848485</v>
      </c>
      <c r="J321">
        <f t="shared" ca="1" si="95"/>
        <v>158.07750000000001</v>
      </c>
      <c r="K321">
        <f t="shared" ca="1" si="96"/>
        <v>11.27114334787829</v>
      </c>
      <c r="L321">
        <f t="shared" ca="1" si="97"/>
        <v>180.6197866957566</v>
      </c>
      <c r="M321">
        <f t="shared" ca="1" si="98"/>
        <v>135.53521330424343</v>
      </c>
      <c r="N321">
        <f t="shared" ca="1" si="87"/>
        <v>-11.050000000000011</v>
      </c>
      <c r="O321">
        <f t="shared" ca="1" si="88"/>
        <v>0</v>
      </c>
      <c r="P321">
        <f t="shared" ca="1" si="89"/>
        <v>11.050000000000011</v>
      </c>
      <c r="Q321">
        <f t="shared" ca="1" si="93"/>
        <v>1.2215622012277385</v>
      </c>
      <c r="R321">
        <f t="shared" ca="1" si="94"/>
        <v>2.735896848074983</v>
      </c>
      <c r="S321">
        <f t="shared" ca="1" si="91"/>
        <v>0.44649424633360996</v>
      </c>
      <c r="T321">
        <f t="shared" ca="1" si="92"/>
        <v>30.867336490644661</v>
      </c>
      <c r="U321">
        <f>70</f>
        <v>70</v>
      </c>
      <c r="V321">
        <f>30</f>
        <v>30</v>
      </c>
      <c r="W321">
        <f t="shared" ca="1" si="90"/>
        <v>150.19368862800744</v>
      </c>
      <c r="X321">
        <f t="shared" ca="1" si="100"/>
        <v>154.55428018461646</v>
      </c>
      <c r="Y321">
        <f t="shared" ca="1" si="99"/>
        <v>-5.199360505647121</v>
      </c>
      <c r="Z321">
        <f t="shared" ca="1" si="101"/>
        <v>-1.7800751217340691</v>
      </c>
      <c r="AA321">
        <f t="shared" ca="1" si="102"/>
        <v>-3.4192853839130519</v>
      </c>
      <c r="AB321">
        <f t="shared" ca="1" si="103"/>
        <v>155.25110000000004</v>
      </c>
    </row>
    <row r="322" spans="1:28" x14ac:dyDescent="0.25">
      <c r="A322" s="20">
        <f t="shared" ca="1" si="83"/>
        <v>45754</v>
      </c>
      <c r="B322" vm="937">
        <f ca="1"/>
        <v>45758</v>
      </c>
      <c r="C322" vm="938">
        <f ca="1"/>
        <v>135.63</v>
      </c>
      <c r="D322" vm="939">
        <f ca="1"/>
        <v>17224405</v>
      </c>
      <c r="E322">
        <f t="shared" ca="1" si="84"/>
        <v>2336146050.1500001</v>
      </c>
      <c r="F322">
        <f ca="1">SUM($E$2:E322)/SUM($D$2:D322)</f>
        <v>152.98615223612208</v>
      </c>
      <c r="G322">
        <f ca="1">_xlfn.STDEV.P($C$2:C322)</f>
        <v>6.7426904976267652</v>
      </c>
      <c r="H322">
        <f t="shared" ca="1" si="85"/>
        <v>159.72884273374885</v>
      </c>
      <c r="I322">
        <f t="shared" ca="1" si="86"/>
        <v>146.24346173849531</v>
      </c>
      <c r="J322">
        <f t="shared" ca="1" si="95"/>
        <v>157.00800000000001</v>
      </c>
      <c r="K322">
        <f t="shared" ca="1" si="96"/>
        <v>12.340839602930716</v>
      </c>
      <c r="L322">
        <f t="shared" ca="1" si="97"/>
        <v>181.68967920586144</v>
      </c>
      <c r="M322">
        <f t="shared" ca="1" si="98"/>
        <v>132.32632079413858</v>
      </c>
      <c r="N322">
        <f t="shared" ca="1" si="87"/>
        <v>0.65000000000000568</v>
      </c>
      <c r="O322">
        <f t="shared" ca="1" si="88"/>
        <v>0.65000000000000568</v>
      </c>
      <c r="P322">
        <f t="shared" ca="1" si="89"/>
        <v>0</v>
      </c>
      <c r="Q322">
        <f t="shared" ca="1" si="93"/>
        <v>1.1807363297114719</v>
      </c>
      <c r="R322">
        <f t="shared" ca="1" si="94"/>
        <v>2.5404756446410559</v>
      </c>
      <c r="S322">
        <f t="shared" ca="1" si="91"/>
        <v>0.4647697891543055</v>
      </c>
      <c r="T322">
        <f t="shared" ca="1" si="92"/>
        <v>31.729886334059586</v>
      </c>
      <c r="U322">
        <f>70</f>
        <v>70</v>
      </c>
      <c r="V322">
        <f>30</f>
        <v>30</v>
      </c>
      <c r="W322">
        <f t="shared" ca="1" si="90"/>
        <v>147.95312114677552</v>
      </c>
      <c r="X322">
        <f t="shared" ca="1" si="100"/>
        <v>153.15248165242264</v>
      </c>
      <c r="Y322">
        <f t="shared" ca="1" si="99"/>
        <v>-5.8219930383048961</v>
      </c>
      <c r="Z322">
        <f t="shared" ca="1" si="101"/>
        <v>-2.5884587050482351</v>
      </c>
      <c r="AA322">
        <f t="shared" ca="1" si="102"/>
        <v>-3.2335343332566611</v>
      </c>
      <c r="AB322">
        <f t="shared" ca="1" si="103"/>
        <v>154.98940000000002</v>
      </c>
    </row>
    <row r="323" spans="1:28" x14ac:dyDescent="0.25">
      <c r="A323" s="20">
        <f t="shared" ref="A323:A386" ca="1" si="104">B323 - WEEKDAY(B323, 2) + 1</f>
        <v>45761</v>
      </c>
      <c r="B323" vm="940">
        <f ca="1"/>
        <v>45761</v>
      </c>
      <c r="C323" vm="941">
        <f ca="1"/>
        <v>135.32</v>
      </c>
      <c r="D323" vm="942">
        <f ca="1"/>
        <v>9628152</v>
      </c>
      <c r="E323">
        <f t="shared" ref="E323:E386" ca="1" si="105">C323*D323</f>
        <v>1302881528.6399999</v>
      </c>
      <c r="F323">
        <f ca="1">SUM($E$2:E323)/SUM($D$2:D323)</f>
        <v>152.92060270778933</v>
      </c>
      <c r="G323">
        <f ca="1">_xlfn.STDEV.P($C$2:C323)</f>
        <v>6.8083106714308483</v>
      </c>
      <c r="H323">
        <f t="shared" ref="H323:H386" ca="1" si="106">F323 + G323</f>
        <v>159.72891337922019</v>
      </c>
      <c r="I323">
        <f t="shared" ref="I323:I386" ca="1" si="107">F323 - G323</f>
        <v>146.11229203635847</v>
      </c>
      <c r="J323">
        <f t="shared" ca="1" si="95"/>
        <v>155.83800000000002</v>
      </c>
      <c r="K323">
        <f t="shared" ca="1" si="96"/>
        <v>13.246033209586701</v>
      </c>
      <c r="L323">
        <f t="shared" ca="1" si="97"/>
        <v>182.33006641917342</v>
      </c>
      <c r="M323">
        <f t="shared" ca="1" si="98"/>
        <v>129.34593358082662</v>
      </c>
      <c r="N323">
        <f t="shared" ca="1" si="87"/>
        <v>-0.31000000000000227</v>
      </c>
      <c r="O323">
        <f t="shared" ca="1" si="88"/>
        <v>0</v>
      </c>
      <c r="P323">
        <f t="shared" ca="1" si="89"/>
        <v>0.31000000000000227</v>
      </c>
      <c r="Q323">
        <f t="shared" ca="1" si="93"/>
        <v>1.0963980204463668</v>
      </c>
      <c r="R323">
        <f t="shared" ca="1" si="94"/>
        <v>2.3811559557381234</v>
      </c>
      <c r="S323">
        <f t="shared" ca="1" si="91"/>
        <v>0.46044779965136701</v>
      </c>
      <c r="T323">
        <f t="shared" ca="1" si="92"/>
        <v>31.527850551131195</v>
      </c>
      <c r="U323">
        <f>70</f>
        <v>70</v>
      </c>
      <c r="V323">
        <f>30</f>
        <v>30</v>
      </c>
      <c r="W323">
        <f t="shared" ca="1" si="90"/>
        <v>146.0095640472716</v>
      </c>
      <c r="X323">
        <f t="shared" ca="1" si="100"/>
        <v>151.83155708557649</v>
      </c>
      <c r="Y323">
        <f t="shared" ca="1" si="99"/>
        <v>-6.3056852728566639</v>
      </c>
      <c r="Z323">
        <f t="shared" ca="1" si="101"/>
        <v>-3.3319040186099209</v>
      </c>
      <c r="AA323">
        <f t="shared" ca="1" si="102"/>
        <v>-2.973781254246743</v>
      </c>
      <c r="AB323">
        <f t="shared" ca="1" si="103"/>
        <v>154.72840000000002</v>
      </c>
    </row>
    <row r="324" spans="1:28" x14ac:dyDescent="0.25">
      <c r="A324" s="20">
        <f t="shared" ca="1" si="104"/>
        <v>45761</v>
      </c>
      <c r="B324" vm="943">
        <f ca="1"/>
        <v>45762</v>
      </c>
      <c r="C324" vm="944">
        <f ca="1"/>
        <v>134.54</v>
      </c>
      <c r="D324" vm="945">
        <f ca="1"/>
        <v>9334825</v>
      </c>
      <c r="E324">
        <f t="shared" ca="1" si="105"/>
        <v>1255907355.5</v>
      </c>
      <c r="F324">
        <f ca="1">SUM($E$2:E324)/SUM($D$2:D324)</f>
        <v>152.85471702392667</v>
      </c>
      <c r="G324">
        <f ca="1">_xlfn.STDEV.P($C$2:C324)</f>
        <v>6.8789454168374862</v>
      </c>
      <c r="H324">
        <f t="shared" ca="1" si="106"/>
        <v>159.73366244076416</v>
      </c>
      <c r="I324">
        <f t="shared" ca="1" si="107"/>
        <v>145.97577160708917</v>
      </c>
      <c r="J324">
        <f t="shared" ca="1" si="95"/>
        <v>154.52450000000005</v>
      </c>
      <c r="K324">
        <f t="shared" ca="1" si="96"/>
        <v>14.007646210852883</v>
      </c>
      <c r="L324">
        <f t="shared" ca="1" si="97"/>
        <v>182.53979242170581</v>
      </c>
      <c r="M324">
        <f t="shared" ca="1" si="98"/>
        <v>126.50920757829428</v>
      </c>
      <c r="N324">
        <f t="shared" ref="N324:N387" ca="1" si="108">C324-C323</f>
        <v>-0.78000000000000114</v>
      </c>
      <c r="O324">
        <f t="shared" ref="O324:O387" ca="1" si="109">MAX(N324,0)</f>
        <v>0</v>
      </c>
      <c r="P324">
        <f t="shared" ref="P324:P387" ca="1" si="110">MAX(-N324,0)</f>
        <v>0.78000000000000114</v>
      </c>
      <c r="Q324">
        <f t="shared" ca="1" si="93"/>
        <v>1.0180838761287692</v>
      </c>
      <c r="R324">
        <f t="shared" ca="1" si="94"/>
        <v>2.2667876731854006</v>
      </c>
      <c r="S324">
        <f t="shared" ca="1" si="91"/>
        <v>0.44913067428944858</v>
      </c>
      <c r="T324">
        <f t="shared" ca="1" si="92"/>
        <v>30.993110715130683</v>
      </c>
      <c r="U324">
        <f>70</f>
        <v>70</v>
      </c>
      <c r="V324">
        <f>30</f>
        <v>30</v>
      </c>
      <c r="W324">
        <f t="shared" ca="1" si="90"/>
        <v>144.24501573230674</v>
      </c>
      <c r="X324">
        <f t="shared" ca="1" si="100"/>
        <v>150.5507010051634</v>
      </c>
      <c r="Y324">
        <f t="shared" ca="1" si="99"/>
        <v>-6.5473736586410212</v>
      </c>
      <c r="Z324">
        <f t="shared" ca="1" si="101"/>
        <v>-3.9749979466161411</v>
      </c>
      <c r="AA324">
        <f t="shared" ca="1" si="102"/>
        <v>-2.57237571202488</v>
      </c>
      <c r="AB324">
        <f t="shared" ca="1" si="103"/>
        <v>154.46620000000001</v>
      </c>
    </row>
    <row r="325" spans="1:28" x14ac:dyDescent="0.25">
      <c r="A325" s="20">
        <f t="shared" ca="1" si="104"/>
        <v>45761</v>
      </c>
      <c r="B325" vm="946">
        <f ca="1"/>
        <v>45763</v>
      </c>
      <c r="C325" vm="947">
        <f ca="1"/>
        <v>135.36000000000001</v>
      </c>
      <c r="D325" vm="948">
        <f ca="1"/>
        <v>8637220</v>
      </c>
      <c r="E325">
        <f t="shared" ca="1" si="105"/>
        <v>1169134099.2</v>
      </c>
      <c r="F325">
        <f ca="1">SUM($E$2:E325)/SUM($D$2:D325)</f>
        <v>152.79688505003071</v>
      </c>
      <c r="G325">
        <f ca="1">_xlfn.STDEV.P($C$2:C325)</f>
        <v>6.9412204880593302</v>
      </c>
      <c r="H325">
        <f t="shared" ca="1" si="106"/>
        <v>159.73810553809005</v>
      </c>
      <c r="I325">
        <f t="shared" ca="1" si="107"/>
        <v>145.85566456197137</v>
      </c>
      <c r="J325">
        <f t="shared" ca="1" si="95"/>
        <v>153.09</v>
      </c>
      <c r="K325">
        <f t="shared" ca="1" si="96"/>
        <v>14.443093414100078</v>
      </c>
      <c r="L325">
        <f t="shared" ca="1" si="97"/>
        <v>181.97618682820016</v>
      </c>
      <c r="M325">
        <f t="shared" ca="1" si="98"/>
        <v>124.20381317179985</v>
      </c>
      <c r="N325">
        <f t="shared" ca="1" si="108"/>
        <v>0.8200000000000216</v>
      </c>
      <c r="O325">
        <f t="shared" ca="1" si="109"/>
        <v>0.8200000000000216</v>
      </c>
      <c r="P325">
        <f t="shared" ca="1" si="110"/>
        <v>0</v>
      </c>
      <c r="Q325">
        <f t="shared" ca="1" si="93"/>
        <v>1.0039350278338586</v>
      </c>
      <c r="R325">
        <f t="shared" ca="1" si="94"/>
        <v>2.104874267957872</v>
      </c>
      <c r="S325">
        <f t="shared" ca="1" si="91"/>
        <v>0.47695724306034976</v>
      </c>
      <c r="T325">
        <f t="shared" ca="1" si="92"/>
        <v>32.293232949118007</v>
      </c>
      <c r="U325">
        <f>70</f>
        <v>70</v>
      </c>
      <c r="V325">
        <f>30</f>
        <v>30</v>
      </c>
      <c r="W325">
        <f t="shared" ca="1" si="90"/>
        <v>142.87809023502879</v>
      </c>
      <c r="X325">
        <f t="shared" ca="1" si="100"/>
        <v>149.42546389366981</v>
      </c>
      <c r="Y325">
        <f t="shared" ca="1" si="99"/>
        <v>-6.461888790994692</v>
      </c>
      <c r="Z325">
        <f t="shared" ca="1" si="101"/>
        <v>-4.4723761154918513</v>
      </c>
      <c r="AA325">
        <f t="shared" ca="1" si="102"/>
        <v>-1.9895126755028407</v>
      </c>
      <c r="AB325">
        <f t="shared" ca="1" si="103"/>
        <v>154.22380000000001</v>
      </c>
    </row>
    <row r="326" spans="1:28" x14ac:dyDescent="0.25">
      <c r="A326" s="20">
        <f t="shared" ca="1" si="104"/>
        <v>45761</v>
      </c>
      <c r="B326" vm="949">
        <f ca="1"/>
        <v>45764</v>
      </c>
      <c r="C326" vm="950">
        <f ca="1"/>
        <v>137.87</v>
      </c>
      <c r="D326" vm="951">
        <f ca="1"/>
        <v>8434434</v>
      </c>
      <c r="E326">
        <f t="shared" ca="1" si="105"/>
        <v>1162855415.5799999</v>
      </c>
      <c r="F326">
        <f ca="1">SUM($E$2:E326)/SUM($D$2:D326)</f>
        <v>152.74885505198776</v>
      </c>
      <c r="G326">
        <f ca="1">_xlfn.STDEV.P($C$2:C326)</f>
        <v>6.9836504583221863</v>
      </c>
      <c r="H326">
        <f t="shared" ca="1" si="106"/>
        <v>159.73250551030995</v>
      </c>
      <c r="I326">
        <f t="shared" ca="1" si="107"/>
        <v>145.76520459366557</v>
      </c>
      <c r="J326">
        <f t="shared" ca="1" si="95"/>
        <v>151.74500000000003</v>
      </c>
      <c r="K326">
        <f t="shared" ca="1" si="96"/>
        <v>14.550278528714077</v>
      </c>
      <c r="L326">
        <f t="shared" ca="1" si="97"/>
        <v>180.84555705742818</v>
      </c>
      <c r="M326">
        <f t="shared" ca="1" si="98"/>
        <v>122.64444294257189</v>
      </c>
      <c r="N326">
        <f t="shared" ca="1" si="108"/>
        <v>2.5099999999999909</v>
      </c>
      <c r="O326">
        <f t="shared" ca="1" si="109"/>
        <v>2.5099999999999909</v>
      </c>
      <c r="P326">
        <f t="shared" ca="1" si="110"/>
        <v>0</v>
      </c>
      <c r="Q326">
        <f t="shared" ca="1" si="93"/>
        <v>1.1115110972742965</v>
      </c>
      <c r="R326">
        <f t="shared" ca="1" si="94"/>
        <v>1.9545261059608812</v>
      </c>
      <c r="S326">
        <f t="shared" ca="1" si="91"/>
        <v>0.56868572585673249</v>
      </c>
      <c r="T326">
        <f t="shared" ca="1" si="92"/>
        <v>36.252368239415617</v>
      </c>
      <c r="U326">
        <f>70</f>
        <v>70</v>
      </c>
      <c r="V326">
        <f>30</f>
        <v>30</v>
      </c>
      <c r="W326">
        <f t="shared" ca="1" si="90"/>
        <v>142.10761481425513</v>
      </c>
      <c r="X326">
        <f t="shared" ca="1" si="100"/>
        <v>148.56950360524982</v>
      </c>
      <c r="Y326">
        <f t="shared" ca="1" si="99"/>
        <v>-6.6515301192946481</v>
      </c>
      <c r="Z326">
        <f t="shared" ca="1" si="101"/>
        <v>-4.9082069162524107</v>
      </c>
      <c r="AA326">
        <f t="shared" ca="1" si="102"/>
        <v>-1.7433232030422374</v>
      </c>
      <c r="AB326">
        <f t="shared" ca="1" si="103"/>
        <v>153.98920000000001</v>
      </c>
    </row>
    <row r="327" spans="1:28" x14ac:dyDescent="0.25">
      <c r="A327" s="20">
        <f t="shared" ca="1" si="104"/>
        <v>45768</v>
      </c>
      <c r="B327" vm="952">
        <f ca="1"/>
        <v>45768</v>
      </c>
      <c r="C327" vm="953">
        <f ca="1"/>
        <v>133.72999999999999</v>
      </c>
      <c r="D327" vm="954">
        <f ca="1"/>
        <v>9967487</v>
      </c>
      <c r="E327">
        <f t="shared" ca="1" si="105"/>
        <v>1332952036.51</v>
      </c>
      <c r="F327">
        <f ca="1">SUM($E$2:E327)/SUM($D$2:D327)</f>
        <v>152.67680916456681</v>
      </c>
      <c r="G327">
        <f ca="1">_xlfn.STDEV.P($C$2:C327)</f>
        <v>7.0567913221750995</v>
      </c>
      <c r="H327">
        <f t="shared" ca="1" si="106"/>
        <v>159.73360048674189</v>
      </c>
      <c r="I327">
        <f t="shared" ca="1" si="107"/>
        <v>145.62001784239172</v>
      </c>
      <c r="J327">
        <f t="shared" ca="1" si="95"/>
        <v>150.19400000000002</v>
      </c>
      <c r="K327">
        <f t="shared" ca="1" si="96"/>
        <v>14.74306202573729</v>
      </c>
      <c r="L327">
        <f t="shared" ca="1" si="97"/>
        <v>179.68012405147459</v>
      </c>
      <c r="M327">
        <f t="shared" ca="1" si="98"/>
        <v>120.70787594852544</v>
      </c>
      <c r="N327">
        <f t="shared" ca="1" si="108"/>
        <v>-4.1400000000000148</v>
      </c>
      <c r="O327">
        <f t="shared" ca="1" si="109"/>
        <v>0</v>
      </c>
      <c r="P327">
        <f t="shared" ca="1" si="110"/>
        <v>4.1400000000000148</v>
      </c>
      <c r="Q327">
        <f t="shared" ca="1" si="93"/>
        <v>1.0321174474689896</v>
      </c>
      <c r="R327">
        <f t="shared" ca="1" si="94"/>
        <v>2.1106313841065334</v>
      </c>
      <c r="S327">
        <f t="shared" ca="1" si="91"/>
        <v>0.4890088602117052</v>
      </c>
      <c r="T327">
        <f t="shared" ca="1" si="92"/>
        <v>32.841232398185895</v>
      </c>
      <c r="U327">
        <f>70</f>
        <v>70</v>
      </c>
      <c r="V327">
        <f>30</f>
        <v>30</v>
      </c>
      <c r="W327">
        <f t="shared" ca="1" si="90"/>
        <v>140.81875099667741</v>
      </c>
      <c r="X327">
        <f t="shared" ca="1" si="100"/>
        <v>147.47028111597206</v>
      </c>
      <c r="Y327">
        <f t="shared" ca="1" si="99"/>
        <v>-6.4395222697370968</v>
      </c>
      <c r="Z327">
        <f t="shared" ca="1" si="101"/>
        <v>-5.2144699869493483</v>
      </c>
      <c r="AA327">
        <f t="shared" ca="1" si="102"/>
        <v>-1.2250522827877486</v>
      </c>
      <c r="AB327">
        <f t="shared" ca="1" si="103"/>
        <v>153.71020000000001</v>
      </c>
    </row>
    <row r="328" spans="1:28" x14ac:dyDescent="0.25">
      <c r="A328" s="20">
        <f t="shared" ca="1" si="104"/>
        <v>45768</v>
      </c>
      <c r="B328" vm="955">
        <f ca="1"/>
        <v>45769</v>
      </c>
      <c r="C328" vm="956">
        <f ca="1"/>
        <v>137.30000000000001</v>
      </c>
      <c r="D328" vm="957">
        <f ca="1"/>
        <v>7984676</v>
      </c>
      <c r="E328">
        <f t="shared" ca="1" si="105"/>
        <v>1096296014.8000002</v>
      </c>
      <c r="F328">
        <f ca="1">SUM($E$2:E328)/SUM($D$2:D328)</f>
        <v>152.63028840767444</v>
      </c>
      <c r="G328">
        <f ca="1">_xlfn.STDEV.P($C$2:C328)</f>
        <v>7.1010543843323042</v>
      </c>
      <c r="H328">
        <f t="shared" ca="1" si="106"/>
        <v>159.73134279200676</v>
      </c>
      <c r="I328">
        <f t="shared" ca="1" si="107"/>
        <v>145.52923402334213</v>
      </c>
      <c r="J328">
        <f t="shared" ca="1" si="95"/>
        <v>148.80800000000002</v>
      </c>
      <c r="K328">
        <f t="shared" ca="1" si="96"/>
        <v>14.57796592554379</v>
      </c>
      <c r="L328">
        <f t="shared" ca="1" si="97"/>
        <v>177.96393185108761</v>
      </c>
      <c r="M328">
        <f t="shared" ca="1" si="98"/>
        <v>119.65206814891243</v>
      </c>
      <c r="N328">
        <f t="shared" ca="1" si="108"/>
        <v>3.5700000000000216</v>
      </c>
      <c r="O328">
        <f t="shared" ca="1" si="109"/>
        <v>3.5700000000000216</v>
      </c>
      <c r="P328">
        <f t="shared" ca="1" si="110"/>
        <v>0</v>
      </c>
      <c r="Q328">
        <f t="shared" ca="1" si="93"/>
        <v>1.2133947726497776</v>
      </c>
      <c r="R328">
        <f t="shared" ca="1" si="94"/>
        <v>1.9598719995274954</v>
      </c>
      <c r="S328">
        <f t="shared" ca="1" si="91"/>
        <v>0.6191193980741162</v>
      </c>
      <c r="T328">
        <f t="shared" ca="1" si="92"/>
        <v>38.238032279184374</v>
      </c>
      <c r="U328">
        <f>70</f>
        <v>70</v>
      </c>
      <c r="V328">
        <f>30</f>
        <v>30</v>
      </c>
      <c r="W328">
        <f t="shared" ca="1" si="90"/>
        <v>140.27740468949628</v>
      </c>
      <c r="X328">
        <f t="shared" ca="1" si="100"/>
        <v>146.71692695923338</v>
      </c>
      <c r="Y328">
        <f t="shared" ca="1" si="99"/>
        <v>-6.2494930739898678</v>
      </c>
      <c r="Z328">
        <f t="shared" ca="1" si="101"/>
        <v>-5.421474604357452</v>
      </c>
      <c r="AA328">
        <f t="shared" ca="1" si="102"/>
        <v>-0.82801846963241577</v>
      </c>
      <c r="AB328">
        <f t="shared" ca="1" si="103"/>
        <v>153.45960000000002</v>
      </c>
    </row>
    <row r="329" spans="1:28" x14ac:dyDescent="0.25">
      <c r="A329" s="20">
        <f t="shared" ca="1" si="104"/>
        <v>45768</v>
      </c>
      <c r="B329" vm="958">
        <f ca="1"/>
        <v>45770</v>
      </c>
      <c r="C329" vm="959">
        <f ca="1"/>
        <v>136.68</v>
      </c>
      <c r="D329" vm="960">
        <f ca="1"/>
        <v>10001966</v>
      </c>
      <c r="E329">
        <f t="shared" ca="1" si="105"/>
        <v>1367068712.8800001</v>
      </c>
      <c r="F329">
        <f ca="1">SUM($E$2:E329)/SUM($D$2:D329)</f>
        <v>152.57006928636616</v>
      </c>
      <c r="G329">
        <f ca="1">_xlfn.STDEV.P($C$2:C329)</f>
        <v>7.1487282255638283</v>
      </c>
      <c r="H329">
        <f t="shared" ca="1" si="106"/>
        <v>159.71879751192998</v>
      </c>
      <c r="I329">
        <f t="shared" ca="1" si="107"/>
        <v>145.42134106080235</v>
      </c>
      <c r="J329">
        <f t="shared" ca="1" si="95"/>
        <v>147.345</v>
      </c>
      <c r="K329">
        <f t="shared" ca="1" si="96"/>
        <v>14.232284093788873</v>
      </c>
      <c r="L329">
        <f t="shared" ca="1" si="97"/>
        <v>175.80956818757775</v>
      </c>
      <c r="M329">
        <f t="shared" ca="1" si="98"/>
        <v>118.88043181242224</v>
      </c>
      <c r="N329">
        <f t="shared" ca="1" si="108"/>
        <v>-0.62000000000000455</v>
      </c>
      <c r="O329">
        <f t="shared" ca="1" si="109"/>
        <v>0</v>
      </c>
      <c r="P329">
        <f t="shared" ca="1" si="110"/>
        <v>0.62000000000000455</v>
      </c>
      <c r="Q329">
        <f t="shared" ca="1" si="93"/>
        <v>1.1267237174605078</v>
      </c>
      <c r="R329">
        <f t="shared" ca="1" si="94"/>
        <v>1.864166856704103</v>
      </c>
      <c r="S329">
        <f t="shared" ca="1" si="91"/>
        <v>0.60441140953046746</v>
      </c>
      <c r="T329">
        <f t="shared" ca="1" si="92"/>
        <v>37.671846880430067</v>
      </c>
      <c r="U329">
        <f>70</f>
        <v>70</v>
      </c>
      <c r="V329">
        <f>30</f>
        <v>30</v>
      </c>
      <c r="W329">
        <f t="shared" ca="1" si="90"/>
        <v>139.72395781418916</v>
      </c>
      <c r="X329">
        <f t="shared" ca="1" si="100"/>
        <v>145.97345088817903</v>
      </c>
      <c r="Y329">
        <f t="shared" ca="1" si="99"/>
        <v>-5.8387352360228135</v>
      </c>
      <c r="Z329">
        <f t="shared" ca="1" si="101"/>
        <v>-5.5049267306905243</v>
      </c>
      <c r="AA329">
        <f t="shared" ca="1" si="102"/>
        <v>-0.33380850533228923</v>
      </c>
      <c r="AB329">
        <f t="shared" ca="1" si="103"/>
        <v>153.22280000000001</v>
      </c>
    </row>
    <row r="330" spans="1:28" x14ac:dyDescent="0.25">
      <c r="A330" s="20">
        <f t="shared" ca="1" si="104"/>
        <v>45768</v>
      </c>
      <c r="B330" vm="961">
        <f ca="1"/>
        <v>45771</v>
      </c>
      <c r="C330" vm="962">
        <f ca="1"/>
        <v>139.07</v>
      </c>
      <c r="D330" vm="963">
        <f ca="1"/>
        <v>7745778</v>
      </c>
      <c r="E330">
        <f t="shared" ca="1" si="105"/>
        <v>1077205346.46</v>
      </c>
      <c r="F330">
        <f ca="1">SUM($E$2:E330)/SUM($D$2:D330)</f>
        <v>152.53071304532816</v>
      </c>
      <c r="G330">
        <f ca="1">_xlfn.STDEV.P($C$2:C330)</f>
        <v>7.1800220789083813</v>
      </c>
      <c r="H330">
        <f t="shared" ca="1" si="106"/>
        <v>159.71073512423655</v>
      </c>
      <c r="I330">
        <f t="shared" ca="1" si="107"/>
        <v>145.35069096641976</v>
      </c>
      <c r="J330">
        <f t="shared" ca="1" si="95"/>
        <v>145.90000000000003</v>
      </c>
      <c r="K330">
        <f t="shared" ca="1" si="96"/>
        <v>13.47497641829789</v>
      </c>
      <c r="L330">
        <f t="shared" ca="1" si="97"/>
        <v>172.8499528365958</v>
      </c>
      <c r="M330">
        <f t="shared" ca="1" si="98"/>
        <v>118.95004716340425</v>
      </c>
      <c r="N330">
        <f t="shared" ca="1" si="108"/>
        <v>2.3899999999999864</v>
      </c>
      <c r="O330">
        <f t="shared" ca="1" si="109"/>
        <v>2.3899999999999864</v>
      </c>
      <c r="P330">
        <f t="shared" ca="1" si="110"/>
        <v>0</v>
      </c>
      <c r="Q330">
        <f t="shared" ca="1" si="93"/>
        <v>1.216957737641899</v>
      </c>
      <c r="R330">
        <f t="shared" ca="1" si="94"/>
        <v>1.7310120812252383</v>
      </c>
      <c r="S330">
        <f t="shared" ca="1" si="91"/>
        <v>0.70303249228654519</v>
      </c>
      <c r="T330">
        <f t="shared" ca="1" si="92"/>
        <v>41.281214273406583</v>
      </c>
      <c r="U330">
        <f>70</f>
        <v>70</v>
      </c>
      <c r="V330">
        <f>30</f>
        <v>30</v>
      </c>
      <c r="W330">
        <f t="shared" ca="1" si="90"/>
        <v>139.62334891969851</v>
      </c>
      <c r="X330">
        <f t="shared" ca="1" si="100"/>
        <v>145.46208415572133</v>
      </c>
      <c r="Y330">
        <f t="shared" ca="1" si="99"/>
        <v>-5.4775006309372714</v>
      </c>
      <c r="Z330">
        <f t="shared" ca="1" si="101"/>
        <v>-5.4994415107398744</v>
      </c>
      <c r="AA330">
        <f t="shared" ca="1" si="102"/>
        <v>2.1940879802603064E-2</v>
      </c>
      <c r="AB330">
        <f t="shared" ca="1" si="103"/>
        <v>152.98820000000001</v>
      </c>
    </row>
    <row r="331" spans="1:28" x14ac:dyDescent="0.25">
      <c r="A331" s="20">
        <f t="shared" ca="1" si="104"/>
        <v>45768</v>
      </c>
      <c r="B331" vm="964">
        <f ca="1"/>
        <v>45772</v>
      </c>
      <c r="C331" vm="965">
        <f ca="1"/>
        <v>138.72999999999999</v>
      </c>
      <c r="D331" vm="966">
        <f ca="1"/>
        <v>6878491</v>
      </c>
      <c r="E331">
        <f t="shared" ca="1" si="105"/>
        <v>954253056.42999995</v>
      </c>
      <c r="F331">
        <f ca="1">SUM($E$2:E331)/SUM($D$2:D331)</f>
        <v>152.49507741866378</v>
      </c>
      <c r="G331">
        <f ca="1">_xlfn.STDEV.P($C$2:C331)</f>
        <v>7.2127672812863199</v>
      </c>
      <c r="H331">
        <f t="shared" ca="1" si="106"/>
        <v>159.7078446999501</v>
      </c>
      <c r="I331">
        <f t="shared" ca="1" si="107"/>
        <v>145.28231013737746</v>
      </c>
      <c r="J331">
        <f t="shared" ca="1" si="95"/>
        <v>144.50399999999999</v>
      </c>
      <c r="K331">
        <f t="shared" ca="1" si="96"/>
        <v>12.632028799007204</v>
      </c>
      <c r="L331">
        <f t="shared" ca="1" si="97"/>
        <v>169.76805759801439</v>
      </c>
      <c r="M331">
        <f t="shared" ca="1" si="98"/>
        <v>119.23994240198559</v>
      </c>
      <c r="N331">
        <f t="shared" ca="1" si="108"/>
        <v>-0.34000000000000341</v>
      </c>
      <c r="O331">
        <f t="shared" ca="1" si="109"/>
        <v>0</v>
      </c>
      <c r="P331">
        <f t="shared" ca="1" si="110"/>
        <v>0.34000000000000341</v>
      </c>
      <c r="Q331">
        <f t="shared" ca="1" si="93"/>
        <v>1.1300321849531918</v>
      </c>
      <c r="R331">
        <f t="shared" ca="1" si="94"/>
        <v>1.6316540754234359</v>
      </c>
      <c r="S331">
        <f t="shared" ca="1" si="91"/>
        <v>0.69256848125723802</v>
      </c>
      <c r="T331">
        <f t="shared" ca="1" si="92"/>
        <v>40.918195566468249</v>
      </c>
      <c r="U331">
        <f>70</f>
        <v>70</v>
      </c>
      <c r="V331">
        <f>30</f>
        <v>30</v>
      </c>
      <c r="W331">
        <f t="shared" ca="1" si="90"/>
        <v>139.48591062436026</v>
      </c>
      <c r="X331">
        <f t="shared" ca="1" si="100"/>
        <v>144.96341125529753</v>
      </c>
      <c r="Y331">
        <f t="shared" ca="1" si="99"/>
        <v>-5.0227726567997024</v>
      </c>
      <c r="Z331">
        <f t="shared" ca="1" si="101"/>
        <v>-5.40410773995184</v>
      </c>
      <c r="AA331">
        <f t="shared" ca="1" si="102"/>
        <v>0.3813350831521376</v>
      </c>
      <c r="AB331">
        <f t="shared" ca="1" si="103"/>
        <v>152.7544</v>
      </c>
    </row>
    <row r="332" spans="1:28" x14ac:dyDescent="0.25">
      <c r="A332" s="20">
        <f t="shared" ca="1" si="104"/>
        <v>45775</v>
      </c>
      <c r="B332" vm="967">
        <f ca="1"/>
        <v>45775</v>
      </c>
      <c r="C332" vm="968">
        <f ca="1"/>
        <v>140.1</v>
      </c>
      <c r="D332" vm="969">
        <f ca="1"/>
        <v>6715539</v>
      </c>
      <c r="E332">
        <f t="shared" ca="1" si="105"/>
        <v>940847013.89999998</v>
      </c>
      <c r="F332">
        <f ca="1">SUM($E$2:E332)/SUM($D$2:D332)</f>
        <v>152.46390816900538</v>
      </c>
      <c r="G332">
        <f ca="1">_xlfn.STDEV.P($C$2:C332)</f>
        <v>7.2371092357310918</v>
      </c>
      <c r="H332">
        <f t="shared" ca="1" si="106"/>
        <v>159.70101740473646</v>
      </c>
      <c r="I332">
        <f t="shared" ca="1" si="107"/>
        <v>145.2267989332743</v>
      </c>
      <c r="J332">
        <f t="shared" ca="1" si="95"/>
        <v>143.2045</v>
      </c>
      <c r="K332">
        <f t="shared" ca="1" si="96"/>
        <v>11.58824425873048</v>
      </c>
      <c r="L332">
        <f t="shared" ca="1" si="97"/>
        <v>166.38098851746096</v>
      </c>
      <c r="M332">
        <f t="shared" ca="1" si="98"/>
        <v>120.02801148253903</v>
      </c>
      <c r="N332">
        <f t="shared" ca="1" si="108"/>
        <v>1.3700000000000045</v>
      </c>
      <c r="O332">
        <f t="shared" ca="1" si="109"/>
        <v>1.3700000000000045</v>
      </c>
      <c r="P332">
        <f t="shared" ca="1" si="110"/>
        <v>0</v>
      </c>
      <c r="Q332">
        <f t="shared" ca="1" si="93"/>
        <v>1.1471727431708214</v>
      </c>
      <c r="R332">
        <f t="shared" ca="1" si="94"/>
        <v>1.5151073557503332</v>
      </c>
      <c r="S332">
        <f t="shared" ca="1" si="91"/>
        <v>0.75715607796168483</v>
      </c>
      <c r="T332">
        <f t="shared" ca="1" si="92"/>
        <v>43.089859088669684</v>
      </c>
      <c r="U332">
        <f>70</f>
        <v>70</v>
      </c>
      <c r="V332">
        <f>30</f>
        <v>30</v>
      </c>
      <c r="W332">
        <f t="shared" ca="1" si="90"/>
        <v>139.58038591292024</v>
      </c>
      <c r="X332">
        <f t="shared" ca="1" si="100"/>
        <v>144.60315856971994</v>
      </c>
      <c r="Y332">
        <f t="shared" ca="1" si="99"/>
        <v>-4.6730823903751002</v>
      </c>
      <c r="Z332">
        <f t="shared" ca="1" si="101"/>
        <v>-5.2579026700364917</v>
      </c>
      <c r="AA332">
        <f t="shared" ca="1" si="102"/>
        <v>0.5848202796613915</v>
      </c>
      <c r="AB332">
        <f t="shared" ca="1" si="103"/>
        <v>152.53609999999998</v>
      </c>
    </row>
    <row r="333" spans="1:28" x14ac:dyDescent="0.25">
      <c r="A333" s="20">
        <f t="shared" ca="1" si="104"/>
        <v>45775</v>
      </c>
      <c r="B333" vm="970">
        <f ca="1"/>
        <v>45776</v>
      </c>
      <c r="C333" vm="971">
        <f ca="1"/>
        <v>139.30000000000001</v>
      </c>
      <c r="D333" vm="972">
        <f ca="1"/>
        <v>7343820</v>
      </c>
      <c r="E333">
        <f t="shared" ca="1" si="105"/>
        <v>1022994126.0000001</v>
      </c>
      <c r="F333">
        <f ca="1">SUM($E$2:E333)/SUM($D$2:D333)</f>
        <v>152.42780789777649</v>
      </c>
      <c r="G333">
        <f ca="1">_xlfn.STDEV.P($C$2:C333)</f>
        <v>7.2654318949149364</v>
      </c>
      <c r="H333">
        <f t="shared" ca="1" si="106"/>
        <v>159.69323979269143</v>
      </c>
      <c r="I333">
        <f t="shared" ca="1" si="107"/>
        <v>145.16237600286155</v>
      </c>
      <c r="J333">
        <f t="shared" ca="1" si="95"/>
        <v>141.80500000000001</v>
      </c>
      <c r="K333">
        <f t="shared" ca="1" si="96"/>
        <v>10.124026918802199</v>
      </c>
      <c r="L333">
        <f t="shared" ca="1" si="97"/>
        <v>162.05305383760441</v>
      </c>
      <c r="M333">
        <f t="shared" ca="1" si="98"/>
        <v>121.5569461623956</v>
      </c>
      <c r="N333">
        <f t="shared" ca="1" si="108"/>
        <v>-0.79999999999998295</v>
      </c>
      <c r="O333">
        <f t="shared" ca="1" si="109"/>
        <v>0</v>
      </c>
      <c r="P333">
        <f t="shared" ca="1" si="110"/>
        <v>0.79999999999998295</v>
      </c>
      <c r="Q333">
        <f t="shared" ca="1" si="93"/>
        <v>1.0652318329443342</v>
      </c>
      <c r="R333">
        <f t="shared" ca="1" si="94"/>
        <v>1.4640282589110225</v>
      </c>
      <c r="S333">
        <f t="shared" ca="1" si="91"/>
        <v>0.72760332764114666</v>
      </c>
      <c r="T333">
        <f t="shared" ca="1" si="92"/>
        <v>42.116342102362665</v>
      </c>
      <c r="U333">
        <f>70</f>
        <v>70</v>
      </c>
      <c r="V333">
        <f>30</f>
        <v>30</v>
      </c>
      <c r="W333">
        <f t="shared" ca="1" si="90"/>
        <v>139.53724961862483</v>
      </c>
      <c r="X333">
        <f t="shared" ca="1" si="100"/>
        <v>144.21033200899993</v>
      </c>
      <c r="Y333">
        <f t="shared" ca="1" si="99"/>
        <v>-4.6043155732005516</v>
      </c>
      <c r="Z333">
        <f t="shared" ca="1" si="101"/>
        <v>-5.1271852506693039</v>
      </c>
      <c r="AA333">
        <f t="shared" ca="1" si="102"/>
        <v>0.52286967746875224</v>
      </c>
      <c r="AB333">
        <f t="shared" ca="1" si="103"/>
        <v>152.30699999999999</v>
      </c>
    </row>
    <row r="334" spans="1:28" x14ac:dyDescent="0.25">
      <c r="A334" s="20">
        <f t="shared" ca="1" si="104"/>
        <v>45775</v>
      </c>
      <c r="B334" vm="973">
        <f ca="1"/>
        <v>45777</v>
      </c>
      <c r="C334" vm="974">
        <f ca="1"/>
        <v>136.06</v>
      </c>
      <c r="D334" vm="975">
        <f ca="1"/>
        <v>13858040</v>
      </c>
      <c r="E334">
        <f t="shared" ca="1" si="105"/>
        <v>1885524922.4000001</v>
      </c>
      <c r="F334">
        <f ca="1">SUM($E$2:E334)/SUM($D$2:D334)</f>
        <v>152.34354153009926</v>
      </c>
      <c r="G334">
        <f ca="1">_xlfn.STDEV.P($C$2:C334)</f>
        <v>7.3136138690323804</v>
      </c>
      <c r="H334">
        <f t="shared" ca="1" si="106"/>
        <v>159.65715539913163</v>
      </c>
      <c r="I334">
        <f t="shared" ca="1" si="107"/>
        <v>145.02992766106689</v>
      </c>
      <c r="J334">
        <f t="shared" ca="1" si="95"/>
        <v>140.1825</v>
      </c>
      <c r="K334">
        <f t="shared" ca="1" si="96"/>
        <v>7.9954604719112163</v>
      </c>
      <c r="L334">
        <f t="shared" ca="1" si="97"/>
        <v>156.17342094382244</v>
      </c>
      <c r="M334">
        <f t="shared" ca="1" si="98"/>
        <v>124.19157905617757</v>
      </c>
      <c r="N334">
        <f t="shared" ca="1" si="108"/>
        <v>-3.2400000000000091</v>
      </c>
      <c r="O334">
        <f t="shared" ca="1" si="109"/>
        <v>0</v>
      </c>
      <c r="P334">
        <f t="shared" ca="1" si="110"/>
        <v>3.2400000000000091</v>
      </c>
      <c r="Q334">
        <f t="shared" ca="1" si="93"/>
        <v>0.98914384487688178</v>
      </c>
      <c r="R334">
        <f t="shared" ca="1" si="94"/>
        <v>1.5908833832745215</v>
      </c>
      <c r="S334">
        <f t="shared" ca="1" si="91"/>
        <v>0.6217576066706556</v>
      </c>
      <c r="T334">
        <f t="shared" ca="1" si="92"/>
        <v>38.338504108951057</v>
      </c>
      <c r="U334">
        <f>70</f>
        <v>70</v>
      </c>
      <c r="V334">
        <f>30</f>
        <v>30</v>
      </c>
      <c r="W334">
        <f t="shared" ca="1" si="90"/>
        <v>139.00228813883641</v>
      </c>
      <c r="X334">
        <f t="shared" ca="1" si="100"/>
        <v>143.60660371203696</v>
      </c>
      <c r="Y334">
        <f t="shared" ca="1" si="99"/>
        <v>-4.4820131885401793</v>
      </c>
      <c r="Z334">
        <f t="shared" ca="1" si="101"/>
        <v>-4.9981508382434789</v>
      </c>
      <c r="AA334">
        <f t="shared" ca="1" si="102"/>
        <v>0.51613764970329967</v>
      </c>
      <c r="AB334">
        <f t="shared" ca="1" si="103"/>
        <v>152.04840000000002</v>
      </c>
    </row>
    <row r="335" spans="1:28" x14ac:dyDescent="0.25">
      <c r="A335" s="20">
        <f t="shared" ca="1" si="104"/>
        <v>45775</v>
      </c>
      <c r="B335" vm="976">
        <f ca="1"/>
        <v>45778</v>
      </c>
      <c r="C335" vm="977">
        <f ca="1"/>
        <v>136.26</v>
      </c>
      <c r="D335" vm="978">
        <f ca="1"/>
        <v>10199849</v>
      </c>
      <c r="E335">
        <f t="shared" ca="1" si="105"/>
        <v>1389831424.74</v>
      </c>
      <c r="F335">
        <f ca="1">SUM($E$2:E335)/SUM($D$2:D335)</f>
        <v>152.28282669470701</v>
      </c>
      <c r="G335">
        <f ca="1">_xlfn.STDEV.P($C$2:C335)</f>
        <v>7.3594823903830582</v>
      </c>
      <c r="H335">
        <f t="shared" ca="1" si="106"/>
        <v>159.64230908509006</v>
      </c>
      <c r="I335">
        <f t="shared" ca="1" si="107"/>
        <v>144.92334430432396</v>
      </c>
      <c r="J335">
        <f t="shared" ca="1" si="95"/>
        <v>138.67200000000003</v>
      </c>
      <c r="K335">
        <f t="shared" ca="1" si="96"/>
        <v>5.0956199973992122</v>
      </c>
      <c r="L335">
        <f t="shared" ca="1" si="97"/>
        <v>148.86323999479845</v>
      </c>
      <c r="M335">
        <f t="shared" ca="1" si="98"/>
        <v>128.4807600052016</v>
      </c>
      <c r="N335">
        <f t="shared" ca="1" si="108"/>
        <v>0.19999999999998863</v>
      </c>
      <c r="O335">
        <f t="shared" ca="1" si="109"/>
        <v>0.19999999999998863</v>
      </c>
      <c r="P335">
        <f t="shared" ca="1" si="110"/>
        <v>0</v>
      </c>
      <c r="Q335">
        <f t="shared" ca="1" si="93"/>
        <v>0.93277642738567512</v>
      </c>
      <c r="R335">
        <f t="shared" ca="1" si="94"/>
        <v>1.4772488558977699</v>
      </c>
      <c r="S335">
        <f t="shared" ca="1" si="91"/>
        <v>0.63142809260718502</v>
      </c>
      <c r="T335">
        <f t="shared" ca="1" si="92"/>
        <v>38.70401003075164</v>
      </c>
      <c r="U335">
        <f>70</f>
        <v>70</v>
      </c>
      <c r="V335">
        <f>30</f>
        <v>30</v>
      </c>
      <c r="W335">
        <f t="shared" ref="W335:W398" ca="1" si="111">C335*(2/(12+1)) + W334*(1-(2/(12+1)))</f>
        <v>138.5803976559385</v>
      </c>
      <c r="X335">
        <f t="shared" ca="1" si="100"/>
        <v>143.06241084447868</v>
      </c>
      <c r="Y335">
        <f t="shared" ca="1" si="99"/>
        <v>-4.1564256998342728</v>
      </c>
      <c r="Z335">
        <f t="shared" ca="1" si="101"/>
        <v>-4.8298058105616377</v>
      </c>
      <c r="AA335">
        <f t="shared" ca="1" si="102"/>
        <v>0.67338011072736492</v>
      </c>
      <c r="AB335">
        <f t="shared" ca="1" si="103"/>
        <v>151.8278</v>
      </c>
    </row>
    <row r="336" spans="1:28" x14ac:dyDescent="0.25">
      <c r="A336" s="20">
        <f t="shared" ca="1" si="104"/>
        <v>45775</v>
      </c>
      <c r="B336" vm="979">
        <f ca="1"/>
        <v>45779</v>
      </c>
      <c r="C336" vm="980">
        <f ca="1"/>
        <v>138.5</v>
      </c>
      <c r="D336" vm="981">
        <f ca="1"/>
        <v>12393235</v>
      </c>
      <c r="E336">
        <f t="shared" ca="1" si="105"/>
        <v>1716463047.5</v>
      </c>
      <c r="F336">
        <f ca="1">SUM($E$2:E336)/SUM($D$2:D336)</f>
        <v>152.21989710015481</v>
      </c>
      <c r="G336">
        <f ca="1">_xlfn.STDEV.P($C$2:C336)</f>
        <v>7.3904588068541139</v>
      </c>
      <c r="H336">
        <f t="shared" ca="1" si="106"/>
        <v>159.61035590700894</v>
      </c>
      <c r="I336">
        <f t="shared" ca="1" si="107"/>
        <v>144.82943829330068</v>
      </c>
      <c r="J336">
        <f t="shared" ca="1" si="95"/>
        <v>137.791</v>
      </c>
      <c r="K336">
        <f t="shared" ca="1" si="96"/>
        <v>3.0211115068534151</v>
      </c>
      <c r="L336">
        <f t="shared" ca="1" si="97"/>
        <v>143.83322301370683</v>
      </c>
      <c r="M336">
        <f t="shared" ca="1" si="98"/>
        <v>131.74877698629317</v>
      </c>
      <c r="N336">
        <f t="shared" ca="1" si="108"/>
        <v>2.2400000000000091</v>
      </c>
      <c r="O336">
        <f t="shared" ca="1" si="109"/>
        <v>2.2400000000000091</v>
      </c>
      <c r="P336">
        <f t="shared" ca="1" si="110"/>
        <v>0</v>
      </c>
      <c r="Q336">
        <f t="shared" ca="1" si="93"/>
        <v>1.0261495397152705</v>
      </c>
      <c r="R336">
        <f t="shared" ca="1" si="94"/>
        <v>1.3717310804765006</v>
      </c>
      <c r="S336">
        <f t="shared" ref="S336:S399" ca="1" si="112">IF(R336=0,NA(),Q336/R336)</f>
        <v>0.74806903067240782</v>
      </c>
      <c r="T336">
        <f t="shared" ref="T336:T399" ca="1" si="113">100-(100/(1+S336))</f>
        <v>42.794021148275675</v>
      </c>
      <c r="U336">
        <f>70</f>
        <v>70</v>
      </c>
      <c r="V336">
        <f>30</f>
        <v>30</v>
      </c>
      <c r="W336">
        <f t="shared" ca="1" si="111"/>
        <v>138.56802878579413</v>
      </c>
      <c r="X336">
        <f t="shared" ca="1" si="100"/>
        <v>142.7244544856284</v>
      </c>
      <c r="Y336">
        <f t="shared" ca="1" si="99"/>
        <v>-4.0932853517047647</v>
      </c>
      <c r="Z336">
        <f t="shared" ca="1" si="101"/>
        <v>-4.6825017187902631</v>
      </c>
      <c r="AA336">
        <f t="shared" ca="1" si="102"/>
        <v>0.5892163670854984</v>
      </c>
      <c r="AB336">
        <f t="shared" ca="1" si="103"/>
        <v>151.61949999999999</v>
      </c>
    </row>
    <row r="337" spans="1:28" x14ac:dyDescent="0.25">
      <c r="A337" s="20">
        <f t="shared" ca="1" si="104"/>
        <v>45782</v>
      </c>
      <c r="B337" vm="982">
        <f ca="1"/>
        <v>45782</v>
      </c>
      <c r="C337" vm="983">
        <f ca="1"/>
        <v>135.5</v>
      </c>
      <c r="D337" vm="984">
        <f ca="1"/>
        <v>9664980</v>
      </c>
      <c r="E337">
        <f t="shared" ca="1" si="105"/>
        <v>1309604790</v>
      </c>
      <c r="F337">
        <f ca="1">SUM($E$2:E337)/SUM($D$2:D337)</f>
        <v>152.16057413143767</v>
      </c>
      <c r="G337">
        <f ca="1">_xlfn.STDEV.P($C$2:C337)</f>
        <v>7.4398929689873405</v>
      </c>
      <c r="H337">
        <f t="shared" ca="1" si="106"/>
        <v>159.60046710042502</v>
      </c>
      <c r="I337">
        <f t="shared" ca="1" si="107"/>
        <v>144.72068116245032</v>
      </c>
      <c r="J337">
        <f t="shared" ca="1" si="95"/>
        <v>137.40199999999999</v>
      </c>
      <c r="K337">
        <f t="shared" ca="1" si="96"/>
        <v>2.7673692618765129</v>
      </c>
      <c r="L337">
        <f t="shared" ca="1" si="97"/>
        <v>142.93673852375301</v>
      </c>
      <c r="M337">
        <f t="shared" ca="1" si="98"/>
        <v>131.86726147624697</v>
      </c>
      <c r="N337">
        <f t="shared" ca="1" si="108"/>
        <v>-3</v>
      </c>
      <c r="O337">
        <f t="shared" ca="1" si="109"/>
        <v>0</v>
      </c>
      <c r="P337">
        <f t="shared" ca="1" si="110"/>
        <v>3</v>
      </c>
      <c r="Q337">
        <f t="shared" ref="Q337:Q400" ca="1" si="114">(Q336*13+O337)/14</f>
        <v>0.95285314402132248</v>
      </c>
      <c r="R337">
        <f t="shared" ref="R337:R400" ca="1" si="115">(R336*13+P337)/14</f>
        <v>1.4880360032996076</v>
      </c>
      <c r="S337">
        <f t="shared" ca="1" si="112"/>
        <v>0.64034280212874051</v>
      </c>
      <c r="T337">
        <f t="shared" ca="1" si="113"/>
        <v>39.037133049124932</v>
      </c>
      <c r="U337">
        <f>70</f>
        <v>70</v>
      </c>
      <c r="V337">
        <f>30</f>
        <v>30</v>
      </c>
      <c r="W337">
        <f t="shared" ca="1" si="111"/>
        <v>138.09602435721041</v>
      </c>
      <c r="X337">
        <f t="shared" ca="1" si="100"/>
        <v>142.18930970891518</v>
      </c>
      <c r="Y337">
        <f t="shared" ca="1" si="99"/>
        <v>-3.9891920834927248</v>
      </c>
      <c r="Z337">
        <f t="shared" ca="1" si="101"/>
        <v>-4.5438397917307558</v>
      </c>
      <c r="AA337">
        <f t="shared" ca="1" si="102"/>
        <v>0.554647708238031</v>
      </c>
      <c r="AB337">
        <f t="shared" ca="1" si="103"/>
        <v>151.4221</v>
      </c>
    </row>
    <row r="338" spans="1:28" x14ac:dyDescent="0.25">
      <c r="A338" s="20">
        <f t="shared" ca="1" si="104"/>
        <v>45782</v>
      </c>
      <c r="B338" vm="985">
        <f ca="1"/>
        <v>45783</v>
      </c>
      <c r="C338" vm="986">
        <f ca="1"/>
        <v>135.6</v>
      </c>
      <c r="D338" vm="987">
        <f ca="1"/>
        <v>9916241</v>
      </c>
      <c r="E338">
        <f t="shared" ca="1" si="105"/>
        <v>1344642279.5999999</v>
      </c>
      <c r="F338">
        <f ca="1">SUM($E$2:E338)/SUM($D$2:D338)</f>
        <v>152.10050758072515</v>
      </c>
      <c r="G338">
        <f ca="1">_xlfn.STDEV.P($C$2:C338)</f>
        <v>7.4876740447103609</v>
      </c>
      <c r="H338">
        <f t="shared" ca="1" si="106"/>
        <v>159.58818162543551</v>
      </c>
      <c r="I338">
        <f t="shared" ca="1" si="107"/>
        <v>144.61283353601479</v>
      </c>
      <c r="J338">
        <f t="shared" ca="1" si="95"/>
        <v>137.17450000000002</v>
      </c>
      <c r="K338">
        <f t="shared" ca="1" si="96"/>
        <v>2.716120443418867</v>
      </c>
      <c r="L338">
        <f t="shared" ca="1" si="97"/>
        <v>142.60674088683777</v>
      </c>
      <c r="M338">
        <f t="shared" ca="1" si="98"/>
        <v>131.74225911316228</v>
      </c>
      <c r="N338">
        <f t="shared" ca="1" si="108"/>
        <v>9.9999999999994316E-2</v>
      </c>
      <c r="O338">
        <f t="shared" ca="1" si="109"/>
        <v>9.9999999999994316E-2</v>
      </c>
      <c r="P338">
        <f t="shared" ca="1" si="110"/>
        <v>0</v>
      </c>
      <c r="Q338">
        <f t="shared" ca="1" si="114"/>
        <v>0.89193506230551323</v>
      </c>
      <c r="R338">
        <f t="shared" ca="1" si="115"/>
        <v>1.3817477173496358</v>
      </c>
      <c r="S338">
        <f t="shared" ca="1" si="112"/>
        <v>0.64551223867143837</v>
      </c>
      <c r="T338">
        <f t="shared" ca="1" si="113"/>
        <v>39.228650112782816</v>
      </c>
      <c r="U338">
        <f>70</f>
        <v>70</v>
      </c>
      <c r="V338">
        <f>30</f>
        <v>30</v>
      </c>
      <c r="W338">
        <f t="shared" ca="1" si="111"/>
        <v>137.71202060994727</v>
      </c>
      <c r="X338">
        <f t="shared" ca="1" si="100"/>
        <v>141.70121269344</v>
      </c>
      <c r="Y338">
        <f t="shared" ca="1" si="99"/>
        <v>-3.8470199550246775</v>
      </c>
      <c r="Z338">
        <f t="shared" ca="1" si="101"/>
        <v>-4.4044758243895403</v>
      </c>
      <c r="AA338">
        <f t="shared" ca="1" si="102"/>
        <v>0.5574558693648628</v>
      </c>
      <c r="AB338">
        <f t="shared" ca="1" si="103"/>
        <v>151.2073</v>
      </c>
    </row>
    <row r="339" spans="1:28" x14ac:dyDescent="0.25">
      <c r="A339" s="20">
        <f t="shared" ca="1" si="104"/>
        <v>45782</v>
      </c>
      <c r="B339" vm="988">
        <f ca="1"/>
        <v>45784</v>
      </c>
      <c r="C339" vm="989">
        <f ca="1"/>
        <v>135.79</v>
      </c>
      <c r="D339" vm="990">
        <f ca="1"/>
        <v>8423485</v>
      </c>
      <c r="E339">
        <f t="shared" ca="1" si="105"/>
        <v>1143825028.1499999</v>
      </c>
      <c r="F339">
        <f ca="1">SUM($E$2:E339)/SUM($D$2:D339)</f>
        <v>152.05040807068372</v>
      </c>
      <c r="G339">
        <f ca="1">_xlfn.STDEV.P($C$2:C339)</f>
        <v>7.5332582178943506</v>
      </c>
      <c r="H339">
        <f t="shared" ca="1" si="106"/>
        <v>159.58366628857806</v>
      </c>
      <c r="I339">
        <f t="shared" ca="1" si="107"/>
        <v>144.51714985278937</v>
      </c>
      <c r="J339">
        <f t="shared" ca="1" si="95"/>
        <v>137.11750000000001</v>
      </c>
      <c r="K339">
        <f t="shared" ca="1" si="96"/>
        <v>2.733428298521456</v>
      </c>
      <c r="L339">
        <f t="shared" ca="1" si="97"/>
        <v>142.58435659704293</v>
      </c>
      <c r="M339">
        <f t="shared" ca="1" si="98"/>
        <v>131.65064340295709</v>
      </c>
      <c r="N339">
        <f t="shared" ca="1" si="108"/>
        <v>0.18999999999999773</v>
      </c>
      <c r="O339">
        <f t="shared" ca="1" si="109"/>
        <v>0.18999999999999773</v>
      </c>
      <c r="P339">
        <f t="shared" ca="1" si="110"/>
        <v>0</v>
      </c>
      <c r="Q339">
        <f t="shared" ca="1" si="114"/>
        <v>0.84179684356940498</v>
      </c>
      <c r="R339">
        <f t="shared" ca="1" si="115"/>
        <v>1.2830514518246618</v>
      </c>
      <c r="S339">
        <f t="shared" ca="1" si="112"/>
        <v>0.65608970113572851</v>
      </c>
      <c r="T339">
        <f t="shared" ca="1" si="113"/>
        <v>39.616797368269921</v>
      </c>
      <c r="U339">
        <f>70</f>
        <v>70</v>
      </c>
      <c r="V339">
        <f>30</f>
        <v>30</v>
      </c>
      <c r="W339">
        <f t="shared" ca="1" si="111"/>
        <v>137.41632513149383</v>
      </c>
      <c r="X339">
        <f t="shared" ca="1" si="100"/>
        <v>141.26334508651851</v>
      </c>
      <c r="Y339">
        <f t="shared" ca="1" si="99"/>
        <v>-3.5920757523215059</v>
      </c>
      <c r="Z339">
        <f t="shared" ca="1" si="101"/>
        <v>-4.2419958099759336</v>
      </c>
      <c r="AA339">
        <f t="shared" ca="1" si="102"/>
        <v>0.64992005765442773</v>
      </c>
      <c r="AB339">
        <f t="shared" ca="1" si="103"/>
        <v>150.99519999999998</v>
      </c>
    </row>
    <row r="340" spans="1:28" x14ac:dyDescent="0.25">
      <c r="A340" s="20">
        <f t="shared" ca="1" si="104"/>
        <v>45782</v>
      </c>
      <c r="B340" vm="991">
        <f ca="1"/>
        <v>45785</v>
      </c>
      <c r="C340" vm="992">
        <f ca="1"/>
        <v>137.04</v>
      </c>
      <c r="D340" vm="993">
        <f ca="1"/>
        <v>8669305</v>
      </c>
      <c r="E340">
        <f t="shared" ca="1" si="105"/>
        <v>1188041557.2</v>
      </c>
      <c r="F340">
        <f ca="1">SUM($E$2:E340)/SUM($D$2:D340)</f>
        <v>152.00310599158058</v>
      </c>
      <c r="G340">
        <f ca="1">_xlfn.STDEV.P($C$2:C340)</f>
        <v>7.5700567511387282</v>
      </c>
      <c r="H340">
        <f t="shared" ca="1" si="106"/>
        <v>159.57316274271932</v>
      </c>
      <c r="I340">
        <f t="shared" ca="1" si="107"/>
        <v>144.43304924044185</v>
      </c>
      <c r="J340">
        <f t="shared" ca="1" si="95"/>
        <v>136.66799999999998</v>
      </c>
      <c r="K340">
        <f t="shared" ca="1" si="96"/>
        <v>1.7545927702671325</v>
      </c>
      <c r="L340">
        <f t="shared" ca="1" si="97"/>
        <v>140.17718554053425</v>
      </c>
      <c r="M340">
        <f t="shared" ca="1" si="98"/>
        <v>133.1588144594657</v>
      </c>
      <c r="N340">
        <f t="shared" ca="1" si="108"/>
        <v>1.25</v>
      </c>
      <c r="O340">
        <f t="shared" ca="1" si="109"/>
        <v>1.25</v>
      </c>
      <c r="P340">
        <f t="shared" ca="1" si="110"/>
        <v>0</v>
      </c>
      <c r="Q340">
        <f t="shared" ca="1" si="114"/>
        <v>0.87095421188587607</v>
      </c>
      <c r="R340">
        <f t="shared" ca="1" si="115"/>
        <v>1.1914049195514718</v>
      </c>
      <c r="S340">
        <f t="shared" ca="1" si="112"/>
        <v>0.73103123681389881</v>
      </c>
      <c r="T340">
        <f t="shared" ca="1" si="113"/>
        <v>42.230967371762752</v>
      </c>
      <c r="U340">
        <f>70</f>
        <v>70</v>
      </c>
      <c r="V340">
        <f>30</f>
        <v>30</v>
      </c>
      <c r="W340">
        <f t="shared" ca="1" si="111"/>
        <v>137.35842895741786</v>
      </c>
      <c r="X340">
        <f t="shared" ca="1" si="100"/>
        <v>140.95050470973936</v>
      </c>
      <c r="Y340">
        <f t="shared" ca="1" si="99"/>
        <v>-3.2357282914877317</v>
      </c>
      <c r="Z340">
        <f t="shared" ca="1" si="101"/>
        <v>-4.0407423062782932</v>
      </c>
      <c r="AA340">
        <f t="shared" ca="1" si="102"/>
        <v>0.80501401479056156</v>
      </c>
      <c r="AB340">
        <f t="shared" ca="1" si="103"/>
        <v>150.80350000000001</v>
      </c>
    </row>
    <row r="341" spans="1:28" x14ac:dyDescent="0.25">
      <c r="A341" s="20">
        <f t="shared" ca="1" si="104"/>
        <v>45782</v>
      </c>
      <c r="B341" vm="994">
        <f ca="1"/>
        <v>45786</v>
      </c>
      <c r="C341" vm="995">
        <f ca="1"/>
        <v>138.49</v>
      </c>
      <c r="D341" vm="996">
        <f ca="1"/>
        <v>5965723</v>
      </c>
      <c r="E341">
        <f t="shared" ca="1" si="105"/>
        <v>826192978.2700001</v>
      </c>
      <c r="F341">
        <f ca="1">SUM($E$2:E341)/SUM($D$2:D341)</f>
        <v>151.97386575024157</v>
      </c>
      <c r="G341">
        <f ca="1">_xlfn.STDEV.P($C$2:C341)</f>
        <v>7.5978439968532525</v>
      </c>
      <c r="H341">
        <f t="shared" ca="1" si="106"/>
        <v>159.57170974709481</v>
      </c>
      <c r="I341">
        <f t="shared" ca="1" si="107"/>
        <v>144.37602175338833</v>
      </c>
      <c r="J341">
        <f t="shared" ca="1" si="95"/>
        <v>136.84350000000001</v>
      </c>
      <c r="K341">
        <f t="shared" ca="1" si="96"/>
        <v>1.7524066909614111</v>
      </c>
      <c r="L341">
        <f t="shared" ca="1" si="97"/>
        <v>140.34831338192282</v>
      </c>
      <c r="M341">
        <f t="shared" ca="1" si="98"/>
        <v>133.33868661807719</v>
      </c>
      <c r="N341">
        <f t="shared" ca="1" si="108"/>
        <v>1.4500000000000171</v>
      </c>
      <c r="O341">
        <f t="shared" ca="1" si="109"/>
        <v>1.4500000000000171</v>
      </c>
      <c r="P341">
        <f t="shared" ca="1" si="110"/>
        <v>0</v>
      </c>
      <c r="Q341">
        <f t="shared" ca="1" si="114"/>
        <v>0.91231462532260044</v>
      </c>
      <c r="R341">
        <f t="shared" ca="1" si="115"/>
        <v>1.1063045681549382</v>
      </c>
      <c r="S341">
        <f t="shared" ca="1" si="112"/>
        <v>0.82465050907647575</v>
      </c>
      <c r="T341">
        <f t="shared" ca="1" si="113"/>
        <v>45.194984188718003</v>
      </c>
      <c r="U341">
        <f>70</f>
        <v>70</v>
      </c>
      <c r="V341">
        <f>30</f>
        <v>30</v>
      </c>
      <c r="W341">
        <f t="shared" ca="1" si="111"/>
        <v>137.53251681012279</v>
      </c>
      <c r="X341">
        <f t="shared" ca="1" si="100"/>
        <v>140.76824510161052</v>
      </c>
      <c r="Y341">
        <f t="shared" ca="1" si="99"/>
        <v>-2.6699776792505645</v>
      </c>
      <c r="Z341">
        <f t="shared" ca="1" si="101"/>
        <v>-3.7665893808727473</v>
      </c>
      <c r="AA341">
        <f t="shared" ca="1" si="102"/>
        <v>1.0966117016221828</v>
      </c>
      <c r="AB341">
        <f t="shared" ca="1" si="103"/>
        <v>150.6413</v>
      </c>
    </row>
    <row r="342" spans="1:28" x14ac:dyDescent="0.25">
      <c r="A342" s="20">
        <f t="shared" ca="1" si="104"/>
        <v>45789</v>
      </c>
      <c r="B342" vm="997">
        <f ca="1"/>
        <v>45789</v>
      </c>
      <c r="C342" vm="998">
        <f ca="1"/>
        <v>141.62</v>
      </c>
      <c r="D342" vm="999">
        <f ca="1"/>
        <v>8028200</v>
      </c>
      <c r="E342">
        <f t="shared" ca="1" si="105"/>
        <v>1136953684</v>
      </c>
      <c r="F342">
        <f ca="1">SUM($E$2:E342)/SUM($D$2:D342)</f>
        <v>151.94380356125217</v>
      </c>
      <c r="G342">
        <f ca="1">_xlfn.STDEV.P($C$2:C342)</f>
        <v>7.6100304302684423</v>
      </c>
      <c r="H342">
        <f t="shared" ca="1" si="106"/>
        <v>159.55383399152061</v>
      </c>
      <c r="I342">
        <f t="shared" ca="1" si="107"/>
        <v>144.33377313098373</v>
      </c>
      <c r="J342">
        <f t="shared" ref="J342:J405" ca="1" si="116">AVERAGE(C323:C342)</f>
        <v>137.14299999999997</v>
      </c>
      <c r="K342">
        <f t="shared" ref="K342:K405" ca="1" si="117">_xlfn.STDEV.S(C323:C342)</f>
        <v>2.0247939466315574</v>
      </c>
      <c r="L342">
        <f t="shared" ref="L342:L405" ca="1" si="118">J342 + 2*K342</f>
        <v>141.1925878932631</v>
      </c>
      <c r="M342">
        <f t="shared" ref="M342:M405" ca="1" si="119">J342-2*K342</f>
        <v>133.09341210673685</v>
      </c>
      <c r="N342">
        <f t="shared" ca="1" si="108"/>
        <v>3.1299999999999955</v>
      </c>
      <c r="O342">
        <f t="shared" ca="1" si="109"/>
        <v>3.1299999999999955</v>
      </c>
      <c r="P342">
        <f t="shared" ca="1" si="110"/>
        <v>0</v>
      </c>
      <c r="Q342">
        <f t="shared" ca="1" si="114"/>
        <v>1.070720723513843</v>
      </c>
      <c r="R342">
        <f t="shared" ca="1" si="115"/>
        <v>1.0272828132867284</v>
      </c>
      <c r="S342">
        <f t="shared" ca="1" si="112"/>
        <v>1.0422842762141982</v>
      </c>
      <c r="T342">
        <f t="shared" ca="1" si="113"/>
        <v>51.035220138221426</v>
      </c>
      <c r="U342">
        <f>70</f>
        <v>70</v>
      </c>
      <c r="V342">
        <f>30</f>
        <v>30</v>
      </c>
      <c r="W342">
        <f t="shared" ca="1" si="111"/>
        <v>138.1613603777962</v>
      </c>
      <c r="X342">
        <f t="shared" ca="1" si="100"/>
        <v>140.83133805704676</v>
      </c>
      <c r="Y342">
        <f t="shared" ca="1" si="99"/>
        <v>-2.1380650607827079</v>
      </c>
      <c r="Z342">
        <f t="shared" ca="1" si="101"/>
        <v>-3.4408845168547395</v>
      </c>
      <c r="AA342">
        <f t="shared" ca="1" si="102"/>
        <v>1.3028194560720316</v>
      </c>
      <c r="AB342">
        <f t="shared" ca="1" si="103"/>
        <v>150.51880000000003</v>
      </c>
    </row>
    <row r="343" spans="1:28" x14ac:dyDescent="0.25">
      <c r="A343" s="20">
        <f t="shared" ca="1" si="104"/>
        <v>45789</v>
      </c>
      <c r="B343" vm="1000">
        <f ca="1"/>
        <v>45790</v>
      </c>
      <c r="C343" vm="1001">
        <f ca="1"/>
        <v>142.35</v>
      </c>
      <c r="D343" vm="1002">
        <f ca="1"/>
        <v>8536797</v>
      </c>
      <c r="E343">
        <f t="shared" ca="1" si="105"/>
        <v>1215213052.95</v>
      </c>
      <c r="F343">
        <f ca="1">SUM($E$2:E343)/SUM($D$2:D343)</f>
        <v>151.9142746875103</v>
      </c>
      <c r="G343">
        <f ca="1">_xlfn.STDEV.P($C$2:C343)</f>
        <v>7.6190259552173387</v>
      </c>
      <c r="H343">
        <f t="shared" ca="1" si="106"/>
        <v>159.53330064272762</v>
      </c>
      <c r="I343">
        <f t="shared" ca="1" si="107"/>
        <v>144.29524873229298</v>
      </c>
      <c r="J343">
        <f t="shared" ca="1" si="116"/>
        <v>137.49449999999999</v>
      </c>
      <c r="K343">
        <f t="shared" ca="1" si="117"/>
        <v>2.2851292143587409</v>
      </c>
      <c r="L343">
        <f t="shared" ca="1" si="118"/>
        <v>142.06475842871748</v>
      </c>
      <c r="M343">
        <f t="shared" ca="1" si="119"/>
        <v>132.92424157128249</v>
      </c>
      <c r="N343">
        <f t="shared" ca="1" si="108"/>
        <v>0.72999999999998977</v>
      </c>
      <c r="O343">
        <f t="shared" ca="1" si="109"/>
        <v>0.72999999999998977</v>
      </c>
      <c r="P343">
        <f t="shared" ca="1" si="110"/>
        <v>0</v>
      </c>
      <c r="Q343">
        <f t="shared" ca="1" si="114"/>
        <v>1.0463835289771393</v>
      </c>
      <c r="R343">
        <f t="shared" ca="1" si="115"/>
        <v>0.95390546948053356</v>
      </c>
      <c r="S343">
        <f t="shared" ca="1" si="112"/>
        <v>1.0969467756034215</v>
      </c>
      <c r="T343">
        <f t="shared" ca="1" si="113"/>
        <v>52.311617460474736</v>
      </c>
      <c r="U343">
        <f>70</f>
        <v>70</v>
      </c>
      <c r="V343">
        <f>30</f>
        <v>30</v>
      </c>
      <c r="W343">
        <f t="shared" ca="1" si="111"/>
        <v>138.80576647351987</v>
      </c>
      <c r="X343">
        <f t="shared" ca="1" si="100"/>
        <v>140.94383153430257</v>
      </c>
      <c r="Y343">
        <f t="shared" ca="1" si="99"/>
        <v>-1.7512040057348486</v>
      </c>
      <c r="Z343">
        <f t="shared" ca="1" si="101"/>
        <v>-3.1029484146307613</v>
      </c>
      <c r="AA343">
        <f t="shared" ca="1" si="102"/>
        <v>1.3517444088959127</v>
      </c>
      <c r="AB343">
        <f t="shared" ca="1" si="103"/>
        <v>150.44870000000003</v>
      </c>
    </row>
    <row r="344" spans="1:28" x14ac:dyDescent="0.25">
      <c r="A344" s="20">
        <f t="shared" ca="1" si="104"/>
        <v>45789</v>
      </c>
      <c r="B344" vm="1003">
        <f ca="1"/>
        <v>45791</v>
      </c>
      <c r="C344" vm="1004">
        <f ca="1"/>
        <v>141.66999999999999</v>
      </c>
      <c r="D344" vm="1005">
        <f ca="1"/>
        <v>6453620</v>
      </c>
      <c r="E344">
        <f t="shared" ca="1" si="105"/>
        <v>914284345.39999998</v>
      </c>
      <c r="F344">
        <f ca="1">SUM($E$2:E344)/SUM($D$2:D344)</f>
        <v>151.890493345625</v>
      </c>
      <c r="G344">
        <f ca="1">_xlfn.STDEV.P($C$2:C344)</f>
        <v>7.6305779883448395</v>
      </c>
      <c r="H344">
        <f t="shared" ca="1" si="106"/>
        <v>159.52107133396984</v>
      </c>
      <c r="I344">
        <f t="shared" ca="1" si="107"/>
        <v>144.25991535728016</v>
      </c>
      <c r="J344">
        <f t="shared" ca="1" si="116"/>
        <v>137.851</v>
      </c>
      <c r="K344">
        <f t="shared" ca="1" si="117"/>
        <v>2.3550436357562012</v>
      </c>
      <c r="L344">
        <f t="shared" ca="1" si="118"/>
        <v>142.56108727151241</v>
      </c>
      <c r="M344">
        <f t="shared" ca="1" si="119"/>
        <v>133.14091272848759</v>
      </c>
      <c r="N344">
        <f t="shared" ca="1" si="108"/>
        <v>-0.68000000000000682</v>
      </c>
      <c r="O344">
        <f t="shared" ca="1" si="109"/>
        <v>0</v>
      </c>
      <c r="P344">
        <f t="shared" ca="1" si="110"/>
        <v>0.68000000000000682</v>
      </c>
      <c r="Q344">
        <f t="shared" ca="1" si="114"/>
        <v>0.97164184833591505</v>
      </c>
      <c r="R344">
        <f t="shared" ca="1" si="115"/>
        <v>0.93434079308906737</v>
      </c>
      <c r="S344">
        <f t="shared" ca="1" si="112"/>
        <v>1.0399223233350703</v>
      </c>
      <c r="T344">
        <f t="shared" ca="1" si="113"/>
        <v>50.978525576155306</v>
      </c>
      <c r="U344">
        <f>70</f>
        <v>70</v>
      </c>
      <c r="V344">
        <f>30</f>
        <v>30</v>
      </c>
      <c r="W344">
        <f t="shared" ca="1" si="111"/>
        <v>139.24641778528604</v>
      </c>
      <c r="X344">
        <f t="shared" ca="1" si="100"/>
        <v>140.99762179102089</v>
      </c>
      <c r="Y344">
        <f t="shared" ca="1" si="99"/>
        <v>-1.3810854696633328</v>
      </c>
      <c r="Z344">
        <f t="shared" ca="1" si="101"/>
        <v>-2.7585758256372759</v>
      </c>
      <c r="AA344">
        <f t="shared" ca="1" si="102"/>
        <v>1.3774903559739431</v>
      </c>
      <c r="AB344">
        <f t="shared" ca="1" si="103"/>
        <v>150.38430000000005</v>
      </c>
    </row>
    <row r="345" spans="1:28" x14ac:dyDescent="0.25">
      <c r="A345" s="20">
        <f t="shared" ca="1" si="104"/>
        <v>45789</v>
      </c>
      <c r="B345" vm="1006">
        <f ca="1"/>
        <v>45792</v>
      </c>
      <c r="C345" vm="1007">
        <f ca="1"/>
        <v>142.26</v>
      </c>
      <c r="D345" vm="1008">
        <f ca="1"/>
        <v>7545407</v>
      </c>
      <c r="E345">
        <f t="shared" ca="1" si="105"/>
        <v>1073409599.8199999</v>
      </c>
      <c r="F345">
        <f ca="1">SUM($E$2:E345)/SUM($D$2:D345)</f>
        <v>151.86442545965596</v>
      </c>
      <c r="G345">
        <f ca="1">_xlfn.STDEV.P($C$2:C345)</f>
        <v>7.6395479615100816</v>
      </c>
      <c r="H345">
        <f t="shared" ca="1" si="106"/>
        <v>159.50397342116605</v>
      </c>
      <c r="I345">
        <f t="shared" ca="1" si="107"/>
        <v>144.22487749814587</v>
      </c>
      <c r="J345">
        <f t="shared" ca="1" si="116"/>
        <v>138.196</v>
      </c>
      <c r="K345">
        <f t="shared" ca="1" si="117"/>
        <v>2.4733535725279636</v>
      </c>
      <c r="L345">
        <f t="shared" ca="1" si="118"/>
        <v>143.14270714505594</v>
      </c>
      <c r="M345">
        <f t="shared" ca="1" si="119"/>
        <v>133.24929285494406</v>
      </c>
      <c r="N345">
        <f t="shared" ca="1" si="108"/>
        <v>0.59000000000000341</v>
      </c>
      <c r="O345">
        <f t="shared" ca="1" si="109"/>
        <v>0.59000000000000341</v>
      </c>
      <c r="P345">
        <f t="shared" ca="1" si="110"/>
        <v>0</v>
      </c>
      <c r="Q345">
        <f t="shared" ca="1" si="114"/>
        <v>0.94438171631192136</v>
      </c>
      <c r="R345">
        <f t="shared" ca="1" si="115"/>
        <v>0.86760216501127674</v>
      </c>
      <c r="S345">
        <f t="shared" ca="1" si="112"/>
        <v>1.0884962652204155</v>
      </c>
      <c r="T345">
        <f t="shared" ca="1" si="113"/>
        <v>52.118659886879804</v>
      </c>
      <c r="U345">
        <f>70</f>
        <v>70</v>
      </c>
      <c r="V345">
        <f>30</f>
        <v>30</v>
      </c>
      <c r="W345">
        <f t="shared" ca="1" si="111"/>
        <v>139.71004581831897</v>
      </c>
      <c r="X345">
        <f t="shared" ca="1" si="100"/>
        <v>141.09113128798231</v>
      </c>
      <c r="Y345">
        <f t="shared" ca="1" si="99"/>
        <v>-1.0881312266481586</v>
      </c>
      <c r="Z345">
        <f t="shared" ca="1" si="101"/>
        <v>-2.4244869058394527</v>
      </c>
      <c r="AA345">
        <f t="shared" ca="1" si="102"/>
        <v>1.3363556791912941</v>
      </c>
      <c r="AB345">
        <f t="shared" ca="1" si="103"/>
        <v>150.36610000000005</v>
      </c>
    </row>
    <row r="346" spans="1:28" x14ac:dyDescent="0.25">
      <c r="A346" s="20">
        <f t="shared" ca="1" si="104"/>
        <v>45789</v>
      </c>
      <c r="B346" vm="1009">
        <f ca="1"/>
        <v>45793</v>
      </c>
      <c r="C346" vm="1010">
        <f ca="1"/>
        <v>142.1</v>
      </c>
      <c r="D346" vm="1011">
        <f ca="1"/>
        <v>8200079</v>
      </c>
      <c r="E346">
        <f t="shared" ca="1" si="105"/>
        <v>1165231225.8999999</v>
      </c>
      <c r="F346">
        <f ca="1">SUM($E$2:E346)/SUM($D$2:D346)</f>
        <v>151.83578607612503</v>
      </c>
      <c r="G346">
        <f ca="1">_xlfn.STDEV.P($C$2:C346)</f>
        <v>7.6489642492376948</v>
      </c>
      <c r="H346">
        <f t="shared" ca="1" si="106"/>
        <v>159.48475032536274</v>
      </c>
      <c r="I346">
        <f t="shared" ca="1" si="107"/>
        <v>144.18682182688732</v>
      </c>
      <c r="J346">
        <f t="shared" ca="1" si="116"/>
        <v>138.40749999999997</v>
      </c>
      <c r="K346">
        <f t="shared" ca="1" si="117"/>
        <v>2.62048985979018</v>
      </c>
      <c r="L346">
        <f t="shared" ca="1" si="118"/>
        <v>143.64847971958034</v>
      </c>
      <c r="M346">
        <f t="shared" ca="1" si="119"/>
        <v>133.1665202804196</v>
      </c>
      <c r="N346">
        <f t="shared" ca="1" si="108"/>
        <v>-0.15999999999999659</v>
      </c>
      <c r="O346">
        <f t="shared" ca="1" si="109"/>
        <v>0</v>
      </c>
      <c r="P346">
        <f t="shared" ca="1" si="110"/>
        <v>0.15999999999999659</v>
      </c>
      <c r="Q346">
        <f t="shared" ca="1" si="114"/>
        <v>0.87692587943249845</v>
      </c>
      <c r="R346">
        <f t="shared" ca="1" si="115"/>
        <v>0.81705915322475675</v>
      </c>
      <c r="S346">
        <f t="shared" ca="1" si="112"/>
        <v>1.073270981631453</v>
      </c>
      <c r="T346">
        <f t="shared" ca="1" si="113"/>
        <v>51.767038228012922</v>
      </c>
      <c r="U346">
        <f>70</f>
        <v>70</v>
      </c>
      <c r="V346">
        <f>30</f>
        <v>30</v>
      </c>
      <c r="W346">
        <f t="shared" ca="1" si="111"/>
        <v>140.07773107703915</v>
      </c>
      <c r="X346">
        <f t="shared" ca="1" si="100"/>
        <v>141.16586230368731</v>
      </c>
      <c r="Y346">
        <f t="shared" ca="1" si="99"/>
        <v>-1.1341855236972833</v>
      </c>
      <c r="Z346">
        <f t="shared" ca="1" si="101"/>
        <v>-2.1664266294110188</v>
      </c>
      <c r="AA346">
        <f t="shared" ca="1" si="102"/>
        <v>1.0322411057137355</v>
      </c>
      <c r="AB346">
        <f t="shared" ca="1" si="103"/>
        <v>150.37560000000002</v>
      </c>
    </row>
    <row r="347" spans="1:28" x14ac:dyDescent="0.25">
      <c r="A347" s="20">
        <f t="shared" ca="1" si="104"/>
        <v>45796</v>
      </c>
      <c r="B347" vm="1012">
        <f ca="1"/>
        <v>45796</v>
      </c>
      <c r="C347" vm="995">
        <f ca="1"/>
        <v>138.49</v>
      </c>
      <c r="D347" vm="1013">
        <f ca="1"/>
        <v>7713568</v>
      </c>
      <c r="E347">
        <f t="shared" ca="1" si="105"/>
        <v>1068252032.3200001</v>
      </c>
      <c r="F347">
        <f ca="1">SUM($E$2:E347)/SUM($D$2:D347)</f>
        <v>151.79906614730913</v>
      </c>
      <c r="G347">
        <f ca="1">_xlfn.STDEV.P($C$2:C347)</f>
        <v>7.6747299643741007</v>
      </c>
      <c r="H347">
        <f t="shared" ca="1" si="106"/>
        <v>159.47379611168324</v>
      </c>
      <c r="I347">
        <f t="shared" ca="1" si="107"/>
        <v>144.12433618293502</v>
      </c>
      <c r="J347">
        <f t="shared" ca="1" si="116"/>
        <v>138.6455</v>
      </c>
      <c r="K347">
        <f t="shared" ca="1" si="117"/>
        <v>2.3782710991501004</v>
      </c>
      <c r="L347">
        <f t="shared" ca="1" si="118"/>
        <v>143.40204219830019</v>
      </c>
      <c r="M347">
        <f t="shared" ca="1" si="119"/>
        <v>133.8889578016998</v>
      </c>
      <c r="N347">
        <f t="shared" ca="1" si="108"/>
        <v>-3.6099999999999852</v>
      </c>
      <c r="O347">
        <f t="shared" ca="1" si="109"/>
        <v>0</v>
      </c>
      <c r="P347">
        <f t="shared" ca="1" si="110"/>
        <v>3.6099999999999852</v>
      </c>
      <c r="Q347">
        <f t="shared" ca="1" si="114"/>
        <v>0.81428831661589141</v>
      </c>
      <c r="R347">
        <f t="shared" ca="1" si="115"/>
        <v>1.0165549279944159</v>
      </c>
      <c r="S347">
        <f t="shared" ca="1" si="112"/>
        <v>0.80102736624613013</v>
      </c>
      <c r="T347">
        <f t="shared" ca="1" si="113"/>
        <v>44.476135191421683</v>
      </c>
      <c r="U347">
        <f>70</f>
        <v>70</v>
      </c>
      <c r="V347">
        <f>30</f>
        <v>30</v>
      </c>
      <c r="W347">
        <f t="shared" ca="1" si="111"/>
        <v>139.83346475749465</v>
      </c>
      <c r="X347">
        <f t="shared" ca="1" si="100"/>
        <v>140.96765028119194</v>
      </c>
      <c r="Y347">
        <f t="shared" ca="1" si="99"/>
        <v>-1.2546646963289447</v>
      </c>
      <c r="Z347">
        <f t="shared" ca="1" si="101"/>
        <v>-1.9840742427946041</v>
      </c>
      <c r="AA347">
        <f t="shared" ca="1" si="102"/>
        <v>0.72940954646565936</v>
      </c>
      <c r="AB347">
        <f t="shared" ca="1" si="103"/>
        <v>150.33200000000002</v>
      </c>
    </row>
    <row r="348" spans="1:28" x14ac:dyDescent="0.25">
      <c r="A348" s="20">
        <f t="shared" ca="1" si="104"/>
        <v>45796</v>
      </c>
      <c r="B348" vm="1014">
        <f ca="1"/>
        <v>45797</v>
      </c>
      <c r="C348" vm="1015">
        <f ca="1"/>
        <v>137.27000000000001</v>
      </c>
      <c r="D348" vm="1016">
        <f ca="1"/>
        <v>6503930</v>
      </c>
      <c r="E348">
        <f t="shared" ca="1" si="105"/>
        <v>892794471.10000002</v>
      </c>
      <c r="F348">
        <f ca="1">SUM($E$2:E348)/SUM($D$2:D348)</f>
        <v>151.76543748866408</v>
      </c>
      <c r="G348">
        <f ca="1">_xlfn.STDEV.P($C$2:C348)</f>
        <v>7.7066765445536429</v>
      </c>
      <c r="H348">
        <f t="shared" ca="1" si="106"/>
        <v>159.47211403321771</v>
      </c>
      <c r="I348">
        <f t="shared" ca="1" si="107"/>
        <v>144.05876094411045</v>
      </c>
      <c r="J348">
        <f t="shared" ca="1" si="116"/>
        <v>138.64399999999998</v>
      </c>
      <c r="K348">
        <f t="shared" ca="1" si="117"/>
        <v>2.3791736734465281</v>
      </c>
      <c r="L348">
        <f t="shared" ca="1" si="118"/>
        <v>143.40234734689304</v>
      </c>
      <c r="M348">
        <f t="shared" ca="1" si="119"/>
        <v>133.88565265310692</v>
      </c>
      <c r="N348">
        <f t="shared" ca="1" si="108"/>
        <v>-1.2199999999999989</v>
      </c>
      <c r="O348">
        <f t="shared" ca="1" si="109"/>
        <v>0</v>
      </c>
      <c r="P348">
        <f t="shared" ca="1" si="110"/>
        <v>1.2199999999999989</v>
      </c>
      <c r="Q348">
        <f t="shared" ca="1" si="114"/>
        <v>0.756124865429042</v>
      </c>
      <c r="R348">
        <f t="shared" ca="1" si="115"/>
        <v>1.0310867188519575</v>
      </c>
      <c r="S348">
        <f t="shared" ca="1" si="112"/>
        <v>0.73332810092921563</v>
      </c>
      <c r="T348">
        <f t="shared" ca="1" si="113"/>
        <v>42.307518151704087</v>
      </c>
      <c r="U348">
        <f>70</f>
        <v>70</v>
      </c>
      <c r="V348">
        <f>30</f>
        <v>30</v>
      </c>
      <c r="W348">
        <f t="shared" ca="1" si="111"/>
        <v>139.43908556403395</v>
      </c>
      <c r="X348">
        <f t="shared" ca="1" si="100"/>
        <v>140.69375026036289</v>
      </c>
      <c r="Y348">
        <f t="shared" ref="Y348:Y411" ca="1" si="120">W349-X349</f>
        <v>-1.4711692937317764</v>
      </c>
      <c r="Z348">
        <f t="shared" ca="1" si="101"/>
        <v>-1.8814932529820387</v>
      </c>
      <c r="AA348">
        <f t="shared" ca="1" si="102"/>
        <v>0.41032395925026233</v>
      </c>
      <c r="AB348">
        <f t="shared" ca="1" si="103"/>
        <v>150.27500000000003</v>
      </c>
    </row>
    <row r="349" spans="1:28" x14ac:dyDescent="0.25">
      <c r="A349" s="20">
        <f t="shared" ca="1" si="104"/>
        <v>45796</v>
      </c>
      <c r="B349" vm="1017">
        <f ca="1"/>
        <v>45798</v>
      </c>
      <c r="C349" vm="1018">
        <f ca="1"/>
        <v>135.56</v>
      </c>
      <c r="D349" vm="1019">
        <f ca="1"/>
        <v>9073206</v>
      </c>
      <c r="E349">
        <f t="shared" ca="1" si="105"/>
        <v>1229963805.3600001</v>
      </c>
      <c r="F349">
        <f ca="1">SUM($E$2:E349)/SUM($D$2:D349)</f>
        <v>151.71327990356684</v>
      </c>
      <c r="G349">
        <f ca="1">_xlfn.STDEV.P($C$2:C349)</f>
        <v>7.7481754364901558</v>
      </c>
      <c r="H349">
        <f t="shared" ca="1" si="106"/>
        <v>159.461455340057</v>
      </c>
      <c r="I349">
        <f t="shared" ca="1" si="107"/>
        <v>143.96510446707669</v>
      </c>
      <c r="J349">
        <f t="shared" ca="1" si="116"/>
        <v>138.58800000000002</v>
      </c>
      <c r="K349">
        <f t="shared" ca="1" si="117"/>
        <v>2.4402320855973803</v>
      </c>
      <c r="L349">
        <f t="shared" ca="1" si="118"/>
        <v>143.4684641711948</v>
      </c>
      <c r="M349">
        <f t="shared" ca="1" si="119"/>
        <v>133.70753582880525</v>
      </c>
      <c r="N349">
        <f t="shared" ca="1" si="108"/>
        <v>-1.710000000000008</v>
      </c>
      <c r="O349">
        <f t="shared" ca="1" si="109"/>
        <v>0</v>
      </c>
      <c r="P349">
        <f t="shared" ca="1" si="110"/>
        <v>1.710000000000008</v>
      </c>
      <c r="Q349">
        <f t="shared" ca="1" si="114"/>
        <v>0.70211594646982467</v>
      </c>
      <c r="R349">
        <f t="shared" ca="1" si="115"/>
        <v>1.0795805246482468</v>
      </c>
      <c r="S349">
        <f t="shared" ca="1" si="112"/>
        <v>0.65035995966914173</v>
      </c>
      <c r="T349">
        <f t="shared" ca="1" si="113"/>
        <v>39.407158169271362</v>
      </c>
      <c r="U349">
        <f>70</f>
        <v>70</v>
      </c>
      <c r="V349">
        <f>30</f>
        <v>30</v>
      </c>
      <c r="W349">
        <f t="shared" ca="1" si="111"/>
        <v>138.84230316956717</v>
      </c>
      <c r="X349">
        <f t="shared" ref="X349:X412" ca="1" si="121">C349*(2/(26+1)) + X348*(1-(2/(26+1)))</f>
        <v>140.31347246329895</v>
      </c>
      <c r="Y349">
        <f t="shared" ca="1" si="120"/>
        <v>-1.6455684023097206</v>
      </c>
      <c r="Z349">
        <f t="shared" ca="1" si="101"/>
        <v>-1.8343082828475752</v>
      </c>
      <c r="AA349">
        <f t="shared" ca="1" si="102"/>
        <v>0.18873988053785462</v>
      </c>
      <c r="AB349">
        <f t="shared" ca="1" si="103"/>
        <v>150.19220000000004</v>
      </c>
    </row>
    <row r="350" spans="1:28" x14ac:dyDescent="0.25">
      <c r="A350" s="20">
        <f t="shared" ca="1" si="104"/>
        <v>45796</v>
      </c>
      <c r="B350" vm="1020">
        <f ca="1"/>
        <v>45799</v>
      </c>
      <c r="C350" vm="1021">
        <f ca="1"/>
        <v>135.29</v>
      </c>
      <c r="D350" vm="1022">
        <f ca="1"/>
        <v>8877579</v>
      </c>
      <c r="E350">
        <f t="shared" ca="1" si="105"/>
        <v>1201047662.9099998</v>
      </c>
      <c r="F350">
        <f ca="1">SUM($E$2:E350)/SUM($D$2:D350)</f>
        <v>151.6617232305951</v>
      </c>
      <c r="G350">
        <f ca="1">_xlfn.STDEV.P($C$2:C350)</f>
        <v>7.7905951601478396</v>
      </c>
      <c r="H350">
        <f t="shared" ca="1" si="106"/>
        <v>159.45231839074293</v>
      </c>
      <c r="I350">
        <f t="shared" ca="1" si="107"/>
        <v>143.87112807044727</v>
      </c>
      <c r="J350">
        <f t="shared" ca="1" si="116"/>
        <v>138.39899999999997</v>
      </c>
      <c r="K350">
        <f t="shared" ca="1" si="117"/>
        <v>2.5450672620622519</v>
      </c>
      <c r="L350">
        <f t="shared" ca="1" si="118"/>
        <v>143.48913452412447</v>
      </c>
      <c r="M350">
        <f t="shared" ca="1" si="119"/>
        <v>133.30886547587548</v>
      </c>
      <c r="N350">
        <f t="shared" ca="1" si="108"/>
        <v>-0.27000000000001023</v>
      </c>
      <c r="O350">
        <f t="shared" ca="1" si="109"/>
        <v>0</v>
      </c>
      <c r="P350">
        <f t="shared" ca="1" si="110"/>
        <v>0.27000000000001023</v>
      </c>
      <c r="Q350">
        <f t="shared" ca="1" si="114"/>
        <v>0.65196480743626573</v>
      </c>
      <c r="R350">
        <f t="shared" ca="1" si="115"/>
        <v>1.0217533443162299</v>
      </c>
      <c r="S350">
        <f t="shared" ca="1" si="112"/>
        <v>0.63808433910492235</v>
      </c>
      <c r="T350">
        <f t="shared" ca="1" si="113"/>
        <v>38.95308219927081</v>
      </c>
      <c r="U350">
        <f>70</f>
        <v>70</v>
      </c>
      <c r="V350">
        <f>30</f>
        <v>30</v>
      </c>
      <c r="W350">
        <f t="shared" ca="1" si="111"/>
        <v>138.29579498963375</v>
      </c>
      <c r="X350">
        <f t="shared" ca="1" si="121"/>
        <v>139.94136339194347</v>
      </c>
      <c r="Y350">
        <f t="shared" ca="1" si="120"/>
        <v>-1.6637378645595504</v>
      </c>
      <c r="Z350">
        <f t="shared" ca="1" si="101"/>
        <v>-1.8001941991899704</v>
      </c>
      <c r="AA350">
        <f t="shared" ca="1" si="102"/>
        <v>0.13645633463041995</v>
      </c>
      <c r="AB350">
        <f t="shared" ca="1" si="103"/>
        <v>150.10530000000006</v>
      </c>
    </row>
    <row r="351" spans="1:28" x14ac:dyDescent="0.25">
      <c r="A351" s="20">
        <f t="shared" ca="1" si="104"/>
        <v>45796</v>
      </c>
      <c r="B351" vm="1023">
        <f ca="1"/>
        <v>45800</v>
      </c>
      <c r="C351" vm="1024">
        <f ca="1"/>
        <v>136.54</v>
      </c>
      <c r="D351" vm="1025">
        <f ca="1"/>
        <v>7025946</v>
      </c>
      <c r="E351">
        <f t="shared" ca="1" si="105"/>
        <v>959322666.83999991</v>
      </c>
      <c r="F351">
        <f ca="1">SUM($E$2:E351)/SUM($D$2:D351)</f>
        <v>151.62424674315781</v>
      </c>
      <c r="G351">
        <f ca="1">_xlfn.STDEV.P($C$2:C351)</f>
        <v>7.8247900312704486</v>
      </c>
      <c r="H351">
        <f t="shared" ca="1" si="106"/>
        <v>159.44903677442827</v>
      </c>
      <c r="I351">
        <f t="shared" ca="1" si="107"/>
        <v>143.79945671188736</v>
      </c>
      <c r="J351">
        <f t="shared" ca="1" si="116"/>
        <v>138.2895</v>
      </c>
      <c r="K351">
        <f t="shared" ca="1" si="117"/>
        <v>2.5769881951407414</v>
      </c>
      <c r="L351">
        <f t="shared" ca="1" si="118"/>
        <v>143.44347639028149</v>
      </c>
      <c r="M351">
        <f t="shared" ca="1" si="119"/>
        <v>133.13552360971852</v>
      </c>
      <c r="N351">
        <f t="shared" ca="1" si="108"/>
        <v>1.25</v>
      </c>
      <c r="O351">
        <f t="shared" ca="1" si="109"/>
        <v>1.25</v>
      </c>
      <c r="P351">
        <f t="shared" ca="1" si="110"/>
        <v>0</v>
      </c>
      <c r="Q351">
        <f t="shared" ca="1" si="114"/>
        <v>0.69468160690510394</v>
      </c>
      <c r="R351">
        <f t="shared" ca="1" si="115"/>
        <v>0.94877096257935634</v>
      </c>
      <c r="S351">
        <f t="shared" ca="1" si="112"/>
        <v>0.73219104958326542</v>
      </c>
      <c r="T351">
        <f t="shared" ca="1" si="113"/>
        <v>42.269647436373582</v>
      </c>
      <c r="U351">
        <f>70</f>
        <v>70</v>
      </c>
      <c r="V351">
        <f>30</f>
        <v>30</v>
      </c>
      <c r="W351">
        <f t="shared" ca="1" si="111"/>
        <v>138.02567268353624</v>
      </c>
      <c r="X351">
        <f t="shared" ca="1" si="121"/>
        <v>139.68941054809579</v>
      </c>
      <c r="Y351">
        <f t="shared" ca="1" si="120"/>
        <v>-1.556107239660605</v>
      </c>
      <c r="Z351">
        <f t="shared" ca="1" si="101"/>
        <v>-1.7513768072840974</v>
      </c>
      <c r="AA351">
        <f t="shared" ca="1" si="102"/>
        <v>0.19526956762349235</v>
      </c>
      <c r="AB351">
        <f t="shared" ca="1" si="103"/>
        <v>150.03070000000008</v>
      </c>
    </row>
    <row r="352" spans="1:28" x14ac:dyDescent="0.25">
      <c r="A352" s="20">
        <f t="shared" ca="1" si="104"/>
        <v>45803</v>
      </c>
      <c r="B352" vm="1026">
        <f ca="1"/>
        <v>45804</v>
      </c>
      <c r="C352" vm="1027">
        <f ca="1"/>
        <v>137.83000000000001</v>
      </c>
      <c r="D352" vm="1028">
        <f ca="1"/>
        <v>8348877</v>
      </c>
      <c r="E352">
        <f t="shared" ca="1" si="105"/>
        <v>1150725716.9100001</v>
      </c>
      <c r="F352">
        <f ca="1">SUM($E$2:E352)/SUM($D$2:D352)</f>
        <v>151.58374238684868</v>
      </c>
      <c r="G352">
        <f ca="1">_xlfn.STDEV.P($C$2:C352)</f>
        <v>7.8513571048525712</v>
      </c>
      <c r="H352">
        <f t="shared" ca="1" si="106"/>
        <v>159.43509949170127</v>
      </c>
      <c r="I352">
        <f t="shared" ca="1" si="107"/>
        <v>143.7323852819961</v>
      </c>
      <c r="J352">
        <f t="shared" ca="1" si="116"/>
        <v>138.17599999999999</v>
      </c>
      <c r="K352">
        <f t="shared" ca="1" si="117"/>
        <v>2.5428131955313624</v>
      </c>
      <c r="L352">
        <f t="shared" ca="1" si="118"/>
        <v>143.26162639106272</v>
      </c>
      <c r="M352">
        <f t="shared" ca="1" si="119"/>
        <v>133.09037360893726</v>
      </c>
      <c r="N352">
        <f t="shared" ca="1" si="108"/>
        <v>1.2900000000000205</v>
      </c>
      <c r="O352">
        <f t="shared" ca="1" si="109"/>
        <v>1.2900000000000205</v>
      </c>
      <c r="P352">
        <f t="shared" ca="1" si="110"/>
        <v>0</v>
      </c>
      <c r="Q352">
        <f t="shared" ca="1" si="114"/>
        <v>0.73720434926902656</v>
      </c>
      <c r="R352">
        <f t="shared" ca="1" si="115"/>
        <v>0.88100160810940231</v>
      </c>
      <c r="S352">
        <f t="shared" ca="1" si="112"/>
        <v>0.83677979981335171</v>
      </c>
      <c r="T352">
        <f t="shared" ca="1" si="113"/>
        <v>45.556892551757315</v>
      </c>
      <c r="U352">
        <f>70</f>
        <v>70</v>
      </c>
      <c r="V352">
        <f>30</f>
        <v>30</v>
      </c>
      <c r="W352">
        <f t="shared" ca="1" si="111"/>
        <v>137.99556919376144</v>
      </c>
      <c r="X352">
        <f t="shared" ca="1" si="121"/>
        <v>139.55167643342205</v>
      </c>
      <c r="Y352">
        <f t="shared" ca="1" si="120"/>
        <v>-1.5984353000427802</v>
      </c>
      <c r="Z352">
        <f t="shared" ca="1" si="101"/>
        <v>-1.7207885058358339</v>
      </c>
      <c r="AA352">
        <f t="shared" ca="1" si="102"/>
        <v>0.12235320579305364</v>
      </c>
      <c r="AB352">
        <f t="shared" ca="1" si="103"/>
        <v>149.97830000000008</v>
      </c>
    </row>
    <row r="353" spans="1:28" x14ac:dyDescent="0.25">
      <c r="A353" s="20">
        <f t="shared" ca="1" si="104"/>
        <v>45803</v>
      </c>
      <c r="B353" vm="1029">
        <f ca="1"/>
        <v>45805</v>
      </c>
      <c r="C353" vm="1030">
        <f ca="1"/>
        <v>136.02000000000001</v>
      </c>
      <c r="D353" vm="1031">
        <f ca="1"/>
        <v>6876282</v>
      </c>
      <c r="E353">
        <f t="shared" ca="1" si="105"/>
        <v>935311877.6400001</v>
      </c>
      <c r="F353">
        <f ca="1">SUM($E$2:E353)/SUM($D$2:D353)</f>
        <v>151.5461937338643</v>
      </c>
      <c r="G353">
        <f ca="1">_xlfn.STDEV.P($C$2:C353)</f>
        <v>7.8874153562843601</v>
      </c>
      <c r="H353">
        <f t="shared" ca="1" si="106"/>
        <v>159.43360909014865</v>
      </c>
      <c r="I353">
        <f t="shared" ca="1" si="107"/>
        <v>143.65877837757995</v>
      </c>
      <c r="J353">
        <f t="shared" ca="1" si="116"/>
        <v>138.01199999999997</v>
      </c>
      <c r="K353">
        <f t="shared" ca="1" si="117"/>
        <v>2.5721086986934925</v>
      </c>
      <c r="L353">
        <f t="shared" ca="1" si="118"/>
        <v>143.15621739738697</v>
      </c>
      <c r="M353">
        <f t="shared" ca="1" si="119"/>
        <v>132.86778260261298</v>
      </c>
      <c r="N353">
        <f t="shared" ca="1" si="108"/>
        <v>-1.8100000000000023</v>
      </c>
      <c r="O353">
        <f t="shared" ca="1" si="109"/>
        <v>0</v>
      </c>
      <c r="P353">
        <f t="shared" ca="1" si="110"/>
        <v>1.8100000000000023</v>
      </c>
      <c r="Q353">
        <f t="shared" ca="1" si="114"/>
        <v>0.68454689574981042</v>
      </c>
      <c r="R353">
        <f t="shared" ca="1" si="115"/>
        <v>0.94735863610158799</v>
      </c>
      <c r="S353">
        <f t="shared" ca="1" si="112"/>
        <v>0.72258474210647772</v>
      </c>
      <c r="T353">
        <f t="shared" ca="1" si="113"/>
        <v>41.947703613283991</v>
      </c>
      <c r="U353">
        <f>70</f>
        <v>70</v>
      </c>
      <c r="V353">
        <f>30</f>
        <v>30</v>
      </c>
      <c r="W353">
        <f t="shared" ca="1" si="111"/>
        <v>137.6916354716443</v>
      </c>
      <c r="X353">
        <f t="shared" ca="1" si="121"/>
        <v>139.29007077168708</v>
      </c>
      <c r="Y353">
        <f t="shared" ca="1" si="120"/>
        <v>-1.4626132926494222</v>
      </c>
      <c r="Z353">
        <f t="shared" ca="1" si="101"/>
        <v>-1.6691534631985516</v>
      </c>
      <c r="AA353">
        <f t="shared" ca="1" si="102"/>
        <v>0.20654017054912943</v>
      </c>
      <c r="AB353">
        <f t="shared" ca="1" si="103"/>
        <v>149.89010000000007</v>
      </c>
    </row>
    <row r="354" spans="1:28" x14ac:dyDescent="0.25">
      <c r="A354" s="20">
        <f t="shared" ca="1" si="104"/>
        <v>45803</v>
      </c>
      <c r="B354" vm="1032">
        <f ca="1"/>
        <v>45806</v>
      </c>
      <c r="C354" vm="1033">
        <f ca="1"/>
        <v>137.91</v>
      </c>
      <c r="D354" vm="1034">
        <f ca="1"/>
        <v>7556199</v>
      </c>
      <c r="E354">
        <f t="shared" ca="1" si="105"/>
        <v>1042075404.09</v>
      </c>
      <c r="F354">
        <f ca="1">SUM($E$2:E354)/SUM($D$2:D354)</f>
        <v>151.51013808182773</v>
      </c>
      <c r="G354">
        <f ca="1">_xlfn.STDEV.P($C$2:C354)</f>
        <v>7.9125923244720147</v>
      </c>
      <c r="H354">
        <f t="shared" ca="1" si="106"/>
        <v>159.42273040629973</v>
      </c>
      <c r="I354">
        <f t="shared" ca="1" si="107"/>
        <v>143.59754575735573</v>
      </c>
      <c r="J354">
        <f t="shared" ca="1" si="116"/>
        <v>138.10449999999997</v>
      </c>
      <c r="K354">
        <f t="shared" ca="1" si="117"/>
        <v>2.5311542509505931</v>
      </c>
      <c r="L354">
        <f t="shared" ca="1" si="118"/>
        <v>143.16680850190116</v>
      </c>
      <c r="M354">
        <f t="shared" ca="1" si="119"/>
        <v>133.04219149809879</v>
      </c>
      <c r="N354">
        <f t="shared" ca="1" si="108"/>
        <v>1.8899999999999864</v>
      </c>
      <c r="O354">
        <f t="shared" ca="1" si="109"/>
        <v>1.8899999999999864</v>
      </c>
      <c r="P354">
        <f t="shared" ca="1" si="110"/>
        <v>0</v>
      </c>
      <c r="Q354">
        <f t="shared" ca="1" si="114"/>
        <v>0.77065068891053734</v>
      </c>
      <c r="R354">
        <f t="shared" ca="1" si="115"/>
        <v>0.87969016209433171</v>
      </c>
      <c r="S354">
        <f t="shared" ca="1" si="112"/>
        <v>0.87604786562100745</v>
      </c>
      <c r="T354">
        <f t="shared" ca="1" si="113"/>
        <v>46.696455974006774</v>
      </c>
      <c r="U354">
        <f>70</f>
        <v>70</v>
      </c>
      <c r="V354">
        <f>30</f>
        <v>30</v>
      </c>
      <c r="W354">
        <f t="shared" ca="1" si="111"/>
        <v>137.72523001446825</v>
      </c>
      <c r="X354">
        <f t="shared" ca="1" si="121"/>
        <v>139.18784330711767</v>
      </c>
      <c r="Y354">
        <f t="shared" ca="1" si="120"/>
        <v>-1.4360562977668678</v>
      </c>
      <c r="Z354">
        <f t="shared" ca="1" si="101"/>
        <v>-1.6225340301122149</v>
      </c>
      <c r="AA354">
        <f t="shared" ca="1" si="102"/>
        <v>0.18647773234534704</v>
      </c>
      <c r="AB354">
        <f t="shared" ca="1" si="103"/>
        <v>149.80210000000011</v>
      </c>
    </row>
    <row r="355" spans="1:28" x14ac:dyDescent="0.25">
      <c r="A355" s="20">
        <f t="shared" ca="1" si="104"/>
        <v>45803</v>
      </c>
      <c r="B355" vm="1035">
        <f ca="1"/>
        <v>45807</v>
      </c>
      <c r="C355" vm="1036">
        <f ca="1"/>
        <v>136.69999999999999</v>
      </c>
      <c r="D355" vm="1037">
        <f ca="1"/>
        <v>12858865</v>
      </c>
      <c r="E355">
        <f t="shared" ca="1" si="105"/>
        <v>1757806845.4999998</v>
      </c>
      <c r="F355">
        <f ca="1">SUM($E$2:E355)/SUM($D$2:D355)</f>
        <v>151.44379605193134</v>
      </c>
      <c r="G355">
        <f ca="1">_xlfn.STDEV.P($C$2:C355)</f>
        <v>7.9437054464196457</v>
      </c>
      <c r="H355">
        <f t="shared" ca="1" si="106"/>
        <v>159.38750149835099</v>
      </c>
      <c r="I355">
        <f t="shared" ca="1" si="107"/>
        <v>143.5000906055117</v>
      </c>
      <c r="J355">
        <f t="shared" ca="1" si="116"/>
        <v>138.12649999999996</v>
      </c>
      <c r="K355">
        <f t="shared" ca="1" si="117"/>
        <v>2.516146332871172</v>
      </c>
      <c r="L355">
        <f t="shared" ca="1" si="118"/>
        <v>143.15879266574231</v>
      </c>
      <c r="M355">
        <f t="shared" ca="1" si="119"/>
        <v>133.09420733425762</v>
      </c>
      <c r="N355">
        <f t="shared" ca="1" si="108"/>
        <v>-1.210000000000008</v>
      </c>
      <c r="O355">
        <f t="shared" ca="1" si="109"/>
        <v>0</v>
      </c>
      <c r="P355">
        <f t="shared" ca="1" si="110"/>
        <v>1.210000000000008</v>
      </c>
      <c r="Q355">
        <f t="shared" ca="1" si="114"/>
        <v>0.7156042111312132</v>
      </c>
      <c r="R355">
        <f t="shared" ca="1" si="115"/>
        <v>0.90328372194473716</v>
      </c>
      <c r="S355">
        <f t="shared" ca="1" si="112"/>
        <v>0.7922252928355038</v>
      </c>
      <c r="T355">
        <f t="shared" ca="1" si="113"/>
        <v>44.20344339533974</v>
      </c>
      <c r="U355">
        <f>70</f>
        <v>70</v>
      </c>
      <c r="V355">
        <f>30</f>
        <v>30</v>
      </c>
      <c r="W355">
        <f t="shared" ca="1" si="111"/>
        <v>137.56750231993468</v>
      </c>
      <c r="X355">
        <f t="shared" ca="1" si="121"/>
        <v>139.00355861770154</v>
      </c>
      <c r="Y355">
        <f t="shared" ca="1" si="120"/>
        <v>-1.3079440505196658</v>
      </c>
      <c r="Z355">
        <f t="shared" ca="1" si="101"/>
        <v>-1.5596160341937051</v>
      </c>
      <c r="AA355">
        <f t="shared" ca="1" si="102"/>
        <v>0.25167198367403931</v>
      </c>
      <c r="AB355">
        <f t="shared" ca="1" si="103"/>
        <v>149.69060000000007</v>
      </c>
    </row>
    <row r="356" spans="1:28" x14ac:dyDescent="0.25">
      <c r="A356" s="20">
        <f t="shared" ca="1" si="104"/>
        <v>45810</v>
      </c>
      <c r="B356" vm="1038">
        <f ca="1"/>
        <v>45810</v>
      </c>
      <c r="C356" vm="1039">
        <f ca="1"/>
        <v>137.84</v>
      </c>
      <c r="D356" vm="1040">
        <f ca="1"/>
        <v>9076639</v>
      </c>
      <c r="E356">
        <f t="shared" ca="1" si="105"/>
        <v>1251123919.76</v>
      </c>
      <c r="F356">
        <f ca="1">SUM($E$2:E356)/SUM($D$2:D356)</f>
        <v>151.40091739787206</v>
      </c>
      <c r="G356">
        <f ca="1">_xlfn.STDEV.P($C$2:C356)</f>
        <v>7.9683369168473783</v>
      </c>
      <c r="H356">
        <f t="shared" ca="1" si="106"/>
        <v>159.36925431471946</v>
      </c>
      <c r="I356">
        <f t="shared" ca="1" si="107"/>
        <v>143.43258048102467</v>
      </c>
      <c r="J356">
        <f t="shared" ca="1" si="116"/>
        <v>138.09349999999998</v>
      </c>
      <c r="K356">
        <f t="shared" ca="1" si="117"/>
        <v>2.5153178620938577</v>
      </c>
      <c r="L356">
        <f t="shared" ca="1" si="118"/>
        <v>143.12413572418768</v>
      </c>
      <c r="M356">
        <f t="shared" ca="1" si="119"/>
        <v>133.06286427581227</v>
      </c>
      <c r="N356">
        <f t="shared" ca="1" si="108"/>
        <v>1.1400000000000148</v>
      </c>
      <c r="O356">
        <f t="shared" ca="1" si="109"/>
        <v>1.1400000000000148</v>
      </c>
      <c r="P356">
        <f t="shared" ca="1" si="110"/>
        <v>0</v>
      </c>
      <c r="Q356">
        <f t="shared" ca="1" si="114"/>
        <v>0.74591819605041321</v>
      </c>
      <c r="R356">
        <f t="shared" ca="1" si="115"/>
        <v>0.83876345609154168</v>
      </c>
      <c r="S356">
        <f t="shared" ca="1" si="112"/>
        <v>0.88930697997529895</v>
      </c>
      <c r="T356">
        <f t="shared" ca="1" si="113"/>
        <v>47.070539060143943</v>
      </c>
      <c r="U356">
        <f>70</f>
        <v>70</v>
      </c>
      <c r="V356">
        <f>30</f>
        <v>30</v>
      </c>
      <c r="W356">
        <f t="shared" ca="1" si="111"/>
        <v>137.60942503994471</v>
      </c>
      <c r="X356">
        <f t="shared" ca="1" si="121"/>
        <v>138.91736909046438</v>
      </c>
      <c r="Y356">
        <f t="shared" ca="1" si="120"/>
        <v>-1.0562556055195103</v>
      </c>
      <c r="Z356">
        <f t="shared" ca="1" si="101"/>
        <v>-1.4589439484588662</v>
      </c>
      <c r="AA356">
        <f t="shared" ca="1" si="102"/>
        <v>0.40268834293935596</v>
      </c>
      <c r="AB356">
        <f t="shared" ca="1" si="103"/>
        <v>149.59640000000007</v>
      </c>
    </row>
    <row r="357" spans="1:28" x14ac:dyDescent="0.25">
      <c r="A357" s="20">
        <f t="shared" ca="1" si="104"/>
        <v>45810</v>
      </c>
      <c r="B357" vm="1041">
        <f ca="1"/>
        <v>45811</v>
      </c>
      <c r="C357" vm="1042">
        <f ca="1"/>
        <v>139.55000000000001</v>
      </c>
      <c r="D357" vm="1043">
        <f ca="1"/>
        <v>9001305</v>
      </c>
      <c r="E357">
        <f t="shared" ca="1" si="105"/>
        <v>1256132112.75</v>
      </c>
      <c r="F357">
        <f ca="1">SUM($E$2:E357)/SUM($D$2:D357)</f>
        <v>151.36398920828626</v>
      </c>
      <c r="G357">
        <f ca="1">_xlfn.STDEV.P($C$2:C357)</f>
        <v>7.9845528808807513</v>
      </c>
      <c r="H357">
        <f t="shared" ca="1" si="106"/>
        <v>159.34854208916701</v>
      </c>
      <c r="I357">
        <f t="shared" ca="1" si="107"/>
        <v>143.3794363274055</v>
      </c>
      <c r="J357">
        <f t="shared" ca="1" si="116"/>
        <v>138.29599999999999</v>
      </c>
      <c r="K357">
        <f t="shared" ca="1" si="117"/>
        <v>2.4579053983765151</v>
      </c>
      <c r="L357">
        <f t="shared" ca="1" si="118"/>
        <v>143.21181079675301</v>
      </c>
      <c r="M357">
        <f t="shared" ca="1" si="119"/>
        <v>133.38018920324697</v>
      </c>
      <c r="N357">
        <f t="shared" ca="1" si="108"/>
        <v>1.710000000000008</v>
      </c>
      <c r="O357">
        <f t="shared" ca="1" si="109"/>
        <v>1.710000000000008</v>
      </c>
      <c r="P357">
        <f t="shared" ca="1" si="110"/>
        <v>0</v>
      </c>
      <c r="Q357">
        <f t="shared" ca="1" si="114"/>
        <v>0.81478118204681282</v>
      </c>
      <c r="R357">
        <f t="shared" ca="1" si="115"/>
        <v>0.77885178065643157</v>
      </c>
      <c r="S357">
        <f t="shared" ca="1" si="112"/>
        <v>1.0461312438165054</v>
      </c>
      <c r="T357">
        <f t="shared" ca="1" si="113"/>
        <v>51.127279688336614</v>
      </c>
      <c r="U357">
        <f>70</f>
        <v>70</v>
      </c>
      <c r="V357">
        <f>30</f>
        <v>30</v>
      </c>
      <c r="W357">
        <f t="shared" ca="1" si="111"/>
        <v>137.90797503379937</v>
      </c>
      <c r="X357">
        <f t="shared" ca="1" si="121"/>
        <v>138.96423063931888</v>
      </c>
      <c r="Y357">
        <f t="shared" ca="1" si="120"/>
        <v>-1.0209298368667135</v>
      </c>
      <c r="Z357">
        <f t="shared" ca="1" si="101"/>
        <v>-1.3713411261404356</v>
      </c>
      <c r="AA357">
        <f t="shared" ca="1" si="102"/>
        <v>0.35041128927372212</v>
      </c>
      <c r="AB357">
        <f t="shared" ca="1" si="103"/>
        <v>149.49600000000007</v>
      </c>
    </row>
    <row r="358" spans="1:28" x14ac:dyDescent="0.25">
      <c r="A358" s="20">
        <f t="shared" ca="1" si="104"/>
        <v>45810</v>
      </c>
      <c r="B358" vm="1044">
        <f ca="1"/>
        <v>45812</v>
      </c>
      <c r="C358" vm="1045">
        <f ca="1"/>
        <v>137.37</v>
      </c>
      <c r="D358" vm="1046">
        <f ca="1"/>
        <v>8735619</v>
      </c>
      <c r="E358">
        <f t="shared" ca="1" si="105"/>
        <v>1200011982.03</v>
      </c>
      <c r="F358">
        <f ca="1">SUM($E$2:E358)/SUM($D$2:D358)</f>
        <v>151.32179776085582</v>
      </c>
      <c r="G358">
        <f ca="1">_xlfn.STDEV.P($C$2:C358)</f>
        <v>8.010796308283032</v>
      </c>
      <c r="H358">
        <f t="shared" ca="1" si="106"/>
        <v>159.33259406913885</v>
      </c>
      <c r="I358">
        <f t="shared" ca="1" si="107"/>
        <v>143.31100145257278</v>
      </c>
      <c r="J358">
        <f t="shared" ca="1" si="116"/>
        <v>138.38449999999997</v>
      </c>
      <c r="K358">
        <f t="shared" ca="1" si="117"/>
        <v>2.3865532843302204</v>
      </c>
      <c r="L358">
        <f t="shared" ca="1" si="118"/>
        <v>143.15760656866041</v>
      </c>
      <c r="M358">
        <f t="shared" ca="1" si="119"/>
        <v>133.61139343133954</v>
      </c>
      <c r="N358">
        <f t="shared" ca="1" si="108"/>
        <v>-2.1800000000000068</v>
      </c>
      <c r="O358">
        <f t="shared" ca="1" si="109"/>
        <v>0</v>
      </c>
      <c r="P358">
        <f t="shared" ca="1" si="110"/>
        <v>2.1800000000000068</v>
      </c>
      <c r="Q358">
        <f t="shared" ca="1" si="114"/>
        <v>0.75658252618632627</v>
      </c>
      <c r="R358">
        <f t="shared" ca="1" si="115"/>
        <v>0.87893379632382984</v>
      </c>
      <c r="S358">
        <f t="shared" ca="1" si="112"/>
        <v>0.86079580663612909</v>
      </c>
      <c r="T358">
        <f t="shared" ca="1" si="113"/>
        <v>46.259552153239248</v>
      </c>
      <c r="U358">
        <f>70</f>
        <v>70</v>
      </c>
      <c r="V358">
        <f>30</f>
        <v>30</v>
      </c>
      <c r="W358">
        <f t="shared" ca="1" si="111"/>
        <v>137.8252096439841</v>
      </c>
      <c r="X358">
        <f t="shared" ca="1" si="121"/>
        <v>138.84613948085081</v>
      </c>
      <c r="Y358">
        <f t="shared" ca="1" si="120"/>
        <v>-1.0191113020320017</v>
      </c>
      <c r="Z358">
        <f t="shared" ref="Z358:Z421" ca="1" si="122">Y358*(2/(9+1)) + Z357*(1-(2/(9+1)))</f>
        <v>-1.3008951613187489</v>
      </c>
      <c r="AA358">
        <f t="shared" ref="AA358:AA421" ca="1" si="123">Y358-Z358</f>
        <v>0.28178385928674721</v>
      </c>
      <c r="AB358">
        <f t="shared" ref="AB358:AB421" ca="1" si="124">AVERAGE(C259:C358)</f>
        <v>149.36670000000012</v>
      </c>
    </row>
    <row r="359" spans="1:28" x14ac:dyDescent="0.25">
      <c r="A359" s="20">
        <f t="shared" ca="1" si="104"/>
        <v>45810</v>
      </c>
      <c r="B359" vm="1047">
        <f ca="1"/>
        <v>45813</v>
      </c>
      <c r="C359" vm="1048">
        <f ca="1"/>
        <v>136.9</v>
      </c>
      <c r="D359" vm="1049">
        <f ca="1"/>
        <v>6350526</v>
      </c>
      <c r="E359">
        <f t="shared" ca="1" si="105"/>
        <v>869387009.4000001</v>
      </c>
      <c r="F359">
        <f ca="1">SUM($E$2:E359)/SUM($D$2:D359)</f>
        <v>151.29025734140006</v>
      </c>
      <c r="G359">
        <f ca="1">_xlfn.STDEV.P($C$2:C359)</f>
        <v>8.0390162373020519</v>
      </c>
      <c r="H359">
        <f t="shared" ca="1" si="106"/>
        <v>159.32927357870213</v>
      </c>
      <c r="I359">
        <f t="shared" ca="1" si="107"/>
        <v>143.251241104098</v>
      </c>
      <c r="J359">
        <f t="shared" ca="1" si="116"/>
        <v>138.44</v>
      </c>
      <c r="K359">
        <f t="shared" ca="1" si="117"/>
        <v>2.3354003375956975</v>
      </c>
      <c r="L359">
        <f t="shared" ca="1" si="118"/>
        <v>143.1108006751914</v>
      </c>
      <c r="M359">
        <f t="shared" ca="1" si="119"/>
        <v>133.7691993248086</v>
      </c>
      <c r="N359">
        <f t="shared" ca="1" si="108"/>
        <v>-0.46999999999999886</v>
      </c>
      <c r="O359">
        <f t="shared" ca="1" si="109"/>
        <v>0</v>
      </c>
      <c r="P359">
        <f t="shared" ca="1" si="110"/>
        <v>0.46999999999999886</v>
      </c>
      <c r="Q359">
        <f t="shared" ca="1" si="114"/>
        <v>0.70254091717301725</v>
      </c>
      <c r="R359">
        <f t="shared" ca="1" si="115"/>
        <v>0.84972423944355613</v>
      </c>
      <c r="S359">
        <f t="shared" ca="1" si="112"/>
        <v>0.82678695576941263</v>
      </c>
      <c r="T359">
        <f t="shared" ca="1" si="113"/>
        <v>45.259079235169139</v>
      </c>
      <c r="U359">
        <f>70</f>
        <v>70</v>
      </c>
      <c r="V359">
        <f>30</f>
        <v>30</v>
      </c>
      <c r="W359">
        <f t="shared" ca="1" si="111"/>
        <v>137.68286969875578</v>
      </c>
      <c r="X359">
        <f t="shared" ca="1" si="121"/>
        <v>138.70198100078778</v>
      </c>
      <c r="Y359">
        <f t="shared" ca="1" si="120"/>
        <v>-0.74202713597026104</v>
      </c>
      <c r="Z359">
        <f t="shared" ca="1" si="122"/>
        <v>-1.1891215562490514</v>
      </c>
      <c r="AA359">
        <f t="shared" ca="1" si="123"/>
        <v>0.44709442027879032</v>
      </c>
      <c r="AB359">
        <f t="shared" ca="1" si="124"/>
        <v>149.2043000000001</v>
      </c>
    </row>
    <row r="360" spans="1:28" x14ac:dyDescent="0.25">
      <c r="A360" s="20">
        <f t="shared" ca="1" si="104"/>
        <v>45810</v>
      </c>
      <c r="B360" vm="1050">
        <f ca="1"/>
        <v>45814</v>
      </c>
      <c r="C360" vm="1051">
        <f ca="1"/>
        <v>140.21</v>
      </c>
      <c r="D360" vm="1052">
        <f ca="1"/>
        <v>6563518</v>
      </c>
      <c r="E360">
        <f t="shared" ca="1" si="105"/>
        <v>920270858.78000009</v>
      </c>
      <c r="F360">
        <f ca="1">SUM($E$2:E360)/SUM($D$2:D360)</f>
        <v>151.2652686021932</v>
      </c>
      <c r="G360">
        <f ca="1">_xlfn.STDEV.P($C$2:C360)</f>
        <v>8.0515124225264074</v>
      </c>
      <c r="H360">
        <f t="shared" ca="1" si="106"/>
        <v>159.3167810247196</v>
      </c>
      <c r="I360">
        <f t="shared" ca="1" si="107"/>
        <v>143.2137561796668</v>
      </c>
      <c r="J360">
        <f t="shared" ca="1" si="116"/>
        <v>138.5985</v>
      </c>
      <c r="K360">
        <f t="shared" ca="1" si="117"/>
        <v>2.3429429873783216</v>
      </c>
      <c r="L360">
        <f t="shared" ca="1" si="118"/>
        <v>143.28438597475665</v>
      </c>
      <c r="M360">
        <f t="shared" ca="1" si="119"/>
        <v>133.91261402524336</v>
      </c>
      <c r="N360">
        <f t="shared" ca="1" si="108"/>
        <v>3.3100000000000023</v>
      </c>
      <c r="O360">
        <f t="shared" ca="1" si="109"/>
        <v>3.3100000000000023</v>
      </c>
      <c r="P360">
        <f t="shared" ca="1" si="110"/>
        <v>0</v>
      </c>
      <c r="Q360">
        <f t="shared" ca="1" si="114"/>
        <v>0.88878799451780188</v>
      </c>
      <c r="R360">
        <f t="shared" ca="1" si="115"/>
        <v>0.7890296509118736</v>
      </c>
      <c r="S360">
        <f t="shared" ca="1" si="112"/>
        <v>1.1264316790764943</v>
      </c>
      <c r="T360">
        <f t="shared" ca="1" si="113"/>
        <v>52.972860128085642</v>
      </c>
      <c r="U360">
        <f>70</f>
        <v>70</v>
      </c>
      <c r="V360">
        <f>30</f>
        <v>30</v>
      </c>
      <c r="W360">
        <f t="shared" ca="1" si="111"/>
        <v>138.07165897587029</v>
      </c>
      <c r="X360">
        <f t="shared" ca="1" si="121"/>
        <v>138.81368611184055</v>
      </c>
      <c r="Y360">
        <f t="shared" ca="1" si="120"/>
        <v>-0.47260760830403115</v>
      </c>
      <c r="Z360">
        <f t="shared" ca="1" si="122"/>
        <v>-1.0458187666600474</v>
      </c>
      <c r="AA360">
        <f t="shared" ca="1" si="123"/>
        <v>0.57321115835601621</v>
      </c>
      <c r="AB360">
        <f t="shared" ca="1" si="124"/>
        <v>149.05290000000008</v>
      </c>
    </row>
    <row r="361" spans="1:28" x14ac:dyDescent="0.25">
      <c r="A361" s="20">
        <f t="shared" ca="1" si="104"/>
        <v>45817</v>
      </c>
      <c r="B361" vm="1053">
        <f ca="1"/>
        <v>45817</v>
      </c>
      <c r="C361" vm="1054">
        <f ca="1"/>
        <v>140.76</v>
      </c>
      <c r="D361" vm="1055">
        <f ca="1"/>
        <v>7159471</v>
      </c>
      <c r="E361">
        <f t="shared" ca="1" si="105"/>
        <v>1007767137.9599999</v>
      </c>
      <c r="F361">
        <f ca="1">SUM($E$2:E361)/SUM($D$2:D361)</f>
        <v>151.23948884332722</v>
      </c>
      <c r="G361">
        <f ca="1">_xlfn.STDEV.P($C$2:C361)</f>
        <v>8.0616339247242834</v>
      </c>
      <c r="H361">
        <f t="shared" ca="1" si="106"/>
        <v>159.3011227680515</v>
      </c>
      <c r="I361">
        <f t="shared" ca="1" si="107"/>
        <v>143.17785491860295</v>
      </c>
      <c r="J361">
        <f t="shared" ca="1" si="116"/>
        <v>138.71199999999999</v>
      </c>
      <c r="K361">
        <f t="shared" ca="1" si="117"/>
        <v>2.391882324160528</v>
      </c>
      <c r="L361">
        <f t="shared" ca="1" si="118"/>
        <v>143.49576464832106</v>
      </c>
      <c r="M361">
        <f t="shared" ca="1" si="119"/>
        <v>133.92823535167892</v>
      </c>
      <c r="N361">
        <f t="shared" ca="1" si="108"/>
        <v>0.54999999999998295</v>
      </c>
      <c r="O361">
        <f t="shared" ca="1" si="109"/>
        <v>0.54999999999998295</v>
      </c>
      <c r="P361">
        <f t="shared" ca="1" si="110"/>
        <v>0</v>
      </c>
      <c r="Q361">
        <f t="shared" ca="1" si="114"/>
        <v>0.86458885205224334</v>
      </c>
      <c r="R361">
        <f t="shared" ca="1" si="115"/>
        <v>0.73267039013245405</v>
      </c>
      <c r="S361">
        <f t="shared" ca="1" si="112"/>
        <v>1.1800515807605392</v>
      </c>
      <c r="T361">
        <f t="shared" ca="1" si="113"/>
        <v>54.129525703647012</v>
      </c>
      <c r="U361">
        <f>70</f>
        <v>70</v>
      </c>
      <c r="V361">
        <f>30</f>
        <v>30</v>
      </c>
      <c r="W361">
        <f t="shared" ca="1" si="111"/>
        <v>138.48524990265946</v>
      </c>
      <c r="X361">
        <f t="shared" ca="1" si="121"/>
        <v>138.95785751096349</v>
      </c>
      <c r="Y361">
        <f t="shared" ca="1" si="120"/>
        <v>-4.9528404482259702E-2</v>
      </c>
      <c r="Z361">
        <f t="shared" ca="1" si="122"/>
        <v>-0.84656069422448987</v>
      </c>
      <c r="AA361">
        <f t="shared" ca="1" si="123"/>
        <v>0.79703228974223017</v>
      </c>
      <c r="AB361">
        <f t="shared" ca="1" si="124"/>
        <v>148.89150000000006</v>
      </c>
    </row>
    <row r="362" spans="1:28" x14ac:dyDescent="0.25">
      <c r="A362" s="20">
        <f t="shared" ca="1" si="104"/>
        <v>45817</v>
      </c>
      <c r="B362" vm="1056">
        <f ca="1"/>
        <v>45818</v>
      </c>
      <c r="C362" vm="1057">
        <f ca="1"/>
        <v>143.35</v>
      </c>
      <c r="D362" vm="1058">
        <f ca="1"/>
        <v>9841523</v>
      </c>
      <c r="E362">
        <f t="shared" ca="1" si="105"/>
        <v>1410782322.05</v>
      </c>
      <c r="F362">
        <f ca="1">SUM($E$2:E362)/SUM($D$2:D362)</f>
        <v>151.21296482008387</v>
      </c>
      <c r="G362">
        <f ca="1">_xlfn.STDEV.P($C$2:C362)</f>
        <v>8.0628740502465046</v>
      </c>
      <c r="H362">
        <f t="shared" ca="1" si="106"/>
        <v>159.27583887033038</v>
      </c>
      <c r="I362">
        <f t="shared" ca="1" si="107"/>
        <v>143.15009076983736</v>
      </c>
      <c r="J362">
        <f t="shared" ca="1" si="116"/>
        <v>138.79849999999999</v>
      </c>
      <c r="K362">
        <f t="shared" ca="1" si="117"/>
        <v>2.529883032453224</v>
      </c>
      <c r="L362">
        <f t="shared" ca="1" si="118"/>
        <v>143.85826606490645</v>
      </c>
      <c r="M362">
        <f t="shared" ca="1" si="119"/>
        <v>133.73873393509353</v>
      </c>
      <c r="N362">
        <f t="shared" ca="1" si="108"/>
        <v>2.5900000000000034</v>
      </c>
      <c r="O362">
        <f t="shared" ca="1" si="109"/>
        <v>2.5900000000000034</v>
      </c>
      <c r="P362">
        <f t="shared" ca="1" si="110"/>
        <v>0</v>
      </c>
      <c r="Q362">
        <f t="shared" ca="1" si="114"/>
        <v>0.98783250547708334</v>
      </c>
      <c r="R362">
        <f t="shared" ca="1" si="115"/>
        <v>0.68033679083727883</v>
      </c>
      <c r="S362">
        <f t="shared" ca="1" si="112"/>
        <v>1.4519757255246697</v>
      </c>
      <c r="T362">
        <f t="shared" ca="1" si="113"/>
        <v>59.21656199161508</v>
      </c>
      <c r="U362">
        <f>70</f>
        <v>70</v>
      </c>
      <c r="V362">
        <f>30</f>
        <v>30</v>
      </c>
      <c r="W362">
        <f t="shared" ca="1" si="111"/>
        <v>139.23367299455802</v>
      </c>
      <c r="X362">
        <f t="shared" ca="1" si="121"/>
        <v>139.28320139904028</v>
      </c>
      <c r="Y362">
        <f t="shared" ca="1" si="120"/>
        <v>0.39658240654026145</v>
      </c>
      <c r="Z362">
        <f t="shared" ca="1" si="122"/>
        <v>-0.5979320740715397</v>
      </c>
      <c r="AA362">
        <f t="shared" ca="1" si="123"/>
        <v>0.99451448061180114</v>
      </c>
      <c r="AB362">
        <f t="shared" ca="1" si="124"/>
        <v>148.74170000000007</v>
      </c>
    </row>
    <row r="363" spans="1:28" x14ac:dyDescent="0.25">
      <c r="A363" s="20">
        <f t="shared" ca="1" si="104"/>
        <v>45817</v>
      </c>
      <c r="B363" vm="1059">
        <f ca="1"/>
        <v>45819</v>
      </c>
      <c r="C363" vm="1060">
        <f ca="1"/>
        <v>144.78</v>
      </c>
      <c r="D363" vm="1061">
        <f ca="1"/>
        <v>9256663</v>
      </c>
      <c r="E363">
        <f t="shared" ca="1" si="105"/>
        <v>1340179669.1400001</v>
      </c>
      <c r="F363">
        <f ca="1">SUM($E$2:E363)/SUM($D$2:D363)</f>
        <v>151.19268693241818</v>
      </c>
      <c r="G363">
        <f ca="1">_xlfn.STDEV.P($C$2:C363)</f>
        <v>8.0602418015802755</v>
      </c>
      <c r="H363">
        <f t="shared" ca="1" si="106"/>
        <v>159.25292873399846</v>
      </c>
      <c r="I363">
        <f t="shared" ca="1" si="107"/>
        <v>143.13244513083791</v>
      </c>
      <c r="J363">
        <f t="shared" ca="1" si="116"/>
        <v>138.91999999999999</v>
      </c>
      <c r="K363">
        <f t="shared" ca="1" si="117"/>
        <v>2.7575332225893847</v>
      </c>
      <c r="L363">
        <f t="shared" ca="1" si="118"/>
        <v>144.43506644517876</v>
      </c>
      <c r="M363">
        <f t="shared" ca="1" si="119"/>
        <v>133.40493355482121</v>
      </c>
      <c r="N363">
        <f t="shared" ca="1" si="108"/>
        <v>1.4300000000000068</v>
      </c>
      <c r="O363">
        <f t="shared" ca="1" si="109"/>
        <v>1.4300000000000068</v>
      </c>
      <c r="P363">
        <f t="shared" ca="1" si="110"/>
        <v>0</v>
      </c>
      <c r="Q363">
        <f t="shared" ca="1" si="114"/>
        <v>1.0194158979430064</v>
      </c>
      <c r="R363">
        <f t="shared" ca="1" si="115"/>
        <v>0.63174130577747323</v>
      </c>
      <c r="S363">
        <f t="shared" ca="1" si="112"/>
        <v>1.6136603521411801</v>
      </c>
      <c r="T363">
        <f t="shared" ca="1" si="113"/>
        <v>61.739481597875816</v>
      </c>
      <c r="U363">
        <f>70</f>
        <v>70</v>
      </c>
      <c r="V363">
        <f>30</f>
        <v>30</v>
      </c>
      <c r="W363">
        <f t="shared" ca="1" si="111"/>
        <v>140.08695407231832</v>
      </c>
      <c r="X363">
        <f t="shared" ca="1" si="121"/>
        <v>139.69037166577806</v>
      </c>
      <c r="Y363">
        <f t="shared" ca="1" si="120"/>
        <v>0.75673666125547356</v>
      </c>
      <c r="Z363">
        <f t="shared" ca="1" si="122"/>
        <v>-0.32699832700613707</v>
      </c>
      <c r="AA363">
        <f t="shared" ca="1" si="123"/>
        <v>1.0837349882616105</v>
      </c>
      <c r="AB363">
        <f t="shared" ca="1" si="124"/>
        <v>148.59570000000008</v>
      </c>
    </row>
    <row r="364" spans="1:28" x14ac:dyDescent="0.25">
      <c r="A364" s="20">
        <f t="shared" ca="1" si="104"/>
        <v>45817</v>
      </c>
      <c r="B364" vm="1062">
        <f ca="1"/>
        <v>45820</v>
      </c>
      <c r="C364" vm="1063">
        <f ca="1"/>
        <v>144.97</v>
      </c>
      <c r="D364" vm="1064">
        <f ca="1"/>
        <v>6999389</v>
      </c>
      <c r="E364">
        <f t="shared" ca="1" si="105"/>
        <v>1014701423.33</v>
      </c>
      <c r="F364">
        <f ca="1">SUM($E$2:E364)/SUM($D$2:D364)</f>
        <v>151.17789035564388</v>
      </c>
      <c r="G364">
        <f ca="1">_xlfn.STDEV.P($C$2:C364)</f>
        <v>8.0571267697205897</v>
      </c>
      <c r="H364">
        <f t="shared" ca="1" si="106"/>
        <v>159.23501712536446</v>
      </c>
      <c r="I364">
        <f t="shared" ca="1" si="107"/>
        <v>143.1207635859233</v>
      </c>
      <c r="J364">
        <f t="shared" ca="1" si="116"/>
        <v>139.08500000000001</v>
      </c>
      <c r="K364">
        <f t="shared" ca="1" si="117"/>
        <v>3.0172425543165962</v>
      </c>
      <c r="L364">
        <f t="shared" ca="1" si="118"/>
        <v>145.1194851086332</v>
      </c>
      <c r="M364">
        <f t="shared" ca="1" si="119"/>
        <v>133.05051489136682</v>
      </c>
      <c r="N364">
        <f t="shared" ca="1" si="108"/>
        <v>0.18999999999999773</v>
      </c>
      <c r="O364">
        <f t="shared" ca="1" si="109"/>
        <v>0.18999999999999773</v>
      </c>
      <c r="P364">
        <f t="shared" ca="1" si="110"/>
        <v>0</v>
      </c>
      <c r="Q364">
        <f t="shared" ca="1" si="114"/>
        <v>0.9601719052327915</v>
      </c>
      <c r="R364">
        <f t="shared" ca="1" si="115"/>
        <v>0.58661692679336797</v>
      </c>
      <c r="S364">
        <f t="shared" ca="1" si="112"/>
        <v>1.6367954305058876</v>
      </c>
      <c r="T364">
        <f t="shared" ca="1" si="113"/>
        <v>62.075176995883105</v>
      </c>
      <c r="U364">
        <f>70</f>
        <v>70</v>
      </c>
      <c r="V364">
        <f>30</f>
        <v>30</v>
      </c>
      <c r="W364">
        <f t="shared" ca="1" si="111"/>
        <v>140.83819190734627</v>
      </c>
      <c r="X364">
        <f t="shared" ca="1" si="121"/>
        <v>140.0814552460908</v>
      </c>
      <c r="Y364">
        <f t="shared" ca="1" si="120"/>
        <v>1.1052707735109379</v>
      </c>
      <c r="Z364">
        <f t="shared" ca="1" si="122"/>
        <v>-4.0544506902722099E-2</v>
      </c>
      <c r="AA364">
        <f t="shared" ca="1" si="123"/>
        <v>1.1458152804136601</v>
      </c>
      <c r="AB364">
        <f t="shared" ca="1" si="124"/>
        <v>148.43070000000006</v>
      </c>
    </row>
    <row r="365" spans="1:28" x14ac:dyDescent="0.25">
      <c r="A365" s="20">
        <f t="shared" ca="1" si="104"/>
        <v>45817</v>
      </c>
      <c r="B365" vm="1065">
        <f ca="1"/>
        <v>45821</v>
      </c>
      <c r="C365" vm="1066">
        <f ca="1"/>
        <v>145.91</v>
      </c>
      <c r="D365" vm="1067">
        <f ca="1"/>
        <v>14148022</v>
      </c>
      <c r="E365">
        <f t="shared" ca="1" si="105"/>
        <v>2064337890.02</v>
      </c>
      <c r="F365">
        <f ca="1">SUM($E$2:E365)/SUM($D$2:D365)</f>
        <v>151.15269194000587</v>
      </c>
      <c r="G365">
        <f ca="1">_xlfn.STDEV.P($C$2:C365)</f>
        <v>8.0519507599297508</v>
      </c>
      <c r="H365">
        <f t="shared" ca="1" si="106"/>
        <v>159.20464269993562</v>
      </c>
      <c r="I365">
        <f t="shared" ca="1" si="107"/>
        <v>143.10074118007611</v>
      </c>
      <c r="J365">
        <f t="shared" ca="1" si="116"/>
        <v>139.26749999999998</v>
      </c>
      <c r="K365">
        <f t="shared" ca="1" si="117"/>
        <v>3.3150785892089449</v>
      </c>
      <c r="L365">
        <f t="shared" ca="1" si="118"/>
        <v>145.89765717841789</v>
      </c>
      <c r="M365">
        <f t="shared" ca="1" si="119"/>
        <v>132.63734282158208</v>
      </c>
      <c r="N365">
        <f t="shared" ca="1" si="108"/>
        <v>0.93999999999999773</v>
      </c>
      <c r="O365">
        <f t="shared" ca="1" si="109"/>
        <v>0.93999999999999773</v>
      </c>
      <c r="P365">
        <f t="shared" ca="1" si="110"/>
        <v>0</v>
      </c>
      <c r="Q365">
        <f t="shared" ca="1" si="114"/>
        <v>0.95873105485902055</v>
      </c>
      <c r="R365">
        <f t="shared" ca="1" si="115"/>
        <v>0.5447157177366988</v>
      </c>
      <c r="S365">
        <f t="shared" ca="1" si="112"/>
        <v>1.7600576294044921</v>
      </c>
      <c r="T365">
        <f t="shared" ca="1" si="113"/>
        <v>63.768872455907406</v>
      </c>
      <c r="U365">
        <f>70</f>
        <v>70</v>
      </c>
      <c r="V365">
        <f>30</f>
        <v>30</v>
      </c>
      <c r="W365">
        <f t="shared" ca="1" si="111"/>
        <v>141.61847007544685</v>
      </c>
      <c r="X365">
        <f t="shared" ca="1" si="121"/>
        <v>140.51319930193591</v>
      </c>
      <c r="Y365">
        <f t="shared" ca="1" si="120"/>
        <v>1.3753157814203689</v>
      </c>
      <c r="Z365">
        <f t="shared" ca="1" si="122"/>
        <v>0.24262755076189613</v>
      </c>
      <c r="AA365">
        <f t="shared" ca="1" si="123"/>
        <v>1.1326882306584727</v>
      </c>
      <c r="AB365">
        <f t="shared" ca="1" si="124"/>
        <v>148.30740000000006</v>
      </c>
    </row>
    <row r="366" spans="1:28" x14ac:dyDescent="0.25">
      <c r="A366" s="20">
        <f t="shared" ca="1" si="104"/>
        <v>45824</v>
      </c>
      <c r="B366" vm="1068">
        <f ca="1"/>
        <v>45824</v>
      </c>
      <c r="C366" vm="932">
        <f ca="1"/>
        <v>146.03</v>
      </c>
      <c r="D366" vm="1069">
        <f ca="1"/>
        <v>10105077</v>
      </c>
      <c r="E366">
        <f t="shared" ca="1" si="105"/>
        <v>1475644394.3099999</v>
      </c>
      <c r="F366">
        <f ca="1">SUM($E$2:E366)/SUM($D$2:D366)</f>
        <v>151.13524989455738</v>
      </c>
      <c r="G366">
        <f ca="1">_xlfn.STDEV.P($C$2:C366)</f>
        <v>8.0465307816360294</v>
      </c>
      <c r="H366">
        <f t="shared" ca="1" si="106"/>
        <v>159.1817806761934</v>
      </c>
      <c r="I366">
        <f t="shared" ca="1" si="107"/>
        <v>143.08871911292135</v>
      </c>
      <c r="J366">
        <f t="shared" ca="1" si="116"/>
        <v>139.464</v>
      </c>
      <c r="K366">
        <f t="shared" ca="1" si="117"/>
        <v>3.5963525381902368</v>
      </c>
      <c r="L366">
        <f t="shared" ca="1" si="118"/>
        <v>146.65670507638046</v>
      </c>
      <c r="M366">
        <f t="shared" ca="1" si="119"/>
        <v>132.27129492361954</v>
      </c>
      <c r="N366">
        <f t="shared" ca="1" si="108"/>
        <v>0.12000000000000455</v>
      </c>
      <c r="O366">
        <f t="shared" ca="1" si="109"/>
        <v>0.12000000000000455</v>
      </c>
      <c r="P366">
        <f t="shared" ca="1" si="110"/>
        <v>0</v>
      </c>
      <c r="Q366">
        <f t="shared" ca="1" si="114"/>
        <v>0.89882169379766219</v>
      </c>
      <c r="R366">
        <f t="shared" ca="1" si="115"/>
        <v>0.50580745218407741</v>
      </c>
      <c r="S366">
        <f t="shared" ca="1" si="112"/>
        <v>1.7770036600223043</v>
      </c>
      <c r="T366">
        <f t="shared" ca="1" si="113"/>
        <v>63.989964637210157</v>
      </c>
      <c r="U366">
        <f>70</f>
        <v>70</v>
      </c>
      <c r="V366">
        <f>30</f>
        <v>30</v>
      </c>
      <c r="W366">
        <f t="shared" ca="1" si="111"/>
        <v>142.29716698691658</v>
      </c>
      <c r="X366">
        <f t="shared" ca="1" si="121"/>
        <v>140.92185120549621</v>
      </c>
      <c r="Y366">
        <f t="shared" ca="1" si="120"/>
        <v>1.7961736562050135</v>
      </c>
      <c r="Z366">
        <f t="shared" ca="1" si="122"/>
        <v>0.55333677185051955</v>
      </c>
      <c r="AA366">
        <f t="shared" ca="1" si="123"/>
        <v>1.2428368843544939</v>
      </c>
      <c r="AB366">
        <f t="shared" ca="1" si="124"/>
        <v>148.20360000000005</v>
      </c>
    </row>
    <row r="367" spans="1:28" x14ac:dyDescent="0.25">
      <c r="A367" s="20">
        <f t="shared" ca="1" si="104"/>
        <v>45824</v>
      </c>
      <c r="B367" vm="1070">
        <f ca="1"/>
        <v>45825</v>
      </c>
      <c r="C367" vm="1071">
        <f ca="1"/>
        <v>148.85</v>
      </c>
      <c r="D367" vm="1072">
        <f ca="1"/>
        <v>11330273</v>
      </c>
      <c r="E367">
        <f t="shared" ca="1" si="105"/>
        <v>1686511136.05</v>
      </c>
      <c r="F367">
        <f ca="1">SUM($E$2:E367)/SUM($D$2:D367)</f>
        <v>151.1265587139161</v>
      </c>
      <c r="G367">
        <f ca="1">_xlfn.STDEV.P($C$2:C367)</f>
        <v>8.0369717720490854</v>
      </c>
      <c r="H367">
        <f t="shared" ca="1" si="106"/>
        <v>159.16353048596517</v>
      </c>
      <c r="I367">
        <f t="shared" ca="1" si="107"/>
        <v>143.08958694186703</v>
      </c>
      <c r="J367">
        <f t="shared" ca="1" si="116"/>
        <v>139.982</v>
      </c>
      <c r="K367">
        <f t="shared" ca="1" si="117"/>
        <v>4.1518741487873179</v>
      </c>
      <c r="L367">
        <f t="shared" ca="1" si="118"/>
        <v>148.28574829757463</v>
      </c>
      <c r="M367">
        <f t="shared" ca="1" si="119"/>
        <v>131.67825170242537</v>
      </c>
      <c r="N367">
        <f t="shared" ca="1" si="108"/>
        <v>2.8199999999999932</v>
      </c>
      <c r="O367">
        <f t="shared" ca="1" si="109"/>
        <v>2.8199999999999932</v>
      </c>
      <c r="P367">
        <f t="shared" ca="1" si="110"/>
        <v>0</v>
      </c>
      <c r="Q367">
        <f t="shared" ca="1" si="114"/>
        <v>1.0360487156692573</v>
      </c>
      <c r="R367">
        <f t="shared" ca="1" si="115"/>
        <v>0.4696783484566433</v>
      </c>
      <c r="S367">
        <f t="shared" ca="1" si="112"/>
        <v>2.2058685887346083</v>
      </c>
      <c r="T367">
        <f t="shared" ca="1" si="113"/>
        <v>68.807205525704006</v>
      </c>
      <c r="U367">
        <f>70</f>
        <v>70</v>
      </c>
      <c r="V367">
        <f>30</f>
        <v>30</v>
      </c>
      <c r="W367">
        <f t="shared" ca="1" si="111"/>
        <v>143.30529514277558</v>
      </c>
      <c r="X367">
        <f t="shared" ca="1" si="121"/>
        <v>141.50912148657056</v>
      </c>
      <c r="Y367">
        <f t="shared" ca="1" si="120"/>
        <v>2.0527868212789429</v>
      </c>
      <c r="Z367">
        <f t="shared" ca="1" si="122"/>
        <v>0.85322678173620425</v>
      </c>
      <c r="AA367">
        <f t="shared" ca="1" si="123"/>
        <v>1.1995600395427386</v>
      </c>
      <c r="AB367">
        <f t="shared" ca="1" si="124"/>
        <v>148.13200000000009</v>
      </c>
    </row>
    <row r="368" spans="1:28" x14ac:dyDescent="0.25">
      <c r="A368" s="20">
        <f t="shared" ca="1" si="104"/>
        <v>45824</v>
      </c>
      <c r="B368" vm="1073">
        <f ca="1"/>
        <v>45826</v>
      </c>
      <c r="C368" vm="1074">
        <f ca="1"/>
        <v>148.19</v>
      </c>
      <c r="D368" vm="1075">
        <f ca="1"/>
        <v>9841924</v>
      </c>
      <c r="E368">
        <f t="shared" ca="1" si="105"/>
        <v>1458474717.5599999</v>
      </c>
      <c r="F368">
        <f ca="1">SUM($E$2:E368)/SUM($D$2:D368)</f>
        <v>151.11688950288263</v>
      </c>
      <c r="G368">
        <f ca="1">_xlfn.STDEV.P($C$2:C368)</f>
        <v>8.0281690129586103</v>
      </c>
      <c r="H368">
        <f t="shared" ca="1" si="106"/>
        <v>159.14505851584124</v>
      </c>
      <c r="I368">
        <f t="shared" ca="1" si="107"/>
        <v>143.08872048992401</v>
      </c>
      <c r="J368">
        <f t="shared" ca="1" si="116"/>
        <v>140.52799999999996</v>
      </c>
      <c r="K368">
        <f t="shared" ca="1" si="117"/>
        <v>4.4814067340277726</v>
      </c>
      <c r="L368">
        <f t="shared" ca="1" si="118"/>
        <v>149.49081346805551</v>
      </c>
      <c r="M368">
        <f t="shared" ca="1" si="119"/>
        <v>131.56518653194442</v>
      </c>
      <c r="N368">
        <f t="shared" ca="1" si="108"/>
        <v>-0.65999999999999659</v>
      </c>
      <c r="O368">
        <f t="shared" ca="1" si="109"/>
        <v>0</v>
      </c>
      <c r="P368">
        <f t="shared" ca="1" si="110"/>
        <v>0.65999999999999659</v>
      </c>
      <c r="Q368">
        <f t="shared" ca="1" si="114"/>
        <v>0.96204523597859593</v>
      </c>
      <c r="R368">
        <f t="shared" ca="1" si="115"/>
        <v>0.48327275213831139</v>
      </c>
      <c r="S368">
        <f t="shared" ca="1" si="112"/>
        <v>1.9906879328947995</v>
      </c>
      <c r="T368">
        <f t="shared" ca="1" si="113"/>
        <v>66.562877089216641</v>
      </c>
      <c r="U368">
        <f>70</f>
        <v>70</v>
      </c>
      <c r="V368">
        <f>30</f>
        <v>30</v>
      </c>
      <c r="W368">
        <f t="shared" ca="1" si="111"/>
        <v>144.05678819773317</v>
      </c>
      <c r="X368">
        <f t="shared" ca="1" si="121"/>
        <v>142.00400137645423</v>
      </c>
      <c r="Y368">
        <f t="shared" ca="1" si="120"/>
        <v>2.3389334683165828</v>
      </c>
      <c r="Z368">
        <f t="shared" ca="1" si="122"/>
        <v>1.1503681190522801</v>
      </c>
      <c r="AA368">
        <f t="shared" ca="1" si="123"/>
        <v>1.1885653492643027</v>
      </c>
      <c r="AB368">
        <f t="shared" ca="1" si="124"/>
        <v>148.05740000000006</v>
      </c>
    </row>
    <row r="369" spans="1:28" x14ac:dyDescent="0.25">
      <c r="A369" s="20">
        <f t="shared" ca="1" si="104"/>
        <v>45824</v>
      </c>
      <c r="B369" vm="1076">
        <f ca="1"/>
        <v>45828</v>
      </c>
      <c r="C369" vm="1077">
        <f ca="1"/>
        <v>149.55000000000001</v>
      </c>
      <c r="D369" vm="1078">
        <f ca="1"/>
        <v>23705877</v>
      </c>
      <c r="E369">
        <f t="shared" ca="1" si="105"/>
        <v>3545213905.3500004</v>
      </c>
      <c r="F369">
        <f ca="1">SUM($E$2:E369)/SUM($D$2:D369)</f>
        <v>151.10456027342778</v>
      </c>
      <c r="G369">
        <f ca="1">_xlfn.STDEV.P($C$2:C369)</f>
        <v>8.0180701054538996</v>
      </c>
      <c r="H369">
        <f t="shared" ca="1" si="106"/>
        <v>159.12263037888167</v>
      </c>
      <c r="I369">
        <f t="shared" ca="1" si="107"/>
        <v>143.08649016797389</v>
      </c>
      <c r="J369">
        <f t="shared" ca="1" si="116"/>
        <v>141.22750000000002</v>
      </c>
      <c r="K369">
        <f t="shared" ca="1" si="117"/>
        <v>4.7489975396475987</v>
      </c>
      <c r="L369">
        <f t="shared" ca="1" si="118"/>
        <v>150.72549507929523</v>
      </c>
      <c r="M369">
        <f t="shared" ca="1" si="119"/>
        <v>131.72950492070481</v>
      </c>
      <c r="N369">
        <f t="shared" ca="1" si="108"/>
        <v>1.3600000000000136</v>
      </c>
      <c r="O369">
        <f t="shared" ca="1" si="109"/>
        <v>1.3600000000000136</v>
      </c>
      <c r="P369">
        <f t="shared" ca="1" si="110"/>
        <v>0</v>
      </c>
      <c r="Q369">
        <f t="shared" ca="1" si="114"/>
        <v>0.99047057626584001</v>
      </c>
      <c r="R369">
        <f t="shared" ca="1" si="115"/>
        <v>0.44875326984271774</v>
      </c>
      <c r="S369">
        <f t="shared" ca="1" si="112"/>
        <v>2.2071606890195747</v>
      </c>
      <c r="T369">
        <f t="shared" ca="1" si="113"/>
        <v>68.819772472775639</v>
      </c>
      <c r="U369">
        <f>70</f>
        <v>70</v>
      </c>
      <c r="V369">
        <f>30</f>
        <v>30</v>
      </c>
      <c r="W369">
        <f t="shared" ca="1" si="111"/>
        <v>144.90189770577422</v>
      </c>
      <c r="X369">
        <f t="shared" ca="1" si="121"/>
        <v>142.56296423745763</v>
      </c>
      <c r="Y369">
        <f t="shared" ca="1" si="120"/>
        <v>2.3218810297470611</v>
      </c>
      <c r="Z369">
        <f t="shared" ca="1" si="122"/>
        <v>1.3846707011912365</v>
      </c>
      <c r="AA369">
        <f t="shared" ca="1" si="123"/>
        <v>0.93721032855582465</v>
      </c>
      <c r="AB369">
        <f t="shared" ca="1" si="124"/>
        <v>147.98060000000007</v>
      </c>
    </row>
    <row r="370" spans="1:28" x14ac:dyDescent="0.25">
      <c r="A370" s="20">
        <f t="shared" ca="1" si="104"/>
        <v>45831</v>
      </c>
      <c r="B370" vm="1079">
        <f ca="1"/>
        <v>45831</v>
      </c>
      <c r="C370" vm="1080">
        <f ca="1"/>
        <v>146.86000000000001</v>
      </c>
      <c r="D370" vm="1081">
        <f ca="1"/>
        <v>10540614</v>
      </c>
      <c r="E370">
        <f t="shared" ca="1" si="105"/>
        <v>1547994572.0400002</v>
      </c>
      <c r="F370">
        <f ca="1">SUM($E$2:E370)/SUM($D$2:D370)</f>
        <v>151.08976158129889</v>
      </c>
      <c r="G370">
        <f ca="1">_xlfn.STDEV.P($C$2:C370)</f>
        <v>8.0112192324961615</v>
      </c>
      <c r="H370">
        <f t="shared" ca="1" si="106"/>
        <v>159.10098081379505</v>
      </c>
      <c r="I370">
        <f t="shared" ca="1" si="107"/>
        <v>143.07854234880273</v>
      </c>
      <c r="J370">
        <f t="shared" ca="1" si="116"/>
        <v>141.80600000000004</v>
      </c>
      <c r="K370">
        <f t="shared" ca="1" si="117"/>
        <v>4.6920115762409349</v>
      </c>
      <c r="L370">
        <f t="shared" ca="1" si="118"/>
        <v>151.1900231524819</v>
      </c>
      <c r="M370">
        <f t="shared" ca="1" si="119"/>
        <v>132.42197684751818</v>
      </c>
      <c r="N370">
        <f t="shared" ca="1" si="108"/>
        <v>-2.6899999999999977</v>
      </c>
      <c r="O370">
        <f t="shared" ca="1" si="109"/>
        <v>0</v>
      </c>
      <c r="P370">
        <f t="shared" ca="1" si="110"/>
        <v>2.6899999999999977</v>
      </c>
      <c r="Q370">
        <f t="shared" ca="1" si="114"/>
        <v>0.91972267796113716</v>
      </c>
      <c r="R370">
        <f t="shared" ca="1" si="115"/>
        <v>0.6088423219968091</v>
      </c>
      <c r="S370">
        <f t="shared" ca="1" si="112"/>
        <v>1.5106089782732899</v>
      </c>
      <c r="T370">
        <f t="shared" ca="1" si="113"/>
        <v>60.169026373522911</v>
      </c>
      <c r="U370">
        <f>70</f>
        <v>70</v>
      </c>
      <c r="V370">
        <f>30</f>
        <v>30</v>
      </c>
      <c r="W370">
        <f t="shared" ca="1" si="111"/>
        <v>145.2031442125782</v>
      </c>
      <c r="X370">
        <f t="shared" ca="1" si="121"/>
        <v>142.88126318283113</v>
      </c>
      <c r="Y370">
        <f t="shared" ca="1" si="120"/>
        <v>2.0180150903578635</v>
      </c>
      <c r="Z370">
        <f t="shared" ca="1" si="122"/>
        <v>1.5113395790245621</v>
      </c>
      <c r="AA370">
        <f t="shared" ca="1" si="123"/>
        <v>0.50667551133330146</v>
      </c>
      <c r="AB370">
        <f t="shared" ca="1" si="124"/>
        <v>147.88710000000009</v>
      </c>
    </row>
    <row r="371" spans="1:28" x14ac:dyDescent="0.25">
      <c r="A371" s="20">
        <f t="shared" ca="1" si="104"/>
        <v>45831</v>
      </c>
      <c r="B371" vm="1082">
        <f ca="1"/>
        <v>45832</v>
      </c>
      <c r="C371" vm="1083">
        <f ca="1"/>
        <v>143.55000000000001</v>
      </c>
      <c r="D371" vm="1084">
        <f ca="1"/>
        <v>10778352</v>
      </c>
      <c r="E371">
        <f t="shared" ca="1" si="105"/>
        <v>1547232429.6000001</v>
      </c>
      <c r="F371">
        <f ca="1">SUM($E$2:E371)/SUM($D$2:D371)</f>
        <v>151.06297673692399</v>
      </c>
      <c r="G371">
        <f ca="1">_xlfn.STDEV.P($C$2:C371)</f>
        <v>8.0116458818587226</v>
      </c>
      <c r="H371">
        <f t="shared" ca="1" si="106"/>
        <v>159.07462261878271</v>
      </c>
      <c r="I371">
        <f t="shared" ca="1" si="107"/>
        <v>143.05133085506526</v>
      </c>
      <c r="J371">
        <f t="shared" ca="1" si="116"/>
        <v>142.15650000000002</v>
      </c>
      <c r="K371">
        <f t="shared" ca="1" si="117"/>
        <v>4.5372044198347972</v>
      </c>
      <c r="L371">
        <f t="shared" ca="1" si="118"/>
        <v>151.23090883966961</v>
      </c>
      <c r="M371">
        <f t="shared" ca="1" si="119"/>
        <v>133.08209116033044</v>
      </c>
      <c r="N371">
        <f t="shared" ca="1" si="108"/>
        <v>-3.3100000000000023</v>
      </c>
      <c r="O371">
        <f t="shared" ca="1" si="109"/>
        <v>0</v>
      </c>
      <c r="P371">
        <f t="shared" ca="1" si="110"/>
        <v>3.3100000000000023</v>
      </c>
      <c r="Q371">
        <f t="shared" ca="1" si="114"/>
        <v>0.85402820096391296</v>
      </c>
      <c r="R371">
        <f t="shared" ca="1" si="115"/>
        <v>0.80178215613989423</v>
      </c>
      <c r="S371">
        <f t="shared" ca="1" si="112"/>
        <v>1.0651623940791504</v>
      </c>
      <c r="T371">
        <f t="shared" ca="1" si="113"/>
        <v>51.577657870053514</v>
      </c>
      <c r="U371">
        <f>70</f>
        <v>70</v>
      </c>
      <c r="V371">
        <f>30</f>
        <v>30</v>
      </c>
      <c r="W371">
        <f t="shared" ca="1" si="111"/>
        <v>144.94881433372001</v>
      </c>
      <c r="X371">
        <f t="shared" ca="1" si="121"/>
        <v>142.93079924336215</v>
      </c>
      <c r="Y371">
        <f t="shared" ca="1" si="120"/>
        <v>1.7314190969291872</v>
      </c>
      <c r="Z371">
        <f t="shared" ca="1" si="122"/>
        <v>1.5553554826054872</v>
      </c>
      <c r="AA371">
        <f t="shared" ca="1" si="123"/>
        <v>0.17606361432369999</v>
      </c>
      <c r="AB371">
        <f t="shared" ca="1" si="124"/>
        <v>147.76570000000007</v>
      </c>
    </row>
    <row r="372" spans="1:28" x14ac:dyDescent="0.25">
      <c r="A372" s="20">
        <f t="shared" ca="1" si="104"/>
        <v>45831</v>
      </c>
      <c r="B372" vm="1085">
        <f ca="1"/>
        <v>45833</v>
      </c>
      <c r="C372" vm="442">
        <f ca="1"/>
        <v>143.22999999999999</v>
      </c>
      <c r="D372" vm="1086">
        <f ca="1"/>
        <v>7386088</v>
      </c>
      <c r="E372">
        <f t="shared" ca="1" si="105"/>
        <v>1057909384.2399999</v>
      </c>
      <c r="F372">
        <f ca="1">SUM($E$2:E372)/SUM($D$2:D372)</f>
        <v>151.04395437237926</v>
      </c>
      <c r="G372">
        <f ca="1">_xlfn.STDEV.P($C$2:C372)</f>
        <v>8.0129025693816018</v>
      </c>
      <c r="H372">
        <f t="shared" ca="1" si="106"/>
        <v>159.05685694176086</v>
      </c>
      <c r="I372">
        <f t="shared" ca="1" si="107"/>
        <v>143.03105180299767</v>
      </c>
      <c r="J372">
        <f t="shared" ca="1" si="116"/>
        <v>142.42650000000003</v>
      </c>
      <c r="K372">
        <f t="shared" ca="1" si="117"/>
        <v>4.4254887033137811</v>
      </c>
      <c r="L372">
        <f t="shared" ca="1" si="118"/>
        <v>151.27747740662758</v>
      </c>
      <c r="M372">
        <f t="shared" ca="1" si="119"/>
        <v>133.57552259337248</v>
      </c>
      <c r="N372">
        <f t="shared" ca="1" si="108"/>
        <v>-0.3200000000000216</v>
      </c>
      <c r="O372">
        <f t="shared" ca="1" si="109"/>
        <v>0</v>
      </c>
      <c r="P372">
        <f t="shared" ca="1" si="110"/>
        <v>0.3200000000000216</v>
      </c>
      <c r="Q372">
        <f t="shared" ca="1" si="114"/>
        <v>0.79302618660934776</v>
      </c>
      <c r="R372">
        <f t="shared" ca="1" si="115"/>
        <v>0.76736914498704611</v>
      </c>
      <c r="S372">
        <f t="shared" ca="1" si="112"/>
        <v>1.0334350707086806</v>
      </c>
      <c r="T372">
        <f t="shared" ca="1" si="113"/>
        <v>50.822132734659384</v>
      </c>
      <c r="U372">
        <f>70</f>
        <v>70</v>
      </c>
      <c r="V372">
        <f>30</f>
        <v>30</v>
      </c>
      <c r="W372">
        <f t="shared" ca="1" si="111"/>
        <v>144.68438135930154</v>
      </c>
      <c r="X372">
        <f t="shared" ca="1" si="121"/>
        <v>142.95296226237235</v>
      </c>
      <c r="Y372">
        <f t="shared" ca="1" si="120"/>
        <v>1.5836710212009848</v>
      </c>
      <c r="Z372">
        <f t="shared" ca="1" si="122"/>
        <v>1.5610185903245868</v>
      </c>
      <c r="AA372">
        <f t="shared" ca="1" si="123"/>
        <v>2.2652430876398011E-2</v>
      </c>
      <c r="AB372">
        <f t="shared" ca="1" si="124"/>
        <v>147.63480000000004</v>
      </c>
    </row>
    <row r="373" spans="1:28" x14ac:dyDescent="0.25">
      <c r="A373" s="20">
        <f t="shared" ca="1" si="104"/>
        <v>45831</v>
      </c>
      <c r="B373" vm="1087">
        <f ca="1"/>
        <v>45834</v>
      </c>
      <c r="C373" vm="1088">
        <f ca="1"/>
        <v>144.44</v>
      </c>
      <c r="D373" vm="1089">
        <f ca="1"/>
        <v>7415714</v>
      </c>
      <c r="E373">
        <f t="shared" ca="1" si="105"/>
        <v>1071125730.16</v>
      </c>
      <c r="F373">
        <f ca="1">SUM($E$2:E373)/SUM($D$2:D373)</f>
        <v>151.02789152261715</v>
      </c>
      <c r="G373">
        <f ca="1">_xlfn.STDEV.P($C$2:C373)</f>
        <v>8.0109100771144757</v>
      </c>
      <c r="H373">
        <f t="shared" ca="1" si="106"/>
        <v>159.03880159973164</v>
      </c>
      <c r="I373">
        <f t="shared" ca="1" si="107"/>
        <v>143.01698144550267</v>
      </c>
      <c r="J373">
        <f t="shared" ca="1" si="116"/>
        <v>142.84750000000003</v>
      </c>
      <c r="K373">
        <f t="shared" ca="1" si="117"/>
        <v>4.1775098034468741</v>
      </c>
      <c r="L373">
        <f t="shared" ca="1" si="118"/>
        <v>151.20251960689376</v>
      </c>
      <c r="M373">
        <f t="shared" ca="1" si="119"/>
        <v>134.49248039310629</v>
      </c>
      <c r="N373">
        <f t="shared" ca="1" si="108"/>
        <v>1.210000000000008</v>
      </c>
      <c r="O373">
        <f t="shared" ca="1" si="109"/>
        <v>1.210000000000008</v>
      </c>
      <c r="P373">
        <f t="shared" ca="1" si="110"/>
        <v>0</v>
      </c>
      <c r="Q373">
        <f t="shared" ca="1" si="114"/>
        <v>0.8228100304229663</v>
      </c>
      <c r="R373">
        <f t="shared" ca="1" si="115"/>
        <v>0.71255706320225709</v>
      </c>
      <c r="S373">
        <f t="shared" ca="1" si="112"/>
        <v>1.1547286146111981</v>
      </c>
      <c r="T373">
        <f t="shared" ca="1" si="113"/>
        <v>53.590443213172748</v>
      </c>
      <c r="U373">
        <f>70</f>
        <v>70</v>
      </c>
      <c r="V373">
        <f>30</f>
        <v>30</v>
      </c>
      <c r="W373">
        <f t="shared" ca="1" si="111"/>
        <v>144.64678422710131</v>
      </c>
      <c r="X373">
        <f t="shared" ca="1" si="121"/>
        <v>143.06311320590032</v>
      </c>
      <c r="Y373">
        <f t="shared" ca="1" si="120"/>
        <v>1.3980145969557896</v>
      </c>
      <c r="Z373">
        <f t="shared" ca="1" si="122"/>
        <v>1.5284177916508275</v>
      </c>
      <c r="AA373">
        <f t="shared" ca="1" si="123"/>
        <v>-0.13040319469503792</v>
      </c>
      <c r="AB373">
        <f t="shared" ca="1" si="124"/>
        <v>147.58730000000006</v>
      </c>
    </row>
    <row r="374" spans="1:28" x14ac:dyDescent="0.25">
      <c r="A374" s="20">
        <f t="shared" ca="1" si="104"/>
        <v>45831</v>
      </c>
      <c r="B374" vm="1090">
        <f ca="1"/>
        <v>45835</v>
      </c>
      <c r="C374" vm="1091">
        <f ca="1"/>
        <v>143.79</v>
      </c>
      <c r="D374" vm="1092">
        <f ca="1"/>
        <v>9213512</v>
      </c>
      <c r="E374">
        <f t="shared" ca="1" si="105"/>
        <v>1324810890.48</v>
      </c>
      <c r="F374">
        <f ca="1">SUM($E$2:E374)/SUM($D$2:D374)</f>
        <v>151.00608470008498</v>
      </c>
      <c r="G374">
        <f ca="1">_xlfn.STDEV.P($C$2:C374)</f>
        <v>8.0105188477557991</v>
      </c>
      <c r="H374">
        <f t="shared" ca="1" si="106"/>
        <v>159.01660354784079</v>
      </c>
      <c r="I374">
        <f t="shared" ca="1" si="107"/>
        <v>142.99556585232918</v>
      </c>
      <c r="J374">
        <f t="shared" ca="1" si="116"/>
        <v>143.14150000000001</v>
      </c>
      <c r="K374">
        <f t="shared" ca="1" si="117"/>
        <v>4.0155019021681202</v>
      </c>
      <c r="L374">
        <f t="shared" ca="1" si="118"/>
        <v>151.17250380433626</v>
      </c>
      <c r="M374">
        <f t="shared" ca="1" si="119"/>
        <v>135.11049619566376</v>
      </c>
      <c r="N374">
        <f t="shared" ca="1" si="108"/>
        <v>-0.65000000000000568</v>
      </c>
      <c r="O374">
        <f t="shared" ca="1" si="109"/>
        <v>0</v>
      </c>
      <c r="P374">
        <f t="shared" ca="1" si="110"/>
        <v>0.65000000000000568</v>
      </c>
      <c r="Q374">
        <f t="shared" ca="1" si="114"/>
        <v>0.76403788539275441</v>
      </c>
      <c r="R374">
        <f t="shared" ca="1" si="115"/>
        <v>0.70808870154495351</v>
      </c>
      <c r="S374">
        <f t="shared" ca="1" si="112"/>
        <v>1.0790143716821456</v>
      </c>
      <c r="T374">
        <f t="shared" ca="1" si="113"/>
        <v>51.90028440299367</v>
      </c>
      <c r="U374">
        <f>70</f>
        <v>70</v>
      </c>
      <c r="V374">
        <f>30</f>
        <v>30</v>
      </c>
      <c r="W374">
        <f t="shared" ca="1" si="111"/>
        <v>144.51497126908572</v>
      </c>
      <c r="X374">
        <f t="shared" ca="1" si="121"/>
        <v>143.11695667212993</v>
      </c>
      <c r="Y374">
        <f t="shared" ca="1" si="120"/>
        <v>1.1887622463710272</v>
      </c>
      <c r="Z374">
        <f t="shared" ca="1" si="122"/>
        <v>1.4604866825948677</v>
      </c>
      <c r="AA374">
        <f t="shared" ca="1" si="123"/>
        <v>-0.27172443622384046</v>
      </c>
      <c r="AB374">
        <f t="shared" ca="1" si="124"/>
        <v>147.53180000000006</v>
      </c>
    </row>
    <row r="375" spans="1:28" x14ac:dyDescent="0.25">
      <c r="A375" s="20">
        <f t="shared" ca="1" si="104"/>
        <v>45838</v>
      </c>
      <c r="B375" vm="1093">
        <f ca="1"/>
        <v>45838</v>
      </c>
      <c r="C375" vm="1094">
        <f ca="1"/>
        <v>143.19</v>
      </c>
      <c r="D375" vm="1095">
        <f ca="1"/>
        <v>6980319</v>
      </c>
      <c r="E375">
        <f t="shared" ca="1" si="105"/>
        <v>999511877.61000001</v>
      </c>
      <c r="F375">
        <f ca="1">SUM($E$2:E375)/SUM($D$2:D375)</f>
        <v>150.9882843129125</v>
      </c>
      <c r="G375">
        <f ca="1">_xlfn.STDEV.P($C$2:C375)</f>
        <v>8.0117028895751119</v>
      </c>
      <c r="H375">
        <f t="shared" ca="1" si="106"/>
        <v>158.9999872024876</v>
      </c>
      <c r="I375">
        <f t="shared" ca="1" si="107"/>
        <v>142.97658142333739</v>
      </c>
      <c r="J375">
        <f t="shared" ca="1" si="116"/>
        <v>143.46600000000001</v>
      </c>
      <c r="K375">
        <f t="shared" ca="1" si="117"/>
        <v>3.718830319787179</v>
      </c>
      <c r="L375">
        <f t="shared" ca="1" si="118"/>
        <v>150.90366063957435</v>
      </c>
      <c r="M375">
        <f t="shared" ca="1" si="119"/>
        <v>136.02833936042566</v>
      </c>
      <c r="N375">
        <f t="shared" ca="1" si="108"/>
        <v>-0.59999999999999432</v>
      </c>
      <c r="O375">
        <f t="shared" ca="1" si="109"/>
        <v>0</v>
      </c>
      <c r="P375">
        <f t="shared" ca="1" si="110"/>
        <v>0.59999999999999432</v>
      </c>
      <c r="Q375">
        <f t="shared" ca="1" si="114"/>
        <v>0.70946375072184342</v>
      </c>
      <c r="R375">
        <f t="shared" ca="1" si="115"/>
        <v>0.70036808000602779</v>
      </c>
      <c r="S375">
        <f t="shared" ca="1" si="112"/>
        <v>1.012986986379701</v>
      </c>
      <c r="T375">
        <f t="shared" ca="1" si="113"/>
        <v>50.322579988533803</v>
      </c>
      <c r="U375">
        <f>70</f>
        <v>70</v>
      </c>
      <c r="V375">
        <f>30</f>
        <v>30</v>
      </c>
      <c r="W375">
        <f t="shared" ca="1" si="111"/>
        <v>144.31112953538022</v>
      </c>
      <c r="X375">
        <f t="shared" ca="1" si="121"/>
        <v>143.12236728900919</v>
      </c>
      <c r="Y375">
        <f t="shared" ca="1" si="120"/>
        <v>1.2011284988032571</v>
      </c>
      <c r="Z375">
        <f t="shared" ca="1" si="122"/>
        <v>1.4086150458365458</v>
      </c>
      <c r="AA375">
        <f t="shared" ca="1" si="123"/>
        <v>-0.20748654703328873</v>
      </c>
      <c r="AB375">
        <f t="shared" ca="1" si="124"/>
        <v>147.43150000000006</v>
      </c>
    </row>
    <row r="376" spans="1:28" x14ac:dyDescent="0.25">
      <c r="A376" s="20">
        <f t="shared" ca="1" si="104"/>
        <v>45838</v>
      </c>
      <c r="B376" vm="1096">
        <f ca="1"/>
        <v>45839</v>
      </c>
      <c r="C376" vm="1097">
        <f ca="1"/>
        <v>145.57</v>
      </c>
      <c r="D376" vm="1098">
        <f ca="1"/>
        <v>8508150</v>
      </c>
      <c r="E376">
        <f t="shared" ca="1" si="105"/>
        <v>1238531395.5</v>
      </c>
      <c r="F376">
        <f ca="1">SUM($E$2:E376)/SUM($D$2:D376)</f>
        <v>150.97328546256972</v>
      </c>
      <c r="G376">
        <f ca="1">_xlfn.STDEV.P($C$2:C376)</f>
        <v>8.0070955225030822</v>
      </c>
      <c r="H376">
        <f t="shared" ca="1" si="106"/>
        <v>158.9803809850728</v>
      </c>
      <c r="I376">
        <f t="shared" ca="1" si="107"/>
        <v>142.96618994006664</v>
      </c>
      <c r="J376">
        <f t="shared" ca="1" si="116"/>
        <v>143.85250000000002</v>
      </c>
      <c r="K376">
        <f t="shared" ca="1" si="117"/>
        <v>3.4985077645972669</v>
      </c>
      <c r="L376">
        <f t="shared" ca="1" si="118"/>
        <v>150.84951552919455</v>
      </c>
      <c r="M376">
        <f t="shared" ca="1" si="119"/>
        <v>136.85548447080549</v>
      </c>
      <c r="N376">
        <f t="shared" ca="1" si="108"/>
        <v>2.3799999999999955</v>
      </c>
      <c r="O376">
        <f t="shared" ca="1" si="109"/>
        <v>2.3799999999999955</v>
      </c>
      <c r="P376">
        <f t="shared" ca="1" si="110"/>
        <v>0</v>
      </c>
      <c r="Q376">
        <f t="shared" ca="1" si="114"/>
        <v>0.82878776852742575</v>
      </c>
      <c r="R376">
        <f t="shared" ca="1" si="115"/>
        <v>0.65034178857702585</v>
      </c>
      <c r="S376">
        <f t="shared" ca="1" si="112"/>
        <v>1.2743879957965594</v>
      </c>
      <c r="T376">
        <f t="shared" ca="1" si="113"/>
        <v>56.032128122019486</v>
      </c>
      <c r="U376">
        <f>70</f>
        <v>70</v>
      </c>
      <c r="V376">
        <f>30</f>
        <v>30</v>
      </c>
      <c r="W376">
        <f t="shared" ca="1" si="111"/>
        <v>144.5048019145525</v>
      </c>
      <c r="X376">
        <f t="shared" ca="1" si="121"/>
        <v>143.30367341574924</v>
      </c>
      <c r="Y376">
        <f t="shared" ca="1" si="120"/>
        <v>1.389379796306514</v>
      </c>
      <c r="Z376">
        <f t="shared" ca="1" si="122"/>
        <v>1.4047679959305395</v>
      </c>
      <c r="AA376">
        <f t="shared" ca="1" si="123"/>
        <v>-1.5388199624025489E-2</v>
      </c>
      <c r="AB376">
        <f t="shared" ca="1" si="124"/>
        <v>147.35730000000007</v>
      </c>
    </row>
    <row r="377" spans="1:28" x14ac:dyDescent="0.25">
      <c r="A377" s="20">
        <f t="shared" ca="1" si="104"/>
        <v>45838</v>
      </c>
      <c r="B377" vm="1099">
        <f ca="1"/>
        <v>45840</v>
      </c>
      <c r="C377" vm="1100">
        <f ca="1"/>
        <v>147.97999999999999</v>
      </c>
      <c r="D377" vm="1101">
        <f ca="1"/>
        <v>8228683</v>
      </c>
      <c r="E377">
        <f t="shared" ca="1" si="105"/>
        <v>1217680510.3399999</v>
      </c>
      <c r="F377">
        <f ca="1">SUM($E$2:E377)/SUM($D$2:D377)</f>
        <v>150.96529304171202</v>
      </c>
      <c r="G377">
        <f ca="1">_xlfn.STDEV.P($C$2:C377)</f>
        <v>7.9986190576440306</v>
      </c>
      <c r="H377">
        <f t="shared" ca="1" si="106"/>
        <v>158.96391209935604</v>
      </c>
      <c r="I377">
        <f t="shared" ca="1" si="107"/>
        <v>142.966673984068</v>
      </c>
      <c r="J377">
        <f t="shared" ca="1" si="116"/>
        <v>144.274</v>
      </c>
      <c r="K377">
        <f t="shared" ca="1" si="117"/>
        <v>3.4604766936606319</v>
      </c>
      <c r="L377">
        <f t="shared" ca="1" si="118"/>
        <v>151.19495338732128</v>
      </c>
      <c r="M377">
        <f t="shared" ca="1" si="119"/>
        <v>137.35304661267872</v>
      </c>
      <c r="N377">
        <f t="shared" ca="1" si="108"/>
        <v>2.4099999999999966</v>
      </c>
      <c r="O377">
        <f t="shared" ca="1" si="109"/>
        <v>2.4099999999999966</v>
      </c>
      <c r="P377">
        <f t="shared" ca="1" si="110"/>
        <v>0</v>
      </c>
      <c r="Q377">
        <f t="shared" ca="1" si="114"/>
        <v>0.94173149934689515</v>
      </c>
      <c r="R377">
        <f t="shared" ca="1" si="115"/>
        <v>0.60388880367866693</v>
      </c>
      <c r="S377">
        <f t="shared" ca="1" si="112"/>
        <v>1.5594452051606449</v>
      </c>
      <c r="T377">
        <f t="shared" ca="1" si="113"/>
        <v>60.929032667560691</v>
      </c>
      <c r="U377">
        <f>70</f>
        <v>70</v>
      </c>
      <c r="V377">
        <f>30</f>
        <v>30</v>
      </c>
      <c r="W377">
        <f t="shared" ca="1" si="111"/>
        <v>145.03944777385212</v>
      </c>
      <c r="X377">
        <f t="shared" ca="1" si="121"/>
        <v>143.6500679775456</v>
      </c>
      <c r="Y377">
        <f t="shared" ca="1" si="120"/>
        <v>1.5521478522272503</v>
      </c>
      <c r="Z377">
        <f t="shared" ca="1" si="122"/>
        <v>1.4342439671898817</v>
      </c>
      <c r="AA377">
        <f t="shared" ca="1" si="123"/>
        <v>0.11790388503736859</v>
      </c>
      <c r="AB377">
        <f t="shared" ca="1" si="124"/>
        <v>147.31810000000004</v>
      </c>
    </row>
    <row r="378" spans="1:28" x14ac:dyDescent="0.25">
      <c r="A378" s="20">
        <f t="shared" ca="1" si="104"/>
        <v>45838</v>
      </c>
      <c r="B378" vm="1102">
        <f ca="1"/>
        <v>45841</v>
      </c>
      <c r="C378" vm="1103">
        <f ca="1"/>
        <v>148.37</v>
      </c>
      <c r="D378" vm="1104">
        <f ca="1"/>
        <v>5173309</v>
      </c>
      <c r="E378">
        <f t="shared" ca="1" si="105"/>
        <v>767563856.33000004</v>
      </c>
      <c r="F378">
        <f ca="1">SUM($E$2:E378)/SUM($D$2:D378)</f>
        <v>150.96094367258911</v>
      </c>
      <c r="G378">
        <f ca="1">_xlfn.STDEV.P($C$2:C378)</f>
        <v>7.9897255180835494</v>
      </c>
      <c r="H378">
        <f t="shared" ca="1" si="106"/>
        <v>158.95066919067267</v>
      </c>
      <c r="I378">
        <f t="shared" ca="1" si="107"/>
        <v>142.97121815450555</v>
      </c>
      <c r="J378">
        <f t="shared" ca="1" si="116"/>
        <v>144.82400000000001</v>
      </c>
      <c r="K378">
        <f t="shared" ca="1" si="117"/>
        <v>3.1671428266200006</v>
      </c>
      <c r="L378">
        <f t="shared" ca="1" si="118"/>
        <v>151.15828565324</v>
      </c>
      <c r="M378">
        <f t="shared" ca="1" si="119"/>
        <v>138.48971434676002</v>
      </c>
      <c r="N378">
        <f t="shared" ca="1" si="108"/>
        <v>0.39000000000001478</v>
      </c>
      <c r="O378">
        <f t="shared" ca="1" si="109"/>
        <v>0.39000000000001478</v>
      </c>
      <c r="P378">
        <f t="shared" ca="1" si="110"/>
        <v>0</v>
      </c>
      <c r="Q378">
        <f t="shared" ca="1" si="114"/>
        <v>0.90232210653640366</v>
      </c>
      <c r="R378">
        <f t="shared" ca="1" si="115"/>
        <v>0.56075388913019075</v>
      </c>
      <c r="S378">
        <f t="shared" ca="1" si="112"/>
        <v>1.6091232250498233</v>
      </c>
      <c r="T378">
        <f t="shared" ca="1" si="113"/>
        <v>61.672948582913172</v>
      </c>
      <c r="U378">
        <f>70</f>
        <v>70</v>
      </c>
      <c r="V378">
        <f>30</f>
        <v>30</v>
      </c>
      <c r="W378">
        <f t="shared" ca="1" si="111"/>
        <v>145.55184042402871</v>
      </c>
      <c r="X378">
        <f t="shared" ca="1" si="121"/>
        <v>143.99969257180146</v>
      </c>
      <c r="Y378">
        <f t="shared" ca="1" si="120"/>
        <v>1.5846054703733614</v>
      </c>
      <c r="Z378">
        <f t="shared" ca="1" si="122"/>
        <v>1.4643162678265778</v>
      </c>
      <c r="AA378">
        <f t="shared" ca="1" si="123"/>
        <v>0.12028920254678366</v>
      </c>
      <c r="AB378">
        <f t="shared" ca="1" si="124"/>
        <v>147.27560000000005</v>
      </c>
    </row>
    <row r="379" spans="1:28" x14ac:dyDescent="0.25">
      <c r="A379" s="20">
        <f t="shared" ca="1" si="104"/>
        <v>45845</v>
      </c>
      <c r="B379" vm="1105">
        <f ca="1"/>
        <v>45845</v>
      </c>
      <c r="C379" vm="1106">
        <f ca="1"/>
        <v>147.4</v>
      </c>
      <c r="D379" vm="1107">
        <f ca="1"/>
        <v>9460902</v>
      </c>
      <c r="E379">
        <f t="shared" ca="1" si="105"/>
        <v>1394536954.8</v>
      </c>
      <c r="F379">
        <f ca="1">SUM($E$2:E379)/SUM($D$2:D379)</f>
        <v>150.95006339195459</v>
      </c>
      <c r="G379">
        <f ca="1">_xlfn.STDEV.P($C$2:C379)</f>
        <v>7.982046926813279</v>
      </c>
      <c r="H379">
        <f t="shared" ca="1" si="106"/>
        <v>158.93211031876785</v>
      </c>
      <c r="I379">
        <f t="shared" ca="1" si="107"/>
        <v>142.96801646514132</v>
      </c>
      <c r="J379">
        <f t="shared" ca="1" si="116"/>
        <v>145.34900000000002</v>
      </c>
      <c r="K379">
        <f t="shared" ca="1" si="117"/>
        <v>2.6048394232759606</v>
      </c>
      <c r="L379">
        <f t="shared" ca="1" si="118"/>
        <v>150.55867884655194</v>
      </c>
      <c r="M379">
        <f t="shared" ca="1" si="119"/>
        <v>140.13932115344809</v>
      </c>
      <c r="N379">
        <f t="shared" ca="1" si="108"/>
        <v>-0.96999999999999886</v>
      </c>
      <c r="O379">
        <f t="shared" ca="1" si="109"/>
        <v>0</v>
      </c>
      <c r="P379">
        <f t="shared" ca="1" si="110"/>
        <v>0.96999999999999886</v>
      </c>
      <c r="Q379">
        <f t="shared" ca="1" si="114"/>
        <v>0.8378705274980891</v>
      </c>
      <c r="R379">
        <f t="shared" ca="1" si="115"/>
        <v>0.58998575419231991</v>
      </c>
      <c r="S379">
        <f t="shared" ca="1" si="112"/>
        <v>1.4201538283667867</v>
      </c>
      <c r="T379">
        <f t="shared" ca="1" si="113"/>
        <v>58.680312454566632</v>
      </c>
      <c r="U379">
        <f>70</f>
        <v>70</v>
      </c>
      <c r="V379">
        <f>30</f>
        <v>30</v>
      </c>
      <c r="W379">
        <f t="shared" ca="1" si="111"/>
        <v>145.83617266648582</v>
      </c>
      <c r="X379">
        <f t="shared" ca="1" si="121"/>
        <v>144.25156719611246</v>
      </c>
      <c r="Y379">
        <f t="shared" ca="1" si="120"/>
        <v>2.0578459920505168</v>
      </c>
      <c r="Z379">
        <f t="shared" ca="1" si="122"/>
        <v>1.5830222126713656</v>
      </c>
      <c r="AA379">
        <f t="shared" ca="1" si="123"/>
        <v>0.47482377937915121</v>
      </c>
      <c r="AB379">
        <f t="shared" ca="1" si="124"/>
        <v>147.19190000000006</v>
      </c>
    </row>
    <row r="380" spans="1:28" x14ac:dyDescent="0.25">
      <c r="A380" s="20">
        <f t="shared" ca="1" si="104"/>
        <v>45845</v>
      </c>
      <c r="B380" vm="1108">
        <f ca="1"/>
        <v>45846</v>
      </c>
      <c r="C380" vm="1109">
        <f ca="1"/>
        <v>153.24</v>
      </c>
      <c r="D380" vm="1110">
        <f ca="1"/>
        <v>14082097</v>
      </c>
      <c r="E380">
        <f t="shared" ca="1" si="105"/>
        <v>2157940544.2800002</v>
      </c>
      <c r="F380">
        <f ca="1">SUM($E$2:E380)/SUM($D$2:D380)</f>
        <v>150.96043061866573</v>
      </c>
      <c r="G380">
        <f ca="1">_xlfn.STDEV.P($C$2:C380)</f>
        <v>7.9719670942706982</v>
      </c>
      <c r="H380">
        <f t="shared" ca="1" si="106"/>
        <v>158.93239771293642</v>
      </c>
      <c r="I380">
        <f t="shared" ca="1" si="107"/>
        <v>142.98846352439503</v>
      </c>
      <c r="J380">
        <f t="shared" ca="1" si="116"/>
        <v>146.00050000000002</v>
      </c>
      <c r="K380">
        <f t="shared" ca="1" si="117"/>
        <v>2.8680462357720691</v>
      </c>
      <c r="L380">
        <f t="shared" ca="1" si="118"/>
        <v>151.73659247154416</v>
      </c>
      <c r="M380">
        <f t="shared" ca="1" si="119"/>
        <v>140.26440752845588</v>
      </c>
      <c r="N380">
        <f t="shared" ca="1" si="108"/>
        <v>5.8400000000000034</v>
      </c>
      <c r="O380">
        <f t="shared" ca="1" si="109"/>
        <v>5.8400000000000034</v>
      </c>
      <c r="P380">
        <f t="shared" ca="1" si="110"/>
        <v>0</v>
      </c>
      <c r="Q380">
        <f t="shared" ca="1" si="114"/>
        <v>1.1951654898196544</v>
      </c>
      <c r="R380">
        <f t="shared" ca="1" si="115"/>
        <v>0.5478439146071542</v>
      </c>
      <c r="S380">
        <f t="shared" ca="1" si="112"/>
        <v>2.1815802967833986</v>
      </c>
      <c r="T380">
        <f t="shared" ca="1" si="113"/>
        <v>68.569078674173099</v>
      </c>
      <c r="U380">
        <f>70</f>
        <v>70</v>
      </c>
      <c r="V380">
        <f>30</f>
        <v>30</v>
      </c>
      <c r="W380">
        <f t="shared" ca="1" si="111"/>
        <v>146.97522302548799</v>
      </c>
      <c r="X380">
        <f t="shared" ca="1" si="121"/>
        <v>144.91737703343748</v>
      </c>
      <c r="Y380">
        <f t="shared" ca="1" si="120"/>
        <v>2.387617386617535</v>
      </c>
      <c r="Z380">
        <f t="shared" ca="1" si="122"/>
        <v>1.7439412474605995</v>
      </c>
      <c r="AA380">
        <f t="shared" ca="1" si="123"/>
        <v>0.64367613915693545</v>
      </c>
      <c r="AB380">
        <f t="shared" ca="1" si="124"/>
        <v>147.14990000000006</v>
      </c>
    </row>
    <row r="381" spans="1:28" x14ac:dyDescent="0.25">
      <c r="A381" s="20">
        <f t="shared" ca="1" si="104"/>
        <v>45845</v>
      </c>
      <c r="B381" vm="1111">
        <f ca="1"/>
        <v>45847</v>
      </c>
      <c r="C381" vm="1112">
        <f ca="1"/>
        <v>153.02000000000001</v>
      </c>
      <c r="D381" vm="1113">
        <f ca="1"/>
        <v>9495898</v>
      </c>
      <c r="E381">
        <f t="shared" ca="1" si="105"/>
        <v>1453062311.96</v>
      </c>
      <c r="F381">
        <f ca="1">SUM($E$2:E381)/SUM($D$2:D381)</f>
        <v>150.96669907274361</v>
      </c>
      <c r="G381">
        <f ca="1">_xlfn.STDEV.P($C$2:C381)</f>
        <v>7.9618127983525886</v>
      </c>
      <c r="H381">
        <f t="shared" ca="1" si="106"/>
        <v>158.92851187109619</v>
      </c>
      <c r="I381">
        <f t="shared" ca="1" si="107"/>
        <v>143.00488627439103</v>
      </c>
      <c r="J381">
        <f t="shared" ca="1" si="116"/>
        <v>146.61349999999999</v>
      </c>
      <c r="K381">
        <f t="shared" ca="1" si="117"/>
        <v>2.9963421120812623</v>
      </c>
      <c r="L381">
        <f t="shared" ca="1" si="118"/>
        <v>152.60618422416252</v>
      </c>
      <c r="M381">
        <f t="shared" ca="1" si="119"/>
        <v>140.62081577583746</v>
      </c>
      <c r="N381">
        <f t="shared" ca="1" si="108"/>
        <v>-0.21999999999999886</v>
      </c>
      <c r="O381">
        <f t="shared" ca="1" si="109"/>
        <v>0</v>
      </c>
      <c r="P381">
        <f t="shared" ca="1" si="110"/>
        <v>0.21999999999999886</v>
      </c>
      <c r="Q381">
        <f t="shared" ca="1" si="114"/>
        <v>1.1097965262611076</v>
      </c>
      <c r="R381">
        <f t="shared" ca="1" si="115"/>
        <v>0.52442649213521453</v>
      </c>
      <c r="S381">
        <f t="shared" ca="1" si="112"/>
        <v>2.11620988433011</v>
      </c>
      <c r="T381">
        <f t="shared" ca="1" si="113"/>
        <v>67.909735315695229</v>
      </c>
      <c r="U381">
        <f>70</f>
        <v>70</v>
      </c>
      <c r="V381">
        <f>30</f>
        <v>30</v>
      </c>
      <c r="W381">
        <f t="shared" ca="1" si="111"/>
        <v>147.90518871387445</v>
      </c>
      <c r="X381">
        <f t="shared" ca="1" si="121"/>
        <v>145.51757132725692</v>
      </c>
      <c r="Y381">
        <f t="shared" ca="1" si="120"/>
        <v>2.7105138651345158</v>
      </c>
      <c r="Z381">
        <f t="shared" ca="1" si="122"/>
        <v>1.937255770995383</v>
      </c>
      <c r="AA381">
        <f t="shared" ca="1" si="123"/>
        <v>0.77325809413913271</v>
      </c>
      <c r="AB381">
        <f t="shared" ca="1" si="124"/>
        <v>147.13110000000009</v>
      </c>
    </row>
    <row r="382" spans="1:28" x14ac:dyDescent="0.25">
      <c r="A382" s="20">
        <f t="shared" ca="1" si="104"/>
        <v>45845</v>
      </c>
      <c r="B382" vm="1114">
        <f ca="1"/>
        <v>45848</v>
      </c>
      <c r="C382" vm="1115">
        <f ca="1"/>
        <v>154.16999999999999</v>
      </c>
      <c r="D382" vm="1116">
        <f ca="1"/>
        <v>8398810</v>
      </c>
      <c r="E382">
        <f t="shared" ca="1" si="105"/>
        <v>1294844537.6999998</v>
      </c>
      <c r="F382">
        <f ca="1">SUM($E$2:E382)/SUM($D$2:D382)</f>
        <v>150.97529902325397</v>
      </c>
      <c r="G382">
        <f ca="1">_xlfn.STDEV.P($C$2:C382)</f>
        <v>7.9524587391098391</v>
      </c>
      <c r="H382">
        <f t="shared" ca="1" si="106"/>
        <v>158.9277577623638</v>
      </c>
      <c r="I382">
        <f t="shared" ca="1" si="107"/>
        <v>143.02284028414414</v>
      </c>
      <c r="J382">
        <f t="shared" ca="1" si="116"/>
        <v>147.15449999999998</v>
      </c>
      <c r="K382">
        <f t="shared" ca="1" si="117"/>
        <v>3.3338763198099421</v>
      </c>
      <c r="L382">
        <f t="shared" ca="1" si="118"/>
        <v>153.82225263961988</v>
      </c>
      <c r="M382">
        <f t="shared" ca="1" si="119"/>
        <v>140.48674736038009</v>
      </c>
      <c r="N382">
        <f t="shared" ca="1" si="108"/>
        <v>1.1499999999999773</v>
      </c>
      <c r="O382">
        <f t="shared" ca="1" si="109"/>
        <v>1.1499999999999773</v>
      </c>
      <c r="P382">
        <f t="shared" ca="1" si="110"/>
        <v>0</v>
      </c>
      <c r="Q382">
        <f t="shared" ca="1" si="114"/>
        <v>1.1126682029567412</v>
      </c>
      <c r="R382">
        <f t="shared" ca="1" si="115"/>
        <v>0.48696745698269922</v>
      </c>
      <c r="S382">
        <f t="shared" ca="1" si="112"/>
        <v>2.2848923208358696</v>
      </c>
      <c r="T382">
        <f t="shared" ca="1" si="113"/>
        <v>69.557601822834144</v>
      </c>
      <c r="U382">
        <f>70</f>
        <v>70</v>
      </c>
      <c r="V382">
        <f>30</f>
        <v>30</v>
      </c>
      <c r="W382">
        <f t="shared" ca="1" si="111"/>
        <v>148.86900583481685</v>
      </c>
      <c r="X382">
        <f t="shared" ca="1" si="121"/>
        <v>146.15849196968233</v>
      </c>
      <c r="Y382">
        <f t="shared" ca="1" si="120"/>
        <v>3.0235465606662331</v>
      </c>
      <c r="Z382">
        <f t="shared" ca="1" si="122"/>
        <v>2.154513928929553</v>
      </c>
      <c r="AA382">
        <f t="shared" ca="1" si="123"/>
        <v>0.86903263173668011</v>
      </c>
      <c r="AB382">
        <f t="shared" ca="1" si="124"/>
        <v>147.11400000000006</v>
      </c>
    </row>
    <row r="383" spans="1:28" x14ac:dyDescent="0.25">
      <c r="A383" s="20">
        <f t="shared" ca="1" si="104"/>
        <v>45845</v>
      </c>
      <c r="B383" vm="1117">
        <f ca="1"/>
        <v>45849</v>
      </c>
      <c r="C383" vm="1118">
        <f ca="1"/>
        <v>155.31</v>
      </c>
      <c r="D383" vm="1119">
        <f ca="1"/>
        <v>8333214</v>
      </c>
      <c r="E383">
        <f t="shared" ca="1" si="105"/>
        <v>1294231466.3399999</v>
      </c>
      <c r="F383">
        <f ca="1">SUM($E$2:E383)/SUM($D$2:D383)</f>
        <v>150.98681489506242</v>
      </c>
      <c r="G383">
        <f ca="1">_xlfn.STDEV.P($C$2:C383)</f>
        <v>7.9443172391296244</v>
      </c>
      <c r="H383">
        <f t="shared" ca="1" si="106"/>
        <v>158.93113213419204</v>
      </c>
      <c r="I383">
        <f t="shared" ca="1" si="107"/>
        <v>143.04249765593281</v>
      </c>
      <c r="J383">
        <f t="shared" ca="1" si="116"/>
        <v>147.68099999999998</v>
      </c>
      <c r="K383">
        <f t="shared" ca="1" si="117"/>
        <v>3.7452410504953884</v>
      </c>
      <c r="L383">
        <f t="shared" ca="1" si="118"/>
        <v>155.17148210099077</v>
      </c>
      <c r="M383">
        <f t="shared" ca="1" si="119"/>
        <v>140.19051789900919</v>
      </c>
      <c r="N383">
        <f t="shared" ca="1" si="108"/>
        <v>1.1400000000000148</v>
      </c>
      <c r="O383">
        <f t="shared" ca="1" si="109"/>
        <v>1.1400000000000148</v>
      </c>
      <c r="P383">
        <f t="shared" ca="1" si="110"/>
        <v>0</v>
      </c>
      <c r="Q383">
        <f t="shared" ca="1" si="114"/>
        <v>1.1146204741741179</v>
      </c>
      <c r="R383">
        <f t="shared" ca="1" si="115"/>
        <v>0.45218406719822068</v>
      </c>
      <c r="S383">
        <f t="shared" ca="1" si="112"/>
        <v>2.4649706945236303</v>
      </c>
      <c r="T383">
        <f t="shared" ca="1" si="113"/>
        <v>71.139727052223122</v>
      </c>
      <c r="U383">
        <f>70</f>
        <v>70</v>
      </c>
      <c r="V383">
        <f>30</f>
        <v>30</v>
      </c>
      <c r="W383">
        <f t="shared" ca="1" si="111"/>
        <v>149.85992801407579</v>
      </c>
      <c r="X383">
        <f t="shared" ca="1" si="121"/>
        <v>146.83638145340956</v>
      </c>
      <c r="Y383">
        <f t="shared" ca="1" si="120"/>
        <v>2.9423779140239503</v>
      </c>
      <c r="Z383">
        <f t="shared" ca="1" si="122"/>
        <v>2.3120867259484328</v>
      </c>
      <c r="AA383">
        <f t="shared" ca="1" si="123"/>
        <v>0.63029118807551754</v>
      </c>
      <c r="AB383">
        <f t="shared" ca="1" si="124"/>
        <v>147.11370000000005</v>
      </c>
    </row>
    <row r="384" spans="1:28" x14ac:dyDescent="0.25">
      <c r="A384" s="20">
        <f t="shared" ca="1" si="104"/>
        <v>45852</v>
      </c>
      <c r="B384" vm="1120">
        <f ca="1"/>
        <v>45852</v>
      </c>
      <c r="C384" vm="1121">
        <f ca="1"/>
        <v>151.65</v>
      </c>
      <c r="D384" vm="1122">
        <f ca="1"/>
        <v>10706325</v>
      </c>
      <c r="E384">
        <f t="shared" ca="1" si="105"/>
        <v>1623614186.25</v>
      </c>
      <c r="F384">
        <f ca="1">SUM($E$2:E384)/SUM($D$2:D384)</f>
        <v>150.98907079850233</v>
      </c>
      <c r="G384">
        <f ca="1">_xlfn.STDEV.P($C$2:C384)</f>
        <v>7.9339397029833032</v>
      </c>
      <c r="H384">
        <f t="shared" ca="1" si="106"/>
        <v>158.92301050148563</v>
      </c>
      <c r="I384">
        <f t="shared" ca="1" si="107"/>
        <v>143.05513109551902</v>
      </c>
      <c r="J384">
        <f t="shared" ca="1" si="116"/>
        <v>148.01500000000004</v>
      </c>
      <c r="K384">
        <f t="shared" ca="1" si="117"/>
        <v>3.7883623735968324</v>
      </c>
      <c r="L384">
        <f t="shared" ca="1" si="118"/>
        <v>155.59172474719369</v>
      </c>
      <c r="M384">
        <f t="shared" ca="1" si="119"/>
        <v>140.43827525280639</v>
      </c>
      <c r="N384">
        <f t="shared" ca="1" si="108"/>
        <v>-3.6599999999999966</v>
      </c>
      <c r="O384">
        <f t="shared" ca="1" si="109"/>
        <v>0</v>
      </c>
      <c r="P384">
        <f t="shared" ca="1" si="110"/>
        <v>3.6599999999999966</v>
      </c>
      <c r="Q384">
        <f t="shared" ca="1" si="114"/>
        <v>1.0350047260188238</v>
      </c>
      <c r="R384">
        <f t="shared" ca="1" si="115"/>
        <v>0.6813137766840619</v>
      </c>
      <c r="S384">
        <f t="shared" ca="1" si="112"/>
        <v>1.5191307756261254</v>
      </c>
      <c r="T384">
        <f t="shared" ca="1" si="113"/>
        <v>60.303767883926085</v>
      </c>
      <c r="U384">
        <f>70</f>
        <v>70</v>
      </c>
      <c r="V384">
        <f>30</f>
        <v>30</v>
      </c>
      <c r="W384">
        <f t="shared" ca="1" si="111"/>
        <v>150.13532370421797</v>
      </c>
      <c r="X384">
        <f t="shared" ca="1" si="121"/>
        <v>147.19294579019402</v>
      </c>
      <c r="Y384">
        <f t="shared" ca="1" si="120"/>
        <v>2.7686716761814125</v>
      </c>
      <c r="Z384">
        <f t="shared" ca="1" si="122"/>
        <v>2.403403715995029</v>
      </c>
      <c r="AA384">
        <f t="shared" ca="1" si="123"/>
        <v>0.36526796018638352</v>
      </c>
      <c r="AB384">
        <f t="shared" ca="1" si="124"/>
        <v>147.06860000000003</v>
      </c>
    </row>
    <row r="385" spans="1:28" x14ac:dyDescent="0.25">
      <c r="A385" s="20">
        <f t="shared" ca="1" si="104"/>
        <v>45852</v>
      </c>
      <c r="B385" vm="1123">
        <f ca="1"/>
        <v>45853</v>
      </c>
      <c r="C385" vm="1124">
        <f ca="1"/>
        <v>150.69</v>
      </c>
      <c r="D385" vm="1125">
        <f ca="1"/>
        <v>7346346</v>
      </c>
      <c r="E385">
        <f t="shared" ca="1" si="105"/>
        <v>1107020878.74</v>
      </c>
      <c r="F385">
        <f ca="1">SUM($E$2:E385)/SUM($D$2:D385)</f>
        <v>150.98837436731625</v>
      </c>
      <c r="G385">
        <f ca="1">_xlfn.STDEV.P($C$2:C385)</f>
        <v>7.9237380204066152</v>
      </c>
      <c r="H385">
        <f t="shared" ca="1" si="106"/>
        <v>158.91211238772286</v>
      </c>
      <c r="I385">
        <f t="shared" ca="1" si="107"/>
        <v>143.06463634690965</v>
      </c>
      <c r="J385">
        <f t="shared" ca="1" si="116"/>
        <v>148.25399999999999</v>
      </c>
      <c r="K385">
        <f t="shared" ca="1" si="117"/>
        <v>3.7993370612862405</v>
      </c>
      <c r="L385">
        <f t="shared" ca="1" si="118"/>
        <v>155.85267412257247</v>
      </c>
      <c r="M385">
        <f t="shared" ca="1" si="119"/>
        <v>140.65532587742752</v>
      </c>
      <c r="N385">
        <f t="shared" ca="1" si="108"/>
        <v>-0.96000000000000796</v>
      </c>
      <c r="O385">
        <f t="shared" ca="1" si="109"/>
        <v>0</v>
      </c>
      <c r="P385">
        <f t="shared" ca="1" si="110"/>
        <v>0.96000000000000796</v>
      </c>
      <c r="Q385">
        <f t="shared" ca="1" si="114"/>
        <v>0.96107581701747924</v>
      </c>
      <c r="R385">
        <f t="shared" ca="1" si="115"/>
        <v>0.70121993549234385</v>
      </c>
      <c r="S385">
        <f t="shared" ca="1" si="112"/>
        <v>1.3705768595165284</v>
      </c>
      <c r="T385">
        <f t="shared" ca="1" si="113"/>
        <v>57.816174743056138</v>
      </c>
      <c r="U385">
        <f>70</f>
        <v>70</v>
      </c>
      <c r="V385">
        <f>30</f>
        <v>30</v>
      </c>
      <c r="W385">
        <f t="shared" ca="1" si="111"/>
        <v>150.22065851895366</v>
      </c>
      <c r="X385">
        <f t="shared" ca="1" si="121"/>
        <v>147.45198684277224</v>
      </c>
      <c r="Y385">
        <f t="shared" ca="1" si="120"/>
        <v>2.539600729995044</v>
      </c>
      <c r="Z385">
        <f t="shared" ca="1" si="122"/>
        <v>2.4306431187950324</v>
      </c>
      <c r="AA385">
        <f t="shared" ca="1" si="123"/>
        <v>0.10895761120001168</v>
      </c>
      <c r="AB385">
        <f t="shared" ca="1" si="124"/>
        <v>147.00320000000005</v>
      </c>
    </row>
    <row r="386" spans="1:28" x14ac:dyDescent="0.25">
      <c r="A386" s="20">
        <f t="shared" ca="1" si="104"/>
        <v>45852</v>
      </c>
      <c r="B386" vm="1126">
        <f ca="1"/>
        <v>45854</v>
      </c>
      <c r="C386" vm="1127">
        <f ca="1"/>
        <v>149.91999999999999</v>
      </c>
      <c r="D386" vm="1128">
        <f ca="1"/>
        <v>7923427</v>
      </c>
      <c r="E386">
        <f t="shared" ca="1" si="105"/>
        <v>1187880175.8399999</v>
      </c>
      <c r="F386">
        <f ca="1">SUM($E$2:E386)/SUM($D$2:D386)</f>
        <v>150.98569778905079</v>
      </c>
      <c r="G386">
        <f ca="1">_xlfn.STDEV.P($C$2:C386)</f>
        <v>7.9139013923453216</v>
      </c>
      <c r="H386">
        <f t="shared" ca="1" si="106"/>
        <v>158.8995991813961</v>
      </c>
      <c r="I386">
        <f t="shared" ca="1" si="107"/>
        <v>143.07179639670548</v>
      </c>
      <c r="J386">
        <f t="shared" ca="1" si="116"/>
        <v>148.44850000000002</v>
      </c>
      <c r="K386">
        <f t="shared" ca="1" si="117"/>
        <v>3.7790074929244262</v>
      </c>
      <c r="L386">
        <f t="shared" ca="1" si="118"/>
        <v>156.00651498584887</v>
      </c>
      <c r="M386">
        <f t="shared" ca="1" si="119"/>
        <v>140.89048501415118</v>
      </c>
      <c r="N386">
        <f t="shared" ca="1" si="108"/>
        <v>-0.77000000000001023</v>
      </c>
      <c r="O386">
        <f t="shared" ca="1" si="109"/>
        <v>0</v>
      </c>
      <c r="P386">
        <f t="shared" ca="1" si="110"/>
        <v>0.77000000000001023</v>
      </c>
      <c r="Q386">
        <f t="shared" ca="1" si="114"/>
        <v>0.89242754437337357</v>
      </c>
      <c r="R386">
        <f t="shared" ca="1" si="115"/>
        <v>0.70613279724289146</v>
      </c>
      <c r="S386">
        <f t="shared" ca="1" si="112"/>
        <v>1.2638239547261838</v>
      </c>
      <c r="T386">
        <f t="shared" ca="1" si="113"/>
        <v>55.826953862189654</v>
      </c>
      <c r="U386">
        <f>70</f>
        <v>70</v>
      </c>
      <c r="V386">
        <f>30</f>
        <v>30</v>
      </c>
      <c r="W386">
        <f t="shared" ca="1" si="111"/>
        <v>150.17440336219155</v>
      </c>
      <c r="X386">
        <f t="shared" ca="1" si="121"/>
        <v>147.63480263219651</v>
      </c>
      <c r="Y386">
        <f t="shared" ca="1" si="120"/>
        <v>2.4476551085670053</v>
      </c>
      <c r="Z386">
        <f t="shared" ca="1" si="122"/>
        <v>2.434045516749427</v>
      </c>
      <c r="AA386">
        <f t="shared" ca="1" si="123"/>
        <v>1.3609591817578259E-2</v>
      </c>
      <c r="AB386">
        <f t="shared" ca="1" si="124"/>
        <v>146.91450000000003</v>
      </c>
    </row>
    <row r="387" spans="1:28" x14ac:dyDescent="0.25">
      <c r="A387" s="20">
        <f t="shared" ref="A387:A450" ca="1" si="125">B387 - WEEKDAY(B387, 2) + 1</f>
        <v>45852</v>
      </c>
      <c r="B387" vm="1129">
        <f ca="1"/>
        <v>45855</v>
      </c>
      <c r="C387" vm="1130">
        <f ca="1"/>
        <v>151.38</v>
      </c>
      <c r="D387" vm="1131">
        <f ca="1"/>
        <v>8359596</v>
      </c>
      <c r="E387">
        <f t="shared" ref="E387:E450" ca="1" si="126">C387*D387</f>
        <v>1265475642.48</v>
      </c>
      <c r="F387">
        <f ca="1">SUM($E$2:E387)/SUM($D$2:D387)</f>
        <v>150.9867372579952</v>
      </c>
      <c r="G387">
        <f ca="1">_xlfn.STDEV.P($C$2:C387)</f>
        <v>7.9036510066474195</v>
      </c>
      <c r="H387">
        <f t="shared" ref="H387:H450" ca="1" si="127">F387 + G387</f>
        <v>158.89038826464261</v>
      </c>
      <c r="I387">
        <f t="shared" ref="I387:I450" ca="1" si="128">F387 - G387</f>
        <v>143.08308625134779</v>
      </c>
      <c r="J387">
        <f t="shared" ca="1" si="116"/>
        <v>148.57500000000005</v>
      </c>
      <c r="K387">
        <f t="shared" ca="1" si="117"/>
        <v>3.8350838870946018</v>
      </c>
      <c r="L387">
        <f t="shared" ca="1" si="118"/>
        <v>156.24516777418924</v>
      </c>
      <c r="M387">
        <f t="shared" ca="1" si="119"/>
        <v>140.90483222581085</v>
      </c>
      <c r="N387">
        <f t="shared" ca="1" si="108"/>
        <v>1.460000000000008</v>
      </c>
      <c r="O387">
        <f t="shared" ca="1" si="109"/>
        <v>1.460000000000008</v>
      </c>
      <c r="P387">
        <f t="shared" ca="1" si="110"/>
        <v>0</v>
      </c>
      <c r="Q387">
        <f t="shared" ca="1" si="114"/>
        <v>0.93296843406099028</v>
      </c>
      <c r="R387">
        <f t="shared" ca="1" si="115"/>
        <v>0.65569474029697061</v>
      </c>
      <c r="S387">
        <f t="shared" ca="1" si="112"/>
        <v>1.4228700898812148</v>
      </c>
      <c r="T387">
        <f t="shared" ca="1" si="113"/>
        <v>58.726635646856884</v>
      </c>
      <c r="U387">
        <f>70</f>
        <v>70</v>
      </c>
      <c r="V387">
        <f>30</f>
        <v>30</v>
      </c>
      <c r="W387">
        <f t="shared" ca="1" si="111"/>
        <v>150.35987976800823</v>
      </c>
      <c r="X387">
        <f t="shared" ca="1" si="121"/>
        <v>147.91222465944122</v>
      </c>
      <c r="Y387">
        <f t="shared" ca="1" si="120"/>
        <v>2.2408298483762223</v>
      </c>
      <c r="Z387">
        <f t="shared" ca="1" si="122"/>
        <v>2.3954023830747859</v>
      </c>
      <c r="AA387">
        <f t="shared" ca="1" si="123"/>
        <v>-0.15457253469856358</v>
      </c>
      <c r="AB387">
        <f t="shared" ca="1" si="124"/>
        <v>146.85910000000004</v>
      </c>
    </row>
    <row r="388" spans="1:28" x14ac:dyDescent="0.25">
      <c r="A388" s="20">
        <f t="shared" ca="1" si="125"/>
        <v>45852</v>
      </c>
      <c r="B388" vm="1132">
        <f ca="1"/>
        <v>45856</v>
      </c>
      <c r="C388" vm="1133">
        <f ca="1"/>
        <v>150.04</v>
      </c>
      <c r="D388" vm="1134">
        <f ca="1"/>
        <v>45782636</v>
      </c>
      <c r="E388">
        <f t="shared" ca="1" si="126"/>
        <v>6869226705.4399996</v>
      </c>
      <c r="F388">
        <f ca="1">SUM($E$2:E388)/SUM($D$2:D388)</f>
        <v>150.97326309173141</v>
      </c>
      <c r="G388">
        <f ca="1">_xlfn.STDEV.P($C$2:C388)</f>
        <v>7.8938265176562661</v>
      </c>
      <c r="H388">
        <f t="shared" ca="1" si="127"/>
        <v>158.86708960938768</v>
      </c>
      <c r="I388">
        <f t="shared" ca="1" si="128"/>
        <v>143.07943657407515</v>
      </c>
      <c r="J388">
        <f t="shared" ca="1" si="116"/>
        <v>148.66750000000002</v>
      </c>
      <c r="K388">
        <f t="shared" ca="1" si="117"/>
        <v>3.8475992172836957</v>
      </c>
      <c r="L388">
        <f t="shared" ca="1" si="118"/>
        <v>156.36269843456742</v>
      </c>
      <c r="M388">
        <f t="shared" ca="1" si="119"/>
        <v>140.97230156543262</v>
      </c>
      <c r="N388">
        <f t="shared" ref="N388:N451" ca="1" si="129">C388-C387</f>
        <v>-1.3400000000000034</v>
      </c>
      <c r="O388">
        <f t="shared" ref="O388:O451" ca="1" si="130">MAX(N388,0)</f>
        <v>0</v>
      </c>
      <c r="P388">
        <f t="shared" ref="P388:P451" ca="1" si="131">MAX(-N388,0)</f>
        <v>1.3400000000000034</v>
      </c>
      <c r="Q388">
        <f t="shared" ca="1" si="114"/>
        <v>0.86632783162806237</v>
      </c>
      <c r="R388">
        <f t="shared" ca="1" si="115"/>
        <v>0.70457368741861581</v>
      </c>
      <c r="S388">
        <f t="shared" ca="1" si="112"/>
        <v>1.2295773275355681</v>
      </c>
      <c r="T388">
        <f t="shared" ca="1" si="113"/>
        <v>55.148449544679586</v>
      </c>
      <c r="U388">
        <f>70</f>
        <v>70</v>
      </c>
      <c r="V388">
        <f>30</f>
        <v>30</v>
      </c>
      <c r="W388">
        <f t="shared" ca="1" si="111"/>
        <v>150.31066749600697</v>
      </c>
      <c r="X388">
        <f t="shared" ca="1" si="121"/>
        <v>148.06983764763075</v>
      </c>
      <c r="Y388">
        <f t="shared" ca="1" si="120"/>
        <v>2.0245327943991072</v>
      </c>
      <c r="Z388">
        <f t="shared" ca="1" si="122"/>
        <v>2.3212284653396504</v>
      </c>
      <c r="AA388">
        <f t="shared" ca="1" si="123"/>
        <v>-0.29669567094054328</v>
      </c>
      <c r="AB388">
        <f t="shared" ca="1" si="124"/>
        <v>146.78060000000002</v>
      </c>
    </row>
    <row r="389" spans="1:28" x14ac:dyDescent="0.25">
      <c r="A389" s="20">
        <f t="shared" ca="1" si="125"/>
        <v>45859</v>
      </c>
      <c r="B389" vm="1135">
        <f ca="1"/>
        <v>45859</v>
      </c>
      <c r="C389" vm="1136">
        <f ca="1"/>
        <v>149.68</v>
      </c>
      <c r="D389" vm="1137">
        <f ca="1"/>
        <v>17982218</v>
      </c>
      <c r="E389">
        <f t="shared" ca="1" si="126"/>
        <v>2691578390.2400002</v>
      </c>
      <c r="F389">
        <f ca="1">SUM($E$2:E389)/SUM($D$2:D389)</f>
        <v>150.96607388755618</v>
      </c>
      <c r="G389">
        <f ca="1">_xlfn.STDEV.P($C$2:C389)</f>
        <v>7.8842414038773354</v>
      </c>
      <c r="H389">
        <f t="shared" ca="1" si="127"/>
        <v>158.8503152914335</v>
      </c>
      <c r="I389">
        <f t="shared" ca="1" si="128"/>
        <v>143.08183248367885</v>
      </c>
      <c r="J389">
        <f t="shared" ca="1" si="116"/>
        <v>148.67400000000004</v>
      </c>
      <c r="K389">
        <f t="shared" ca="1" si="117"/>
        <v>3.8492779910824297</v>
      </c>
      <c r="L389">
        <f t="shared" ca="1" si="118"/>
        <v>156.3725559821649</v>
      </c>
      <c r="M389">
        <f t="shared" ca="1" si="119"/>
        <v>140.97544401783517</v>
      </c>
      <c r="N389">
        <f t="shared" ca="1" si="129"/>
        <v>-0.35999999999998522</v>
      </c>
      <c r="O389">
        <f t="shared" ca="1" si="130"/>
        <v>0</v>
      </c>
      <c r="P389">
        <f t="shared" ca="1" si="131"/>
        <v>0.35999999999998522</v>
      </c>
      <c r="Q389">
        <f t="shared" ca="1" si="114"/>
        <v>0.80444727222605794</v>
      </c>
      <c r="R389">
        <f t="shared" ca="1" si="115"/>
        <v>0.679961281174428</v>
      </c>
      <c r="S389">
        <f t="shared" ca="1" si="112"/>
        <v>1.1830780582632852</v>
      </c>
      <c r="T389">
        <f t="shared" ca="1" si="113"/>
        <v>54.193117547270163</v>
      </c>
      <c r="U389">
        <f>70</f>
        <v>70</v>
      </c>
      <c r="V389">
        <f>30</f>
        <v>30</v>
      </c>
      <c r="W389">
        <f t="shared" ca="1" si="111"/>
        <v>150.21364172739052</v>
      </c>
      <c r="X389">
        <f t="shared" ca="1" si="121"/>
        <v>148.18910893299142</v>
      </c>
      <c r="Y389">
        <f t="shared" ca="1" si="120"/>
        <v>1.8607156404922307</v>
      </c>
      <c r="Z389">
        <f t="shared" ca="1" si="122"/>
        <v>2.2291259003701667</v>
      </c>
      <c r="AA389">
        <f t="shared" ca="1" si="123"/>
        <v>-0.36841025987793596</v>
      </c>
      <c r="AB389">
        <f t="shared" ca="1" si="124"/>
        <v>146.71320000000003</v>
      </c>
    </row>
    <row r="390" spans="1:28" x14ac:dyDescent="0.25">
      <c r="A390" s="20">
        <f t="shared" ca="1" si="125"/>
        <v>45859</v>
      </c>
      <c r="B390" vm="1138">
        <f ca="1"/>
        <v>45860</v>
      </c>
      <c r="C390" vm="1133">
        <f ca="1"/>
        <v>150.04</v>
      </c>
      <c r="D390" vm="1139">
        <f ca="1"/>
        <v>26196489</v>
      </c>
      <c r="E390">
        <f t="shared" ca="1" si="126"/>
        <v>3930521209.5599999</v>
      </c>
      <c r="F390">
        <f ca="1">SUM($E$2:E390)/SUM($D$2:D390)</f>
        <v>150.95863451134446</v>
      </c>
      <c r="G390">
        <f ca="1">_xlfn.STDEV.P($C$2:C390)</f>
        <v>7.874488888509025</v>
      </c>
      <c r="H390">
        <f t="shared" ca="1" si="127"/>
        <v>158.83312339985349</v>
      </c>
      <c r="I390">
        <f t="shared" ca="1" si="128"/>
        <v>143.08414562283542</v>
      </c>
      <c r="J390">
        <f t="shared" ca="1" si="116"/>
        <v>148.833</v>
      </c>
      <c r="K390">
        <f t="shared" ca="1" si="117"/>
        <v>3.8360589699654821</v>
      </c>
      <c r="L390">
        <f t="shared" ca="1" si="118"/>
        <v>156.50511793993095</v>
      </c>
      <c r="M390">
        <f t="shared" ca="1" si="119"/>
        <v>141.16088206006904</v>
      </c>
      <c r="N390">
        <f t="shared" ca="1" si="129"/>
        <v>0.35999999999998522</v>
      </c>
      <c r="O390">
        <f t="shared" ca="1" si="130"/>
        <v>0.35999999999998522</v>
      </c>
      <c r="P390">
        <f t="shared" ca="1" si="131"/>
        <v>0</v>
      </c>
      <c r="Q390">
        <f t="shared" ca="1" si="114"/>
        <v>0.77270103849562422</v>
      </c>
      <c r="R390">
        <f t="shared" ca="1" si="115"/>
        <v>0.63139261823339743</v>
      </c>
      <c r="S390">
        <f t="shared" ca="1" si="112"/>
        <v>1.2238043590968803</v>
      </c>
      <c r="T390">
        <f t="shared" ca="1" si="113"/>
        <v>55.032015477921149</v>
      </c>
      <c r="U390">
        <f>70</f>
        <v>70</v>
      </c>
      <c r="V390">
        <f>30</f>
        <v>30</v>
      </c>
      <c r="W390">
        <f t="shared" ca="1" si="111"/>
        <v>150.18692761548428</v>
      </c>
      <c r="X390">
        <f t="shared" ca="1" si="121"/>
        <v>148.32621197499205</v>
      </c>
      <c r="Y390">
        <f t="shared" ca="1" si="120"/>
        <v>1.956862136542469</v>
      </c>
      <c r="Z390">
        <f t="shared" ca="1" si="122"/>
        <v>2.1746731476046275</v>
      </c>
      <c r="AA390">
        <f t="shared" ca="1" si="123"/>
        <v>-0.2178110110621585</v>
      </c>
      <c r="AB390">
        <f t="shared" ca="1" si="124"/>
        <v>146.66220000000004</v>
      </c>
    </row>
    <row r="391" spans="1:28" x14ac:dyDescent="0.25">
      <c r="A391" s="20">
        <f t="shared" ca="1" si="125"/>
        <v>45859</v>
      </c>
      <c r="B391" vm="1140">
        <f ca="1"/>
        <v>45861</v>
      </c>
      <c r="C391" vm="1141">
        <f ca="1"/>
        <v>153.12</v>
      </c>
      <c r="D391" vm="1142">
        <f ca="1"/>
        <v>13162816</v>
      </c>
      <c r="E391">
        <f t="shared" ca="1" si="126"/>
        <v>2015490385.9200001</v>
      </c>
      <c r="F391">
        <f ca="1">SUM($E$2:E391)/SUM($D$2:D391)</f>
        <v>150.96732362243989</v>
      </c>
      <c r="G391">
        <f ca="1">_xlfn.STDEV.P($C$2:C391)</f>
        <v>7.864772656025508</v>
      </c>
      <c r="H391">
        <f t="shared" ca="1" si="127"/>
        <v>158.8320962784654</v>
      </c>
      <c r="I391">
        <f t="shared" ca="1" si="128"/>
        <v>143.10255096641438</v>
      </c>
      <c r="J391">
        <f t="shared" ca="1" si="116"/>
        <v>149.31149999999997</v>
      </c>
      <c r="K391">
        <f t="shared" ca="1" si="117"/>
        <v>3.7380029497890446</v>
      </c>
      <c r="L391">
        <f t="shared" ca="1" si="118"/>
        <v>156.78750589957806</v>
      </c>
      <c r="M391">
        <f t="shared" ca="1" si="119"/>
        <v>141.83549410042187</v>
      </c>
      <c r="N391">
        <f t="shared" ca="1" si="129"/>
        <v>3.0800000000000125</v>
      </c>
      <c r="O391">
        <f t="shared" ca="1" si="130"/>
        <v>3.0800000000000125</v>
      </c>
      <c r="P391">
        <f t="shared" ca="1" si="131"/>
        <v>0</v>
      </c>
      <c r="Q391">
        <f t="shared" ca="1" si="114"/>
        <v>0.93750810717450916</v>
      </c>
      <c r="R391">
        <f t="shared" ca="1" si="115"/>
        <v>0.58629314550244049</v>
      </c>
      <c r="S391">
        <f t="shared" ca="1" si="112"/>
        <v>1.5990432676320736</v>
      </c>
      <c r="T391">
        <f t="shared" ca="1" si="113"/>
        <v>61.524303482986028</v>
      </c>
      <c r="U391">
        <f>70</f>
        <v>70</v>
      </c>
      <c r="V391">
        <f>30</f>
        <v>30</v>
      </c>
      <c r="W391">
        <f t="shared" ca="1" si="111"/>
        <v>150.63816952079438</v>
      </c>
      <c r="X391">
        <f t="shared" ca="1" si="121"/>
        <v>148.68130738425191</v>
      </c>
      <c r="Y391">
        <f t="shared" ca="1" si="120"/>
        <v>2.2260725008377733</v>
      </c>
      <c r="Z391">
        <f t="shared" ca="1" si="122"/>
        <v>2.1849530182512567</v>
      </c>
      <c r="AA391">
        <f t="shared" ca="1" si="123"/>
        <v>4.1119482586516654E-2</v>
      </c>
      <c r="AB391">
        <f t="shared" ca="1" si="124"/>
        <v>146.62670000000006</v>
      </c>
    </row>
    <row r="392" spans="1:28" x14ac:dyDescent="0.25">
      <c r="A392" s="20">
        <f t="shared" ca="1" si="125"/>
        <v>45859</v>
      </c>
      <c r="B392" vm="1143">
        <f ca="1"/>
        <v>45862</v>
      </c>
      <c r="C392" vm="1144">
        <f ca="1"/>
        <v>155.83000000000001</v>
      </c>
      <c r="D392" vm="1145">
        <f ca="1"/>
        <v>15701024</v>
      </c>
      <c r="E392">
        <f t="shared" ca="1" si="126"/>
        <v>2446690569.9200001</v>
      </c>
      <c r="F392">
        <f ca="1">SUM($E$2:E392)/SUM($D$2:D392)</f>
        <v>150.99053089091151</v>
      </c>
      <c r="G392">
        <f ca="1">_xlfn.STDEV.P($C$2:C392)</f>
        <v>7.85763643694008</v>
      </c>
      <c r="H392">
        <f t="shared" ca="1" si="127"/>
        <v>158.8481673278516</v>
      </c>
      <c r="I392">
        <f t="shared" ca="1" si="128"/>
        <v>143.13289445397143</v>
      </c>
      <c r="J392">
        <f t="shared" ca="1" si="116"/>
        <v>149.94149999999999</v>
      </c>
      <c r="K392">
        <f t="shared" ca="1" si="117"/>
        <v>3.7208435305649972</v>
      </c>
      <c r="L392">
        <f t="shared" ca="1" si="118"/>
        <v>157.38318706112997</v>
      </c>
      <c r="M392">
        <f t="shared" ca="1" si="119"/>
        <v>142.49981293887001</v>
      </c>
      <c r="N392">
        <f t="shared" ca="1" si="129"/>
        <v>2.710000000000008</v>
      </c>
      <c r="O392">
        <f t="shared" ca="1" si="130"/>
        <v>2.710000000000008</v>
      </c>
      <c r="P392">
        <f t="shared" ca="1" si="131"/>
        <v>0</v>
      </c>
      <c r="Q392">
        <f t="shared" ca="1" si="114"/>
        <v>1.0641146709477591</v>
      </c>
      <c r="R392">
        <f t="shared" ca="1" si="115"/>
        <v>0.54441506368083759</v>
      </c>
      <c r="S392">
        <f t="shared" ca="1" si="112"/>
        <v>1.9546018138315044</v>
      </c>
      <c r="T392">
        <f t="shared" ca="1" si="113"/>
        <v>66.154491772168512</v>
      </c>
      <c r="U392">
        <f>70</f>
        <v>70</v>
      </c>
      <c r="V392">
        <f>30</f>
        <v>30</v>
      </c>
      <c r="W392">
        <f t="shared" ca="1" si="111"/>
        <v>151.43691267144141</v>
      </c>
      <c r="X392">
        <f t="shared" ca="1" si="121"/>
        <v>149.21084017060363</v>
      </c>
      <c r="Y392">
        <f t="shared" ca="1" si="120"/>
        <v>2.3326495953616018</v>
      </c>
      <c r="Z392">
        <f t="shared" ca="1" si="122"/>
        <v>2.2144923336733258</v>
      </c>
      <c r="AA392">
        <f t="shared" ca="1" si="123"/>
        <v>0.11815726168827601</v>
      </c>
      <c r="AB392">
        <f t="shared" ca="1" si="124"/>
        <v>146.59880000000004</v>
      </c>
    </row>
    <row r="393" spans="1:28" x14ac:dyDescent="0.25">
      <c r="A393" s="20">
        <f t="shared" ca="1" si="125"/>
        <v>45859</v>
      </c>
      <c r="B393" vm="1146">
        <f ca="1"/>
        <v>45863</v>
      </c>
      <c r="C393" vm="1147">
        <f ca="1"/>
        <v>154.84</v>
      </c>
      <c r="D393" vm="1148">
        <f ca="1"/>
        <v>7875498</v>
      </c>
      <c r="E393">
        <f t="shared" ca="1" si="126"/>
        <v>1219442110.3199999</v>
      </c>
      <c r="F393">
        <f ca="1">SUM($E$2:E393)/SUM($D$2:D393)</f>
        <v>150.99972397321909</v>
      </c>
      <c r="G393">
        <f ca="1">_xlfn.STDEV.P($C$2:C393)</f>
        <v>7.8493149572547436</v>
      </c>
      <c r="H393">
        <f t="shared" ca="1" si="127"/>
        <v>158.84903893047382</v>
      </c>
      <c r="I393">
        <f t="shared" ca="1" si="128"/>
        <v>143.15040901596436</v>
      </c>
      <c r="J393">
        <f t="shared" ca="1" si="116"/>
        <v>150.4615</v>
      </c>
      <c r="K393">
        <f t="shared" ca="1" si="117"/>
        <v>3.6373041998305951</v>
      </c>
      <c r="L393">
        <f t="shared" ca="1" si="118"/>
        <v>157.73610839966119</v>
      </c>
      <c r="M393">
        <f t="shared" ca="1" si="119"/>
        <v>143.18689160033881</v>
      </c>
      <c r="N393">
        <f t="shared" ca="1" si="129"/>
        <v>-0.99000000000000909</v>
      </c>
      <c r="O393">
        <f t="shared" ca="1" si="130"/>
        <v>0</v>
      </c>
      <c r="P393">
        <f t="shared" ca="1" si="131"/>
        <v>0.99000000000000909</v>
      </c>
      <c r="Q393">
        <f t="shared" ca="1" si="114"/>
        <v>0.9881064801657764</v>
      </c>
      <c r="R393">
        <f t="shared" ca="1" si="115"/>
        <v>0.57624255913220701</v>
      </c>
      <c r="S393">
        <f t="shared" ca="1" si="112"/>
        <v>1.7147405454637301</v>
      </c>
      <c r="T393">
        <f t="shared" ca="1" si="113"/>
        <v>63.164067311295092</v>
      </c>
      <c r="U393">
        <f>70</f>
        <v>70</v>
      </c>
      <c r="V393">
        <f>30</f>
        <v>30</v>
      </c>
      <c r="W393">
        <f t="shared" ca="1" si="111"/>
        <v>151.96046456814273</v>
      </c>
      <c r="X393">
        <f t="shared" ca="1" si="121"/>
        <v>149.62781497278112</v>
      </c>
      <c r="Y393">
        <f t="shared" ca="1" si="120"/>
        <v>2.5044390614943381</v>
      </c>
      <c r="Z393">
        <f t="shared" ca="1" si="122"/>
        <v>2.2724816792375284</v>
      </c>
      <c r="AA393">
        <f t="shared" ca="1" si="123"/>
        <v>0.23195738225680973</v>
      </c>
      <c r="AB393">
        <f t="shared" ca="1" si="124"/>
        <v>146.61630000000005</v>
      </c>
    </row>
    <row r="394" spans="1:28" x14ac:dyDescent="0.25">
      <c r="A394" s="20">
        <f t="shared" ca="1" si="125"/>
        <v>45866</v>
      </c>
      <c r="B394" vm="1149">
        <f ca="1"/>
        <v>45866</v>
      </c>
      <c r="C394" vm="216">
        <f ca="1"/>
        <v>156.28</v>
      </c>
      <c r="D394" vm="1150">
        <f ca="1"/>
        <v>8755412</v>
      </c>
      <c r="E394">
        <f t="shared" ca="1" si="126"/>
        <v>1368295787.3599999</v>
      </c>
      <c r="F394">
        <f ca="1">SUM($E$2:E394)/SUM($D$2:D394)</f>
        <v>151.01370580228388</v>
      </c>
      <c r="G394">
        <f ca="1">_xlfn.STDEV.P($C$2:C394)</f>
        <v>7.8428626564997943</v>
      </c>
      <c r="H394">
        <f t="shared" ca="1" si="127"/>
        <v>158.85656845878367</v>
      </c>
      <c r="I394">
        <f t="shared" ca="1" si="128"/>
        <v>143.17084314578409</v>
      </c>
      <c r="J394">
        <f t="shared" ca="1" si="116"/>
        <v>151.08600000000001</v>
      </c>
      <c r="K394">
        <f t="shared" ca="1" si="117"/>
        <v>3.501245492678287</v>
      </c>
      <c r="L394">
        <f t="shared" ca="1" si="118"/>
        <v>158.0884909853566</v>
      </c>
      <c r="M394">
        <f t="shared" ca="1" si="119"/>
        <v>144.08350901464343</v>
      </c>
      <c r="N394">
        <f t="shared" ca="1" si="129"/>
        <v>1.4399999999999977</v>
      </c>
      <c r="O394">
        <f t="shared" ca="1" si="130"/>
        <v>1.4399999999999977</v>
      </c>
      <c r="P394">
        <f t="shared" ca="1" si="131"/>
        <v>0</v>
      </c>
      <c r="Q394">
        <f t="shared" ca="1" si="114"/>
        <v>1.0203845887253638</v>
      </c>
      <c r="R394">
        <f t="shared" ca="1" si="115"/>
        <v>0.53508237633704936</v>
      </c>
      <c r="S394">
        <f t="shared" ca="1" si="112"/>
        <v>1.90696728924337</v>
      </c>
      <c r="T394">
        <f t="shared" ca="1" si="113"/>
        <v>65.599888113626434</v>
      </c>
      <c r="U394">
        <f>70</f>
        <v>70</v>
      </c>
      <c r="V394">
        <f>30</f>
        <v>30</v>
      </c>
      <c r="W394">
        <f t="shared" ca="1" si="111"/>
        <v>152.62500848073614</v>
      </c>
      <c r="X394">
        <f t="shared" ca="1" si="121"/>
        <v>150.1205694192418</v>
      </c>
      <c r="Y394">
        <f t="shared" ca="1" si="120"/>
        <v>2.6703203918092697</v>
      </c>
      <c r="Z394">
        <f t="shared" ca="1" si="122"/>
        <v>2.352049421751877</v>
      </c>
      <c r="AA394">
        <f t="shared" ca="1" si="123"/>
        <v>0.31827097005739269</v>
      </c>
      <c r="AB394">
        <f t="shared" ca="1" si="124"/>
        <v>146.65910000000008</v>
      </c>
    </row>
    <row r="395" spans="1:28" x14ac:dyDescent="0.25">
      <c r="A395" s="20">
        <f t="shared" ca="1" si="125"/>
        <v>45866</v>
      </c>
      <c r="B395" vm="1151">
        <f ca="1"/>
        <v>45867</v>
      </c>
      <c r="C395" vm="1152">
        <f ca="1"/>
        <v>157.03</v>
      </c>
      <c r="D395" vm="1153">
        <f ca="1"/>
        <v>6446038</v>
      </c>
      <c r="E395">
        <f t="shared" ca="1" si="126"/>
        <v>1012221347.14</v>
      </c>
      <c r="F395">
        <f ca="1">SUM($E$2:E395)/SUM($D$2:D395)</f>
        <v>151.0254117577625</v>
      </c>
      <c r="G395">
        <f ca="1">_xlfn.STDEV.P($C$2:C395)</f>
        <v>7.8376410335183353</v>
      </c>
      <c r="H395">
        <f t="shared" ca="1" si="127"/>
        <v>158.86305279128084</v>
      </c>
      <c r="I395">
        <f t="shared" ca="1" si="128"/>
        <v>143.18777072424416</v>
      </c>
      <c r="J395">
        <f t="shared" ca="1" si="116"/>
        <v>151.77800000000002</v>
      </c>
      <c r="K395">
        <f t="shared" ca="1" si="117"/>
        <v>3.2144633668533418</v>
      </c>
      <c r="L395">
        <f t="shared" ca="1" si="118"/>
        <v>158.20692673370669</v>
      </c>
      <c r="M395">
        <f t="shared" ca="1" si="119"/>
        <v>145.34907326629335</v>
      </c>
      <c r="N395">
        <f t="shared" ca="1" si="129"/>
        <v>0.75</v>
      </c>
      <c r="O395">
        <f t="shared" ca="1" si="130"/>
        <v>0.75</v>
      </c>
      <c r="P395">
        <f t="shared" ca="1" si="131"/>
        <v>0</v>
      </c>
      <c r="Q395">
        <f t="shared" ca="1" si="114"/>
        <v>1.0010714038164092</v>
      </c>
      <c r="R395">
        <f t="shared" ca="1" si="115"/>
        <v>0.49686220659868868</v>
      </c>
      <c r="S395">
        <f t="shared" ca="1" si="112"/>
        <v>2.0147867769402836</v>
      </c>
      <c r="T395">
        <f t="shared" ca="1" si="113"/>
        <v>66.830158349874978</v>
      </c>
      <c r="U395">
        <f>70</f>
        <v>70</v>
      </c>
      <c r="V395">
        <f>30</f>
        <v>30</v>
      </c>
      <c r="W395">
        <f t="shared" ca="1" si="111"/>
        <v>153.30269948369983</v>
      </c>
      <c r="X395">
        <f t="shared" ca="1" si="121"/>
        <v>150.63237909189056</v>
      </c>
      <c r="Y395">
        <f t="shared" ca="1" si="120"/>
        <v>2.4930442786165941</v>
      </c>
      <c r="Z395">
        <f t="shared" ca="1" si="122"/>
        <v>2.3802483931248206</v>
      </c>
      <c r="AA395">
        <f t="shared" ca="1" si="123"/>
        <v>0.11279588549177344</v>
      </c>
      <c r="AB395">
        <f t="shared" ca="1" si="124"/>
        <v>146.72130000000007</v>
      </c>
    </row>
    <row r="396" spans="1:28" x14ac:dyDescent="0.25">
      <c r="A396" s="20">
        <f t="shared" ca="1" si="125"/>
        <v>45866</v>
      </c>
      <c r="B396" vm="1154">
        <f ca="1"/>
        <v>45868</v>
      </c>
      <c r="C396" vm="1155">
        <f ca="1"/>
        <v>153.56</v>
      </c>
      <c r="D396" vm="1156">
        <f ca="1"/>
        <v>9191661</v>
      </c>
      <c r="E396">
        <f t="shared" ca="1" si="126"/>
        <v>1411471463.1600001</v>
      </c>
      <c r="F396">
        <f ca="1">SUM($E$2:E396)/SUM($D$2:D396)</f>
        <v>151.03242442272395</v>
      </c>
      <c r="G396">
        <f ca="1">_xlfn.STDEV.P($C$2:C396)</f>
        <v>7.8283154373571904</v>
      </c>
      <c r="H396">
        <f t="shared" ca="1" si="127"/>
        <v>158.86073986008114</v>
      </c>
      <c r="I396">
        <f t="shared" ca="1" si="128"/>
        <v>143.20410898536676</v>
      </c>
      <c r="J396">
        <f t="shared" ca="1" si="116"/>
        <v>152.17750000000004</v>
      </c>
      <c r="K396">
        <f t="shared" ca="1" si="117"/>
        <v>2.8815837659176271</v>
      </c>
      <c r="L396">
        <f t="shared" ca="1" si="118"/>
        <v>157.94066753183529</v>
      </c>
      <c r="M396">
        <f t="shared" ca="1" si="119"/>
        <v>146.41433246816479</v>
      </c>
      <c r="N396">
        <f t="shared" ca="1" si="129"/>
        <v>-3.4699999999999989</v>
      </c>
      <c r="O396">
        <f t="shared" ca="1" si="130"/>
        <v>0</v>
      </c>
      <c r="P396">
        <f t="shared" ca="1" si="131"/>
        <v>3.4699999999999989</v>
      </c>
      <c r="Q396">
        <f t="shared" ca="1" si="114"/>
        <v>0.92956630354380854</v>
      </c>
      <c r="R396">
        <f t="shared" ca="1" si="115"/>
        <v>0.70922919184163935</v>
      </c>
      <c r="S396">
        <f t="shared" ca="1" si="112"/>
        <v>1.3106712389122406</v>
      </c>
      <c r="T396">
        <f t="shared" ca="1" si="113"/>
        <v>56.722532259900596</v>
      </c>
      <c r="U396">
        <f>70</f>
        <v>70</v>
      </c>
      <c r="V396">
        <f>30</f>
        <v>30</v>
      </c>
      <c r="W396">
        <f t="shared" ca="1" si="111"/>
        <v>153.34228417851526</v>
      </c>
      <c r="X396">
        <f t="shared" ca="1" si="121"/>
        <v>150.84923989989866</v>
      </c>
      <c r="Y396">
        <f t="shared" ca="1" si="120"/>
        <v>2.1725795827691456</v>
      </c>
      <c r="Z396">
        <f t="shared" ca="1" si="122"/>
        <v>2.3387146310536857</v>
      </c>
      <c r="AA396">
        <f t="shared" ca="1" si="123"/>
        <v>-0.16613504828454007</v>
      </c>
      <c r="AB396">
        <f t="shared" ca="1" si="124"/>
        <v>146.72740000000007</v>
      </c>
    </row>
    <row r="397" spans="1:28" x14ac:dyDescent="0.25">
      <c r="A397" s="20">
        <f t="shared" ca="1" si="125"/>
        <v>45866</v>
      </c>
      <c r="B397" vm="1157">
        <f ca="1"/>
        <v>45869</v>
      </c>
      <c r="C397" vm="1158">
        <f ca="1"/>
        <v>151.63999999999999</v>
      </c>
      <c r="D397" vm="1159">
        <f ca="1"/>
        <v>10237099</v>
      </c>
      <c r="E397">
        <f t="shared" ca="1" si="126"/>
        <v>1552353692.3599999</v>
      </c>
      <c r="F397">
        <f ca="1">SUM($E$2:E397)/SUM($D$2:D397)</f>
        <v>151.03429089987463</v>
      </c>
      <c r="G397">
        <f ca="1">_xlfn.STDEV.P($C$2:C397)</f>
        <v>7.8184249598412139</v>
      </c>
      <c r="H397">
        <f t="shared" ca="1" si="127"/>
        <v>158.85271585971586</v>
      </c>
      <c r="I397">
        <f t="shared" ca="1" si="128"/>
        <v>143.21586594003341</v>
      </c>
      <c r="J397">
        <f t="shared" ca="1" si="116"/>
        <v>152.36050000000003</v>
      </c>
      <c r="K397">
        <f t="shared" ca="1" si="117"/>
        <v>2.7122247131712465</v>
      </c>
      <c r="L397">
        <f t="shared" ca="1" si="118"/>
        <v>157.78494942634254</v>
      </c>
      <c r="M397">
        <f t="shared" ca="1" si="119"/>
        <v>146.93605057365752</v>
      </c>
      <c r="N397">
        <f t="shared" ca="1" si="129"/>
        <v>-1.9200000000000159</v>
      </c>
      <c r="O397">
        <f t="shared" ca="1" si="130"/>
        <v>0</v>
      </c>
      <c r="P397">
        <f t="shared" ca="1" si="131"/>
        <v>1.9200000000000159</v>
      </c>
      <c r="Q397">
        <f t="shared" ca="1" si="114"/>
        <v>0.86316871043353649</v>
      </c>
      <c r="R397">
        <f t="shared" ca="1" si="115"/>
        <v>0.79571282099580909</v>
      </c>
      <c r="S397">
        <f t="shared" ca="1" si="112"/>
        <v>1.0847741643188664</v>
      </c>
      <c r="T397">
        <f t="shared" ca="1" si="113"/>
        <v>52.033173802941953</v>
      </c>
      <c r="U397">
        <f>70</f>
        <v>70</v>
      </c>
      <c r="V397">
        <f>30</f>
        <v>30</v>
      </c>
      <c r="W397">
        <f t="shared" ca="1" si="111"/>
        <v>153.08039430489754</v>
      </c>
      <c r="X397">
        <f t="shared" ca="1" si="121"/>
        <v>150.90781472212839</v>
      </c>
      <c r="Y397">
        <f t="shared" ca="1" si="120"/>
        <v>1.8775992132844692</v>
      </c>
      <c r="Z397">
        <f t="shared" ca="1" si="122"/>
        <v>2.2464915474998426</v>
      </c>
      <c r="AA397">
        <f t="shared" ca="1" si="123"/>
        <v>-0.36889233421537337</v>
      </c>
      <c r="AB397">
        <f t="shared" ca="1" si="124"/>
        <v>146.68040000000008</v>
      </c>
    </row>
    <row r="398" spans="1:28" x14ac:dyDescent="0.25">
      <c r="A398" s="20">
        <f t="shared" ca="1" si="125"/>
        <v>45866</v>
      </c>
      <c r="B398" vm="1160">
        <f ca="1"/>
        <v>45870</v>
      </c>
      <c r="C398" vm="1161">
        <f ca="1"/>
        <v>151.4</v>
      </c>
      <c r="D398" vm="1162">
        <f ca="1"/>
        <v>10706494</v>
      </c>
      <c r="E398">
        <f t="shared" ca="1" si="126"/>
        <v>1620963191.6000001</v>
      </c>
      <c r="F398">
        <f ca="1">SUM($E$2:E398)/SUM($D$2:D398)</f>
        <v>151.03546211161662</v>
      </c>
      <c r="G398">
        <f ca="1">_xlfn.STDEV.P($C$2:C398)</f>
        <v>7.8085806314120507</v>
      </c>
      <c r="H398">
        <f t="shared" ca="1" si="127"/>
        <v>158.84404274302867</v>
      </c>
      <c r="I398">
        <f t="shared" ca="1" si="128"/>
        <v>143.22688148020458</v>
      </c>
      <c r="J398">
        <f t="shared" ca="1" si="116"/>
        <v>152.512</v>
      </c>
      <c r="K398">
        <f t="shared" ca="1" si="117"/>
        <v>2.5578210299105453</v>
      </c>
      <c r="L398">
        <f t="shared" ca="1" si="118"/>
        <v>157.62764205982108</v>
      </c>
      <c r="M398">
        <f t="shared" ca="1" si="119"/>
        <v>147.39635794017892</v>
      </c>
      <c r="N398">
        <f t="shared" ca="1" si="129"/>
        <v>-0.23999999999998067</v>
      </c>
      <c r="O398">
        <f t="shared" ca="1" si="130"/>
        <v>0</v>
      </c>
      <c r="P398">
        <f t="shared" ca="1" si="131"/>
        <v>0.23999999999998067</v>
      </c>
      <c r="Q398">
        <f t="shared" ca="1" si="114"/>
        <v>0.8015138025454267</v>
      </c>
      <c r="R398">
        <f t="shared" ca="1" si="115"/>
        <v>0.75601904806753573</v>
      </c>
      <c r="S398">
        <f t="shared" ca="1" si="112"/>
        <v>1.0601767304596099</v>
      </c>
      <c r="T398">
        <f t="shared" ca="1" si="113"/>
        <v>51.460474957558255</v>
      </c>
      <c r="U398">
        <f>70</f>
        <v>70</v>
      </c>
      <c r="V398">
        <f>30</f>
        <v>30</v>
      </c>
      <c r="W398">
        <f t="shared" ca="1" si="111"/>
        <v>152.82187210414409</v>
      </c>
      <c r="X398">
        <f t="shared" ca="1" si="121"/>
        <v>150.94427289085962</v>
      </c>
      <c r="Y398">
        <f t="shared" ca="1" si="120"/>
        <v>1.5963741464427699</v>
      </c>
      <c r="Z398">
        <f t="shared" ca="1" si="122"/>
        <v>2.116468067288428</v>
      </c>
      <c r="AA398">
        <f t="shared" ca="1" si="123"/>
        <v>-0.52009392084565809</v>
      </c>
      <c r="AB398">
        <f t="shared" ca="1" si="124"/>
        <v>146.61870000000008</v>
      </c>
    </row>
    <row r="399" spans="1:28" x14ac:dyDescent="0.25">
      <c r="A399" s="20">
        <f t="shared" ca="1" si="125"/>
        <v>45873</v>
      </c>
      <c r="B399" vm="1163">
        <f ca="1"/>
        <v>45873</v>
      </c>
      <c r="C399" vm="82">
        <f ca="1"/>
        <v>151.04</v>
      </c>
      <c r="D399" vm="1164">
        <f ca="1"/>
        <v>10116631</v>
      </c>
      <c r="E399">
        <f t="shared" ca="1" si="126"/>
        <v>1528015946.24</v>
      </c>
      <c r="F399">
        <f ca="1">SUM($E$2:E399)/SUM($D$2:D399)</f>
        <v>151.03547580244864</v>
      </c>
      <c r="G399">
        <f ca="1">_xlfn.STDEV.P($C$2:C399)</f>
        <v>7.7988211518343604</v>
      </c>
      <c r="H399">
        <f t="shared" ca="1" si="127"/>
        <v>158.83429695428299</v>
      </c>
      <c r="I399">
        <f t="shared" ca="1" si="128"/>
        <v>143.2366546506143</v>
      </c>
      <c r="J399">
        <f t="shared" ca="1" si="116"/>
        <v>152.69400000000002</v>
      </c>
      <c r="K399">
        <f t="shared" ca="1" si="117"/>
        <v>2.2904639842525158</v>
      </c>
      <c r="L399">
        <f t="shared" ca="1" si="118"/>
        <v>157.27492796850504</v>
      </c>
      <c r="M399">
        <f t="shared" ca="1" si="119"/>
        <v>148.11307203149499</v>
      </c>
      <c r="N399">
        <f t="shared" ca="1" si="129"/>
        <v>-0.36000000000001364</v>
      </c>
      <c r="O399">
        <f t="shared" ca="1" si="130"/>
        <v>0</v>
      </c>
      <c r="P399">
        <f t="shared" ca="1" si="131"/>
        <v>0.36000000000001364</v>
      </c>
      <c r="Q399">
        <f t="shared" ca="1" si="114"/>
        <v>0.74426281664932481</v>
      </c>
      <c r="R399">
        <f t="shared" ca="1" si="115"/>
        <v>0.72773197320556982</v>
      </c>
      <c r="S399">
        <f t="shared" ca="1" si="112"/>
        <v>1.022715565692323</v>
      </c>
      <c r="T399">
        <f t="shared" ca="1" si="113"/>
        <v>50.561511615315723</v>
      </c>
      <c r="U399">
        <f>70</f>
        <v>70</v>
      </c>
      <c r="V399">
        <f>30</f>
        <v>30</v>
      </c>
      <c r="W399">
        <f t="shared" ref="W399:W462" ca="1" si="132">C399*(2/(12+1)) + W398*(1-(2/(12+1)))</f>
        <v>152.54773793427574</v>
      </c>
      <c r="X399">
        <f t="shared" ca="1" si="121"/>
        <v>150.95136378783297</v>
      </c>
      <c r="Y399">
        <f t="shared" ca="1" si="120"/>
        <v>1.5173929784449456</v>
      </c>
      <c r="Z399">
        <f t="shared" ca="1" si="122"/>
        <v>1.9966530495197317</v>
      </c>
      <c r="AA399">
        <f t="shared" ca="1" si="123"/>
        <v>-0.47926007107478608</v>
      </c>
      <c r="AB399">
        <f t="shared" ca="1" si="124"/>
        <v>146.58830000000006</v>
      </c>
    </row>
    <row r="400" spans="1:28" x14ac:dyDescent="0.25">
      <c r="A400" s="20">
        <f t="shared" ca="1" si="125"/>
        <v>45873</v>
      </c>
      <c r="B400" vm="1165">
        <f ca="1"/>
        <v>45874</v>
      </c>
      <c r="C400" vm="1166">
        <f ca="1"/>
        <v>153.04</v>
      </c>
      <c r="D400" vm="1167">
        <f ca="1"/>
        <v>8604079</v>
      </c>
      <c r="E400">
        <f t="shared" ca="1" si="126"/>
        <v>1316768250.1599998</v>
      </c>
      <c r="F400">
        <f ca="1">SUM($E$2:E400)/SUM($D$2:D400)</f>
        <v>151.04060610378275</v>
      </c>
      <c r="G400">
        <f ca="1">_xlfn.STDEV.P($C$2:C400)</f>
        <v>7.7893605163814943</v>
      </c>
      <c r="H400">
        <f t="shared" ca="1" si="127"/>
        <v>158.82996662016424</v>
      </c>
      <c r="I400">
        <f t="shared" ca="1" si="128"/>
        <v>143.25124558740126</v>
      </c>
      <c r="J400">
        <f t="shared" ca="1" si="116"/>
        <v>152.684</v>
      </c>
      <c r="K400">
        <f t="shared" ca="1" si="117"/>
        <v>2.2883903789161066</v>
      </c>
      <c r="L400">
        <f t="shared" ca="1" si="118"/>
        <v>157.26078075783221</v>
      </c>
      <c r="M400">
        <f t="shared" ca="1" si="119"/>
        <v>148.10721924216779</v>
      </c>
      <c r="N400">
        <f t="shared" ca="1" si="129"/>
        <v>2</v>
      </c>
      <c r="O400">
        <f t="shared" ca="1" si="130"/>
        <v>2</v>
      </c>
      <c r="P400">
        <f t="shared" ca="1" si="131"/>
        <v>0</v>
      </c>
      <c r="Q400">
        <f t="shared" ca="1" si="114"/>
        <v>0.83395832974580153</v>
      </c>
      <c r="R400">
        <f t="shared" ca="1" si="115"/>
        <v>0.67575111797660059</v>
      </c>
      <c r="S400">
        <f t="shared" ref="S400:S463" ca="1" si="133">IF(R400=0,NA(),Q400/R400)</f>
        <v>1.2341205327827207</v>
      </c>
      <c r="T400">
        <f t="shared" ref="T400:T463" ca="1" si="134">100-(100/(1+S400))</f>
        <v>55.239657604576749</v>
      </c>
      <c r="U400">
        <f>70</f>
        <v>70</v>
      </c>
      <c r="V400">
        <f>30</f>
        <v>30</v>
      </c>
      <c r="W400">
        <f t="shared" ca="1" si="132"/>
        <v>152.62347055977179</v>
      </c>
      <c r="X400">
        <f t="shared" ca="1" si="121"/>
        <v>151.10607758132684</v>
      </c>
      <c r="Y400">
        <f t="shared" ca="1" si="120"/>
        <v>1.4174801775527044</v>
      </c>
      <c r="Z400">
        <f t="shared" ca="1" si="122"/>
        <v>1.8808184751263264</v>
      </c>
      <c r="AA400">
        <f t="shared" ca="1" si="123"/>
        <v>-0.46333829757362199</v>
      </c>
      <c r="AB400">
        <f t="shared" ca="1" si="124"/>
        <v>146.59200000000007</v>
      </c>
    </row>
    <row r="401" spans="1:28" x14ac:dyDescent="0.25">
      <c r="A401" s="20">
        <f t="shared" ca="1" si="125"/>
        <v>45873</v>
      </c>
      <c r="B401" vm="1168">
        <f ca="1"/>
        <v>45875</v>
      </c>
      <c r="C401" vm="1169">
        <f ca="1"/>
        <v>152.78</v>
      </c>
      <c r="D401" vm="1170">
        <f ca="1"/>
        <v>7840914</v>
      </c>
      <c r="E401">
        <f t="shared" ca="1" si="126"/>
        <v>1197934840.9200001</v>
      </c>
      <c r="F401">
        <f ca="1">SUM($E$2:E401)/SUM($D$2:D401)</f>
        <v>151.04465354049586</v>
      </c>
      <c r="G401">
        <f ca="1">_xlfn.STDEV.P($C$2:C401)</f>
        <v>7.779827903623576</v>
      </c>
      <c r="H401">
        <f t="shared" ca="1" si="127"/>
        <v>158.82448144411944</v>
      </c>
      <c r="I401">
        <f t="shared" ca="1" si="128"/>
        <v>143.26482563687227</v>
      </c>
      <c r="J401">
        <f t="shared" ca="1" si="116"/>
        <v>152.672</v>
      </c>
      <c r="K401">
        <f t="shared" ca="1" si="117"/>
        <v>2.2871646432347563</v>
      </c>
      <c r="L401">
        <f t="shared" ca="1" si="118"/>
        <v>157.24632928646952</v>
      </c>
      <c r="M401">
        <f t="shared" ca="1" si="119"/>
        <v>148.09767071353048</v>
      </c>
      <c r="N401">
        <f t="shared" ca="1" si="129"/>
        <v>-0.25999999999999091</v>
      </c>
      <c r="O401">
        <f t="shared" ca="1" si="130"/>
        <v>0</v>
      </c>
      <c r="P401">
        <f t="shared" ca="1" si="131"/>
        <v>0.25999999999999091</v>
      </c>
      <c r="Q401">
        <f t="shared" ref="Q401:Q464" ca="1" si="135">(Q400*13+O401)/14</f>
        <v>0.77438987762110145</v>
      </c>
      <c r="R401">
        <f t="shared" ref="R401:R464" ca="1" si="136">(R400*13+P401)/14</f>
        <v>0.64605460954969995</v>
      </c>
      <c r="S401">
        <f t="shared" ca="1" si="133"/>
        <v>1.1986446132794426</v>
      </c>
      <c r="T401">
        <f t="shared" ca="1" si="134"/>
        <v>54.517433424202864</v>
      </c>
      <c r="U401">
        <f>70</f>
        <v>70</v>
      </c>
      <c r="V401">
        <f>30</f>
        <v>30</v>
      </c>
      <c r="W401">
        <f t="shared" ca="1" si="132"/>
        <v>152.6475520121146</v>
      </c>
      <c r="X401">
        <f t="shared" ca="1" si="121"/>
        <v>151.2300718345619</v>
      </c>
      <c r="Y401">
        <f t="shared" ca="1" si="120"/>
        <v>1.3533606876507633</v>
      </c>
      <c r="Z401">
        <f t="shared" ca="1" si="122"/>
        <v>1.7753269176312139</v>
      </c>
      <c r="AA401">
        <f t="shared" ca="1" si="123"/>
        <v>-0.42196622998045052</v>
      </c>
      <c r="AB401">
        <f t="shared" ca="1" si="124"/>
        <v>146.58370000000008</v>
      </c>
    </row>
    <row r="402" spans="1:28" x14ac:dyDescent="0.25">
      <c r="A402" s="20">
        <f t="shared" ca="1" si="125"/>
        <v>45873</v>
      </c>
      <c r="B402" vm="1171">
        <f ca="1"/>
        <v>45876</v>
      </c>
      <c r="C402" vm="1172">
        <f ca="1"/>
        <v>153.16</v>
      </c>
      <c r="D402" vm="1173">
        <f ca="1"/>
        <v>6510670</v>
      </c>
      <c r="E402">
        <f t="shared" ca="1" si="126"/>
        <v>997174217.19999993</v>
      </c>
      <c r="F402">
        <f ca="1">SUM($E$2:E402)/SUM($D$2:D402)</f>
        <v>151.04873282797774</v>
      </c>
      <c r="G402">
        <f ca="1">_xlfn.STDEV.P($C$2:C402)</f>
        <v>7.7704922547357729</v>
      </c>
      <c r="H402">
        <f t="shared" ca="1" si="127"/>
        <v>158.81922508271353</v>
      </c>
      <c r="I402">
        <f t="shared" ca="1" si="128"/>
        <v>143.27824057324196</v>
      </c>
      <c r="J402">
        <f t="shared" ca="1" si="116"/>
        <v>152.6215</v>
      </c>
      <c r="K402">
        <f t="shared" ca="1" si="117"/>
        <v>2.2633749253341993</v>
      </c>
      <c r="L402">
        <f t="shared" ca="1" si="118"/>
        <v>157.14824985066841</v>
      </c>
      <c r="M402">
        <f t="shared" ca="1" si="119"/>
        <v>148.09475014933159</v>
      </c>
      <c r="N402">
        <f t="shared" ca="1" si="129"/>
        <v>0.37999999999999545</v>
      </c>
      <c r="O402">
        <f t="shared" ca="1" si="130"/>
        <v>0.37999999999999545</v>
      </c>
      <c r="P402">
        <f t="shared" ca="1" si="131"/>
        <v>0</v>
      </c>
      <c r="Q402">
        <f t="shared" ca="1" si="135"/>
        <v>0.74621917207673671</v>
      </c>
      <c r="R402">
        <f t="shared" ca="1" si="136"/>
        <v>0.5999078517247215</v>
      </c>
      <c r="S402">
        <f t="shared" ca="1" si="133"/>
        <v>1.2438896572721518</v>
      </c>
      <c r="T402">
        <f t="shared" ca="1" si="134"/>
        <v>55.434528754159928</v>
      </c>
      <c r="U402">
        <f>70</f>
        <v>70</v>
      </c>
      <c r="V402">
        <f>30</f>
        <v>30</v>
      </c>
      <c r="W402">
        <f t="shared" ca="1" si="132"/>
        <v>152.72639016409696</v>
      </c>
      <c r="X402">
        <f t="shared" ca="1" si="121"/>
        <v>151.37302947644619</v>
      </c>
      <c r="Y402">
        <f t="shared" ca="1" si="120"/>
        <v>1.4352800538227655</v>
      </c>
      <c r="Z402">
        <f t="shared" ca="1" si="122"/>
        <v>1.7073175448695244</v>
      </c>
      <c r="AA402">
        <f t="shared" ca="1" si="123"/>
        <v>-0.27203749104675889</v>
      </c>
      <c r="AB402">
        <f t="shared" ca="1" si="124"/>
        <v>146.5451000000001</v>
      </c>
    </row>
    <row r="403" spans="1:28" x14ac:dyDescent="0.25">
      <c r="A403" s="20">
        <f t="shared" ca="1" si="125"/>
        <v>45873</v>
      </c>
      <c r="B403" vm="1174">
        <f ca="1"/>
        <v>45877</v>
      </c>
      <c r="C403" vm="1175">
        <f ca="1"/>
        <v>155.01</v>
      </c>
      <c r="D403" vm="1176">
        <f ca="1"/>
        <v>6332807</v>
      </c>
      <c r="E403">
        <f t="shared" ca="1" si="126"/>
        <v>981648413.06999993</v>
      </c>
      <c r="F403">
        <f ca="1">SUM($E$2:E403)/SUM($D$2:D403)</f>
        <v>151.05614923654758</v>
      </c>
      <c r="G403">
        <f ca="1">_xlfn.STDEV.P($C$2:C403)</f>
        <v>7.7626351974320347</v>
      </c>
      <c r="H403">
        <f t="shared" ca="1" si="127"/>
        <v>158.81878443397963</v>
      </c>
      <c r="I403">
        <f t="shared" ca="1" si="128"/>
        <v>143.29351403911554</v>
      </c>
      <c r="J403">
        <f t="shared" ca="1" si="116"/>
        <v>152.60650000000001</v>
      </c>
      <c r="K403">
        <f t="shared" ca="1" si="117"/>
        <v>2.2455435984704439</v>
      </c>
      <c r="L403">
        <f t="shared" ca="1" si="118"/>
        <v>157.09758719694091</v>
      </c>
      <c r="M403">
        <f t="shared" ca="1" si="119"/>
        <v>148.11541280305912</v>
      </c>
      <c r="N403">
        <f t="shared" ca="1" si="129"/>
        <v>1.8499999999999943</v>
      </c>
      <c r="O403">
        <f t="shared" ca="1" si="130"/>
        <v>1.8499999999999943</v>
      </c>
      <c r="P403">
        <f t="shared" ca="1" si="131"/>
        <v>0</v>
      </c>
      <c r="Q403">
        <f t="shared" ca="1" si="135"/>
        <v>0.82506065978554077</v>
      </c>
      <c r="R403">
        <f t="shared" ca="1" si="136"/>
        <v>0.55705729088724143</v>
      </c>
      <c r="S403">
        <f t="shared" ca="1" si="133"/>
        <v>1.4811055761812983</v>
      </c>
      <c r="T403">
        <f t="shared" ca="1" si="134"/>
        <v>59.695387024234861</v>
      </c>
      <c r="U403">
        <f>70</f>
        <v>70</v>
      </c>
      <c r="V403">
        <f>30</f>
        <v>30</v>
      </c>
      <c r="W403">
        <f t="shared" ca="1" si="132"/>
        <v>153.0777147542359</v>
      </c>
      <c r="X403">
        <f t="shared" ca="1" si="121"/>
        <v>151.64243470041313</v>
      </c>
      <c r="Y403">
        <f t="shared" ca="1" si="120"/>
        <v>1.3586609811219148</v>
      </c>
      <c r="Z403">
        <f t="shared" ca="1" si="122"/>
        <v>1.6375862321200025</v>
      </c>
      <c r="AA403">
        <f t="shared" ca="1" si="123"/>
        <v>-0.27892525099808774</v>
      </c>
      <c r="AB403">
        <f t="shared" ca="1" si="124"/>
        <v>146.5080000000001</v>
      </c>
    </row>
    <row r="404" spans="1:28" x14ac:dyDescent="0.25">
      <c r="A404" s="20">
        <f t="shared" ca="1" si="125"/>
        <v>45880</v>
      </c>
      <c r="B404" vm="1177">
        <f ca="1"/>
        <v>45880</v>
      </c>
      <c r="C404" vm="1178">
        <f ca="1"/>
        <v>153.44999999999999</v>
      </c>
      <c r="D404" vm="1179">
        <f ca="1"/>
        <v>6169716</v>
      </c>
      <c r="E404">
        <f t="shared" ca="1" si="126"/>
        <v>946742920.19999993</v>
      </c>
      <c r="F404">
        <f ca="1">SUM($E$2:E404)/SUM($D$2:D404)</f>
        <v>151.06050770660926</v>
      </c>
      <c r="G404">
        <f ca="1">_xlfn.STDEV.P($C$2:C404)</f>
        <v>7.7535154118981424</v>
      </c>
      <c r="H404">
        <f t="shared" ca="1" si="127"/>
        <v>158.81402311850741</v>
      </c>
      <c r="I404">
        <f t="shared" ca="1" si="128"/>
        <v>143.30699229471111</v>
      </c>
      <c r="J404">
        <f t="shared" ca="1" si="116"/>
        <v>152.69649999999996</v>
      </c>
      <c r="K404">
        <f t="shared" ca="1" si="117"/>
        <v>2.2412573421372706</v>
      </c>
      <c r="L404">
        <f t="shared" ca="1" si="118"/>
        <v>157.17901468427451</v>
      </c>
      <c r="M404">
        <f t="shared" ca="1" si="119"/>
        <v>148.21398531572541</v>
      </c>
      <c r="N404">
        <f t="shared" ca="1" si="129"/>
        <v>-1.5600000000000023</v>
      </c>
      <c r="O404">
        <f t="shared" ca="1" si="130"/>
        <v>0</v>
      </c>
      <c r="P404">
        <f t="shared" ca="1" si="131"/>
        <v>1.5600000000000023</v>
      </c>
      <c r="Q404">
        <f t="shared" ca="1" si="135"/>
        <v>0.766127755515145</v>
      </c>
      <c r="R404">
        <f t="shared" ca="1" si="136"/>
        <v>0.62869605582386712</v>
      </c>
      <c r="S404">
        <f t="shared" ca="1" si="133"/>
        <v>1.2185979988552373</v>
      </c>
      <c r="T404">
        <f t="shared" ca="1" si="134"/>
        <v>54.926489588650824</v>
      </c>
      <c r="U404">
        <f>70</f>
        <v>70</v>
      </c>
      <c r="V404">
        <f>30</f>
        <v>30</v>
      </c>
      <c r="W404">
        <f t="shared" ca="1" si="132"/>
        <v>153.13498940743037</v>
      </c>
      <c r="X404">
        <f t="shared" ca="1" si="121"/>
        <v>151.77632842630845</v>
      </c>
      <c r="Y404">
        <f t="shared" ca="1" si="120"/>
        <v>1.3621228360586031</v>
      </c>
      <c r="Z404">
        <f t="shared" ca="1" si="122"/>
        <v>1.5824935529077229</v>
      </c>
      <c r="AA404">
        <f t="shared" ca="1" si="123"/>
        <v>-0.2203707168491198</v>
      </c>
      <c r="AB404">
        <f t="shared" ca="1" si="124"/>
        <v>146.4344000000001</v>
      </c>
    </row>
    <row r="405" spans="1:28" x14ac:dyDescent="0.25">
      <c r="A405" s="20">
        <f t="shared" ca="1" si="125"/>
        <v>45880</v>
      </c>
      <c r="B405" vm="1180">
        <f ca="1"/>
        <v>45881</v>
      </c>
      <c r="C405" vm="1181">
        <f ca="1"/>
        <v>154.44</v>
      </c>
      <c r="D405" vm="1182">
        <f ca="1"/>
        <v>6645373</v>
      </c>
      <c r="E405">
        <f t="shared" ca="1" si="126"/>
        <v>1026311406.12</v>
      </c>
      <c r="F405">
        <f ca="1">SUM($E$2:E405)/SUM($D$2:D405)</f>
        <v>151.06712212710087</v>
      </c>
      <c r="G405">
        <f ca="1">_xlfn.STDEV.P($C$2:C405)</f>
        <v>7.7451505397977281</v>
      </c>
      <c r="H405">
        <f t="shared" ca="1" si="127"/>
        <v>158.81227266689859</v>
      </c>
      <c r="I405">
        <f t="shared" ca="1" si="128"/>
        <v>143.32197158730315</v>
      </c>
      <c r="J405">
        <f t="shared" ca="1" si="116"/>
        <v>152.88399999999999</v>
      </c>
      <c r="K405">
        <f t="shared" ca="1" si="117"/>
        <v>2.2213329331732363</v>
      </c>
      <c r="L405">
        <f t="shared" ca="1" si="118"/>
        <v>157.32666586634645</v>
      </c>
      <c r="M405">
        <f t="shared" ca="1" si="119"/>
        <v>148.44133413365353</v>
      </c>
      <c r="N405">
        <f t="shared" ca="1" si="129"/>
        <v>0.99000000000000909</v>
      </c>
      <c r="O405">
        <f t="shared" ca="1" si="130"/>
        <v>0.99000000000000909</v>
      </c>
      <c r="P405">
        <f t="shared" ca="1" si="131"/>
        <v>0</v>
      </c>
      <c r="Q405">
        <f t="shared" ca="1" si="135"/>
        <v>0.78211863012120664</v>
      </c>
      <c r="R405">
        <f t="shared" ca="1" si="136"/>
        <v>0.58378919469359081</v>
      </c>
      <c r="S405">
        <f t="shared" ca="1" si="133"/>
        <v>1.3397278285215806</v>
      </c>
      <c r="T405">
        <f t="shared" ca="1" si="134"/>
        <v>57.259986062914138</v>
      </c>
      <c r="U405">
        <f>70</f>
        <v>70</v>
      </c>
      <c r="V405">
        <f>30</f>
        <v>30</v>
      </c>
      <c r="W405">
        <f t="shared" ca="1" si="132"/>
        <v>153.33576026782569</v>
      </c>
      <c r="X405">
        <f t="shared" ca="1" si="121"/>
        <v>151.97363743176709</v>
      </c>
      <c r="Y405">
        <f t="shared" ca="1" si="120"/>
        <v>1.463386422279001</v>
      </c>
      <c r="Z405">
        <f t="shared" ca="1" si="122"/>
        <v>1.5586721267819788</v>
      </c>
      <c r="AA405">
        <f t="shared" ca="1" si="123"/>
        <v>-9.5285704502977797E-2</v>
      </c>
      <c r="AB405">
        <f t="shared" ca="1" si="124"/>
        <v>146.33830000000009</v>
      </c>
    </row>
    <row r="406" spans="1:28" x14ac:dyDescent="0.25">
      <c r="A406" s="20">
        <f t="shared" ca="1" si="125"/>
        <v>45880</v>
      </c>
      <c r="B406" vm="1183">
        <f ca="1"/>
        <v>45882</v>
      </c>
      <c r="C406" vm="1184">
        <f ca="1"/>
        <v>155.87</v>
      </c>
      <c r="D406" vm="1185">
        <f ca="1"/>
        <v>6582191</v>
      </c>
      <c r="E406">
        <f t="shared" ca="1" si="126"/>
        <v>1025966111.1700001</v>
      </c>
      <c r="F406">
        <f ca="1">SUM($E$2:E406)/SUM($D$2:D406)</f>
        <v>151.07641504043204</v>
      </c>
      <c r="G406">
        <f ca="1">_xlfn.STDEV.P($C$2:C406)</f>
        <v>7.7384022538940638</v>
      </c>
      <c r="H406">
        <f t="shared" ca="1" si="127"/>
        <v>158.8148172943261</v>
      </c>
      <c r="I406">
        <f t="shared" ca="1" si="128"/>
        <v>143.33801278653797</v>
      </c>
      <c r="J406">
        <f t="shared" ref="J406:J469" ca="1" si="137">AVERAGE(C387:C406)</f>
        <v>153.18149999999997</v>
      </c>
      <c r="K406">
        <f t="shared" ref="K406:K469" ca="1" si="138">_xlfn.STDEV.S(C387:C406)</f>
        <v>2.2018276499308502</v>
      </c>
      <c r="L406">
        <f t="shared" ref="L406:L469" ca="1" si="139">J406 + 2*K406</f>
        <v>157.58515529986167</v>
      </c>
      <c r="M406">
        <f t="shared" ref="M406:M469" ca="1" si="140">J406-2*K406</f>
        <v>148.77784470013827</v>
      </c>
      <c r="N406">
        <f t="shared" ca="1" si="129"/>
        <v>1.4300000000000068</v>
      </c>
      <c r="O406">
        <f t="shared" ca="1" si="130"/>
        <v>1.4300000000000068</v>
      </c>
      <c r="P406">
        <f t="shared" ca="1" si="131"/>
        <v>0</v>
      </c>
      <c r="Q406">
        <f t="shared" ca="1" si="135"/>
        <v>0.82839587082683519</v>
      </c>
      <c r="R406">
        <f t="shared" ca="1" si="136"/>
        <v>0.54208996650119146</v>
      </c>
      <c r="S406">
        <f t="shared" ca="1" si="133"/>
        <v>1.5281520080025581</v>
      </c>
      <c r="T406">
        <f t="shared" ca="1" si="134"/>
        <v>60.44541638182271</v>
      </c>
      <c r="U406">
        <f>70</f>
        <v>70</v>
      </c>
      <c r="V406">
        <f>30</f>
        <v>30</v>
      </c>
      <c r="W406">
        <f t="shared" ca="1" si="132"/>
        <v>153.72564330354481</v>
      </c>
      <c r="X406">
        <f t="shared" ca="1" si="121"/>
        <v>152.26225688126581</v>
      </c>
      <c r="Y406">
        <f t="shared" ca="1" si="120"/>
        <v>1.4694090448473389</v>
      </c>
      <c r="Z406">
        <f t="shared" ca="1" si="122"/>
        <v>1.5408195103950511</v>
      </c>
      <c r="AA406">
        <f t="shared" ca="1" si="123"/>
        <v>-7.1410465547712132E-2</v>
      </c>
      <c r="AB406">
        <f t="shared" ca="1" si="124"/>
        <v>146.24930000000012</v>
      </c>
    </row>
    <row r="407" spans="1:28" x14ac:dyDescent="0.25">
      <c r="A407" s="20">
        <f t="shared" ca="1" si="125"/>
        <v>45880</v>
      </c>
      <c r="B407" vm="1186">
        <f ca="1"/>
        <v>45883</v>
      </c>
      <c r="C407" vm="1187">
        <f ca="1"/>
        <v>155.16</v>
      </c>
      <c r="D407" vm="1188">
        <f ca="1"/>
        <v>7337258</v>
      </c>
      <c r="E407">
        <f t="shared" ca="1" si="126"/>
        <v>1138448951.28</v>
      </c>
      <c r="F407">
        <f ca="1">SUM($E$2:E407)/SUM($D$2:D407)</f>
        <v>151.0852036376881</v>
      </c>
      <c r="G407">
        <f ca="1">_xlfn.STDEV.P($C$2:C407)</f>
        <v>7.7308002886874299</v>
      </c>
      <c r="H407">
        <f t="shared" ca="1" si="127"/>
        <v>158.81600392637552</v>
      </c>
      <c r="I407">
        <f t="shared" ca="1" si="128"/>
        <v>143.35440334900068</v>
      </c>
      <c r="J407">
        <f t="shared" ca="1" si="137"/>
        <v>153.37049999999996</v>
      </c>
      <c r="K407">
        <f t="shared" ca="1" si="138"/>
        <v>2.2012854498176644</v>
      </c>
      <c r="L407">
        <f t="shared" ca="1" si="139"/>
        <v>157.77307089963529</v>
      </c>
      <c r="M407">
        <f t="shared" ca="1" si="140"/>
        <v>148.96792910036464</v>
      </c>
      <c r="N407">
        <f t="shared" ca="1" si="129"/>
        <v>-0.71000000000000796</v>
      </c>
      <c r="O407">
        <f t="shared" ca="1" si="130"/>
        <v>0</v>
      </c>
      <c r="P407">
        <f t="shared" ca="1" si="131"/>
        <v>0.71000000000000796</v>
      </c>
      <c r="Q407">
        <f t="shared" ca="1" si="135"/>
        <v>0.76922473719634699</v>
      </c>
      <c r="R407">
        <f t="shared" ca="1" si="136"/>
        <v>0.55408354032253548</v>
      </c>
      <c r="S407">
        <f t="shared" ca="1" si="133"/>
        <v>1.3882829595489814</v>
      </c>
      <c r="T407">
        <f t="shared" ca="1" si="134"/>
        <v>58.128914498940006</v>
      </c>
      <c r="U407">
        <f>70</f>
        <v>70</v>
      </c>
      <c r="V407">
        <f>30</f>
        <v>30</v>
      </c>
      <c r="W407">
        <f t="shared" ca="1" si="132"/>
        <v>153.94631356453792</v>
      </c>
      <c r="X407">
        <f t="shared" ca="1" si="121"/>
        <v>152.47690451969058</v>
      </c>
      <c r="Y407">
        <f t="shared" ca="1" si="120"/>
        <v>1.5682654124453848</v>
      </c>
      <c r="Z407">
        <f t="shared" ca="1" si="122"/>
        <v>1.5463086908051178</v>
      </c>
      <c r="AA407">
        <f t="shared" ca="1" si="123"/>
        <v>2.1956721640266963E-2</v>
      </c>
      <c r="AB407">
        <f t="shared" ca="1" si="124"/>
        <v>146.15340000000012</v>
      </c>
    </row>
    <row r="408" spans="1:28" x14ac:dyDescent="0.25">
      <c r="A408" s="20">
        <f t="shared" ca="1" si="125"/>
        <v>45880</v>
      </c>
      <c r="B408" vm="1189">
        <f ca="1"/>
        <v>45884</v>
      </c>
      <c r="C408" vm="1190">
        <f ca="1"/>
        <v>156.55000000000001</v>
      </c>
      <c r="D408" vm="1191">
        <f ca="1"/>
        <v>11617047</v>
      </c>
      <c r="E408">
        <f t="shared" ca="1" si="126"/>
        <v>1818648707.8500001</v>
      </c>
      <c r="F408">
        <f ca="1">SUM($E$2:E408)/SUM($D$2:D408)</f>
        <v>151.1037618675706</v>
      </c>
      <c r="G408">
        <f ca="1">_xlfn.STDEV.P($C$2:C408)</f>
        <v>7.7250601094658684</v>
      </c>
      <c r="H408">
        <f t="shared" ca="1" si="127"/>
        <v>158.82882197703645</v>
      </c>
      <c r="I408">
        <f t="shared" ca="1" si="128"/>
        <v>143.37870175810474</v>
      </c>
      <c r="J408">
        <f t="shared" ca="1" si="137"/>
        <v>153.69599999999997</v>
      </c>
      <c r="K408">
        <f t="shared" ca="1" si="138"/>
        <v>2.1638839350137373</v>
      </c>
      <c r="L408">
        <f t="shared" ca="1" si="139"/>
        <v>158.02376787002746</v>
      </c>
      <c r="M408">
        <f t="shared" ca="1" si="140"/>
        <v>149.36823212997248</v>
      </c>
      <c r="N408">
        <f t="shared" ca="1" si="129"/>
        <v>1.3900000000000148</v>
      </c>
      <c r="O408">
        <f t="shared" ca="1" si="130"/>
        <v>1.3900000000000148</v>
      </c>
      <c r="P408">
        <f t="shared" ca="1" si="131"/>
        <v>0</v>
      </c>
      <c r="Q408">
        <f t="shared" ca="1" si="135"/>
        <v>0.81356582739660888</v>
      </c>
      <c r="R408">
        <f t="shared" ca="1" si="136"/>
        <v>0.51450614458521149</v>
      </c>
      <c r="S408">
        <f t="shared" ca="1" si="133"/>
        <v>1.5812558041507854</v>
      </c>
      <c r="T408">
        <f t="shared" ca="1" si="134"/>
        <v>61.259167015064875</v>
      </c>
      <c r="U408">
        <f>70</f>
        <v>70</v>
      </c>
      <c r="V408">
        <f>30</f>
        <v>30</v>
      </c>
      <c r="W408">
        <f t="shared" ca="1" si="132"/>
        <v>154.34688070845516</v>
      </c>
      <c r="X408">
        <f t="shared" ca="1" si="121"/>
        <v>152.77861529600978</v>
      </c>
      <c r="Y408">
        <f t="shared" ca="1" si="120"/>
        <v>1.5297253538689688</v>
      </c>
      <c r="Z408">
        <f t="shared" ca="1" si="122"/>
        <v>1.5429920234178882</v>
      </c>
      <c r="AA408">
        <f t="shared" ca="1" si="123"/>
        <v>-1.3266669548919419E-2</v>
      </c>
      <c r="AB408">
        <f t="shared" ca="1" si="124"/>
        <v>146.06870000000009</v>
      </c>
    </row>
    <row r="409" spans="1:28" x14ac:dyDescent="0.25">
      <c r="A409" s="20">
        <f t="shared" ca="1" si="125"/>
        <v>45887</v>
      </c>
      <c r="B409" vm="1192">
        <f ca="1"/>
        <v>45887</v>
      </c>
      <c r="C409" vm="1193">
        <f ca="1"/>
        <v>155.32</v>
      </c>
      <c r="D409" vm="1194">
        <f ca="1"/>
        <v>8174280</v>
      </c>
      <c r="E409">
        <f t="shared" ca="1" si="126"/>
        <v>1269629169.5999999</v>
      </c>
      <c r="F409">
        <f ca="1">SUM($E$2:E409)/SUM($D$2:D409)</f>
        <v>151.11381276708553</v>
      </c>
      <c r="G409">
        <f ca="1">_xlfn.STDEV.P($C$2:C409)</f>
        <v>7.7176723170816555</v>
      </c>
      <c r="H409">
        <f t="shared" ca="1" si="127"/>
        <v>158.83148508416718</v>
      </c>
      <c r="I409">
        <f t="shared" ca="1" si="128"/>
        <v>143.39614045000388</v>
      </c>
      <c r="J409">
        <f t="shared" ca="1" si="137"/>
        <v>153.97800000000001</v>
      </c>
      <c r="K409">
        <f t="shared" ca="1" si="138"/>
        <v>1.9719629547070239</v>
      </c>
      <c r="L409">
        <f t="shared" ca="1" si="139"/>
        <v>157.92192590941406</v>
      </c>
      <c r="M409">
        <f t="shared" ca="1" si="140"/>
        <v>150.03407409058596</v>
      </c>
      <c r="N409">
        <f t="shared" ca="1" si="129"/>
        <v>-1.2300000000000182</v>
      </c>
      <c r="O409">
        <f t="shared" ca="1" si="130"/>
        <v>0</v>
      </c>
      <c r="P409">
        <f t="shared" ca="1" si="131"/>
        <v>1.2300000000000182</v>
      </c>
      <c r="Q409">
        <f t="shared" ca="1" si="135"/>
        <v>0.75545398258256546</v>
      </c>
      <c r="R409">
        <f t="shared" ca="1" si="136"/>
        <v>0.56561284854341198</v>
      </c>
      <c r="S409">
        <f t="shared" ca="1" si="133"/>
        <v>1.335637944802774</v>
      </c>
      <c r="T409">
        <f t="shared" ca="1" si="134"/>
        <v>57.18514497398089</v>
      </c>
      <c r="U409">
        <f>70</f>
        <v>70</v>
      </c>
      <c r="V409">
        <f>30</f>
        <v>30</v>
      </c>
      <c r="W409">
        <f t="shared" ca="1" si="132"/>
        <v>154.49659136869283</v>
      </c>
      <c r="X409">
        <f t="shared" ca="1" si="121"/>
        <v>152.96686601482386</v>
      </c>
      <c r="Y409">
        <f t="shared" ca="1" si="120"/>
        <v>1.2172540788718322</v>
      </c>
      <c r="Z409">
        <f t="shared" ca="1" si="122"/>
        <v>1.4778444345086772</v>
      </c>
      <c r="AA409">
        <f t="shared" ca="1" si="123"/>
        <v>-0.26059035563684496</v>
      </c>
      <c r="AB409">
        <f t="shared" ca="1" si="124"/>
        <v>145.96250000000006</v>
      </c>
    </row>
    <row r="410" spans="1:28" x14ac:dyDescent="0.25">
      <c r="A410" s="20">
        <f t="shared" ca="1" si="125"/>
        <v>45887</v>
      </c>
      <c r="B410" vm="1195">
        <f ca="1"/>
        <v>45888</v>
      </c>
      <c r="C410" vm="142">
        <f ca="1"/>
        <v>152</v>
      </c>
      <c r="D410" vm="1196">
        <f ca="1"/>
        <v>8567476</v>
      </c>
      <c r="E410">
        <f t="shared" ca="1" si="126"/>
        <v>1302256352</v>
      </c>
      <c r="F410">
        <f ca="1">SUM($E$2:E410)/SUM($D$2:D410)</f>
        <v>151.11602140708882</v>
      </c>
      <c r="G410">
        <f ca="1">_xlfn.STDEV.P($C$2:C410)</f>
        <v>7.7082458723225571</v>
      </c>
      <c r="H410">
        <f t="shared" ca="1" si="127"/>
        <v>158.82426727941137</v>
      </c>
      <c r="I410">
        <f t="shared" ca="1" si="128"/>
        <v>143.40777553476627</v>
      </c>
      <c r="J410">
        <f t="shared" ca="1" si="137"/>
        <v>154.07600000000002</v>
      </c>
      <c r="K410">
        <f t="shared" ca="1" si="138"/>
        <v>1.8078291721812336</v>
      </c>
      <c r="L410">
        <f t="shared" ca="1" si="139"/>
        <v>157.69165834436248</v>
      </c>
      <c r="M410">
        <f t="shared" ca="1" si="140"/>
        <v>150.46034165563756</v>
      </c>
      <c r="N410">
        <f t="shared" ca="1" si="129"/>
        <v>-3.3199999999999932</v>
      </c>
      <c r="O410">
        <f t="shared" ca="1" si="130"/>
        <v>0</v>
      </c>
      <c r="P410">
        <f t="shared" ca="1" si="131"/>
        <v>3.3199999999999932</v>
      </c>
      <c r="Q410">
        <f t="shared" ca="1" si="135"/>
        <v>0.70149298382666792</v>
      </c>
      <c r="R410">
        <f t="shared" ca="1" si="136"/>
        <v>0.7623547879331678</v>
      </c>
      <c r="S410">
        <f t="shared" ca="1" si="133"/>
        <v>0.92016603677206088</v>
      </c>
      <c r="T410">
        <f t="shared" ca="1" si="134"/>
        <v>47.921170312903101</v>
      </c>
      <c r="U410">
        <f>70</f>
        <v>70</v>
      </c>
      <c r="V410">
        <f>30</f>
        <v>30</v>
      </c>
      <c r="W410">
        <f t="shared" ca="1" si="132"/>
        <v>154.11250038889395</v>
      </c>
      <c r="X410">
        <f t="shared" ca="1" si="121"/>
        <v>152.89524631002212</v>
      </c>
      <c r="Y410">
        <f t="shared" ca="1" si="120"/>
        <v>1.0558904978470594</v>
      </c>
      <c r="Z410">
        <f t="shared" ca="1" si="122"/>
        <v>1.3934536471763537</v>
      </c>
      <c r="AA410">
        <f t="shared" ca="1" si="123"/>
        <v>-0.33756314932929432</v>
      </c>
      <c r="AB410">
        <f t="shared" ca="1" si="124"/>
        <v>145.80280000000008</v>
      </c>
    </row>
    <row r="411" spans="1:28" x14ac:dyDescent="0.25">
      <c r="A411" s="20">
        <f t="shared" ca="1" si="125"/>
        <v>45887</v>
      </c>
      <c r="B411" vm="1197">
        <f ca="1"/>
        <v>45889</v>
      </c>
      <c r="C411" vm="804">
        <f ca="1"/>
        <v>153.22</v>
      </c>
      <c r="D411" vm="1198">
        <f ca="1"/>
        <v>8076269</v>
      </c>
      <c r="E411">
        <f t="shared" ca="1" si="126"/>
        <v>1237445936.1800001</v>
      </c>
      <c r="F411">
        <f ca="1">SUM($E$2:E411)/SUM($D$2:D411)</f>
        <v>151.1209529124018</v>
      </c>
      <c r="G411">
        <f ca="1">_xlfn.STDEV.P($C$2:C411)</f>
        <v>7.6992040359011567</v>
      </c>
      <c r="H411">
        <f t="shared" ca="1" si="127"/>
        <v>158.82015694830295</v>
      </c>
      <c r="I411">
        <f t="shared" ca="1" si="128"/>
        <v>143.42174887650066</v>
      </c>
      <c r="J411">
        <f t="shared" ca="1" si="137"/>
        <v>154.08099999999999</v>
      </c>
      <c r="K411">
        <f t="shared" ca="1" si="138"/>
        <v>1.8051823059997978</v>
      </c>
      <c r="L411">
        <f t="shared" ca="1" si="139"/>
        <v>157.69136461199957</v>
      </c>
      <c r="M411">
        <f t="shared" ca="1" si="140"/>
        <v>150.4706353880004</v>
      </c>
      <c r="N411">
        <f t="shared" ca="1" si="129"/>
        <v>1.2199999999999989</v>
      </c>
      <c r="O411">
        <f t="shared" ca="1" si="130"/>
        <v>1.2199999999999989</v>
      </c>
      <c r="P411">
        <f t="shared" ca="1" si="131"/>
        <v>0</v>
      </c>
      <c r="Q411">
        <f t="shared" ca="1" si="135"/>
        <v>0.73852919926762006</v>
      </c>
      <c r="R411">
        <f t="shared" ca="1" si="136"/>
        <v>0.70790087450937011</v>
      </c>
      <c r="S411">
        <f t="shared" ca="1" si="133"/>
        <v>1.0432664033357464</v>
      </c>
      <c r="T411">
        <f t="shared" ca="1" si="134"/>
        <v>51.058755805535476</v>
      </c>
      <c r="U411">
        <f>70</f>
        <v>70</v>
      </c>
      <c r="V411">
        <f>30</f>
        <v>30</v>
      </c>
      <c r="W411">
        <f t="shared" ca="1" si="132"/>
        <v>153.97519263675642</v>
      </c>
      <c r="X411">
        <f t="shared" ca="1" si="121"/>
        <v>152.91930213890936</v>
      </c>
      <c r="Y411">
        <f t="shared" ca="1" si="120"/>
        <v>1.1033020455017777</v>
      </c>
      <c r="Z411">
        <f t="shared" ca="1" si="122"/>
        <v>1.3354233268414384</v>
      </c>
      <c r="AA411">
        <f t="shared" ca="1" si="123"/>
        <v>-0.2321212813396607</v>
      </c>
      <c r="AB411">
        <f t="shared" ca="1" si="124"/>
        <v>145.66850000000008</v>
      </c>
    </row>
    <row r="412" spans="1:28" x14ac:dyDescent="0.25">
      <c r="A412" s="20">
        <f t="shared" ca="1" si="125"/>
        <v>45887</v>
      </c>
      <c r="B412" vm="1199">
        <f ca="1"/>
        <v>45890</v>
      </c>
      <c r="C412" vm="154">
        <f ca="1"/>
        <v>155.55000000000001</v>
      </c>
      <c r="D412" vm="1200">
        <f ca="1"/>
        <v>7533625</v>
      </c>
      <c r="E412">
        <f t="shared" ca="1" si="126"/>
        <v>1171855368.75</v>
      </c>
      <c r="F412">
        <f ca="1">SUM($E$2:E412)/SUM($D$2:D412)</f>
        <v>151.13061549457149</v>
      </c>
      <c r="G412">
        <f ca="1">_xlfn.STDEV.P($C$2:C412)</f>
        <v>7.6921640963867812</v>
      </c>
      <c r="H412">
        <f t="shared" ca="1" si="127"/>
        <v>158.82277959095828</v>
      </c>
      <c r="I412">
        <f t="shared" ca="1" si="128"/>
        <v>143.4384513981847</v>
      </c>
      <c r="J412">
        <f t="shared" ca="1" si="137"/>
        <v>154.06700000000001</v>
      </c>
      <c r="K412">
        <f t="shared" ca="1" si="138"/>
        <v>1.7919413171782543</v>
      </c>
      <c r="L412">
        <f t="shared" ca="1" si="139"/>
        <v>157.65088263435652</v>
      </c>
      <c r="M412">
        <f t="shared" ca="1" si="140"/>
        <v>150.48311736564349</v>
      </c>
      <c r="N412">
        <f t="shared" ca="1" si="129"/>
        <v>2.3300000000000125</v>
      </c>
      <c r="O412">
        <f t="shared" ca="1" si="130"/>
        <v>2.3300000000000125</v>
      </c>
      <c r="P412">
        <f t="shared" ca="1" si="131"/>
        <v>0</v>
      </c>
      <c r="Q412">
        <f t="shared" ca="1" si="135"/>
        <v>0.85220568503421945</v>
      </c>
      <c r="R412">
        <f t="shared" ca="1" si="136"/>
        <v>0.6573365263301294</v>
      </c>
      <c r="S412">
        <f t="shared" ca="1" si="133"/>
        <v>1.296452655372786</v>
      </c>
      <c r="T412">
        <f t="shared" ca="1" si="134"/>
        <v>56.454577991825879</v>
      </c>
      <c r="U412">
        <f>70</f>
        <v>70</v>
      </c>
      <c r="V412">
        <f>30</f>
        <v>30</v>
      </c>
      <c r="W412">
        <f t="shared" ca="1" si="132"/>
        <v>154.21747069264006</v>
      </c>
      <c r="X412">
        <f t="shared" ca="1" si="121"/>
        <v>153.11416864713829</v>
      </c>
      <c r="Y412">
        <f t="shared" ref="Y412:Y475" ca="1" si="141">W413-X413</f>
        <v>1.3376751720631148</v>
      </c>
      <c r="Z412">
        <f t="shared" ca="1" si="122"/>
        <v>1.3358736958857738</v>
      </c>
      <c r="AA412">
        <f t="shared" ca="1" si="123"/>
        <v>1.8014761773410548E-3</v>
      </c>
      <c r="AB412">
        <f t="shared" ca="1" si="124"/>
        <v>145.56310000000008</v>
      </c>
    </row>
    <row r="413" spans="1:28" x14ac:dyDescent="0.25">
      <c r="A413" s="20">
        <f t="shared" ca="1" si="125"/>
        <v>45887</v>
      </c>
      <c r="B413" vm="1201">
        <f ca="1"/>
        <v>45891</v>
      </c>
      <c r="C413" vm="1202">
        <f ca="1"/>
        <v>158.18</v>
      </c>
      <c r="D413" vm="1203">
        <f ca="1"/>
        <v>9084344</v>
      </c>
      <c r="E413">
        <f t="shared" ca="1" si="126"/>
        <v>1436961533.9200001</v>
      </c>
      <c r="F413">
        <f ca="1">SUM($E$2:E413)/SUM($D$2:D413)</f>
        <v>151.14911170142372</v>
      </c>
      <c r="G413">
        <f ca="1">_xlfn.STDEV.P($C$2:C413)</f>
        <v>7.6894069063777186</v>
      </c>
      <c r="H413">
        <f t="shared" ca="1" si="127"/>
        <v>158.83851860780143</v>
      </c>
      <c r="I413">
        <f t="shared" ca="1" si="128"/>
        <v>143.45970479504601</v>
      </c>
      <c r="J413">
        <f t="shared" ca="1" si="137"/>
        <v>154.23400000000001</v>
      </c>
      <c r="K413">
        <f t="shared" ca="1" si="138"/>
        <v>2.0101254215909838</v>
      </c>
      <c r="L413">
        <f t="shared" ca="1" si="139"/>
        <v>158.25425084318198</v>
      </c>
      <c r="M413">
        <f t="shared" ca="1" si="140"/>
        <v>150.21374915681804</v>
      </c>
      <c r="N413">
        <f t="shared" ca="1" si="129"/>
        <v>2.6299999999999955</v>
      </c>
      <c r="O413">
        <f t="shared" ca="1" si="130"/>
        <v>2.6299999999999955</v>
      </c>
      <c r="P413">
        <f t="shared" ca="1" si="131"/>
        <v>0</v>
      </c>
      <c r="Q413">
        <f t="shared" ca="1" si="135"/>
        <v>0.97919099324606063</v>
      </c>
      <c r="R413">
        <f t="shared" ca="1" si="136"/>
        <v>0.61038391730654873</v>
      </c>
      <c r="S413">
        <f t="shared" ca="1" si="133"/>
        <v>1.6042214833689477</v>
      </c>
      <c r="T413">
        <f t="shared" ca="1" si="134"/>
        <v>61.600808288151001</v>
      </c>
      <c r="U413">
        <f>70</f>
        <v>70</v>
      </c>
      <c r="V413">
        <f>30</f>
        <v>30</v>
      </c>
      <c r="W413">
        <f t="shared" ca="1" si="132"/>
        <v>154.82709058608006</v>
      </c>
      <c r="X413">
        <f t="shared" ref="X413:X476" ca="1" si="142">C413*(2/(26+1)) + X412*(1-(2/(26+1)))</f>
        <v>153.48941541401695</v>
      </c>
      <c r="Y413">
        <f t="shared" ca="1" si="141"/>
        <v>1.5076521211118745</v>
      </c>
      <c r="Z413">
        <f t="shared" ca="1" si="122"/>
        <v>1.370229380930994</v>
      </c>
      <c r="AA413">
        <f t="shared" ca="1" si="123"/>
        <v>0.13742274018088052</v>
      </c>
      <c r="AB413">
        <f t="shared" ca="1" si="124"/>
        <v>145.47200000000009</v>
      </c>
    </row>
    <row r="414" spans="1:28" x14ac:dyDescent="0.25">
      <c r="A414" s="20">
        <f t="shared" ca="1" si="125"/>
        <v>45894</v>
      </c>
      <c r="B414" vm="1204">
        <f ca="1"/>
        <v>45894</v>
      </c>
      <c r="C414" vm="1205">
        <f ca="1"/>
        <v>158.19999999999999</v>
      </c>
      <c r="D414" vm="1206">
        <f ca="1"/>
        <v>7029967</v>
      </c>
      <c r="E414">
        <f t="shared" ca="1" si="126"/>
        <v>1112140779.3999999</v>
      </c>
      <c r="F414">
        <f ca="1">SUM($E$2:E414)/SUM($D$2:D414)</f>
        <v>151.16339913112779</v>
      </c>
      <c r="G414">
        <f ca="1">_xlfn.STDEV.P($C$2:C414)</f>
        <v>7.6866708801107784</v>
      </c>
      <c r="H414">
        <f t="shared" ca="1" si="127"/>
        <v>158.85007001123856</v>
      </c>
      <c r="I414">
        <f t="shared" ca="1" si="128"/>
        <v>143.47672825101702</v>
      </c>
      <c r="J414">
        <f t="shared" ca="1" si="137"/>
        <v>154.32999999999998</v>
      </c>
      <c r="K414">
        <f t="shared" ca="1" si="138"/>
        <v>2.153701831486285</v>
      </c>
      <c r="L414">
        <f t="shared" ca="1" si="139"/>
        <v>158.63740366297256</v>
      </c>
      <c r="M414">
        <f t="shared" ca="1" si="140"/>
        <v>150.02259633702741</v>
      </c>
      <c r="N414">
        <f t="shared" ca="1" si="129"/>
        <v>1.999999999998181E-2</v>
      </c>
      <c r="O414">
        <f t="shared" ca="1" si="130"/>
        <v>1.999999999998181E-2</v>
      </c>
      <c r="P414">
        <f t="shared" ca="1" si="131"/>
        <v>0</v>
      </c>
      <c r="Q414">
        <f t="shared" ca="1" si="135"/>
        <v>0.91067735087134072</v>
      </c>
      <c r="R414">
        <f t="shared" ca="1" si="136"/>
        <v>0.56678506607036672</v>
      </c>
      <c r="S414">
        <f t="shared" ca="1" si="133"/>
        <v>1.6067419651425316</v>
      </c>
      <c r="T414">
        <f t="shared" ca="1" si="134"/>
        <v>61.637936804944871</v>
      </c>
      <c r="U414">
        <f>70</f>
        <v>70</v>
      </c>
      <c r="V414">
        <f>30</f>
        <v>30</v>
      </c>
      <c r="W414">
        <f t="shared" ca="1" si="132"/>
        <v>155.34599972668312</v>
      </c>
      <c r="X414">
        <f t="shared" ca="1" si="142"/>
        <v>153.83834760557124</v>
      </c>
      <c r="Y414">
        <f t="shared" ca="1" si="141"/>
        <v>1.556635176678725</v>
      </c>
      <c r="Z414">
        <f t="shared" ca="1" si="122"/>
        <v>1.4075105400805401</v>
      </c>
      <c r="AA414">
        <f t="shared" ca="1" si="123"/>
        <v>0.14912463659818487</v>
      </c>
      <c r="AB414">
        <f t="shared" ca="1" si="124"/>
        <v>145.36890000000005</v>
      </c>
    </row>
    <row r="415" spans="1:28" x14ac:dyDescent="0.25">
      <c r="A415" s="20">
        <f t="shared" ca="1" si="125"/>
        <v>45894</v>
      </c>
      <c r="B415" vm="1207">
        <f ca="1"/>
        <v>45895</v>
      </c>
      <c r="C415" vm="1208">
        <f ca="1"/>
        <v>157.36000000000001</v>
      </c>
      <c r="D415" vm="1209">
        <f ca="1"/>
        <v>10270028</v>
      </c>
      <c r="E415">
        <f t="shared" ca="1" si="126"/>
        <v>1616091606.0800002</v>
      </c>
      <c r="F415">
        <f ca="1">SUM($E$2:E415)/SUM($D$2:D415)</f>
        <v>151.1816884871985</v>
      </c>
      <c r="G415">
        <f ca="1">_xlfn.STDEV.P($C$2:C415)</f>
        <v>7.682325829198974</v>
      </c>
      <c r="H415">
        <f t="shared" ca="1" si="127"/>
        <v>158.86401431639749</v>
      </c>
      <c r="I415">
        <f t="shared" ca="1" si="128"/>
        <v>143.49936265799951</v>
      </c>
      <c r="J415">
        <f t="shared" ca="1" si="137"/>
        <v>154.34649999999999</v>
      </c>
      <c r="K415">
        <f t="shared" ca="1" si="138"/>
        <v>2.1766180309442427</v>
      </c>
      <c r="L415">
        <f t="shared" ca="1" si="139"/>
        <v>158.69973606188847</v>
      </c>
      <c r="M415">
        <f t="shared" ca="1" si="140"/>
        <v>149.99326393811151</v>
      </c>
      <c r="N415">
        <f t="shared" ca="1" si="129"/>
        <v>-0.83999999999997499</v>
      </c>
      <c r="O415">
        <f t="shared" ca="1" si="130"/>
        <v>0</v>
      </c>
      <c r="P415">
        <f t="shared" ca="1" si="131"/>
        <v>0.83999999999997499</v>
      </c>
      <c r="Q415">
        <f t="shared" ca="1" si="135"/>
        <v>0.84562896866624493</v>
      </c>
      <c r="R415">
        <f t="shared" ca="1" si="136"/>
        <v>0.58630041849391012</v>
      </c>
      <c r="S415">
        <f t="shared" ca="1" si="133"/>
        <v>1.4423134318042934</v>
      </c>
      <c r="T415">
        <f t="shared" ca="1" si="134"/>
        <v>59.055214331715156</v>
      </c>
      <c r="U415">
        <f>70</f>
        <v>70</v>
      </c>
      <c r="V415">
        <f>30</f>
        <v>30</v>
      </c>
      <c r="W415">
        <f t="shared" ca="1" si="132"/>
        <v>155.65584592257801</v>
      </c>
      <c r="X415">
        <f t="shared" ca="1" si="142"/>
        <v>154.09921074589928</v>
      </c>
      <c r="Y415">
        <f t="shared" ca="1" si="141"/>
        <v>1.7272442922746905</v>
      </c>
      <c r="Z415">
        <f t="shared" ca="1" si="122"/>
        <v>1.4714572905193704</v>
      </c>
      <c r="AA415">
        <f t="shared" ca="1" si="123"/>
        <v>0.2557870017553201</v>
      </c>
      <c r="AB415">
        <f t="shared" ca="1" si="124"/>
        <v>145.27780000000007</v>
      </c>
    </row>
    <row r="416" spans="1:28" x14ac:dyDescent="0.25">
      <c r="A416" s="20">
        <f t="shared" ca="1" si="125"/>
        <v>45894</v>
      </c>
      <c r="B416" vm="1210">
        <f ca="1"/>
        <v>45896</v>
      </c>
      <c r="C416" vm="1211">
        <f ca="1"/>
        <v>159.24</v>
      </c>
      <c r="D416" vm="1212">
        <f ca="1"/>
        <v>7482961</v>
      </c>
      <c r="E416">
        <f t="shared" ca="1" si="126"/>
        <v>1191586709.6400001</v>
      </c>
      <c r="F416">
        <f ca="1">SUM($E$2:E416)/SUM($D$2:D416)</f>
        <v>151.19898098919836</v>
      </c>
      <c r="G416">
        <f ca="1">_xlfn.STDEV.P($C$2:C416)</f>
        <v>7.6818240656036547</v>
      </c>
      <c r="H416">
        <f t="shared" ca="1" si="127"/>
        <v>158.88080505480201</v>
      </c>
      <c r="I416">
        <f t="shared" ca="1" si="128"/>
        <v>143.51715692359471</v>
      </c>
      <c r="J416">
        <f t="shared" ca="1" si="137"/>
        <v>154.63049999999998</v>
      </c>
      <c r="K416">
        <f t="shared" ca="1" si="138"/>
        <v>2.4249828539817102</v>
      </c>
      <c r="L416">
        <f t="shared" ca="1" si="139"/>
        <v>159.48046570796339</v>
      </c>
      <c r="M416">
        <f t="shared" ca="1" si="140"/>
        <v>149.78053429203658</v>
      </c>
      <c r="N416">
        <f t="shared" ca="1" si="129"/>
        <v>1.8799999999999955</v>
      </c>
      <c r="O416">
        <f t="shared" ca="1" si="130"/>
        <v>1.8799999999999955</v>
      </c>
      <c r="P416">
        <f t="shared" ca="1" si="131"/>
        <v>0</v>
      </c>
      <c r="Q416">
        <f t="shared" ca="1" si="135"/>
        <v>0.91951261376151283</v>
      </c>
      <c r="R416">
        <f t="shared" ca="1" si="136"/>
        <v>0.54442181717291649</v>
      </c>
      <c r="S416">
        <f t="shared" ca="1" si="133"/>
        <v>1.688970913282599</v>
      </c>
      <c r="T416">
        <f t="shared" ca="1" si="134"/>
        <v>62.811051801998261</v>
      </c>
      <c r="U416">
        <f>70</f>
        <v>70</v>
      </c>
      <c r="V416">
        <f>30</f>
        <v>30</v>
      </c>
      <c r="W416">
        <f t="shared" ca="1" si="132"/>
        <v>156.20725424218142</v>
      </c>
      <c r="X416">
        <f t="shared" ca="1" si="142"/>
        <v>154.48000994990673</v>
      </c>
      <c r="Y416">
        <f t="shared" ca="1" si="141"/>
        <v>1.8476104735276238</v>
      </c>
      <c r="Z416">
        <f t="shared" ca="1" si="122"/>
        <v>1.5466879271210212</v>
      </c>
      <c r="AA416">
        <f t="shared" ca="1" si="123"/>
        <v>0.30092254640660254</v>
      </c>
      <c r="AB416">
        <f t="shared" ca="1" si="124"/>
        <v>145.30900000000005</v>
      </c>
    </row>
    <row r="417" spans="1:28" x14ac:dyDescent="0.25">
      <c r="A417" s="20">
        <f t="shared" ca="1" si="125"/>
        <v>45894</v>
      </c>
      <c r="B417" vm="1213">
        <f ca="1"/>
        <v>45897</v>
      </c>
      <c r="C417" vm="1214">
        <f ca="1"/>
        <v>159.32</v>
      </c>
      <c r="D417" vm="1215">
        <f ca="1"/>
        <v>6502447</v>
      </c>
      <c r="E417">
        <f t="shared" ca="1" si="126"/>
        <v>1035969856.04</v>
      </c>
      <c r="F417">
        <f ca="1">SUM($E$2:E417)/SUM($D$2:D417)</f>
        <v>151.21409635141998</v>
      </c>
      <c r="G417">
        <f ca="1">_xlfn.STDEV.P($C$2:C417)</f>
        <v>7.681470060748179</v>
      </c>
      <c r="H417">
        <f t="shared" ca="1" si="127"/>
        <v>158.89556641216817</v>
      </c>
      <c r="I417">
        <f t="shared" ca="1" si="128"/>
        <v>143.5326262906718</v>
      </c>
      <c r="J417">
        <f t="shared" ca="1" si="137"/>
        <v>155.01450000000003</v>
      </c>
      <c r="K417">
        <f t="shared" ca="1" si="138"/>
        <v>2.5322082624086311</v>
      </c>
      <c r="L417">
        <f t="shared" ca="1" si="139"/>
        <v>160.07891652481729</v>
      </c>
      <c r="M417">
        <f t="shared" ca="1" si="140"/>
        <v>149.95008347518277</v>
      </c>
      <c r="N417">
        <f t="shared" ca="1" si="129"/>
        <v>7.9999999999984084E-2</v>
      </c>
      <c r="O417">
        <f t="shared" ca="1" si="130"/>
        <v>7.9999999999984084E-2</v>
      </c>
      <c r="P417">
        <f t="shared" ca="1" si="131"/>
        <v>0</v>
      </c>
      <c r="Q417">
        <f t="shared" ca="1" si="135"/>
        <v>0.85954742706426068</v>
      </c>
      <c r="R417">
        <f t="shared" ca="1" si="136"/>
        <v>0.50553454451770818</v>
      </c>
      <c r="S417">
        <f t="shared" ca="1" si="133"/>
        <v>1.7002743657889672</v>
      </c>
      <c r="T417">
        <f t="shared" ca="1" si="134"/>
        <v>62.966726171626654</v>
      </c>
      <c r="U417">
        <f>70</f>
        <v>70</v>
      </c>
      <c r="V417">
        <f>30</f>
        <v>30</v>
      </c>
      <c r="W417">
        <f t="shared" ca="1" si="132"/>
        <v>156.68613820492274</v>
      </c>
      <c r="X417">
        <f t="shared" ca="1" si="142"/>
        <v>154.83852773139512</v>
      </c>
      <c r="Y417">
        <f t="shared" ca="1" si="141"/>
        <v>2.0229673337852887</v>
      </c>
      <c r="Z417">
        <f t="shared" ca="1" si="122"/>
        <v>1.6419438084538749</v>
      </c>
      <c r="AA417">
        <f t="shared" ca="1" si="123"/>
        <v>0.38102352533141381</v>
      </c>
      <c r="AB417">
        <f t="shared" ca="1" si="124"/>
        <v>145.46940000000004</v>
      </c>
    </row>
    <row r="418" spans="1:28" x14ac:dyDescent="0.25">
      <c r="A418" s="20">
        <f t="shared" ca="1" si="125"/>
        <v>45894</v>
      </c>
      <c r="B418" vm="1216">
        <f ca="1"/>
        <v>45898</v>
      </c>
      <c r="C418" vm="1217">
        <f ca="1"/>
        <v>160.6</v>
      </c>
      <c r="D418" vm="1218">
        <f ca="1"/>
        <v>6934840</v>
      </c>
      <c r="E418">
        <f t="shared" ca="1" si="126"/>
        <v>1113735304</v>
      </c>
      <c r="F418">
        <f ca="1">SUM($E$2:E418)/SUM($D$2:D418)</f>
        <v>151.23269076617069</v>
      </c>
      <c r="G418">
        <f ca="1">_xlfn.STDEV.P($C$2:C418)</f>
        <v>7.6843292953442885</v>
      </c>
      <c r="H418">
        <f t="shared" ca="1" si="127"/>
        <v>158.91702006151499</v>
      </c>
      <c r="I418">
        <f t="shared" ca="1" si="128"/>
        <v>143.54836147082639</v>
      </c>
      <c r="J418">
        <f t="shared" ca="1" si="137"/>
        <v>155.47449999999998</v>
      </c>
      <c r="K418">
        <f t="shared" ca="1" si="138"/>
        <v>2.6727739877276742</v>
      </c>
      <c r="L418">
        <f t="shared" ca="1" si="139"/>
        <v>160.82004797545534</v>
      </c>
      <c r="M418">
        <f t="shared" ca="1" si="140"/>
        <v>150.12895202454462</v>
      </c>
      <c r="N418">
        <f t="shared" ca="1" si="129"/>
        <v>1.2800000000000011</v>
      </c>
      <c r="O418">
        <f t="shared" ca="1" si="130"/>
        <v>1.2800000000000011</v>
      </c>
      <c r="P418">
        <f t="shared" ca="1" si="131"/>
        <v>0</v>
      </c>
      <c r="Q418">
        <f t="shared" ca="1" si="135"/>
        <v>0.88957975370252795</v>
      </c>
      <c r="R418">
        <f t="shared" ca="1" si="136"/>
        <v>0.46942493419501474</v>
      </c>
      <c r="S418">
        <f t="shared" ca="1" si="133"/>
        <v>1.8950415474372031</v>
      </c>
      <c r="T418">
        <f t="shared" ca="1" si="134"/>
        <v>65.458181389996398</v>
      </c>
      <c r="U418">
        <f>70</f>
        <v>70</v>
      </c>
      <c r="V418">
        <f>30</f>
        <v>30</v>
      </c>
      <c r="W418">
        <f t="shared" ca="1" si="132"/>
        <v>157.28827078878078</v>
      </c>
      <c r="X418">
        <f t="shared" ca="1" si="142"/>
        <v>155.26530345499549</v>
      </c>
      <c r="Y418">
        <f t="shared" ca="1" si="141"/>
        <v>2.2354210865936182</v>
      </c>
      <c r="Z418">
        <f t="shared" ca="1" si="122"/>
        <v>1.7606392640818238</v>
      </c>
      <c r="AA418">
        <f t="shared" ca="1" si="123"/>
        <v>0.47478182251179435</v>
      </c>
      <c r="AB418">
        <f t="shared" ca="1" si="124"/>
        <v>145.67390000000006</v>
      </c>
    </row>
    <row r="419" spans="1:28" x14ac:dyDescent="0.25">
      <c r="A419" s="20">
        <f t="shared" ca="1" si="125"/>
        <v>45901</v>
      </c>
      <c r="B419" vm="1219">
        <f ca="1"/>
        <v>45902</v>
      </c>
      <c r="C419" vm="1220">
        <f ca="1"/>
        <v>161.83000000000001</v>
      </c>
      <c r="D419" vm="1221">
        <f ca="1"/>
        <v>8947302</v>
      </c>
      <c r="E419">
        <f t="shared" ca="1" si="126"/>
        <v>1447941882.6600001</v>
      </c>
      <c r="F419">
        <f ca="1">SUM($E$2:E419)/SUM($D$2:D419)</f>
        <v>151.25970850734058</v>
      </c>
      <c r="G419">
        <f ca="1">_xlfn.STDEV.P($C$2:C419)</f>
        <v>7.6907042593485411</v>
      </c>
      <c r="H419">
        <f t="shared" ca="1" si="127"/>
        <v>158.95041276668911</v>
      </c>
      <c r="I419">
        <f t="shared" ca="1" si="128"/>
        <v>143.56900424799204</v>
      </c>
      <c r="J419">
        <f t="shared" ca="1" si="137"/>
        <v>156.01399999999998</v>
      </c>
      <c r="K419">
        <f t="shared" ca="1" si="138"/>
        <v>2.81571791350289</v>
      </c>
      <c r="L419">
        <f t="shared" ca="1" si="139"/>
        <v>161.64543582700577</v>
      </c>
      <c r="M419">
        <f t="shared" ca="1" si="140"/>
        <v>150.38256417299419</v>
      </c>
      <c r="N419">
        <f t="shared" ca="1" si="129"/>
        <v>1.2300000000000182</v>
      </c>
      <c r="O419">
        <f t="shared" ca="1" si="130"/>
        <v>1.2300000000000182</v>
      </c>
      <c r="P419">
        <f t="shared" ca="1" si="131"/>
        <v>0</v>
      </c>
      <c r="Q419">
        <f t="shared" ca="1" si="135"/>
        <v>0.91389548558092015</v>
      </c>
      <c r="R419">
        <f t="shared" ca="1" si="136"/>
        <v>0.43589458175251367</v>
      </c>
      <c r="S419">
        <f t="shared" ca="1" si="133"/>
        <v>2.0965974890227002</v>
      </c>
      <c r="T419">
        <f t="shared" ca="1" si="134"/>
        <v>67.706490638678247</v>
      </c>
      <c r="U419">
        <f>70</f>
        <v>70</v>
      </c>
      <c r="V419">
        <f>30</f>
        <v>30</v>
      </c>
      <c r="W419">
        <f t="shared" ca="1" si="132"/>
        <v>157.98699835973758</v>
      </c>
      <c r="X419">
        <f t="shared" ca="1" si="142"/>
        <v>155.75157727314397</v>
      </c>
      <c r="Y419">
        <f t="shared" ca="1" si="141"/>
        <v>2.075657832109016</v>
      </c>
      <c r="Z419">
        <f t="shared" ca="1" si="122"/>
        <v>1.8236429776872622</v>
      </c>
      <c r="AA419">
        <f t="shared" ca="1" si="123"/>
        <v>0.25201485442175375</v>
      </c>
      <c r="AB419">
        <f t="shared" ca="1" si="124"/>
        <v>145.92290000000003</v>
      </c>
    </row>
    <row r="420" spans="1:28" x14ac:dyDescent="0.25">
      <c r="A420" s="20">
        <f t="shared" ca="1" si="125"/>
        <v>45901</v>
      </c>
      <c r="B420" vm="1222">
        <f ca="1"/>
        <v>45903</v>
      </c>
      <c r="C420" vm="1223">
        <f ca="1"/>
        <v>158.06</v>
      </c>
      <c r="D420" vm="1224">
        <f ca="1"/>
        <v>9556116</v>
      </c>
      <c r="E420">
        <f t="shared" ca="1" si="126"/>
        <v>1510439694.96</v>
      </c>
      <c r="F420">
        <f ca="1">SUM($E$2:E420)/SUM($D$2:D420)</f>
        <v>151.27817520808932</v>
      </c>
      <c r="G420">
        <f ca="1">_xlfn.STDEV.P($C$2:C420)</f>
        <v>7.6875129158320359</v>
      </c>
      <c r="H420">
        <f t="shared" ca="1" si="127"/>
        <v>158.96568812392135</v>
      </c>
      <c r="I420">
        <f t="shared" ca="1" si="128"/>
        <v>143.59066229225729</v>
      </c>
      <c r="J420">
        <f t="shared" ca="1" si="137"/>
        <v>156.26499999999999</v>
      </c>
      <c r="K420">
        <f t="shared" ca="1" si="138"/>
        <v>2.7598483940055023</v>
      </c>
      <c r="L420">
        <f t="shared" ca="1" si="139"/>
        <v>161.78469678801099</v>
      </c>
      <c r="M420">
        <f t="shared" ca="1" si="140"/>
        <v>150.74530321198898</v>
      </c>
      <c r="N420">
        <f t="shared" ca="1" si="129"/>
        <v>-3.7700000000000102</v>
      </c>
      <c r="O420">
        <f t="shared" ca="1" si="130"/>
        <v>0</v>
      </c>
      <c r="P420">
        <f t="shared" ca="1" si="131"/>
        <v>3.7700000000000102</v>
      </c>
      <c r="Q420">
        <f t="shared" ca="1" si="135"/>
        <v>0.84861723661085442</v>
      </c>
      <c r="R420">
        <f t="shared" ca="1" si="136"/>
        <v>0.67404496877019204</v>
      </c>
      <c r="S420">
        <f t="shared" ca="1" si="133"/>
        <v>1.258992019715202</v>
      </c>
      <c r="T420">
        <f t="shared" ca="1" si="134"/>
        <v>55.732468673082209</v>
      </c>
      <c r="U420">
        <f>70</f>
        <v>70</v>
      </c>
      <c r="V420">
        <f>30</f>
        <v>30</v>
      </c>
      <c r="W420">
        <f t="shared" ca="1" si="132"/>
        <v>157.99822938131641</v>
      </c>
      <c r="X420">
        <f t="shared" ca="1" si="142"/>
        <v>155.92257154920739</v>
      </c>
      <c r="Y420">
        <f t="shared" ca="1" si="141"/>
        <v>1.8973173013064581</v>
      </c>
      <c r="Z420">
        <f t="shared" ca="1" si="122"/>
        <v>1.8383778424111015</v>
      </c>
      <c r="AA420">
        <f t="shared" ca="1" si="123"/>
        <v>5.8939458895356678E-2</v>
      </c>
      <c r="AB420">
        <f t="shared" ca="1" si="124"/>
        <v>146.04320000000001</v>
      </c>
    </row>
    <row r="421" spans="1:28" x14ac:dyDescent="0.25">
      <c r="A421" s="20">
        <f t="shared" ca="1" si="125"/>
        <v>45901</v>
      </c>
      <c r="B421" vm="1225">
        <f ca="1"/>
        <v>45904</v>
      </c>
      <c r="C421" vm="1226">
        <f ca="1"/>
        <v>157.69</v>
      </c>
      <c r="D421" vm="1227">
        <f ca="1"/>
        <v>7242974</v>
      </c>
      <c r="E421">
        <f t="shared" ca="1" si="126"/>
        <v>1142144570.0599999</v>
      </c>
      <c r="F421">
        <f ca="1">SUM($E$2:E421)/SUM($D$2:D421)</f>
        <v>151.29134521418473</v>
      </c>
      <c r="G421">
        <f ca="1">_xlfn.STDEV.P($C$2:C421)</f>
        <v>7.6836185472096998</v>
      </c>
      <c r="H421">
        <f t="shared" ca="1" si="127"/>
        <v>158.97496376139443</v>
      </c>
      <c r="I421">
        <f t="shared" ca="1" si="128"/>
        <v>143.60772666697503</v>
      </c>
      <c r="J421">
        <f t="shared" ca="1" si="137"/>
        <v>156.51050000000001</v>
      </c>
      <c r="K421">
        <f t="shared" ca="1" si="138"/>
        <v>2.6497119505811657</v>
      </c>
      <c r="L421">
        <f t="shared" ca="1" si="139"/>
        <v>161.80992390116234</v>
      </c>
      <c r="M421">
        <f t="shared" ca="1" si="140"/>
        <v>151.21107609883768</v>
      </c>
      <c r="N421">
        <f t="shared" ca="1" si="129"/>
        <v>-0.37000000000000455</v>
      </c>
      <c r="O421">
        <f t="shared" ca="1" si="130"/>
        <v>0</v>
      </c>
      <c r="P421">
        <f t="shared" ca="1" si="131"/>
        <v>0.37000000000000455</v>
      </c>
      <c r="Q421">
        <f t="shared" ca="1" si="135"/>
        <v>0.78800171971007915</v>
      </c>
      <c r="R421">
        <f t="shared" ca="1" si="136"/>
        <v>0.65232747100089294</v>
      </c>
      <c r="S421">
        <f t="shared" ca="1" si="133"/>
        <v>1.207984876830368</v>
      </c>
      <c r="T421">
        <f t="shared" ca="1" si="134"/>
        <v>54.709834723345949</v>
      </c>
      <c r="U421">
        <f>70</f>
        <v>70</v>
      </c>
      <c r="V421">
        <f>30</f>
        <v>30</v>
      </c>
      <c r="W421">
        <f t="shared" ca="1" si="132"/>
        <v>157.95080947649848</v>
      </c>
      <c r="X421">
        <f t="shared" ca="1" si="142"/>
        <v>156.05349217519202</v>
      </c>
      <c r="Y421">
        <f t="shared" ca="1" si="141"/>
        <v>1.4144884831414117</v>
      </c>
      <c r="Z421">
        <f t="shared" ca="1" si="122"/>
        <v>1.7535999705571637</v>
      </c>
      <c r="AA421">
        <f t="shared" ca="1" si="123"/>
        <v>-0.33911148741575192</v>
      </c>
      <c r="AB421">
        <f t="shared" ca="1" si="124"/>
        <v>146.27030000000002</v>
      </c>
    </row>
    <row r="422" spans="1:28" x14ac:dyDescent="0.25">
      <c r="A422" s="20">
        <f t="shared" ca="1" si="125"/>
        <v>45901</v>
      </c>
      <c r="B422" vm="1228">
        <f ca="1"/>
        <v>45905</v>
      </c>
      <c r="C422" vm="1229">
        <f ca="1"/>
        <v>153.66</v>
      </c>
      <c r="D422" vm="1230">
        <f ca="1"/>
        <v>11011667</v>
      </c>
      <c r="E422">
        <f t="shared" ca="1" si="126"/>
        <v>1692052751.22</v>
      </c>
      <c r="F422">
        <f ca="1">SUM($E$2:E422)/SUM($D$2:D422)</f>
        <v>151.29871895983311</v>
      </c>
      <c r="G422">
        <f ca="1">_xlfn.STDEV.P($C$2:C422)</f>
        <v>7.6749824786390013</v>
      </c>
      <c r="H422">
        <f t="shared" ca="1" si="127"/>
        <v>158.97370143847212</v>
      </c>
      <c r="I422">
        <f t="shared" ca="1" si="128"/>
        <v>143.6237364811941</v>
      </c>
      <c r="J422">
        <f t="shared" ca="1" si="137"/>
        <v>156.53550000000001</v>
      </c>
      <c r="K422">
        <f t="shared" ca="1" si="138"/>
        <v>2.6186124791174215</v>
      </c>
      <c r="L422">
        <f t="shared" ca="1" si="139"/>
        <v>161.77272495823485</v>
      </c>
      <c r="M422">
        <f t="shared" ca="1" si="140"/>
        <v>151.29827504176518</v>
      </c>
      <c r="N422">
        <f t="shared" ca="1" si="129"/>
        <v>-4.0300000000000011</v>
      </c>
      <c r="O422">
        <f t="shared" ca="1" si="130"/>
        <v>0</v>
      </c>
      <c r="P422">
        <f t="shared" ca="1" si="131"/>
        <v>4.0300000000000011</v>
      </c>
      <c r="Q422">
        <f t="shared" ca="1" si="135"/>
        <v>0.73171588258793074</v>
      </c>
      <c r="R422">
        <f t="shared" ca="1" si="136"/>
        <v>0.8935897945008292</v>
      </c>
      <c r="S422">
        <f t="shared" ca="1" si="133"/>
        <v>0.81884986499501899</v>
      </c>
      <c r="T422">
        <f t="shared" ca="1" si="134"/>
        <v>45.0202009937341</v>
      </c>
      <c r="U422">
        <f>70</f>
        <v>70</v>
      </c>
      <c r="V422">
        <f>30</f>
        <v>30</v>
      </c>
      <c r="W422">
        <f t="shared" ca="1" si="132"/>
        <v>157.29068494165256</v>
      </c>
      <c r="X422">
        <f t="shared" ca="1" si="142"/>
        <v>155.87619645851115</v>
      </c>
      <c r="Y422">
        <f t="shared" ca="1" si="141"/>
        <v>1.0472067767939848</v>
      </c>
      <c r="Z422">
        <f t="shared" ref="Z422:Z485" ca="1" si="143">Y422*(2/(9+1)) + Z421*(1-(2/(9+1)))</f>
        <v>1.612321331804528</v>
      </c>
      <c r="AA422">
        <f t="shared" ref="AA422:AA485" ca="1" si="144">Y422-Z422</f>
        <v>-0.5651145550105432</v>
      </c>
      <c r="AB422">
        <f t="shared" ref="AB422:AB485" ca="1" si="145">AVERAGE(C323:C422)</f>
        <v>146.45060000000001</v>
      </c>
    </row>
    <row r="423" spans="1:28" x14ac:dyDescent="0.25">
      <c r="A423" s="20">
        <f t="shared" ca="1" si="125"/>
        <v>45908</v>
      </c>
      <c r="B423" vm="1231">
        <f ca="1"/>
        <v>45908</v>
      </c>
      <c r="C423" vm="100">
        <f ca="1"/>
        <v>154</v>
      </c>
      <c r="D423" vm="1232">
        <f ca="1"/>
        <v>9461969</v>
      </c>
      <c r="E423">
        <f t="shared" ca="1" si="126"/>
        <v>1457143226</v>
      </c>
      <c r="F423">
        <f ca="1">SUM($E$2:E423)/SUM($D$2:D423)</f>
        <v>151.3059254606739</v>
      </c>
      <c r="G423">
        <f ca="1">_xlfn.STDEV.P($C$2:C423)</f>
        <v>7.6665804122307923</v>
      </c>
      <c r="H423">
        <f t="shared" ca="1" si="127"/>
        <v>158.97250587290469</v>
      </c>
      <c r="I423">
        <f t="shared" ca="1" si="128"/>
        <v>143.63934504844312</v>
      </c>
      <c r="J423">
        <f t="shared" ca="1" si="137"/>
        <v>156.48499999999999</v>
      </c>
      <c r="K423">
        <f t="shared" ca="1" si="138"/>
        <v>2.6590075315108814</v>
      </c>
      <c r="L423">
        <f t="shared" ca="1" si="139"/>
        <v>161.80301506302175</v>
      </c>
      <c r="M423">
        <f t="shared" ca="1" si="140"/>
        <v>151.16698493697822</v>
      </c>
      <c r="N423">
        <f t="shared" ca="1" si="129"/>
        <v>0.34000000000000341</v>
      </c>
      <c r="O423">
        <f t="shared" ca="1" si="130"/>
        <v>0.34000000000000341</v>
      </c>
      <c r="P423">
        <f t="shared" ca="1" si="131"/>
        <v>0</v>
      </c>
      <c r="Q423">
        <f t="shared" ca="1" si="135"/>
        <v>0.70373617668879318</v>
      </c>
      <c r="R423">
        <f t="shared" ca="1" si="136"/>
        <v>0.82976195203648417</v>
      </c>
      <c r="S423">
        <f t="shared" ca="1" si="133"/>
        <v>0.8481181560104244</v>
      </c>
      <c r="T423">
        <f t="shared" ca="1" si="134"/>
        <v>45.890905473342507</v>
      </c>
      <c r="U423">
        <f>70</f>
        <v>70</v>
      </c>
      <c r="V423">
        <f>30</f>
        <v>30</v>
      </c>
      <c r="W423">
        <f t="shared" ca="1" si="132"/>
        <v>156.78442571985988</v>
      </c>
      <c r="X423">
        <f t="shared" ca="1" si="142"/>
        <v>155.7372189430659</v>
      </c>
      <c r="Y423">
        <f t="shared" ca="1" si="141"/>
        <v>0.81532274160105089</v>
      </c>
      <c r="Z423">
        <f t="shared" ca="1" si="143"/>
        <v>1.4529216137638328</v>
      </c>
      <c r="AA423">
        <f t="shared" ca="1" si="144"/>
        <v>-0.63759887216278188</v>
      </c>
      <c r="AB423">
        <f t="shared" ca="1" si="145"/>
        <v>146.63740000000001</v>
      </c>
    </row>
    <row r="424" spans="1:28" x14ac:dyDescent="0.25">
      <c r="A424" s="20">
        <f t="shared" ca="1" si="125"/>
        <v>45908</v>
      </c>
      <c r="B424" vm="1233">
        <f ca="1"/>
        <v>45909</v>
      </c>
      <c r="C424" vm="1234">
        <f ca="1"/>
        <v>154.85</v>
      </c>
      <c r="D424" vm="1235">
        <f ca="1"/>
        <v>7769177</v>
      </c>
      <c r="E424">
        <f t="shared" ca="1" si="126"/>
        <v>1203057058.45</v>
      </c>
      <c r="F424">
        <f ca="1">SUM($E$2:E424)/SUM($D$2:D424)</f>
        <v>151.31367187498705</v>
      </c>
      <c r="G424">
        <f ca="1">_xlfn.STDEV.P($C$2:C424)</f>
        <v>7.6588720640054628</v>
      </c>
      <c r="H424">
        <f t="shared" ca="1" si="127"/>
        <v>158.97254393899252</v>
      </c>
      <c r="I424">
        <f t="shared" ca="1" si="128"/>
        <v>143.65479981098159</v>
      </c>
      <c r="J424">
        <f t="shared" ca="1" si="137"/>
        <v>156.55499999999998</v>
      </c>
      <c r="K424">
        <f t="shared" ca="1" si="138"/>
        <v>2.5925003172105594</v>
      </c>
      <c r="L424">
        <f t="shared" ca="1" si="139"/>
        <v>161.74000063442111</v>
      </c>
      <c r="M424">
        <f t="shared" ca="1" si="140"/>
        <v>151.36999936557885</v>
      </c>
      <c r="N424">
        <f t="shared" ca="1" si="129"/>
        <v>0.84999999999999432</v>
      </c>
      <c r="O424">
        <f t="shared" ca="1" si="130"/>
        <v>0.84999999999999432</v>
      </c>
      <c r="P424">
        <f t="shared" ca="1" si="131"/>
        <v>0</v>
      </c>
      <c r="Q424">
        <f t="shared" ca="1" si="135"/>
        <v>0.7141835926395933</v>
      </c>
      <c r="R424">
        <f t="shared" ca="1" si="136"/>
        <v>0.77049324117673534</v>
      </c>
      <c r="S424">
        <f t="shared" ca="1" si="133"/>
        <v>0.92691740105189868</v>
      </c>
      <c r="T424">
        <f t="shared" ca="1" si="134"/>
        <v>48.103639551228156</v>
      </c>
      <c r="U424">
        <f>70</f>
        <v>70</v>
      </c>
      <c r="V424">
        <f>30</f>
        <v>30</v>
      </c>
      <c r="W424">
        <f t="shared" ca="1" si="132"/>
        <v>156.48682176295836</v>
      </c>
      <c r="X424">
        <f t="shared" ca="1" si="142"/>
        <v>155.67149902135731</v>
      </c>
      <c r="Y424">
        <f t="shared" ca="1" si="141"/>
        <v>0.85888570272794595</v>
      </c>
      <c r="Z424">
        <f t="shared" ca="1" si="143"/>
        <v>1.3341144315566555</v>
      </c>
      <c r="AA424">
        <f t="shared" ca="1" si="144"/>
        <v>-0.47522872882870959</v>
      </c>
      <c r="AB424">
        <f t="shared" ca="1" si="145"/>
        <v>146.84050000000002</v>
      </c>
    </row>
    <row r="425" spans="1:28" x14ac:dyDescent="0.25">
      <c r="A425" s="20">
        <f t="shared" ca="1" si="125"/>
        <v>45908</v>
      </c>
      <c r="B425" vm="1236">
        <f ca="1"/>
        <v>45910</v>
      </c>
      <c r="C425" vm="1237">
        <f ca="1"/>
        <v>157.79</v>
      </c>
      <c r="D425" vm="1238">
        <f ca="1"/>
        <v>7440811</v>
      </c>
      <c r="E425">
        <f t="shared" ca="1" si="126"/>
        <v>1174085567.6900001</v>
      </c>
      <c r="F425">
        <f ca="1">SUM($E$2:E425)/SUM($D$2:D425)</f>
        <v>151.3272008156797</v>
      </c>
      <c r="G425">
        <f ca="1">_xlfn.STDEV.P($C$2:C425)</f>
        <v>7.6551937449700542</v>
      </c>
      <c r="H425">
        <f t="shared" ca="1" si="127"/>
        <v>158.98239456064977</v>
      </c>
      <c r="I425">
        <f t="shared" ca="1" si="128"/>
        <v>143.67200707070964</v>
      </c>
      <c r="J425">
        <f t="shared" ca="1" si="137"/>
        <v>156.7225</v>
      </c>
      <c r="K425">
        <f t="shared" ca="1" si="138"/>
        <v>2.5566319847141012</v>
      </c>
      <c r="L425">
        <f t="shared" ca="1" si="139"/>
        <v>161.8357639694282</v>
      </c>
      <c r="M425">
        <f t="shared" ca="1" si="140"/>
        <v>151.60923603057179</v>
      </c>
      <c r="N425">
        <f t="shared" ca="1" si="129"/>
        <v>2.9399999999999977</v>
      </c>
      <c r="O425">
        <f t="shared" ca="1" si="130"/>
        <v>2.9399999999999977</v>
      </c>
      <c r="P425">
        <f t="shared" ca="1" si="131"/>
        <v>0</v>
      </c>
      <c r="Q425">
        <f t="shared" ca="1" si="135"/>
        <v>0.87317047887962218</v>
      </c>
      <c r="R425">
        <f t="shared" ca="1" si="136"/>
        <v>0.71545800966411133</v>
      </c>
      <c r="S425">
        <f t="shared" ca="1" si="133"/>
        <v>1.2204356748896454</v>
      </c>
      <c r="T425">
        <f t="shared" ca="1" si="134"/>
        <v>54.963793308279492</v>
      </c>
      <c r="U425">
        <f>70</f>
        <v>70</v>
      </c>
      <c r="V425">
        <f>30</f>
        <v>30</v>
      </c>
      <c r="W425">
        <f t="shared" ca="1" si="132"/>
        <v>156.68731072250321</v>
      </c>
      <c r="X425">
        <f t="shared" ca="1" si="142"/>
        <v>155.82842501977527</v>
      </c>
      <c r="Y425">
        <f t="shared" ca="1" si="141"/>
        <v>0.91992351326632615</v>
      </c>
      <c r="Z425">
        <f t="shared" ca="1" si="143"/>
        <v>1.2512762478985897</v>
      </c>
      <c r="AA425">
        <f t="shared" ca="1" si="144"/>
        <v>-0.33135273463226356</v>
      </c>
      <c r="AB425">
        <f t="shared" ca="1" si="145"/>
        <v>147.06480000000005</v>
      </c>
    </row>
    <row r="426" spans="1:28" x14ac:dyDescent="0.25">
      <c r="A426" s="20">
        <f t="shared" ca="1" si="125"/>
        <v>45908</v>
      </c>
      <c r="B426" vm="1239">
        <f ca="1"/>
        <v>45911</v>
      </c>
      <c r="C426" vm="1240">
        <f ca="1"/>
        <v>158.25</v>
      </c>
      <c r="D426" vm="1241">
        <f ca="1"/>
        <v>6417408</v>
      </c>
      <c r="E426">
        <f t="shared" ca="1" si="126"/>
        <v>1015554816</v>
      </c>
      <c r="F426">
        <f ca="1">SUM($E$2:E426)/SUM($D$2:D426)</f>
        <v>151.33965095785069</v>
      </c>
      <c r="G426">
        <f ca="1">_xlfn.STDEV.P($C$2:C426)</f>
        <v>7.6523694480656506</v>
      </c>
      <c r="H426">
        <f t="shared" ca="1" si="127"/>
        <v>158.99202040591635</v>
      </c>
      <c r="I426">
        <f t="shared" ca="1" si="128"/>
        <v>143.68728150978504</v>
      </c>
      <c r="J426">
        <f t="shared" ca="1" si="137"/>
        <v>156.84149999999997</v>
      </c>
      <c r="K426">
        <f t="shared" ca="1" si="138"/>
        <v>2.5702166097534733</v>
      </c>
      <c r="L426">
        <f t="shared" ca="1" si="139"/>
        <v>161.98193321950691</v>
      </c>
      <c r="M426">
        <f t="shared" ca="1" si="140"/>
        <v>151.70106678049302</v>
      </c>
      <c r="N426">
        <f t="shared" ca="1" si="129"/>
        <v>0.46000000000000796</v>
      </c>
      <c r="O426">
        <f t="shared" ca="1" si="130"/>
        <v>0.46000000000000796</v>
      </c>
      <c r="P426">
        <f t="shared" ca="1" si="131"/>
        <v>0</v>
      </c>
      <c r="Q426">
        <f t="shared" ca="1" si="135"/>
        <v>0.84365830181679258</v>
      </c>
      <c r="R426">
        <f t="shared" ca="1" si="136"/>
        <v>0.6643538661166748</v>
      </c>
      <c r="S426">
        <f t="shared" ca="1" si="133"/>
        <v>1.2698929664520506</v>
      </c>
      <c r="T426">
        <f t="shared" ca="1" si="134"/>
        <v>55.945059314270353</v>
      </c>
      <c r="U426">
        <f>70</f>
        <v>70</v>
      </c>
      <c r="V426">
        <f>30</f>
        <v>30</v>
      </c>
      <c r="W426">
        <f t="shared" ca="1" si="132"/>
        <v>156.92772445750271</v>
      </c>
      <c r="X426">
        <f t="shared" ca="1" si="142"/>
        <v>156.00780094423638</v>
      </c>
      <c r="Y426">
        <f t="shared" ca="1" si="141"/>
        <v>0.86632152991873568</v>
      </c>
      <c r="Z426">
        <f t="shared" ca="1" si="143"/>
        <v>1.1742853043026189</v>
      </c>
      <c r="AA426">
        <f t="shared" ca="1" si="144"/>
        <v>-0.30796377438388323</v>
      </c>
      <c r="AB426">
        <f t="shared" ca="1" si="145"/>
        <v>147.26860000000005</v>
      </c>
    </row>
    <row r="427" spans="1:28" x14ac:dyDescent="0.25">
      <c r="A427" s="20">
        <f t="shared" ca="1" si="125"/>
        <v>45908</v>
      </c>
      <c r="B427" vm="1242">
        <f ca="1"/>
        <v>45912</v>
      </c>
      <c r="C427" vm="1243">
        <f ca="1"/>
        <v>157.11000000000001</v>
      </c>
      <c r="D427" vm="1244">
        <f ca="1"/>
        <v>5546333</v>
      </c>
      <c r="E427">
        <f t="shared" ca="1" si="126"/>
        <v>871384377.63000011</v>
      </c>
      <c r="F427">
        <f ca="1">SUM($E$2:E427)/SUM($D$2:D427)</f>
        <v>151.34860597546367</v>
      </c>
      <c r="G427">
        <f ca="1">_xlfn.STDEV.P($C$2:C427)</f>
        <v>7.6475160514546907</v>
      </c>
      <c r="H427">
        <f t="shared" ca="1" si="127"/>
        <v>158.99612202691836</v>
      </c>
      <c r="I427">
        <f t="shared" ca="1" si="128"/>
        <v>143.70108992400898</v>
      </c>
      <c r="J427">
        <f t="shared" ca="1" si="137"/>
        <v>156.93899999999999</v>
      </c>
      <c r="K427">
        <f t="shared" ca="1" si="138"/>
        <v>2.5398796075902172</v>
      </c>
      <c r="L427">
        <f t="shared" ca="1" si="139"/>
        <v>162.01875921518044</v>
      </c>
      <c r="M427">
        <f t="shared" ca="1" si="140"/>
        <v>151.85924078481955</v>
      </c>
      <c r="N427">
        <f t="shared" ca="1" si="129"/>
        <v>-1.1399999999999864</v>
      </c>
      <c r="O427">
        <f t="shared" ca="1" si="130"/>
        <v>0</v>
      </c>
      <c r="P427">
        <f t="shared" ca="1" si="131"/>
        <v>1.1399999999999864</v>
      </c>
      <c r="Q427">
        <f t="shared" ca="1" si="135"/>
        <v>0.78339699454416445</v>
      </c>
      <c r="R427">
        <f t="shared" ca="1" si="136"/>
        <v>0.69832858996548275</v>
      </c>
      <c r="S427">
        <f t="shared" ca="1" si="133"/>
        <v>1.1218171585712773</v>
      </c>
      <c r="T427">
        <f t="shared" ca="1" si="134"/>
        <v>52.870585669438704</v>
      </c>
      <c r="U427">
        <f>70</f>
        <v>70</v>
      </c>
      <c r="V427">
        <f>30</f>
        <v>30</v>
      </c>
      <c r="W427">
        <f t="shared" ca="1" si="132"/>
        <v>156.95576684865614</v>
      </c>
      <c r="X427">
        <f t="shared" ca="1" si="142"/>
        <v>156.0894453187374</v>
      </c>
      <c r="Y427">
        <f t="shared" ca="1" si="141"/>
        <v>0.83040747994650133</v>
      </c>
      <c r="Z427">
        <f t="shared" ca="1" si="143"/>
        <v>1.1055097394313955</v>
      </c>
      <c r="AA427">
        <f t="shared" ca="1" si="144"/>
        <v>-0.2751022594848942</v>
      </c>
      <c r="AB427">
        <f t="shared" ca="1" si="145"/>
        <v>147.50240000000002</v>
      </c>
    </row>
    <row r="428" spans="1:28" x14ac:dyDescent="0.25">
      <c r="A428" s="20">
        <f t="shared" ca="1" si="125"/>
        <v>45915</v>
      </c>
      <c r="B428" vm="1245">
        <f ca="1"/>
        <v>45915</v>
      </c>
      <c r="C428" vm="1246">
        <f ca="1"/>
        <v>157.31</v>
      </c>
      <c r="D428" vm="1247">
        <f ca="1"/>
        <v>5030461</v>
      </c>
      <c r="E428">
        <f t="shared" ca="1" si="126"/>
        <v>791341819.90999997</v>
      </c>
      <c r="F428">
        <f ca="1">SUM($E$2:E428)/SUM($D$2:D428)</f>
        <v>151.35698518728105</v>
      </c>
      <c r="G428">
        <f ca="1">_xlfn.STDEV.P($C$2:C428)</f>
        <v>7.6429860035085433</v>
      </c>
      <c r="H428">
        <f t="shared" ca="1" si="127"/>
        <v>158.99997119078961</v>
      </c>
      <c r="I428">
        <f t="shared" ca="1" si="128"/>
        <v>143.7139991837725</v>
      </c>
      <c r="J428">
        <f t="shared" ca="1" si="137"/>
        <v>156.97699999999998</v>
      </c>
      <c r="K428">
        <f t="shared" ca="1" si="138"/>
        <v>2.5394386035209902</v>
      </c>
      <c r="L428">
        <f t="shared" ca="1" si="139"/>
        <v>162.05587720704196</v>
      </c>
      <c r="M428">
        <f t="shared" ca="1" si="140"/>
        <v>151.89812279295799</v>
      </c>
      <c r="N428">
        <f t="shared" ca="1" si="129"/>
        <v>0.19999999999998863</v>
      </c>
      <c r="O428">
        <f t="shared" ca="1" si="130"/>
        <v>0.19999999999998863</v>
      </c>
      <c r="P428">
        <f t="shared" ca="1" si="131"/>
        <v>0</v>
      </c>
      <c r="Q428">
        <f t="shared" ca="1" si="135"/>
        <v>0.74172578064815187</v>
      </c>
      <c r="R428">
        <f t="shared" ca="1" si="136"/>
        <v>0.64844797639651974</v>
      </c>
      <c r="S428">
        <f t="shared" ca="1" si="133"/>
        <v>1.1438477837034589</v>
      </c>
      <c r="T428">
        <f t="shared" ca="1" si="134"/>
        <v>53.354897320530945</v>
      </c>
      <c r="U428">
        <f>70</f>
        <v>70</v>
      </c>
      <c r="V428">
        <f>30</f>
        <v>30</v>
      </c>
      <c r="W428">
        <f t="shared" ca="1" si="132"/>
        <v>157.01026425655519</v>
      </c>
      <c r="X428">
        <f t="shared" ca="1" si="142"/>
        <v>156.17985677660869</v>
      </c>
      <c r="Y428">
        <f t="shared" ca="1" si="141"/>
        <v>0.97069809629365977</v>
      </c>
      <c r="Z428">
        <f t="shared" ca="1" si="143"/>
        <v>1.0785474108038484</v>
      </c>
      <c r="AA428">
        <f t="shared" ca="1" si="144"/>
        <v>-0.10784931451018864</v>
      </c>
      <c r="AB428">
        <f t="shared" ca="1" si="145"/>
        <v>147.70250000000004</v>
      </c>
    </row>
    <row r="429" spans="1:28" x14ac:dyDescent="0.25">
      <c r="A429" s="20">
        <f t="shared" ca="1" si="125"/>
        <v>45915</v>
      </c>
      <c r="B429" vm="1248">
        <f ca="1"/>
        <v>45916</v>
      </c>
      <c r="C429" vm="1249">
        <f ca="1"/>
        <v>159.54</v>
      </c>
      <c r="D429" vm="1250">
        <f ca="1"/>
        <v>8011032</v>
      </c>
      <c r="E429">
        <f t="shared" ca="1" si="126"/>
        <v>1278080045.28</v>
      </c>
      <c r="F429">
        <f ca="1">SUM($E$2:E429)/SUM($D$2:D429)</f>
        <v>151.37526106838246</v>
      </c>
      <c r="G429">
        <f ca="1">_xlfn.STDEV.P($C$2:C429)</f>
        <v>7.6428658743182591</v>
      </c>
      <c r="H429">
        <f t="shared" ca="1" si="127"/>
        <v>159.01812694270072</v>
      </c>
      <c r="I429">
        <f t="shared" ca="1" si="128"/>
        <v>143.7323951940642</v>
      </c>
      <c r="J429">
        <f t="shared" ca="1" si="137"/>
        <v>157.18799999999999</v>
      </c>
      <c r="K429">
        <f t="shared" ca="1" si="138"/>
        <v>2.5696520346045633</v>
      </c>
      <c r="L429">
        <f t="shared" ca="1" si="139"/>
        <v>162.32730406920911</v>
      </c>
      <c r="M429">
        <f t="shared" ca="1" si="140"/>
        <v>152.04869593079087</v>
      </c>
      <c r="N429">
        <f t="shared" ca="1" si="129"/>
        <v>2.2299999999999898</v>
      </c>
      <c r="O429">
        <f t="shared" ca="1" si="130"/>
        <v>2.2299999999999898</v>
      </c>
      <c r="P429">
        <f t="shared" ca="1" si="131"/>
        <v>0</v>
      </c>
      <c r="Q429">
        <f t="shared" ca="1" si="135"/>
        <v>0.84803108203042599</v>
      </c>
      <c r="R429">
        <f t="shared" ca="1" si="136"/>
        <v>0.60213026379676837</v>
      </c>
      <c r="S429">
        <f t="shared" ca="1" si="133"/>
        <v>1.4083847516368224</v>
      </c>
      <c r="T429">
        <f t="shared" ca="1" si="134"/>
        <v>58.478395143451849</v>
      </c>
      <c r="U429">
        <f>70</f>
        <v>70</v>
      </c>
      <c r="V429">
        <f>30</f>
        <v>30</v>
      </c>
      <c r="W429">
        <f t="shared" ca="1" si="132"/>
        <v>157.39945437093132</v>
      </c>
      <c r="X429">
        <f t="shared" ca="1" si="142"/>
        <v>156.42875627463766</v>
      </c>
      <c r="Y429">
        <f t="shared" ca="1" si="141"/>
        <v>1.1134249541577219</v>
      </c>
      <c r="Z429">
        <f t="shared" ca="1" si="143"/>
        <v>1.0855229194746232</v>
      </c>
      <c r="AA429">
        <f t="shared" ca="1" si="144"/>
        <v>2.7902034683098709E-2</v>
      </c>
      <c r="AB429">
        <f t="shared" ca="1" si="145"/>
        <v>147.93110000000007</v>
      </c>
    </row>
    <row r="430" spans="1:28" x14ac:dyDescent="0.25">
      <c r="A430" s="20">
        <f t="shared" ca="1" si="125"/>
        <v>45915</v>
      </c>
      <c r="B430" vm="1251">
        <f ca="1"/>
        <v>45917</v>
      </c>
      <c r="C430" vm="1252">
        <f ca="1"/>
        <v>160.09</v>
      </c>
      <c r="D430" vm="1253">
        <f ca="1"/>
        <v>5736777</v>
      </c>
      <c r="E430">
        <f t="shared" ca="1" si="126"/>
        <v>918400629.93000007</v>
      </c>
      <c r="F430">
        <f ca="1">SUM($E$2:E430)/SUM($D$2:D430)</f>
        <v>151.38917676123066</v>
      </c>
      <c r="G430">
        <f ca="1">_xlfn.STDEV.P($C$2:C430)</f>
        <v>7.6440202329997566</v>
      </c>
      <c r="H430">
        <f t="shared" ca="1" si="127"/>
        <v>159.03319699423042</v>
      </c>
      <c r="I430">
        <f t="shared" ca="1" si="128"/>
        <v>143.74515652823089</v>
      </c>
      <c r="J430">
        <f t="shared" ca="1" si="137"/>
        <v>157.5925</v>
      </c>
      <c r="K430">
        <f t="shared" ca="1" si="138"/>
        <v>2.3361346279698871</v>
      </c>
      <c r="L430">
        <f t="shared" ca="1" si="139"/>
        <v>162.26476925593977</v>
      </c>
      <c r="M430">
        <f t="shared" ca="1" si="140"/>
        <v>152.92023074406023</v>
      </c>
      <c r="N430">
        <f t="shared" ca="1" si="129"/>
        <v>0.55000000000001137</v>
      </c>
      <c r="O430">
        <f t="shared" ca="1" si="130"/>
        <v>0.55000000000001137</v>
      </c>
      <c r="P430">
        <f t="shared" ca="1" si="131"/>
        <v>0</v>
      </c>
      <c r="Q430">
        <f t="shared" ca="1" si="135"/>
        <v>0.82674314759968215</v>
      </c>
      <c r="R430">
        <f t="shared" ca="1" si="136"/>
        <v>0.55912095923985639</v>
      </c>
      <c r="S430">
        <f t="shared" ca="1" si="133"/>
        <v>1.4786481063483421</v>
      </c>
      <c r="T430">
        <f t="shared" ca="1" si="134"/>
        <v>59.655426785319449</v>
      </c>
      <c r="U430">
        <f>70</f>
        <v>70</v>
      </c>
      <c r="V430">
        <f>30</f>
        <v>30</v>
      </c>
      <c r="W430">
        <f t="shared" ca="1" si="132"/>
        <v>157.8133844677111</v>
      </c>
      <c r="X430">
        <f t="shared" ca="1" si="142"/>
        <v>156.69995951355338</v>
      </c>
      <c r="Y430">
        <f t="shared" ca="1" si="141"/>
        <v>1.112844287764517</v>
      </c>
      <c r="Z430">
        <f t="shared" ca="1" si="143"/>
        <v>1.0909871931326021</v>
      </c>
      <c r="AA430">
        <f t="shared" ca="1" si="144"/>
        <v>2.1857094631914986E-2</v>
      </c>
      <c r="AB430">
        <f t="shared" ca="1" si="145"/>
        <v>148.14130000000006</v>
      </c>
    </row>
    <row r="431" spans="1:28" x14ac:dyDescent="0.25">
      <c r="A431" s="20">
        <f t="shared" ca="1" si="125"/>
        <v>45915</v>
      </c>
      <c r="B431" vm="1254">
        <f ca="1"/>
        <v>45918</v>
      </c>
      <c r="C431" vm="1255">
        <f ca="1"/>
        <v>158.84</v>
      </c>
      <c r="D431" vm="1256">
        <f ca="1"/>
        <v>6244226</v>
      </c>
      <c r="E431">
        <f t="shared" ca="1" si="126"/>
        <v>991832857.84000003</v>
      </c>
      <c r="F431">
        <f ca="1">SUM($E$2:E431)/SUM($D$2:D431)</f>
        <v>151.40210416132004</v>
      </c>
      <c r="G431">
        <f ca="1">_xlfn.STDEV.P($C$2:C431)</f>
        <v>7.6422810172110829</v>
      </c>
      <c r="H431">
        <f t="shared" ca="1" si="127"/>
        <v>159.04438517853112</v>
      </c>
      <c r="I431">
        <f t="shared" ca="1" si="128"/>
        <v>143.75982314410896</v>
      </c>
      <c r="J431">
        <f t="shared" ca="1" si="137"/>
        <v>157.87350000000001</v>
      </c>
      <c r="K431">
        <f t="shared" ca="1" si="138"/>
        <v>2.1095179668899671</v>
      </c>
      <c r="L431">
        <f t="shared" ca="1" si="139"/>
        <v>162.09253593377994</v>
      </c>
      <c r="M431">
        <f t="shared" ca="1" si="140"/>
        <v>153.65446406622007</v>
      </c>
      <c r="N431">
        <f t="shared" ca="1" si="129"/>
        <v>-1.25</v>
      </c>
      <c r="O431">
        <f t="shared" ca="1" si="130"/>
        <v>0</v>
      </c>
      <c r="P431">
        <f t="shared" ca="1" si="131"/>
        <v>1.25</v>
      </c>
      <c r="Q431">
        <f t="shared" ca="1" si="135"/>
        <v>0.76769006562827624</v>
      </c>
      <c r="R431">
        <f t="shared" ca="1" si="136"/>
        <v>0.60846946215129527</v>
      </c>
      <c r="S431">
        <f t="shared" ca="1" si="133"/>
        <v>1.2616739431984689</v>
      </c>
      <c r="T431">
        <f t="shared" ca="1" si="134"/>
        <v>55.784961709122591</v>
      </c>
      <c r="U431">
        <f>70</f>
        <v>70</v>
      </c>
      <c r="V431">
        <f>30</f>
        <v>30</v>
      </c>
      <c r="W431">
        <f t="shared" ca="1" si="132"/>
        <v>157.97132531883247</v>
      </c>
      <c r="X431">
        <f t="shared" ca="1" si="142"/>
        <v>156.85848103106795</v>
      </c>
      <c r="Y431">
        <f t="shared" ca="1" si="141"/>
        <v>0.88990679372122372</v>
      </c>
      <c r="Z431">
        <f t="shared" ca="1" si="143"/>
        <v>1.0507711132503263</v>
      </c>
      <c r="AA431">
        <f t="shared" ca="1" si="144"/>
        <v>-0.16086431952910263</v>
      </c>
      <c r="AB431">
        <f t="shared" ca="1" si="145"/>
        <v>148.34240000000005</v>
      </c>
    </row>
    <row r="432" spans="1:28" x14ac:dyDescent="0.25">
      <c r="A432" s="20">
        <f t="shared" ca="1" si="125"/>
        <v>45915</v>
      </c>
      <c r="B432" vm="1257">
        <f ca="1"/>
        <v>45919</v>
      </c>
      <c r="C432" vm="703">
        <f ca="1"/>
        <v>156.21</v>
      </c>
      <c r="D432" vm="1258">
        <f ca="1"/>
        <v>16733988</v>
      </c>
      <c r="E432">
        <f t="shared" ca="1" si="126"/>
        <v>2614016265.48</v>
      </c>
      <c r="F432">
        <f ca="1">SUM($E$2:E432)/SUM($D$2:D432)</f>
        <v>151.42435611502404</v>
      </c>
      <c r="G432">
        <f ca="1">_xlfn.STDEV.P($C$2:C432)</f>
        <v>7.6361067371939599</v>
      </c>
      <c r="H432">
        <f t="shared" ca="1" si="127"/>
        <v>159.060462852218</v>
      </c>
      <c r="I432">
        <f t="shared" ca="1" si="128"/>
        <v>143.78824937783008</v>
      </c>
      <c r="J432">
        <f t="shared" ca="1" si="137"/>
        <v>157.90650000000002</v>
      </c>
      <c r="K432">
        <f t="shared" ca="1" si="138"/>
        <v>2.0761560508228722</v>
      </c>
      <c r="L432">
        <f t="shared" ca="1" si="139"/>
        <v>162.05881210164577</v>
      </c>
      <c r="M432">
        <f t="shared" ca="1" si="140"/>
        <v>153.75418789835427</v>
      </c>
      <c r="N432">
        <f t="shared" ca="1" si="129"/>
        <v>-2.6299999999999955</v>
      </c>
      <c r="O432">
        <f t="shared" ca="1" si="130"/>
        <v>0</v>
      </c>
      <c r="P432">
        <f t="shared" ca="1" si="131"/>
        <v>2.6299999999999955</v>
      </c>
      <c r="Q432">
        <f t="shared" ca="1" si="135"/>
        <v>0.7128550609405423</v>
      </c>
      <c r="R432">
        <f t="shared" ca="1" si="136"/>
        <v>0.75286450056905962</v>
      </c>
      <c r="S432">
        <f t="shared" ca="1" si="133"/>
        <v>0.94685705117152441</v>
      </c>
      <c r="T432">
        <f t="shared" ca="1" si="134"/>
        <v>48.635160480927539</v>
      </c>
      <c r="U432">
        <f>70</f>
        <v>70</v>
      </c>
      <c r="V432">
        <f>30</f>
        <v>30</v>
      </c>
      <c r="W432">
        <f t="shared" ca="1" si="132"/>
        <v>157.70035219285822</v>
      </c>
      <c r="X432">
        <f t="shared" ca="1" si="142"/>
        <v>156.810445399137</v>
      </c>
      <c r="Y432">
        <f t="shared" ca="1" si="141"/>
        <v>0.69233574518338514</v>
      </c>
      <c r="Z432">
        <f t="shared" ca="1" si="143"/>
        <v>0.97908403963693813</v>
      </c>
      <c r="AA432">
        <f t="shared" ca="1" si="144"/>
        <v>-0.28674829445355299</v>
      </c>
      <c r="AB432">
        <f t="shared" ca="1" si="145"/>
        <v>148.50350000000003</v>
      </c>
    </row>
    <row r="433" spans="1:28" x14ac:dyDescent="0.25">
      <c r="A433" s="20">
        <f t="shared" ca="1" si="125"/>
        <v>45922</v>
      </c>
      <c r="B433" vm="1259">
        <f ca="1"/>
        <v>45922</v>
      </c>
      <c r="C433" vm="1260">
        <f ca="1"/>
        <v>156.05000000000001</v>
      </c>
      <c r="D433" vm="1261">
        <f ca="1"/>
        <v>5244025</v>
      </c>
      <c r="E433">
        <f t="shared" ca="1" si="126"/>
        <v>818330101.25</v>
      </c>
      <c r="F433">
        <f ca="1">SUM($E$2:E433)/SUM($D$2:D433)</f>
        <v>151.43105528753611</v>
      </c>
      <c r="G433">
        <f ca="1">_xlfn.STDEV.P($C$2:C433)</f>
        <v>7.6297437066925102</v>
      </c>
      <c r="H433">
        <f t="shared" ca="1" si="127"/>
        <v>159.06079899422863</v>
      </c>
      <c r="I433">
        <f t="shared" ca="1" si="128"/>
        <v>143.80131158084359</v>
      </c>
      <c r="J433">
        <f t="shared" ca="1" si="137"/>
        <v>157.80000000000004</v>
      </c>
      <c r="K433">
        <f t="shared" ca="1" si="138"/>
        <v>2.1156434880246371</v>
      </c>
      <c r="L433">
        <f t="shared" ca="1" si="139"/>
        <v>162.0312869760493</v>
      </c>
      <c r="M433">
        <f t="shared" ca="1" si="140"/>
        <v>153.56871302395078</v>
      </c>
      <c r="N433">
        <f t="shared" ca="1" si="129"/>
        <v>-0.15999999999999659</v>
      </c>
      <c r="O433">
        <f t="shared" ca="1" si="130"/>
        <v>0</v>
      </c>
      <c r="P433">
        <f t="shared" ca="1" si="131"/>
        <v>0.15999999999999659</v>
      </c>
      <c r="Q433">
        <f t="shared" ca="1" si="135"/>
        <v>0.66193684230193217</v>
      </c>
      <c r="R433">
        <f t="shared" ca="1" si="136"/>
        <v>0.71051703624269802</v>
      </c>
      <c r="S433">
        <f t="shared" ca="1" si="133"/>
        <v>0.93162698223583218</v>
      </c>
      <c r="T433">
        <f t="shared" ca="1" si="134"/>
        <v>48.230170255619775</v>
      </c>
      <c r="U433">
        <f>70</f>
        <v>70</v>
      </c>
      <c r="V433">
        <f>30</f>
        <v>30</v>
      </c>
      <c r="W433">
        <f t="shared" ca="1" si="132"/>
        <v>157.44645185549541</v>
      </c>
      <c r="X433">
        <f t="shared" ca="1" si="142"/>
        <v>156.75411611031203</v>
      </c>
      <c r="Y433">
        <f t="shared" ca="1" si="141"/>
        <v>0.63894149638380782</v>
      </c>
      <c r="Z433">
        <f t="shared" ca="1" si="143"/>
        <v>0.9110555309863122</v>
      </c>
      <c r="AA433">
        <f t="shared" ca="1" si="144"/>
        <v>-0.27211403460250438</v>
      </c>
      <c r="AB433">
        <f t="shared" ca="1" si="145"/>
        <v>148.67100000000002</v>
      </c>
    </row>
    <row r="434" spans="1:28" x14ac:dyDescent="0.25">
      <c r="A434" s="20">
        <f t="shared" ca="1" si="125"/>
        <v>45922</v>
      </c>
      <c r="B434" vm="1262">
        <f ca="1"/>
        <v>45923</v>
      </c>
      <c r="C434" vm="1263">
        <f ca="1"/>
        <v>157.41999999999999</v>
      </c>
      <c r="D434" vm="1264">
        <f ca="1"/>
        <v>7181383</v>
      </c>
      <c r="E434">
        <f t="shared" ca="1" si="126"/>
        <v>1130493311.8599999</v>
      </c>
      <c r="F434">
        <f ca="1">SUM($E$2:E434)/SUM($D$2:D434)</f>
        <v>151.4429097568202</v>
      </c>
      <c r="G434">
        <f ca="1">_xlfn.STDEV.P($C$2:C434)</f>
        <v>7.6253489720244358</v>
      </c>
      <c r="H434">
        <f t="shared" ca="1" si="127"/>
        <v>159.06825872884463</v>
      </c>
      <c r="I434">
        <f t="shared" ca="1" si="128"/>
        <v>143.81756078479577</v>
      </c>
      <c r="J434">
        <f t="shared" ca="1" si="137"/>
        <v>157.76100000000002</v>
      </c>
      <c r="K434">
        <f t="shared" ca="1" si="138"/>
        <v>2.115070983006929</v>
      </c>
      <c r="L434">
        <f t="shared" ca="1" si="139"/>
        <v>161.99114196601388</v>
      </c>
      <c r="M434">
        <f t="shared" ca="1" si="140"/>
        <v>153.53085803398616</v>
      </c>
      <c r="N434">
        <f t="shared" ca="1" si="129"/>
        <v>1.3699999999999761</v>
      </c>
      <c r="O434">
        <f t="shared" ca="1" si="130"/>
        <v>1.3699999999999761</v>
      </c>
      <c r="P434">
        <f t="shared" ca="1" si="131"/>
        <v>0</v>
      </c>
      <c r="Q434">
        <f t="shared" ca="1" si="135"/>
        <v>0.71251278213750679</v>
      </c>
      <c r="R434">
        <f t="shared" ca="1" si="136"/>
        <v>0.65976581936821965</v>
      </c>
      <c r="S434">
        <f t="shared" ca="1" si="133"/>
        <v>1.0799480076427674</v>
      </c>
      <c r="T434">
        <f t="shared" ca="1" si="134"/>
        <v>51.921875146614205</v>
      </c>
      <c r="U434">
        <f>70</f>
        <v>70</v>
      </c>
      <c r="V434">
        <f>30</f>
        <v>30</v>
      </c>
      <c r="W434">
        <f t="shared" ca="1" si="132"/>
        <v>157.44238233926532</v>
      </c>
      <c r="X434">
        <f t="shared" ca="1" si="142"/>
        <v>156.80344084288151</v>
      </c>
      <c r="Y434">
        <f t="shared" ca="1" si="141"/>
        <v>0.73022587129716499</v>
      </c>
      <c r="Z434">
        <f t="shared" ca="1" si="143"/>
        <v>0.87488959904848274</v>
      </c>
      <c r="AA434">
        <f t="shared" ca="1" si="144"/>
        <v>-0.14466372775131775</v>
      </c>
      <c r="AB434">
        <f t="shared" ca="1" si="145"/>
        <v>148.88460000000003</v>
      </c>
    </row>
    <row r="435" spans="1:28" x14ac:dyDescent="0.25">
      <c r="A435" s="20">
        <f t="shared" ca="1" si="125"/>
        <v>45922</v>
      </c>
      <c r="B435" vm="1265">
        <f ca="1"/>
        <v>45924</v>
      </c>
      <c r="C435" vm="1266">
        <f ca="1"/>
        <v>159.18</v>
      </c>
      <c r="D435" vm="1267">
        <f ca="1"/>
        <v>6285228</v>
      </c>
      <c r="E435">
        <f t="shared" ca="1" si="126"/>
        <v>1000482593.0400001</v>
      </c>
      <c r="F435">
        <f ca="1">SUM($E$2:E435)/SUM($D$2:D435)</f>
        <v>151.45629020642227</v>
      </c>
      <c r="G435">
        <f ca="1">_xlfn.STDEV.P($C$2:C435)</f>
        <v>7.6242828140636441</v>
      </c>
      <c r="H435">
        <f t="shared" ca="1" si="127"/>
        <v>159.0805730204859</v>
      </c>
      <c r="I435">
        <f t="shared" ca="1" si="128"/>
        <v>143.83200739235863</v>
      </c>
      <c r="J435">
        <f t="shared" ca="1" si="137"/>
        <v>157.85200000000003</v>
      </c>
      <c r="K435">
        <f t="shared" ca="1" si="138"/>
        <v>2.1359592939153038</v>
      </c>
      <c r="L435">
        <f t="shared" ca="1" si="139"/>
        <v>162.12391858783064</v>
      </c>
      <c r="M435">
        <f t="shared" ca="1" si="140"/>
        <v>153.58008141216942</v>
      </c>
      <c r="N435">
        <f t="shared" ca="1" si="129"/>
        <v>1.7600000000000193</v>
      </c>
      <c r="O435">
        <f t="shared" ca="1" si="130"/>
        <v>1.7600000000000193</v>
      </c>
      <c r="P435">
        <f t="shared" ca="1" si="131"/>
        <v>0</v>
      </c>
      <c r="Q435">
        <f t="shared" ca="1" si="135"/>
        <v>0.78733329769911475</v>
      </c>
      <c r="R435">
        <f t="shared" ca="1" si="136"/>
        <v>0.61263968941334679</v>
      </c>
      <c r="S435">
        <f t="shared" ca="1" si="133"/>
        <v>1.28514902201823</v>
      </c>
      <c r="T435">
        <f t="shared" ca="1" si="134"/>
        <v>56.239177823212337</v>
      </c>
      <c r="U435">
        <f>70</f>
        <v>70</v>
      </c>
      <c r="V435">
        <f>30</f>
        <v>30</v>
      </c>
      <c r="W435">
        <f t="shared" ca="1" si="132"/>
        <v>157.7097081332245</v>
      </c>
      <c r="X435">
        <f t="shared" ca="1" si="142"/>
        <v>156.97948226192733</v>
      </c>
      <c r="Y435">
        <f t="shared" ca="1" si="141"/>
        <v>0.91627230894954437</v>
      </c>
      <c r="Z435">
        <f t="shared" ca="1" si="143"/>
        <v>0.88316614102869517</v>
      </c>
      <c r="AA435">
        <f t="shared" ca="1" si="144"/>
        <v>3.3106167920849194E-2</v>
      </c>
      <c r="AB435">
        <f t="shared" ca="1" si="145"/>
        <v>149.11380000000003</v>
      </c>
    </row>
    <row r="436" spans="1:28" x14ac:dyDescent="0.25">
      <c r="A436" s="20">
        <f t="shared" ca="1" si="125"/>
        <v>45922</v>
      </c>
      <c r="B436" vm="1268">
        <f ca="1"/>
        <v>45925</v>
      </c>
      <c r="C436" vm="1269">
        <f ca="1"/>
        <v>160.72</v>
      </c>
      <c r="D436" vm="1270">
        <f ca="1"/>
        <v>6311040</v>
      </c>
      <c r="E436">
        <f t="shared" ca="1" si="126"/>
        <v>1014310348.8</v>
      </c>
      <c r="F436">
        <f ca="1">SUM($E$2:E436)/SUM($D$2:D436)</f>
        <v>151.47234868462854</v>
      </c>
      <c r="G436">
        <f ca="1">_xlfn.STDEV.P($C$2:C436)</f>
        <v>7.6268498488903553</v>
      </c>
      <c r="H436">
        <f t="shared" ca="1" si="127"/>
        <v>159.09919853351889</v>
      </c>
      <c r="I436">
        <f t="shared" ca="1" si="128"/>
        <v>143.8454988357382</v>
      </c>
      <c r="J436">
        <f t="shared" ca="1" si="137"/>
        <v>157.92599999999999</v>
      </c>
      <c r="K436">
        <f t="shared" ca="1" si="138"/>
        <v>2.2108997930111722</v>
      </c>
      <c r="L436">
        <f t="shared" ca="1" si="139"/>
        <v>162.34779958602232</v>
      </c>
      <c r="M436">
        <f t="shared" ca="1" si="140"/>
        <v>153.50420041397766</v>
      </c>
      <c r="N436">
        <f t="shared" ca="1" si="129"/>
        <v>1.539999999999992</v>
      </c>
      <c r="O436">
        <f t="shared" ca="1" si="130"/>
        <v>1.539999999999992</v>
      </c>
      <c r="P436">
        <f t="shared" ca="1" si="131"/>
        <v>0</v>
      </c>
      <c r="Q436">
        <f t="shared" ca="1" si="135"/>
        <v>0.84109520500632029</v>
      </c>
      <c r="R436">
        <f t="shared" ca="1" si="136"/>
        <v>0.56887971159810768</v>
      </c>
      <c r="S436">
        <f t="shared" ca="1" si="133"/>
        <v>1.4785115163335667</v>
      </c>
      <c r="T436">
        <f t="shared" ca="1" si="134"/>
        <v>59.65320340817749</v>
      </c>
      <c r="U436">
        <f>70</f>
        <v>70</v>
      </c>
      <c r="V436">
        <f>30</f>
        <v>30</v>
      </c>
      <c r="W436">
        <f t="shared" ca="1" si="132"/>
        <v>158.17282995888226</v>
      </c>
      <c r="X436">
        <f t="shared" ca="1" si="142"/>
        <v>157.25655764993272</v>
      </c>
      <c r="Y436">
        <f t="shared" ca="1" si="141"/>
        <v>1.0069209731051103</v>
      </c>
      <c r="Z436">
        <f t="shared" ca="1" si="143"/>
        <v>0.90791710744397824</v>
      </c>
      <c r="AA436">
        <f t="shared" ca="1" si="144"/>
        <v>9.9003865661132062E-2</v>
      </c>
      <c r="AB436">
        <f t="shared" ca="1" si="145"/>
        <v>149.33600000000001</v>
      </c>
    </row>
    <row r="437" spans="1:28" x14ac:dyDescent="0.25">
      <c r="A437" s="20">
        <f t="shared" ca="1" si="125"/>
        <v>45922</v>
      </c>
      <c r="B437" vm="1271">
        <f ca="1"/>
        <v>45926</v>
      </c>
      <c r="C437" vm="1272">
        <f ca="1"/>
        <v>160.16</v>
      </c>
      <c r="D437" vm="1273">
        <f ca="1"/>
        <v>7015168</v>
      </c>
      <c r="E437">
        <f t="shared" ca="1" si="126"/>
        <v>1123549306.8799999</v>
      </c>
      <c r="F437">
        <f ca="1">SUM($E$2:E437)/SUM($D$2:D437)</f>
        <v>151.48905662584409</v>
      </c>
      <c r="G437">
        <f ca="1">_xlfn.STDEV.P($C$2:C437)</f>
        <v>7.6279448388365916</v>
      </c>
      <c r="H437">
        <f t="shared" ca="1" si="127"/>
        <v>159.11700146468067</v>
      </c>
      <c r="I437">
        <f t="shared" ca="1" si="128"/>
        <v>143.8611117870075</v>
      </c>
      <c r="J437">
        <f t="shared" ca="1" si="137"/>
        <v>157.96800000000002</v>
      </c>
      <c r="K437">
        <f t="shared" ca="1" si="138"/>
        <v>2.2464676365586187</v>
      </c>
      <c r="L437">
        <f t="shared" ca="1" si="139"/>
        <v>162.46093527311726</v>
      </c>
      <c r="M437">
        <f t="shared" ca="1" si="140"/>
        <v>153.47506472688278</v>
      </c>
      <c r="N437">
        <f t="shared" ca="1" si="129"/>
        <v>-0.56000000000000227</v>
      </c>
      <c r="O437">
        <f t="shared" ca="1" si="130"/>
        <v>0</v>
      </c>
      <c r="P437">
        <f t="shared" ca="1" si="131"/>
        <v>0.56000000000000227</v>
      </c>
      <c r="Q437">
        <f t="shared" ca="1" si="135"/>
        <v>0.78101697607729736</v>
      </c>
      <c r="R437">
        <f t="shared" ca="1" si="136"/>
        <v>0.56824544648395725</v>
      </c>
      <c r="S437">
        <f t="shared" ca="1" si="133"/>
        <v>1.3744359605692804</v>
      </c>
      <c r="T437">
        <f t="shared" ca="1" si="134"/>
        <v>57.884734875719872</v>
      </c>
      <c r="U437">
        <f>70</f>
        <v>70</v>
      </c>
      <c r="V437">
        <f>30</f>
        <v>30</v>
      </c>
      <c r="W437">
        <f t="shared" ca="1" si="132"/>
        <v>158.4785484267465</v>
      </c>
      <c r="X437">
        <f t="shared" ca="1" si="142"/>
        <v>157.47162745364139</v>
      </c>
      <c r="Y437">
        <f t="shared" ca="1" si="141"/>
        <v>0.7425924795163894</v>
      </c>
      <c r="Z437">
        <f t="shared" ca="1" si="143"/>
        <v>0.87485218185846059</v>
      </c>
      <c r="AA437">
        <f t="shared" ca="1" si="144"/>
        <v>-0.13225970234207118</v>
      </c>
      <c r="AB437">
        <f t="shared" ca="1" si="145"/>
        <v>149.58260000000001</v>
      </c>
    </row>
    <row r="438" spans="1:28" x14ac:dyDescent="0.25">
      <c r="A438" s="20">
        <f t="shared" ca="1" si="125"/>
        <v>45929</v>
      </c>
      <c r="B438" vm="1274">
        <f ca="1"/>
        <v>45929</v>
      </c>
      <c r="C438" vm="1275">
        <f ca="1"/>
        <v>156.1</v>
      </c>
      <c r="D438" vm="1276">
        <f ca="1"/>
        <v>8315073</v>
      </c>
      <c r="E438">
        <f t="shared" ca="1" si="126"/>
        <v>1297982895.3</v>
      </c>
      <c r="F438">
        <f ca="1">SUM($E$2:E438)/SUM($D$2:D438)</f>
        <v>151.49954358237417</v>
      </c>
      <c r="G438">
        <f ca="1">_xlfn.STDEV.P($C$2:C438)</f>
        <v>7.6216341902884617</v>
      </c>
      <c r="H438">
        <f t="shared" ca="1" si="127"/>
        <v>159.12117777266263</v>
      </c>
      <c r="I438">
        <f t="shared" ca="1" si="128"/>
        <v>143.87790939208571</v>
      </c>
      <c r="J438">
        <f t="shared" ca="1" si="137"/>
        <v>157.74299999999999</v>
      </c>
      <c r="K438">
        <f t="shared" ca="1" si="138"/>
        <v>2.1937137461391822</v>
      </c>
      <c r="L438">
        <f t="shared" ca="1" si="139"/>
        <v>162.13042749227836</v>
      </c>
      <c r="M438">
        <f t="shared" ca="1" si="140"/>
        <v>153.35557250772163</v>
      </c>
      <c r="N438">
        <f t="shared" ca="1" si="129"/>
        <v>-4.0600000000000023</v>
      </c>
      <c r="O438">
        <f t="shared" ca="1" si="130"/>
        <v>0</v>
      </c>
      <c r="P438">
        <f t="shared" ca="1" si="131"/>
        <v>4.0600000000000023</v>
      </c>
      <c r="Q438">
        <f t="shared" ca="1" si="135"/>
        <v>0.72523004921463319</v>
      </c>
      <c r="R438">
        <f t="shared" ca="1" si="136"/>
        <v>0.81765648602081764</v>
      </c>
      <c r="S438">
        <f t="shared" ca="1" si="133"/>
        <v>0.88696177626379002</v>
      </c>
      <c r="T438">
        <f t="shared" ca="1" si="134"/>
        <v>47.004755868451475</v>
      </c>
      <c r="U438">
        <f>70</f>
        <v>70</v>
      </c>
      <c r="V438">
        <f>30</f>
        <v>30</v>
      </c>
      <c r="W438">
        <f t="shared" ca="1" si="132"/>
        <v>158.11261789955472</v>
      </c>
      <c r="X438">
        <f t="shared" ca="1" si="142"/>
        <v>157.37002542003833</v>
      </c>
      <c r="Y438">
        <f t="shared" ca="1" si="141"/>
        <v>0.46241952893245752</v>
      </c>
      <c r="Z438">
        <f t="shared" ca="1" si="143"/>
        <v>0.79236565127325997</v>
      </c>
      <c r="AA438">
        <f t="shared" ca="1" si="144"/>
        <v>-0.32994612234080245</v>
      </c>
      <c r="AB438">
        <f t="shared" ca="1" si="145"/>
        <v>149.7876</v>
      </c>
    </row>
    <row r="439" spans="1:28" x14ac:dyDescent="0.25">
      <c r="A439" s="20">
        <f t="shared" ca="1" si="125"/>
        <v>45929</v>
      </c>
      <c r="B439" vm="1277">
        <f ca="1"/>
        <v>45930</v>
      </c>
      <c r="C439" vm="644">
        <f ca="1"/>
        <v>155.29</v>
      </c>
      <c r="D439" vm="1278">
        <f ca="1"/>
        <v>7755716</v>
      </c>
      <c r="E439">
        <f t="shared" ca="1" si="126"/>
        <v>1204385137.6399999</v>
      </c>
      <c r="F439">
        <f ca="1">SUM($E$2:E439)/SUM($D$2:D439)</f>
        <v>151.50756750433732</v>
      </c>
      <c r="G439">
        <f ca="1">_xlfn.STDEV.P($C$2:C439)</f>
        <v>7.6144622081849329</v>
      </c>
      <c r="H439">
        <f t="shared" ca="1" si="127"/>
        <v>159.12202971252225</v>
      </c>
      <c r="I439">
        <f t="shared" ca="1" si="128"/>
        <v>143.89310529615238</v>
      </c>
      <c r="J439">
        <f t="shared" ca="1" si="137"/>
        <v>157.41599999999997</v>
      </c>
      <c r="K439">
        <f t="shared" ca="1" si="138"/>
        <v>2.0340558394239672</v>
      </c>
      <c r="L439">
        <f t="shared" ca="1" si="139"/>
        <v>161.48411167884791</v>
      </c>
      <c r="M439">
        <f t="shared" ca="1" si="140"/>
        <v>153.34788832115203</v>
      </c>
      <c r="N439">
        <f t="shared" ca="1" si="129"/>
        <v>-0.81000000000000227</v>
      </c>
      <c r="O439">
        <f t="shared" ca="1" si="130"/>
        <v>0</v>
      </c>
      <c r="P439">
        <f t="shared" ca="1" si="131"/>
        <v>0.81000000000000227</v>
      </c>
      <c r="Q439">
        <f t="shared" ca="1" si="135"/>
        <v>0.67342790284215936</v>
      </c>
      <c r="R439">
        <f t="shared" ca="1" si="136"/>
        <v>0.81710959416218798</v>
      </c>
      <c r="S439">
        <f t="shared" ca="1" si="133"/>
        <v>0.82415860449252143</v>
      </c>
      <c r="T439">
        <f t="shared" ca="1" si="134"/>
        <v>45.180205408827447</v>
      </c>
      <c r="U439">
        <f>70</f>
        <v>70</v>
      </c>
      <c r="V439">
        <f>30</f>
        <v>30</v>
      </c>
      <c r="W439">
        <f t="shared" ca="1" si="132"/>
        <v>157.67836899193091</v>
      </c>
      <c r="X439">
        <f t="shared" ca="1" si="142"/>
        <v>157.21594946299845</v>
      </c>
      <c r="Y439">
        <f t="shared" ca="1" si="141"/>
        <v>0.18100289210536857</v>
      </c>
      <c r="Z439">
        <f t="shared" ca="1" si="143"/>
        <v>0.67009309943968176</v>
      </c>
      <c r="AA439">
        <f t="shared" ca="1" si="144"/>
        <v>-0.48909020733431319</v>
      </c>
      <c r="AB439">
        <f t="shared" ca="1" si="145"/>
        <v>149.98259999999999</v>
      </c>
    </row>
    <row r="440" spans="1:28" x14ac:dyDescent="0.25">
      <c r="A440" s="20">
        <f t="shared" ca="1" si="125"/>
        <v>45929</v>
      </c>
      <c r="B440" vm="1279">
        <f ca="1"/>
        <v>45931</v>
      </c>
      <c r="C440" vm="1280">
        <f ca="1"/>
        <v>154.58000000000001</v>
      </c>
      <c r="D440" vm="1281">
        <f ca="1"/>
        <v>6768358</v>
      </c>
      <c r="E440">
        <f t="shared" ca="1" si="126"/>
        <v>1046252779.6400001</v>
      </c>
      <c r="F440">
        <f ca="1">SUM($E$2:E440)/SUM($D$2:D440)</f>
        <v>151.51323299326756</v>
      </c>
      <c r="G440">
        <f ca="1">_xlfn.STDEV.P($C$2:C440)</f>
        <v>7.6067068979220851</v>
      </c>
      <c r="H440">
        <f t="shared" ca="1" si="127"/>
        <v>159.11993989118966</v>
      </c>
      <c r="I440">
        <f t="shared" ca="1" si="128"/>
        <v>143.90652609534547</v>
      </c>
      <c r="J440">
        <f t="shared" ca="1" si="137"/>
        <v>157.24199999999993</v>
      </c>
      <c r="K440">
        <f t="shared" ca="1" si="138"/>
        <v>2.122968626587233</v>
      </c>
      <c r="L440">
        <f t="shared" ca="1" si="139"/>
        <v>161.48793725317441</v>
      </c>
      <c r="M440">
        <f t="shared" ca="1" si="140"/>
        <v>152.99606274682546</v>
      </c>
      <c r="N440">
        <f t="shared" ca="1" si="129"/>
        <v>-0.70999999999997954</v>
      </c>
      <c r="O440">
        <f t="shared" ca="1" si="130"/>
        <v>0</v>
      </c>
      <c r="P440">
        <f t="shared" ca="1" si="131"/>
        <v>0.70999999999997954</v>
      </c>
      <c r="Q440">
        <f t="shared" ca="1" si="135"/>
        <v>0.6253259097820052</v>
      </c>
      <c r="R440">
        <f t="shared" ca="1" si="136"/>
        <v>0.80945890886488736</v>
      </c>
      <c r="S440">
        <f t="shared" ca="1" si="133"/>
        <v>0.77252335224638669</v>
      </c>
      <c r="T440">
        <f t="shared" ca="1" si="134"/>
        <v>43.583253854869575</v>
      </c>
      <c r="U440">
        <f>70</f>
        <v>70</v>
      </c>
      <c r="V440">
        <f>30</f>
        <v>30</v>
      </c>
      <c r="W440">
        <f t="shared" ca="1" si="132"/>
        <v>157.20169683932616</v>
      </c>
      <c r="X440">
        <f t="shared" ca="1" si="142"/>
        <v>157.02069394722079</v>
      </c>
      <c r="Y440">
        <f t="shared" ca="1" si="141"/>
        <v>-0.13806715546121495</v>
      </c>
      <c r="Z440">
        <f t="shared" ca="1" si="143"/>
        <v>0.50846104845950246</v>
      </c>
      <c r="AA440">
        <f t="shared" ca="1" si="144"/>
        <v>-0.64652820392071741</v>
      </c>
      <c r="AB440">
        <f t="shared" ca="1" si="145"/>
        <v>150.15800000000002</v>
      </c>
    </row>
    <row r="441" spans="1:28" x14ac:dyDescent="0.25">
      <c r="A441" s="20">
        <f t="shared" ca="1" si="125"/>
        <v>45929</v>
      </c>
      <c r="B441" vm="1282">
        <f ca="1"/>
        <v>45932</v>
      </c>
      <c r="C441" vm="1283">
        <f ca="1"/>
        <v>153.37</v>
      </c>
      <c r="D441" vm="1284">
        <f ca="1"/>
        <v>7562448</v>
      </c>
      <c r="E441">
        <f t="shared" ca="1" si="126"/>
        <v>1159852649.76</v>
      </c>
      <c r="F441">
        <f ca="1">SUM($E$2:E441)/SUM($D$2:D441)</f>
        <v>151.51705065699463</v>
      </c>
      <c r="G441">
        <f ca="1">_xlfn.STDEV.P($C$2:C441)</f>
        <v>7.5982982027553918</v>
      </c>
      <c r="H441">
        <f t="shared" ca="1" si="127"/>
        <v>159.11534885975001</v>
      </c>
      <c r="I441">
        <f t="shared" ca="1" si="128"/>
        <v>143.91875245423924</v>
      </c>
      <c r="J441">
        <f t="shared" ca="1" si="137"/>
        <v>157.02599999999995</v>
      </c>
      <c r="K441">
        <f t="shared" ca="1" si="138"/>
        <v>2.2883167796899366</v>
      </c>
      <c r="L441">
        <f t="shared" ca="1" si="139"/>
        <v>161.60263355937983</v>
      </c>
      <c r="M441">
        <f t="shared" ca="1" si="140"/>
        <v>152.44936644062008</v>
      </c>
      <c r="N441">
        <f t="shared" ca="1" si="129"/>
        <v>-1.210000000000008</v>
      </c>
      <c r="O441">
        <f t="shared" ca="1" si="130"/>
        <v>0</v>
      </c>
      <c r="P441">
        <f t="shared" ca="1" si="131"/>
        <v>1.210000000000008</v>
      </c>
      <c r="Q441">
        <f t="shared" ca="1" si="135"/>
        <v>0.58065977336900487</v>
      </c>
      <c r="R441">
        <f t="shared" ca="1" si="136"/>
        <v>0.83806898680311026</v>
      </c>
      <c r="S441">
        <f t="shared" ca="1" si="133"/>
        <v>0.69285438610964944</v>
      </c>
      <c r="T441">
        <f t="shared" ca="1" si="134"/>
        <v>40.928173846180528</v>
      </c>
      <c r="U441">
        <f>70</f>
        <v>70</v>
      </c>
      <c r="V441">
        <f>30</f>
        <v>30</v>
      </c>
      <c r="W441">
        <f t="shared" ca="1" si="132"/>
        <v>156.61220501789137</v>
      </c>
      <c r="X441">
        <f t="shared" ca="1" si="142"/>
        <v>156.75027217335258</v>
      </c>
      <c r="Y441">
        <f t="shared" ca="1" si="141"/>
        <v>-0.37211842172609977</v>
      </c>
      <c r="Z441">
        <f t="shared" ca="1" si="143"/>
        <v>0.33234515442238205</v>
      </c>
      <c r="AA441">
        <f t="shared" ca="1" si="144"/>
        <v>-0.70446357614848187</v>
      </c>
      <c r="AB441">
        <f t="shared" ca="1" si="145"/>
        <v>150.30680000000004</v>
      </c>
    </row>
    <row r="442" spans="1:28" x14ac:dyDescent="0.25">
      <c r="A442" s="20">
        <f t="shared" ca="1" si="125"/>
        <v>45929</v>
      </c>
      <c r="B442" vm="1285">
        <f ca="1"/>
        <v>45933</v>
      </c>
      <c r="C442" vm="1286">
        <f ca="1"/>
        <v>153.55000000000001</v>
      </c>
      <c r="D442" vm="1287">
        <f ca="1"/>
        <v>7249291</v>
      </c>
      <c r="E442">
        <f t="shared" ca="1" si="126"/>
        <v>1113128633.0500002</v>
      </c>
      <c r="F442">
        <f ca="1">SUM($E$2:E442)/SUM($D$2:D442)</f>
        <v>151.52104959640783</v>
      </c>
      <c r="G442">
        <f ca="1">_xlfn.STDEV.P($C$2:C442)</f>
        <v>7.5899900515193561</v>
      </c>
      <c r="H442">
        <f t="shared" ca="1" si="127"/>
        <v>159.11103964792719</v>
      </c>
      <c r="I442">
        <f t="shared" ca="1" si="128"/>
        <v>143.93105954488848</v>
      </c>
      <c r="J442">
        <f t="shared" ca="1" si="137"/>
        <v>157.02049999999997</v>
      </c>
      <c r="K442">
        <f t="shared" ca="1" si="138"/>
        <v>2.2969487197263727</v>
      </c>
      <c r="L442">
        <f t="shared" ca="1" si="139"/>
        <v>161.61439743945272</v>
      </c>
      <c r="M442">
        <f t="shared" ca="1" si="140"/>
        <v>152.42660256054722</v>
      </c>
      <c r="N442">
        <f t="shared" ca="1" si="129"/>
        <v>0.18000000000000682</v>
      </c>
      <c r="O442">
        <f t="shared" ca="1" si="130"/>
        <v>0.18000000000000682</v>
      </c>
      <c r="P442">
        <f t="shared" ca="1" si="131"/>
        <v>0</v>
      </c>
      <c r="Q442">
        <f t="shared" ca="1" si="135"/>
        <v>0.55204121812836215</v>
      </c>
      <c r="R442">
        <f t="shared" ca="1" si="136"/>
        <v>0.77820691631717387</v>
      </c>
      <c r="S442">
        <f t="shared" ca="1" si="133"/>
        <v>0.70937588262626883</v>
      </c>
      <c r="T442">
        <f t="shared" ca="1" si="134"/>
        <v>41.499116129823385</v>
      </c>
      <c r="U442">
        <f>70</f>
        <v>70</v>
      </c>
      <c r="V442">
        <f>30</f>
        <v>30</v>
      </c>
      <c r="W442">
        <f t="shared" ca="1" si="132"/>
        <v>156.14109655360039</v>
      </c>
      <c r="X442">
        <f t="shared" ca="1" si="142"/>
        <v>156.51321497532649</v>
      </c>
      <c r="Y442">
        <f t="shared" ca="1" si="141"/>
        <v>-0.51375837766894961</v>
      </c>
      <c r="Z442">
        <f t="shared" ca="1" si="143"/>
        <v>0.16312444800411569</v>
      </c>
      <c r="AA442">
        <f t="shared" ca="1" si="144"/>
        <v>-0.67688282567306524</v>
      </c>
      <c r="AB442">
        <f t="shared" ca="1" si="145"/>
        <v>150.42610000000002</v>
      </c>
    </row>
    <row r="443" spans="1:28" x14ac:dyDescent="0.25">
      <c r="A443" s="20">
        <f t="shared" ca="1" si="125"/>
        <v>45936</v>
      </c>
      <c r="B443" vm="1288">
        <f ca="1"/>
        <v>45936</v>
      </c>
      <c r="C443" vm="1289">
        <f ca="1"/>
        <v>154.02000000000001</v>
      </c>
      <c r="D443" vm="1290">
        <f ca="1"/>
        <v>4778924</v>
      </c>
      <c r="E443">
        <f t="shared" ca="1" si="126"/>
        <v>736049874.48000002</v>
      </c>
      <c r="F443">
        <f ca="1">SUM($E$2:E443)/SUM($D$2:D443)</f>
        <v>151.52428588835355</v>
      </c>
      <c r="G443">
        <f ca="1">_xlfn.STDEV.P($C$2:C443)</f>
        <v>7.5819437945754444</v>
      </c>
      <c r="H443">
        <f t="shared" ca="1" si="127"/>
        <v>159.10622968292898</v>
      </c>
      <c r="I443">
        <f t="shared" ca="1" si="128"/>
        <v>143.94234209377811</v>
      </c>
      <c r="J443">
        <f t="shared" ca="1" si="137"/>
        <v>157.02149999999997</v>
      </c>
      <c r="K443">
        <f t="shared" ca="1" si="138"/>
        <v>2.295568442387244</v>
      </c>
      <c r="L443">
        <f t="shared" ca="1" si="139"/>
        <v>161.61263688477447</v>
      </c>
      <c r="M443">
        <f t="shared" ca="1" si="140"/>
        <v>152.43036311522548</v>
      </c>
      <c r="N443">
        <f t="shared" ca="1" si="129"/>
        <v>0.46999999999999886</v>
      </c>
      <c r="O443">
        <f t="shared" ca="1" si="130"/>
        <v>0.46999999999999886</v>
      </c>
      <c r="P443">
        <f t="shared" ca="1" si="131"/>
        <v>0</v>
      </c>
      <c r="Q443">
        <f t="shared" ca="1" si="135"/>
        <v>0.54618113111919331</v>
      </c>
      <c r="R443">
        <f t="shared" ca="1" si="136"/>
        <v>0.72262070800880429</v>
      </c>
      <c r="S443">
        <f t="shared" ca="1" si="133"/>
        <v>0.75583376599351304</v>
      </c>
      <c r="T443">
        <f t="shared" ca="1" si="134"/>
        <v>43.047000270315195</v>
      </c>
      <c r="U443">
        <f>70</f>
        <v>70</v>
      </c>
      <c r="V443">
        <f>30</f>
        <v>30</v>
      </c>
      <c r="W443">
        <f t="shared" ca="1" si="132"/>
        <v>155.81477400689263</v>
      </c>
      <c r="X443">
        <f t="shared" ca="1" si="142"/>
        <v>156.32853238456158</v>
      </c>
      <c r="Y443">
        <f t="shared" ca="1" si="141"/>
        <v>-0.54787790579885609</v>
      </c>
      <c r="Z443">
        <f t="shared" ca="1" si="143"/>
        <v>2.0923977243521324E-2</v>
      </c>
      <c r="AA443">
        <f t="shared" ca="1" si="144"/>
        <v>-0.56880188304237744</v>
      </c>
      <c r="AB443">
        <f t="shared" ca="1" si="145"/>
        <v>150.54280000000003</v>
      </c>
    </row>
    <row r="444" spans="1:28" x14ac:dyDescent="0.25">
      <c r="A444" s="20">
        <f t="shared" ca="1" si="125"/>
        <v>45936</v>
      </c>
      <c r="B444" vm="1291">
        <f ca="1"/>
        <v>45937</v>
      </c>
      <c r="C444" vm="1292">
        <f ca="1"/>
        <v>154.91</v>
      </c>
      <c r="D444" vm="1293">
        <f ca="1"/>
        <v>5479593</v>
      </c>
      <c r="E444">
        <f t="shared" ca="1" si="126"/>
        <v>848843751.63</v>
      </c>
      <c r="F444">
        <f ca="1">SUM($E$2:E444)/SUM($D$2:D444)</f>
        <v>151.52930600831954</v>
      </c>
      <c r="G444">
        <f ca="1">_xlfn.STDEV.P($C$2:C444)</f>
        <v>7.5745457054726248</v>
      </c>
      <c r="H444">
        <f t="shared" ca="1" si="127"/>
        <v>159.10385171379215</v>
      </c>
      <c r="I444">
        <f t="shared" ca="1" si="128"/>
        <v>143.95476030284692</v>
      </c>
      <c r="J444">
        <f t="shared" ca="1" si="137"/>
        <v>157.02449999999999</v>
      </c>
      <c r="K444">
        <f t="shared" ca="1" si="138"/>
        <v>2.2926185327790782</v>
      </c>
      <c r="L444">
        <f t="shared" ca="1" si="139"/>
        <v>161.60973706555814</v>
      </c>
      <c r="M444">
        <f t="shared" ca="1" si="140"/>
        <v>152.43926293444184</v>
      </c>
      <c r="N444">
        <f t="shared" ca="1" si="129"/>
        <v>0.88999999999998636</v>
      </c>
      <c r="O444">
        <f t="shared" ca="1" si="130"/>
        <v>0.88999999999998636</v>
      </c>
      <c r="P444">
        <f t="shared" ca="1" si="131"/>
        <v>0</v>
      </c>
      <c r="Q444">
        <f t="shared" ca="1" si="135"/>
        <v>0.57073962175353565</v>
      </c>
      <c r="R444">
        <f t="shared" ca="1" si="136"/>
        <v>0.67100494315103254</v>
      </c>
      <c r="S444">
        <f t="shared" ca="1" si="133"/>
        <v>0.85057439230380039</v>
      </c>
      <c r="T444">
        <f t="shared" ca="1" si="134"/>
        <v>45.962723565244573</v>
      </c>
      <c r="U444">
        <f>70</f>
        <v>70</v>
      </c>
      <c r="V444">
        <f>30</f>
        <v>30</v>
      </c>
      <c r="W444">
        <f t="shared" ca="1" si="132"/>
        <v>155.67557800583222</v>
      </c>
      <c r="X444">
        <f t="shared" ca="1" si="142"/>
        <v>156.22345591163108</v>
      </c>
      <c r="Y444">
        <f t="shared" ca="1" si="141"/>
        <v>-0.66169944030752958</v>
      </c>
      <c r="Z444">
        <f t="shared" ca="1" si="143"/>
        <v>-0.11560070626668886</v>
      </c>
      <c r="AA444">
        <f t="shared" ca="1" si="144"/>
        <v>-0.54609873404084075</v>
      </c>
      <c r="AB444">
        <f t="shared" ca="1" si="145"/>
        <v>150.67520000000002</v>
      </c>
    </row>
    <row r="445" spans="1:28" x14ac:dyDescent="0.25">
      <c r="A445" s="20">
        <f t="shared" ca="1" si="125"/>
        <v>45936</v>
      </c>
      <c r="B445" vm="1294">
        <f ca="1"/>
        <v>45938</v>
      </c>
      <c r="C445" vm="1295">
        <f ca="1"/>
        <v>153.74</v>
      </c>
      <c r="D445" vm="1296">
        <f ca="1"/>
        <v>5678028</v>
      </c>
      <c r="E445">
        <f t="shared" ca="1" si="126"/>
        <v>872940024.72000003</v>
      </c>
      <c r="F445">
        <f ca="1">SUM($E$2:E445)/SUM($D$2:D445)</f>
        <v>151.53269737632823</v>
      </c>
      <c r="G445">
        <f ca="1">_xlfn.STDEV.P($C$2:C445)</f>
        <v>7.5664016750898231</v>
      </c>
      <c r="H445">
        <f t="shared" ca="1" si="127"/>
        <v>159.09909905141805</v>
      </c>
      <c r="I445">
        <f t="shared" ca="1" si="128"/>
        <v>143.96629570123841</v>
      </c>
      <c r="J445">
        <f t="shared" ca="1" si="137"/>
        <v>156.82200000000003</v>
      </c>
      <c r="K445">
        <f t="shared" ca="1" si="138"/>
        <v>2.3978907397961207</v>
      </c>
      <c r="L445">
        <f t="shared" ca="1" si="139"/>
        <v>161.61778147959228</v>
      </c>
      <c r="M445">
        <f t="shared" ca="1" si="140"/>
        <v>152.02621852040778</v>
      </c>
      <c r="N445">
        <f t="shared" ca="1" si="129"/>
        <v>-1.1699999999999875</v>
      </c>
      <c r="O445">
        <f t="shared" ca="1" si="130"/>
        <v>0</v>
      </c>
      <c r="P445">
        <f t="shared" ca="1" si="131"/>
        <v>1.1699999999999875</v>
      </c>
      <c r="Q445">
        <f t="shared" ca="1" si="135"/>
        <v>0.52997250591399736</v>
      </c>
      <c r="R445">
        <f t="shared" ca="1" si="136"/>
        <v>0.70664744721167216</v>
      </c>
      <c r="S445">
        <f t="shared" ca="1" si="133"/>
        <v>0.7499814907776029</v>
      </c>
      <c r="T445">
        <f t="shared" ca="1" si="134"/>
        <v>42.856538467978268</v>
      </c>
      <c r="U445">
        <f>70</f>
        <v>70</v>
      </c>
      <c r="V445">
        <f>30</f>
        <v>30</v>
      </c>
      <c r="W445">
        <f t="shared" ca="1" si="132"/>
        <v>155.37779677416572</v>
      </c>
      <c r="X445">
        <f t="shared" ca="1" si="142"/>
        <v>156.03949621447325</v>
      </c>
      <c r="Y445">
        <f t="shared" ca="1" si="141"/>
        <v>-0.91085648939198904</v>
      </c>
      <c r="Z445">
        <f t="shared" ca="1" si="143"/>
        <v>-0.27465186289174892</v>
      </c>
      <c r="AA445">
        <f t="shared" ca="1" si="144"/>
        <v>-0.63620462650024012</v>
      </c>
      <c r="AB445">
        <f t="shared" ca="1" si="145"/>
        <v>150.79000000000002</v>
      </c>
    </row>
    <row r="446" spans="1:28" x14ac:dyDescent="0.25">
      <c r="A446" s="20">
        <f t="shared" ca="1" si="125"/>
        <v>45936</v>
      </c>
      <c r="B446" vm="1297">
        <f ca="1"/>
        <v>45939</v>
      </c>
      <c r="C446" vm="1158">
        <f ca="1"/>
        <v>151.63999999999999</v>
      </c>
      <c r="D446" vm="1298">
        <f ca="1"/>
        <v>6178601</v>
      </c>
      <c r="E446">
        <f t="shared" ca="1" si="126"/>
        <v>936923055.63999987</v>
      </c>
      <c r="F446">
        <f ca="1">SUM($E$2:E446)/SUM($D$2:D446)</f>
        <v>151.53287619994686</v>
      </c>
      <c r="G446">
        <f ca="1">_xlfn.STDEV.P($C$2:C446)</f>
        <v>7.5579297349906414</v>
      </c>
      <c r="H446">
        <f t="shared" ca="1" si="127"/>
        <v>159.09080593493749</v>
      </c>
      <c r="I446">
        <f t="shared" ca="1" si="128"/>
        <v>143.97494646495622</v>
      </c>
      <c r="J446">
        <f t="shared" ca="1" si="137"/>
        <v>156.49150000000003</v>
      </c>
      <c r="K446">
        <f t="shared" ca="1" si="138"/>
        <v>2.6345583370992074</v>
      </c>
      <c r="L446">
        <f t="shared" ca="1" si="139"/>
        <v>161.76061667419845</v>
      </c>
      <c r="M446">
        <f t="shared" ca="1" si="140"/>
        <v>151.22238332580162</v>
      </c>
      <c r="N446">
        <f t="shared" ca="1" si="129"/>
        <v>-2.1000000000000227</v>
      </c>
      <c r="O446">
        <f t="shared" ca="1" si="130"/>
        <v>0</v>
      </c>
      <c r="P446">
        <f t="shared" ca="1" si="131"/>
        <v>2.1000000000000227</v>
      </c>
      <c r="Q446">
        <f t="shared" ca="1" si="135"/>
        <v>0.49211732692014037</v>
      </c>
      <c r="R446">
        <f t="shared" ca="1" si="136"/>
        <v>0.80617262955369717</v>
      </c>
      <c r="S446">
        <f t="shared" ca="1" si="133"/>
        <v>0.6104366594442433</v>
      </c>
      <c r="T446">
        <f t="shared" ca="1" si="134"/>
        <v>37.905039969402026</v>
      </c>
      <c r="U446">
        <f>70</f>
        <v>70</v>
      </c>
      <c r="V446">
        <f>30</f>
        <v>30</v>
      </c>
      <c r="W446">
        <f t="shared" ca="1" si="132"/>
        <v>154.80275111660177</v>
      </c>
      <c r="X446">
        <f t="shared" ca="1" si="142"/>
        <v>155.71360760599376</v>
      </c>
      <c r="Y446">
        <f t="shared" ca="1" si="141"/>
        <v>-1.3142603712742016</v>
      </c>
      <c r="Z446">
        <f t="shared" ca="1" si="143"/>
        <v>-0.48257356456823947</v>
      </c>
      <c r="AA446">
        <f t="shared" ca="1" si="144"/>
        <v>-0.83168680670596218</v>
      </c>
      <c r="AB446">
        <f t="shared" ca="1" si="145"/>
        <v>150.8854</v>
      </c>
    </row>
    <row r="447" spans="1:28" x14ac:dyDescent="0.25">
      <c r="A447" s="20">
        <f t="shared" ca="1" si="125"/>
        <v>45936</v>
      </c>
      <c r="B447" vm="1299">
        <f ca="1"/>
        <v>45940</v>
      </c>
      <c r="C447" vm="1300">
        <f ca="1"/>
        <v>148.9</v>
      </c>
      <c r="D447" vm="1301">
        <f ca="1"/>
        <v>7796621</v>
      </c>
      <c r="E447">
        <f t="shared" ca="1" si="126"/>
        <v>1160916866.9000001</v>
      </c>
      <c r="F447">
        <f ca="1">SUM($E$2:E447)/SUM($D$2:D447)</f>
        <v>151.5273509884735</v>
      </c>
      <c r="G447">
        <f ca="1">_xlfn.STDEV.P($C$2:C447)</f>
        <v>7.5509886187394164</v>
      </c>
      <c r="H447">
        <f t="shared" ca="1" si="127"/>
        <v>159.07833960721291</v>
      </c>
      <c r="I447">
        <f t="shared" ca="1" si="128"/>
        <v>143.97636236973409</v>
      </c>
      <c r="J447">
        <f t="shared" ca="1" si="137"/>
        <v>156.08099999999999</v>
      </c>
      <c r="K447">
        <f t="shared" ca="1" si="138"/>
        <v>3.1267536553193032</v>
      </c>
      <c r="L447">
        <f t="shared" ca="1" si="139"/>
        <v>162.3345073106386</v>
      </c>
      <c r="M447">
        <f t="shared" ca="1" si="140"/>
        <v>149.82749268936138</v>
      </c>
      <c r="N447">
        <f t="shared" ca="1" si="129"/>
        <v>-2.7399999999999807</v>
      </c>
      <c r="O447">
        <f t="shared" ca="1" si="130"/>
        <v>0</v>
      </c>
      <c r="P447">
        <f t="shared" ca="1" si="131"/>
        <v>2.7399999999999807</v>
      </c>
      <c r="Q447">
        <f t="shared" ca="1" si="135"/>
        <v>0.45696608928298749</v>
      </c>
      <c r="R447">
        <f t="shared" ca="1" si="136"/>
        <v>0.94430315601414605</v>
      </c>
      <c r="S447">
        <f t="shared" ca="1" si="133"/>
        <v>0.48391884149981806</v>
      </c>
      <c r="T447">
        <f t="shared" ca="1" si="134"/>
        <v>32.610869810825662</v>
      </c>
      <c r="U447">
        <f>70</f>
        <v>70</v>
      </c>
      <c r="V447">
        <f>30</f>
        <v>30</v>
      </c>
      <c r="W447">
        <f t="shared" ca="1" si="132"/>
        <v>153.89463556020149</v>
      </c>
      <c r="X447">
        <f t="shared" ca="1" si="142"/>
        <v>155.20889593147569</v>
      </c>
      <c r="Y447">
        <f t="shared" ca="1" si="141"/>
        <v>-1.3728330950135614</v>
      </c>
      <c r="Z447">
        <f t="shared" ca="1" si="143"/>
        <v>-0.66062547065730381</v>
      </c>
      <c r="AA447">
        <f t="shared" ca="1" si="144"/>
        <v>-0.71220762435625762</v>
      </c>
      <c r="AB447">
        <f t="shared" ca="1" si="145"/>
        <v>150.98950000000002</v>
      </c>
    </row>
    <row r="448" spans="1:28" x14ac:dyDescent="0.25">
      <c r="A448" s="20">
        <f t="shared" ca="1" si="125"/>
        <v>45943</v>
      </c>
      <c r="B448" vm="1302">
        <f ca="1"/>
        <v>45943</v>
      </c>
      <c r="C448" vm="1303">
        <f ca="1"/>
        <v>151.94</v>
      </c>
      <c r="D448" vm="1304">
        <f ca="1"/>
        <v>5978755</v>
      </c>
      <c r="E448">
        <f t="shared" ca="1" si="126"/>
        <v>908412034.69999993</v>
      </c>
      <c r="F448">
        <f ca="1">SUM($E$2:E448)/SUM($D$2:D448)</f>
        <v>151.52801397588706</v>
      </c>
      <c r="G448">
        <f ca="1">_xlfn.STDEV.P($C$2:C448)</f>
        <v>7.5425420419201981</v>
      </c>
      <c r="H448">
        <f t="shared" ca="1" si="127"/>
        <v>159.07055601780726</v>
      </c>
      <c r="I448">
        <f t="shared" ca="1" si="128"/>
        <v>143.98547193396686</v>
      </c>
      <c r="J448">
        <f t="shared" ca="1" si="137"/>
        <v>155.81249999999997</v>
      </c>
      <c r="K448">
        <f t="shared" ca="1" si="138"/>
        <v>3.244029130572041</v>
      </c>
      <c r="L448">
        <f t="shared" ca="1" si="139"/>
        <v>162.30055826114406</v>
      </c>
      <c r="M448">
        <f t="shared" ca="1" si="140"/>
        <v>149.32444173885588</v>
      </c>
      <c r="N448">
        <f t="shared" ca="1" si="129"/>
        <v>3.039999999999992</v>
      </c>
      <c r="O448">
        <f t="shared" ca="1" si="130"/>
        <v>3.039999999999992</v>
      </c>
      <c r="P448">
        <f t="shared" ca="1" si="131"/>
        <v>0</v>
      </c>
      <c r="Q448">
        <f t="shared" ca="1" si="135"/>
        <v>0.6414685114770593</v>
      </c>
      <c r="R448">
        <f t="shared" ca="1" si="136"/>
        <v>0.87685293058456426</v>
      </c>
      <c r="S448">
        <f t="shared" ca="1" si="133"/>
        <v>0.73155769810727189</v>
      </c>
      <c r="T448">
        <f t="shared" ca="1" si="134"/>
        <v>42.248531418093762</v>
      </c>
      <c r="U448">
        <f>70</f>
        <v>70</v>
      </c>
      <c r="V448">
        <f>30</f>
        <v>30</v>
      </c>
      <c r="W448">
        <f t="shared" ca="1" si="132"/>
        <v>153.59392239709356</v>
      </c>
      <c r="X448">
        <f t="shared" ca="1" si="142"/>
        <v>154.96675549210713</v>
      </c>
      <c r="Y448">
        <f t="shared" ca="1" si="141"/>
        <v>-1.3671811481424925</v>
      </c>
      <c r="Z448">
        <f t="shared" ca="1" si="143"/>
        <v>-0.80193660615434159</v>
      </c>
      <c r="AA448">
        <f t="shared" ca="1" si="144"/>
        <v>-0.56524454198815088</v>
      </c>
      <c r="AB448">
        <f t="shared" ca="1" si="145"/>
        <v>151.1362</v>
      </c>
    </row>
    <row r="449" spans="1:28" x14ac:dyDescent="0.25">
      <c r="A449" s="20">
        <f t="shared" ca="1" si="125"/>
        <v>45943</v>
      </c>
      <c r="B449" vm="1305">
        <f ca="1"/>
        <v>45944</v>
      </c>
      <c r="C449" vm="1306">
        <f ca="1"/>
        <v>152.38999999999999</v>
      </c>
      <c r="D449" vm="1307">
        <f ca="1"/>
        <v>6419350</v>
      </c>
      <c r="E449">
        <f t="shared" ca="1" si="126"/>
        <v>978244746.49999988</v>
      </c>
      <c r="F449">
        <f ca="1">SUM($E$2:E449)/SUM($D$2:D449)</f>
        <v>151.52949839472637</v>
      </c>
      <c r="G449">
        <f ca="1">_xlfn.STDEV.P($C$2:C449)</f>
        <v>7.5341306645462423</v>
      </c>
      <c r="H449">
        <f t="shared" ca="1" si="127"/>
        <v>159.06362905927261</v>
      </c>
      <c r="I449">
        <f t="shared" ca="1" si="128"/>
        <v>143.99536773018013</v>
      </c>
      <c r="J449">
        <f t="shared" ca="1" si="137"/>
        <v>155.45499999999998</v>
      </c>
      <c r="K449">
        <f t="shared" ca="1" si="138"/>
        <v>3.2053729563771025</v>
      </c>
      <c r="L449">
        <f t="shared" ca="1" si="139"/>
        <v>161.86574591275419</v>
      </c>
      <c r="M449">
        <f t="shared" ca="1" si="140"/>
        <v>149.04425408724578</v>
      </c>
      <c r="N449">
        <f t="shared" ca="1" si="129"/>
        <v>0.44999999999998863</v>
      </c>
      <c r="O449">
        <f t="shared" ca="1" si="130"/>
        <v>0.44999999999998863</v>
      </c>
      <c r="P449">
        <f t="shared" ca="1" si="131"/>
        <v>0</v>
      </c>
      <c r="Q449">
        <f t="shared" ca="1" si="135"/>
        <v>0.62779218922869706</v>
      </c>
      <c r="R449">
        <f t="shared" ca="1" si="136"/>
        <v>0.81422057839995254</v>
      </c>
      <c r="S449">
        <f t="shared" ca="1" si="133"/>
        <v>0.77103454012718387</v>
      </c>
      <c r="T449">
        <f t="shared" ca="1" si="134"/>
        <v>43.535827374197531</v>
      </c>
      <c r="U449">
        <f>70</f>
        <v>70</v>
      </c>
      <c r="V449">
        <f>30</f>
        <v>30</v>
      </c>
      <c r="W449">
        <f t="shared" ca="1" si="132"/>
        <v>153.40870356677149</v>
      </c>
      <c r="X449">
        <f t="shared" ca="1" si="142"/>
        <v>154.77588471491399</v>
      </c>
      <c r="Y449">
        <f t="shared" ca="1" si="141"/>
        <v>-1.3695087550310916</v>
      </c>
      <c r="Z449">
        <f t="shared" ca="1" si="143"/>
        <v>-0.91545103592969168</v>
      </c>
      <c r="AA449">
        <f t="shared" ca="1" si="144"/>
        <v>-0.45405771910139991</v>
      </c>
      <c r="AB449">
        <f t="shared" ca="1" si="145"/>
        <v>151.30450000000002</v>
      </c>
    </row>
    <row r="450" spans="1:28" x14ac:dyDescent="0.25">
      <c r="A450" s="20">
        <f t="shared" ca="1" si="125"/>
        <v>45943</v>
      </c>
      <c r="B450" vm="1308">
        <f ca="1"/>
        <v>45945</v>
      </c>
      <c r="C450" vm="1309">
        <f ca="1"/>
        <v>152.11000000000001</v>
      </c>
      <c r="D450" vm="1310">
        <f ca="1"/>
        <v>5824931</v>
      </c>
      <c r="E450">
        <f t="shared" ca="1" si="126"/>
        <v>886030254.41000009</v>
      </c>
      <c r="F450">
        <f ca="1">SUM($E$2:E450)/SUM($D$2:D450)</f>
        <v>151.53040408827991</v>
      </c>
      <c r="G450">
        <f ca="1">_xlfn.STDEV.P($C$2:C450)</f>
        <v>7.5257360893133649</v>
      </c>
      <c r="H450">
        <f t="shared" ca="1" si="127"/>
        <v>159.05614017759328</v>
      </c>
      <c r="I450">
        <f t="shared" ca="1" si="128"/>
        <v>144.00466799896654</v>
      </c>
      <c r="J450">
        <f t="shared" ca="1" si="137"/>
        <v>155.05600000000001</v>
      </c>
      <c r="K450">
        <f t="shared" ca="1" si="138"/>
        <v>3.0927392048916249</v>
      </c>
      <c r="L450">
        <f t="shared" ca="1" si="139"/>
        <v>161.24147840978327</v>
      </c>
      <c r="M450">
        <f t="shared" ca="1" si="140"/>
        <v>148.87052159021675</v>
      </c>
      <c r="N450">
        <f t="shared" ca="1" si="129"/>
        <v>-0.27999999999997272</v>
      </c>
      <c r="O450">
        <f t="shared" ca="1" si="130"/>
        <v>0</v>
      </c>
      <c r="P450">
        <f t="shared" ca="1" si="131"/>
        <v>0.27999999999997272</v>
      </c>
      <c r="Q450">
        <f t="shared" ca="1" si="135"/>
        <v>0.58294988999807573</v>
      </c>
      <c r="R450">
        <f t="shared" ca="1" si="136"/>
        <v>0.77606196565709684</v>
      </c>
      <c r="S450">
        <f t="shared" ca="1" si="133"/>
        <v>0.75116410260421429</v>
      </c>
      <c r="T450">
        <f t="shared" ca="1" si="134"/>
        <v>42.895129102243082</v>
      </c>
      <c r="U450">
        <f>70</f>
        <v>70</v>
      </c>
      <c r="V450">
        <f>30</f>
        <v>30</v>
      </c>
      <c r="W450">
        <f t="shared" ca="1" si="132"/>
        <v>153.2089030180374</v>
      </c>
      <c r="X450">
        <f t="shared" ca="1" si="142"/>
        <v>154.5784117730685</v>
      </c>
      <c r="Y450">
        <f t="shared" ca="1" si="141"/>
        <v>-1.3876342731913383</v>
      </c>
      <c r="Z450">
        <f t="shared" ca="1" si="143"/>
        <v>-1.0098876833820212</v>
      </c>
      <c r="AA450">
        <f t="shared" ca="1" si="144"/>
        <v>-0.37774658980931708</v>
      </c>
      <c r="AB450">
        <f t="shared" ca="1" si="145"/>
        <v>151.4727</v>
      </c>
    </row>
    <row r="451" spans="1:28" x14ac:dyDescent="0.25">
      <c r="A451" s="20">
        <f t="shared" ref="A451:A514" ca="1" si="146">B451 - WEEKDAY(B451, 2) + 1</f>
        <v>45943</v>
      </c>
      <c r="B451" vm="1311">
        <f ca="1"/>
        <v>45946</v>
      </c>
      <c r="C451" vm="1312">
        <f ca="1"/>
        <v>151.71</v>
      </c>
      <c r="D451" vm="1313">
        <f ca="1"/>
        <v>5276788</v>
      </c>
      <c r="E451">
        <f t="shared" ref="E451:E514" ca="1" si="147">C451*D451</f>
        <v>800541507.48000002</v>
      </c>
      <c r="F451">
        <f ca="1">SUM($E$2:E451)/SUM($D$2:D451)</f>
        <v>151.53065756598835</v>
      </c>
      <c r="G451">
        <f ca="1">_xlfn.STDEV.P($C$2:C451)</f>
        <v>7.5173935335836646</v>
      </c>
      <c r="H451">
        <f t="shared" ref="H451:H514" ca="1" si="148">F451 + G451</f>
        <v>159.04805109957201</v>
      </c>
      <c r="I451">
        <f t="shared" ref="I451:I514" ca="1" si="149">F451 - G451</f>
        <v>144.01326403240469</v>
      </c>
      <c r="J451">
        <f t="shared" ca="1" si="137"/>
        <v>154.6995</v>
      </c>
      <c r="K451">
        <f t="shared" ca="1" si="138"/>
        <v>3.0441565680047256</v>
      </c>
      <c r="L451">
        <f t="shared" ca="1" si="139"/>
        <v>160.78781313600945</v>
      </c>
      <c r="M451">
        <f t="shared" ca="1" si="140"/>
        <v>148.61118686399055</v>
      </c>
      <c r="N451">
        <f t="shared" ca="1" si="129"/>
        <v>-0.40000000000000568</v>
      </c>
      <c r="O451">
        <f t="shared" ca="1" si="130"/>
        <v>0</v>
      </c>
      <c r="P451">
        <f t="shared" ca="1" si="131"/>
        <v>0.40000000000000568</v>
      </c>
      <c r="Q451">
        <f t="shared" ca="1" si="135"/>
        <v>0.54131061214107035</v>
      </c>
      <c r="R451">
        <f t="shared" ca="1" si="136"/>
        <v>0.74920039668159022</v>
      </c>
      <c r="S451">
        <f t="shared" ca="1" si="133"/>
        <v>0.72251778634752517</v>
      </c>
      <c r="T451">
        <f t="shared" ca="1" si="134"/>
        <v>41.945447070219927</v>
      </c>
      <c r="U451">
        <f>70</f>
        <v>70</v>
      </c>
      <c r="V451">
        <f>30</f>
        <v>30</v>
      </c>
      <c r="W451">
        <f t="shared" ca="1" si="132"/>
        <v>152.97830255372395</v>
      </c>
      <c r="X451">
        <f t="shared" ca="1" si="142"/>
        <v>154.36593682691529</v>
      </c>
      <c r="Y451">
        <f t="shared" ca="1" si="141"/>
        <v>-1.2767339324543059</v>
      </c>
      <c r="Z451">
        <f t="shared" ca="1" si="143"/>
        <v>-1.0632569331964783</v>
      </c>
      <c r="AA451">
        <f t="shared" ca="1" si="144"/>
        <v>-0.21347699925782759</v>
      </c>
      <c r="AB451">
        <f t="shared" ca="1" si="145"/>
        <v>151.62440000000001</v>
      </c>
    </row>
    <row r="452" spans="1:28" x14ac:dyDescent="0.25">
      <c r="A452" s="20">
        <f t="shared" ca="1" si="146"/>
        <v>45943</v>
      </c>
      <c r="B452" vm="1314">
        <f ca="1"/>
        <v>45947</v>
      </c>
      <c r="C452" vm="1315">
        <f ca="1"/>
        <v>153.08000000000001</v>
      </c>
      <c r="D452" vm="1316">
        <f ca="1"/>
        <v>7735462</v>
      </c>
      <c r="E452">
        <f t="shared" ca="1" si="147"/>
        <v>1184144522.96</v>
      </c>
      <c r="F452">
        <f ca="1">SUM($E$2:E452)/SUM($D$2:D452)</f>
        <v>151.53385653274157</v>
      </c>
      <c r="G452">
        <f ca="1">_xlfn.STDEV.P($C$2:C452)</f>
        <v>7.5091926022700033</v>
      </c>
      <c r="H452">
        <f t="shared" ca="1" si="148"/>
        <v>159.04304913501156</v>
      </c>
      <c r="I452">
        <f t="shared" ca="1" si="149"/>
        <v>144.02466393047158</v>
      </c>
      <c r="J452">
        <f t="shared" ca="1" si="137"/>
        <v>154.54300000000001</v>
      </c>
      <c r="K452">
        <f t="shared" ca="1" si="138"/>
        <v>3.0428710473048817</v>
      </c>
      <c r="L452">
        <f t="shared" ca="1" si="139"/>
        <v>160.62874209460978</v>
      </c>
      <c r="M452">
        <f t="shared" ca="1" si="140"/>
        <v>148.45725790539024</v>
      </c>
      <c r="N452">
        <f t="shared" ref="N452:N514" ca="1" si="150">C452-C451</f>
        <v>1.3700000000000045</v>
      </c>
      <c r="O452">
        <f t="shared" ref="O452:O514" ca="1" si="151">MAX(N452,0)</f>
        <v>1.3700000000000045</v>
      </c>
      <c r="P452">
        <f t="shared" ref="P452:P514" ca="1" si="152">MAX(-N452,0)</f>
        <v>0</v>
      </c>
      <c r="Q452">
        <f t="shared" ca="1" si="135"/>
        <v>0.60050271127385124</v>
      </c>
      <c r="R452">
        <f t="shared" ca="1" si="136"/>
        <v>0.69568608263290521</v>
      </c>
      <c r="S452">
        <f t="shared" ca="1" si="133"/>
        <v>0.86318057276807758</v>
      </c>
      <c r="T452">
        <f t="shared" ca="1" si="134"/>
        <v>46.328336897892477</v>
      </c>
      <c r="U452">
        <f>70</f>
        <v>70</v>
      </c>
      <c r="V452">
        <f>30</f>
        <v>30</v>
      </c>
      <c r="W452">
        <f t="shared" ca="1" si="132"/>
        <v>152.99394831468948</v>
      </c>
      <c r="X452">
        <f t="shared" ca="1" si="142"/>
        <v>154.27068224714378</v>
      </c>
      <c r="Y452">
        <f t="shared" ca="1" si="141"/>
        <v>-1.0636156149827514</v>
      </c>
      <c r="Z452">
        <f t="shared" ca="1" si="143"/>
        <v>-1.063328669553733</v>
      </c>
      <c r="AA452">
        <f t="shared" ca="1" si="144"/>
        <v>-2.869454290184148E-4</v>
      </c>
      <c r="AB452">
        <f t="shared" ca="1" si="145"/>
        <v>151.77690000000001</v>
      </c>
    </row>
    <row r="453" spans="1:28" x14ac:dyDescent="0.25">
      <c r="A453" s="20">
        <f t="shared" ca="1" si="146"/>
        <v>45950</v>
      </c>
      <c r="B453" vm="1317">
        <f ca="1"/>
        <v>45950</v>
      </c>
      <c r="C453" vm="1318">
        <f ca="1"/>
        <v>154.47999999999999</v>
      </c>
      <c r="D453" vm="1319">
        <f ca="1"/>
        <v>5676505</v>
      </c>
      <c r="E453">
        <f t="shared" ca="1" si="147"/>
        <v>876906492.39999998</v>
      </c>
      <c r="F453">
        <f ca="1">SUM($E$2:E453)/SUM($D$2:D453)</f>
        <v>151.5383136436887</v>
      </c>
      <c r="G453">
        <f ca="1">_xlfn.STDEV.P($C$2:C453)</f>
        <v>7.5017044665644459</v>
      </c>
      <c r="H453">
        <f t="shared" ca="1" si="148"/>
        <v>159.04001811025313</v>
      </c>
      <c r="I453">
        <f t="shared" ca="1" si="149"/>
        <v>144.03660917712426</v>
      </c>
      <c r="J453">
        <f t="shared" ca="1" si="137"/>
        <v>154.46450000000002</v>
      </c>
      <c r="K453">
        <f t="shared" ca="1" si="138"/>
        <v>3.022127997219664</v>
      </c>
      <c r="L453">
        <f t="shared" ca="1" si="139"/>
        <v>160.50875599443935</v>
      </c>
      <c r="M453">
        <f t="shared" ca="1" si="140"/>
        <v>148.42024400556068</v>
      </c>
      <c r="N453">
        <f t="shared" ca="1" si="150"/>
        <v>1.3999999999999773</v>
      </c>
      <c r="O453">
        <f t="shared" ca="1" si="151"/>
        <v>1.3999999999999773</v>
      </c>
      <c r="P453">
        <f t="shared" ca="1" si="152"/>
        <v>0</v>
      </c>
      <c r="Q453">
        <f t="shared" ca="1" si="135"/>
        <v>0.65760966046857461</v>
      </c>
      <c r="R453">
        <f t="shared" ca="1" si="136"/>
        <v>0.64599421958769765</v>
      </c>
      <c r="S453">
        <f t="shared" ca="1" si="133"/>
        <v>1.0179807195307264</v>
      </c>
      <c r="T453">
        <f t="shared" ca="1" si="134"/>
        <v>50.445512669092984</v>
      </c>
      <c r="U453">
        <f>70</f>
        <v>70</v>
      </c>
      <c r="V453">
        <f>30</f>
        <v>30</v>
      </c>
      <c r="W453">
        <f t="shared" ca="1" si="132"/>
        <v>153.2225716508911</v>
      </c>
      <c r="X453">
        <f t="shared" ca="1" si="142"/>
        <v>154.28618726587385</v>
      </c>
      <c r="Y453">
        <f t="shared" ca="1" si="141"/>
        <v>-0.93956433360213509</v>
      </c>
      <c r="Z453">
        <f t="shared" ca="1" si="143"/>
        <v>-1.0385758023634135</v>
      </c>
      <c r="AA453">
        <f t="shared" ca="1" si="144"/>
        <v>9.9011468761278421E-2</v>
      </c>
      <c r="AB453">
        <f t="shared" ca="1" si="145"/>
        <v>151.9615</v>
      </c>
    </row>
    <row r="454" spans="1:28" x14ac:dyDescent="0.25">
      <c r="A454" s="20">
        <f t="shared" ca="1" si="146"/>
        <v>45950</v>
      </c>
      <c r="B454" vm="1320">
        <f ca="1"/>
        <v>45951</v>
      </c>
      <c r="C454" vm="1321">
        <f ca="1"/>
        <v>153.79</v>
      </c>
      <c r="D454" vm="1322">
        <f ca="1"/>
        <v>6304917</v>
      </c>
      <c r="E454">
        <f t="shared" ca="1" si="147"/>
        <v>969633185.42999995</v>
      </c>
      <c r="F454">
        <f ca="1">SUM($E$2:E454)/SUM($D$2:D454)</f>
        <v>151.54209090166705</v>
      </c>
      <c r="G454">
        <f ca="1">_xlfn.STDEV.P($C$2:C454)</f>
        <v>7.4938296980328714</v>
      </c>
      <c r="H454">
        <f t="shared" ca="1" si="148"/>
        <v>159.03592059969992</v>
      </c>
      <c r="I454">
        <f t="shared" ca="1" si="149"/>
        <v>144.04826120363418</v>
      </c>
      <c r="J454">
        <f t="shared" ca="1" si="137"/>
        <v>154.28300000000002</v>
      </c>
      <c r="K454">
        <f t="shared" ca="1" si="138"/>
        <v>2.9432618854454291</v>
      </c>
      <c r="L454">
        <f t="shared" ca="1" si="139"/>
        <v>160.16952377089086</v>
      </c>
      <c r="M454">
        <f t="shared" ca="1" si="140"/>
        <v>148.39647622910917</v>
      </c>
      <c r="N454">
        <f t="shared" ca="1" si="150"/>
        <v>-0.68999999999999773</v>
      </c>
      <c r="O454">
        <f t="shared" ca="1" si="151"/>
        <v>0</v>
      </c>
      <c r="P454">
        <f t="shared" ca="1" si="152"/>
        <v>0.68999999999999773</v>
      </c>
      <c r="Q454">
        <f t="shared" ca="1" si="135"/>
        <v>0.61063754186367636</v>
      </c>
      <c r="R454">
        <f t="shared" ca="1" si="136"/>
        <v>0.64913748961714757</v>
      </c>
      <c r="S454">
        <f t="shared" ca="1" si="133"/>
        <v>0.94069061120444919</v>
      </c>
      <c r="T454">
        <f t="shared" ca="1" si="134"/>
        <v>48.471951467865821</v>
      </c>
      <c r="U454">
        <f>70</f>
        <v>70</v>
      </c>
      <c r="V454">
        <f>30</f>
        <v>30</v>
      </c>
      <c r="W454">
        <f t="shared" ca="1" si="132"/>
        <v>153.30986831998476</v>
      </c>
      <c r="X454">
        <f t="shared" ca="1" si="142"/>
        <v>154.24943265358689</v>
      </c>
      <c r="Y454">
        <f t="shared" ca="1" si="141"/>
        <v>-0.68967157088397357</v>
      </c>
      <c r="Z454">
        <f t="shared" ca="1" si="143"/>
        <v>-0.96879495606752553</v>
      </c>
      <c r="AA454">
        <f t="shared" ca="1" si="144"/>
        <v>0.27912338518355195</v>
      </c>
      <c r="AB454">
        <f t="shared" ca="1" si="145"/>
        <v>152.12030000000001</v>
      </c>
    </row>
    <row r="455" spans="1:28" x14ac:dyDescent="0.25">
      <c r="A455" s="20">
        <f t="shared" ca="1" si="146"/>
        <v>45950</v>
      </c>
      <c r="B455" vm="1323">
        <f ca="1"/>
        <v>45952</v>
      </c>
      <c r="C455" vm="1324">
        <f ca="1"/>
        <v>155.57</v>
      </c>
      <c r="D455" vm="1325">
        <f ca="1"/>
        <v>6036705</v>
      </c>
      <c r="E455">
        <f t="shared" ca="1" si="147"/>
        <v>939130196.8499999</v>
      </c>
      <c r="F455">
        <f ca="1">SUM($E$2:E455)/SUM($D$2:D455)</f>
        <v>151.54855000159785</v>
      </c>
      <c r="G455">
        <f ca="1">_xlfn.STDEV.P($C$2:C455)</f>
        <v>7.4873153163229347</v>
      </c>
      <c r="H455">
        <f t="shared" ca="1" si="148"/>
        <v>159.03586531792078</v>
      </c>
      <c r="I455">
        <f t="shared" ca="1" si="149"/>
        <v>144.06123468527491</v>
      </c>
      <c r="J455">
        <f t="shared" ca="1" si="137"/>
        <v>154.10250000000002</v>
      </c>
      <c r="K455">
        <f t="shared" ca="1" si="138"/>
        <v>2.730116394279881</v>
      </c>
      <c r="L455">
        <f t="shared" ca="1" si="139"/>
        <v>159.56273278855977</v>
      </c>
      <c r="M455">
        <f t="shared" ca="1" si="140"/>
        <v>148.64226721144027</v>
      </c>
      <c r="N455">
        <f t="shared" ca="1" si="150"/>
        <v>1.7800000000000011</v>
      </c>
      <c r="O455">
        <f t="shared" ca="1" si="151"/>
        <v>1.7800000000000011</v>
      </c>
      <c r="P455">
        <f t="shared" ca="1" si="152"/>
        <v>0</v>
      </c>
      <c r="Q455">
        <f t="shared" ca="1" si="135"/>
        <v>0.69416343173055672</v>
      </c>
      <c r="R455">
        <f t="shared" ca="1" si="136"/>
        <v>0.60277052607306558</v>
      </c>
      <c r="S455">
        <f t="shared" ca="1" si="133"/>
        <v>1.1516213910671751</v>
      </c>
      <c r="T455">
        <f t="shared" ca="1" si="134"/>
        <v>53.523421725045523</v>
      </c>
      <c r="U455">
        <f>70</f>
        <v>70</v>
      </c>
      <c r="V455">
        <f>30</f>
        <v>30</v>
      </c>
      <c r="W455">
        <f t="shared" ca="1" si="132"/>
        <v>153.65758088614095</v>
      </c>
      <c r="X455">
        <f t="shared" ca="1" si="142"/>
        <v>154.34725245702492</v>
      </c>
      <c r="Y455">
        <f t="shared" ca="1" si="141"/>
        <v>-0.40705277877273716</v>
      </c>
      <c r="Z455">
        <f t="shared" ca="1" si="143"/>
        <v>-0.85644652060856796</v>
      </c>
      <c r="AA455">
        <f t="shared" ca="1" si="144"/>
        <v>0.44939374183583081</v>
      </c>
      <c r="AB455">
        <f t="shared" ca="1" si="145"/>
        <v>152.309</v>
      </c>
    </row>
    <row r="456" spans="1:28" x14ac:dyDescent="0.25">
      <c r="A456" s="20">
        <f t="shared" ca="1" si="146"/>
        <v>45950</v>
      </c>
      <c r="B456" vm="1326">
        <f ca="1"/>
        <v>45953</v>
      </c>
      <c r="C456" vm="1327">
        <f ca="1"/>
        <v>156.56</v>
      </c>
      <c r="D456" vm="1328">
        <f ca="1"/>
        <v>9810894</v>
      </c>
      <c r="E456">
        <f t="shared" ca="1" si="147"/>
        <v>1535993564.6400001</v>
      </c>
      <c r="F456">
        <f ca="1">SUM($E$2:E456)/SUM($D$2:D456)</f>
        <v>151.56157668943649</v>
      </c>
      <c r="G456">
        <f ca="1">_xlfn.STDEV.P($C$2:C456)</f>
        <v>7.4819577931708485</v>
      </c>
      <c r="H456">
        <f t="shared" ca="1" si="148"/>
        <v>159.04353448260733</v>
      </c>
      <c r="I456">
        <f t="shared" ca="1" si="149"/>
        <v>144.07961889626566</v>
      </c>
      <c r="J456">
        <f t="shared" ca="1" si="137"/>
        <v>153.89450000000002</v>
      </c>
      <c r="K456">
        <f t="shared" ca="1" si="138"/>
        <v>2.3283142196153741</v>
      </c>
      <c r="L456">
        <f t="shared" ca="1" si="139"/>
        <v>158.55112843923078</v>
      </c>
      <c r="M456">
        <f t="shared" ca="1" si="140"/>
        <v>149.23787156076926</v>
      </c>
      <c r="N456">
        <f t="shared" ca="1" si="150"/>
        <v>0.99000000000000909</v>
      </c>
      <c r="O456">
        <f t="shared" ca="1" si="151"/>
        <v>0.99000000000000909</v>
      </c>
      <c r="P456">
        <f t="shared" ca="1" si="152"/>
        <v>0</v>
      </c>
      <c r="Q456">
        <f t="shared" ca="1" si="135"/>
        <v>0.71529461517837478</v>
      </c>
      <c r="R456">
        <f t="shared" ca="1" si="136"/>
        <v>0.55971548849641806</v>
      </c>
      <c r="S456">
        <f t="shared" ca="1" si="133"/>
        <v>1.277961088945196</v>
      </c>
      <c r="T456">
        <f t="shared" ca="1" si="134"/>
        <v>56.101093875003485</v>
      </c>
      <c r="U456">
        <f>70</f>
        <v>70</v>
      </c>
      <c r="V456">
        <f>30</f>
        <v>30</v>
      </c>
      <c r="W456">
        <f t="shared" ca="1" si="132"/>
        <v>154.10410690365774</v>
      </c>
      <c r="X456">
        <f t="shared" ca="1" si="142"/>
        <v>154.51115968243047</v>
      </c>
      <c r="Y456">
        <f t="shared" ca="1" si="141"/>
        <v>-0.2607611008648405</v>
      </c>
      <c r="Z456">
        <f t="shared" ca="1" si="143"/>
        <v>-0.73730943665982251</v>
      </c>
      <c r="AA456">
        <f t="shared" ca="1" si="144"/>
        <v>0.47654833579498201</v>
      </c>
      <c r="AB456">
        <f t="shared" ca="1" si="145"/>
        <v>152.49620000000002</v>
      </c>
    </row>
    <row r="457" spans="1:28" x14ac:dyDescent="0.25">
      <c r="A457" s="20">
        <f t="shared" ca="1" si="146"/>
        <v>45950</v>
      </c>
      <c r="B457" vm="1329">
        <f ca="1"/>
        <v>45954</v>
      </c>
      <c r="C457" vm="1330">
        <f ca="1"/>
        <v>155.56</v>
      </c>
      <c r="D457" vm="1331">
        <f ca="1"/>
        <v>4979941</v>
      </c>
      <c r="E457">
        <f t="shared" ca="1" si="147"/>
        <v>774679621.96000004</v>
      </c>
      <c r="F457">
        <f ca="1">SUM($E$2:E457)/SUM($D$2:D457)</f>
        <v>151.56684537579437</v>
      </c>
      <c r="G457">
        <f ca="1">_xlfn.STDEV.P($C$2:C457)</f>
        <v>7.4754603363732333</v>
      </c>
      <c r="H457">
        <f t="shared" ca="1" si="148"/>
        <v>159.0423057121676</v>
      </c>
      <c r="I457">
        <f t="shared" ca="1" si="149"/>
        <v>144.09138503942114</v>
      </c>
      <c r="J457">
        <f t="shared" ca="1" si="137"/>
        <v>153.66450000000003</v>
      </c>
      <c r="K457">
        <f t="shared" ca="1" si="138"/>
        <v>1.8561320137941628</v>
      </c>
      <c r="L457">
        <f t="shared" ca="1" si="139"/>
        <v>157.37676402758837</v>
      </c>
      <c r="M457">
        <f t="shared" ca="1" si="140"/>
        <v>149.9522359724117</v>
      </c>
      <c r="N457">
        <f t="shared" ca="1" si="150"/>
        <v>-1</v>
      </c>
      <c r="O457">
        <f t="shared" ca="1" si="151"/>
        <v>0</v>
      </c>
      <c r="P457">
        <f t="shared" ca="1" si="152"/>
        <v>1</v>
      </c>
      <c r="Q457">
        <f t="shared" ca="1" si="135"/>
        <v>0.66420214266563371</v>
      </c>
      <c r="R457">
        <f t="shared" ca="1" si="136"/>
        <v>0.59116438217524525</v>
      </c>
      <c r="S457">
        <f t="shared" ca="1" si="133"/>
        <v>1.1235489868683211</v>
      </c>
      <c r="T457">
        <f t="shared" ca="1" si="134"/>
        <v>52.909021351339845</v>
      </c>
      <c r="U457">
        <f>70</f>
        <v>70</v>
      </c>
      <c r="V457">
        <f>30</f>
        <v>30</v>
      </c>
      <c r="W457">
        <f t="shared" ca="1" si="132"/>
        <v>154.32809045694117</v>
      </c>
      <c r="X457">
        <f t="shared" ca="1" si="142"/>
        <v>154.58885155780601</v>
      </c>
      <c r="Y457">
        <f t="shared" ca="1" si="141"/>
        <v>-0.16550965975906706</v>
      </c>
      <c r="Z457">
        <f t="shared" ca="1" si="143"/>
        <v>-0.62294948127967142</v>
      </c>
      <c r="AA457">
        <f t="shared" ca="1" si="144"/>
        <v>0.45743982152060436</v>
      </c>
      <c r="AB457">
        <f t="shared" ca="1" si="145"/>
        <v>152.65629999999999</v>
      </c>
    </row>
    <row r="458" spans="1:28" x14ac:dyDescent="0.25">
      <c r="A458" s="20">
        <f t="shared" ca="1" si="146"/>
        <v>45957</v>
      </c>
      <c r="B458" vm="1332">
        <f ca="1"/>
        <v>45957</v>
      </c>
      <c r="C458" vm="349">
        <f ca="1"/>
        <v>155.28</v>
      </c>
      <c r="D458" vm="1333">
        <f ca="1"/>
        <v>4884434</v>
      </c>
      <c r="E458">
        <f t="shared" ca="1" si="147"/>
        <v>758454911.51999998</v>
      </c>
      <c r="F458">
        <f ca="1">SUM($E$2:E458)/SUM($D$2:D458)</f>
        <v>151.5716381363207</v>
      </c>
      <c r="G458">
        <f ca="1">_xlfn.STDEV.P($C$2:C458)</f>
        <v>7.4687104469042742</v>
      </c>
      <c r="H458">
        <f t="shared" ca="1" si="148"/>
        <v>159.04034858322498</v>
      </c>
      <c r="I458">
        <f t="shared" ca="1" si="149"/>
        <v>144.10292768941642</v>
      </c>
      <c r="J458">
        <f t="shared" ca="1" si="137"/>
        <v>153.62350000000001</v>
      </c>
      <c r="K458">
        <f t="shared" ca="1" si="138"/>
        <v>1.8079336125445584</v>
      </c>
      <c r="L458">
        <f t="shared" ca="1" si="139"/>
        <v>157.23936722508913</v>
      </c>
      <c r="M458">
        <f t="shared" ca="1" si="140"/>
        <v>150.00763277491089</v>
      </c>
      <c r="N458">
        <f t="shared" ca="1" si="150"/>
        <v>-0.28000000000000114</v>
      </c>
      <c r="O458">
        <f t="shared" ca="1" si="151"/>
        <v>0</v>
      </c>
      <c r="P458">
        <f t="shared" ca="1" si="152"/>
        <v>0.28000000000000114</v>
      </c>
      <c r="Q458">
        <f t="shared" ca="1" si="135"/>
        <v>0.6167591324752314</v>
      </c>
      <c r="R458">
        <f t="shared" ca="1" si="136"/>
        <v>0.5689383548770135</v>
      </c>
      <c r="S458">
        <f t="shared" ca="1" si="133"/>
        <v>1.0840526520813583</v>
      </c>
      <c r="T458">
        <f t="shared" ca="1" si="134"/>
        <v>52.016567383684247</v>
      </c>
      <c r="U458">
        <f>70</f>
        <v>70</v>
      </c>
      <c r="V458">
        <f>30</f>
        <v>30</v>
      </c>
      <c r="W458">
        <f t="shared" ca="1" si="132"/>
        <v>154.47453807895022</v>
      </c>
      <c r="X458">
        <f t="shared" ca="1" si="142"/>
        <v>154.64004773870928</v>
      </c>
      <c r="Y458">
        <f t="shared" ca="1" si="141"/>
        <v>-0.18073420408063612</v>
      </c>
      <c r="Z458">
        <f t="shared" ca="1" si="143"/>
        <v>-0.53450642583986441</v>
      </c>
      <c r="AA458">
        <f t="shared" ca="1" si="144"/>
        <v>0.35377222175922829</v>
      </c>
      <c r="AB458">
        <f t="shared" ca="1" si="145"/>
        <v>152.83540000000002</v>
      </c>
    </row>
    <row r="459" spans="1:28" x14ac:dyDescent="0.25">
      <c r="A459" s="20">
        <f t="shared" ca="1" si="146"/>
        <v>45957</v>
      </c>
      <c r="B459" vm="1334">
        <f ca="1"/>
        <v>45958</v>
      </c>
      <c r="C459" vm="1335">
        <f ca="1"/>
        <v>154.13</v>
      </c>
      <c r="D459" vm="1336">
        <f ca="1"/>
        <v>5066475</v>
      </c>
      <c r="E459">
        <f t="shared" ca="1" si="147"/>
        <v>780895791.75</v>
      </c>
      <c r="F459">
        <f ca="1">SUM($E$2:E459)/SUM($D$2:D459)</f>
        <v>151.57505883843865</v>
      </c>
      <c r="G459">
        <f ca="1">_xlfn.STDEV.P($C$2:C459)</f>
        <v>7.4611216293877005</v>
      </c>
      <c r="H459">
        <f t="shared" ca="1" si="148"/>
        <v>159.03618046782634</v>
      </c>
      <c r="I459">
        <f t="shared" ca="1" si="149"/>
        <v>144.11393720905096</v>
      </c>
      <c r="J459">
        <f t="shared" ca="1" si="137"/>
        <v>153.56550000000001</v>
      </c>
      <c r="K459">
        <f t="shared" ca="1" si="138"/>
        <v>1.7698631377357368</v>
      </c>
      <c r="L459">
        <f t="shared" ca="1" si="139"/>
        <v>157.10522627547149</v>
      </c>
      <c r="M459">
        <f t="shared" ca="1" si="140"/>
        <v>150.02577372452853</v>
      </c>
      <c r="N459">
        <f t="shared" ca="1" si="150"/>
        <v>-1.1500000000000057</v>
      </c>
      <c r="O459">
        <f t="shared" ca="1" si="151"/>
        <v>0</v>
      </c>
      <c r="P459">
        <f t="shared" ca="1" si="152"/>
        <v>1.1500000000000057</v>
      </c>
      <c r="Q459">
        <f t="shared" ca="1" si="135"/>
        <v>0.57270490872700053</v>
      </c>
      <c r="R459">
        <f t="shared" ca="1" si="136"/>
        <v>0.6104427581000843</v>
      </c>
      <c r="S459">
        <f t="shared" ca="1" si="133"/>
        <v>0.93817954448253682</v>
      </c>
      <c r="T459">
        <f t="shared" ca="1" si="134"/>
        <v>48.405192756949454</v>
      </c>
      <c r="U459">
        <f>70</f>
        <v>70</v>
      </c>
      <c r="V459">
        <f>30</f>
        <v>30</v>
      </c>
      <c r="W459">
        <f t="shared" ca="1" si="132"/>
        <v>154.42153222065019</v>
      </c>
      <c r="X459">
        <f t="shared" ca="1" si="142"/>
        <v>154.60226642473083</v>
      </c>
      <c r="Y459">
        <f t="shared" ca="1" si="141"/>
        <v>-0.11322369944278421</v>
      </c>
      <c r="Z459">
        <f t="shared" ca="1" si="143"/>
        <v>-0.4502498805604484</v>
      </c>
      <c r="AA459">
        <f t="shared" ca="1" si="144"/>
        <v>0.33702618111766419</v>
      </c>
      <c r="AB459">
        <f t="shared" ca="1" si="145"/>
        <v>153.0077</v>
      </c>
    </row>
    <row r="460" spans="1:28" x14ac:dyDescent="0.25">
      <c r="A460" s="20">
        <f t="shared" ca="1" si="146"/>
        <v>45957</v>
      </c>
      <c r="B460" vm="1337">
        <f ca="1"/>
        <v>45959</v>
      </c>
      <c r="C460" vm="1338">
        <f ca="1"/>
        <v>155.1</v>
      </c>
      <c r="D460" vm="1339">
        <f ca="1"/>
        <v>7344432</v>
      </c>
      <c r="E460">
        <f t="shared" ca="1" si="147"/>
        <v>1139121403.2</v>
      </c>
      <c r="F460">
        <f ca="1">SUM($E$2:E460)/SUM($D$2:D460)</f>
        <v>151.5818777729227</v>
      </c>
      <c r="G460">
        <f ca="1">_xlfn.STDEV.P($C$2:C460)</f>
        <v>7.454250304797327</v>
      </c>
      <c r="H460">
        <f t="shared" ca="1" si="148"/>
        <v>159.03612807772004</v>
      </c>
      <c r="I460">
        <f t="shared" ca="1" si="149"/>
        <v>144.12762746812535</v>
      </c>
      <c r="J460">
        <f t="shared" ca="1" si="137"/>
        <v>153.59150000000002</v>
      </c>
      <c r="K460">
        <f t="shared" ca="1" si="138"/>
        <v>1.7892641092447963</v>
      </c>
      <c r="L460">
        <f t="shared" ca="1" si="139"/>
        <v>157.17002821848962</v>
      </c>
      <c r="M460">
        <f t="shared" ca="1" si="140"/>
        <v>150.01297178151043</v>
      </c>
      <c r="N460">
        <f t="shared" ca="1" si="150"/>
        <v>0.96999999999999886</v>
      </c>
      <c r="O460">
        <f t="shared" ca="1" si="151"/>
        <v>0.96999999999999886</v>
      </c>
      <c r="P460">
        <f t="shared" ca="1" si="152"/>
        <v>0</v>
      </c>
      <c r="Q460">
        <f t="shared" ca="1" si="135"/>
        <v>0.60108312953221466</v>
      </c>
      <c r="R460">
        <f t="shared" ca="1" si="136"/>
        <v>0.56683970395007832</v>
      </c>
      <c r="S460">
        <f t="shared" ca="1" si="133"/>
        <v>1.0604111274201642</v>
      </c>
      <c r="T460">
        <f t="shared" ca="1" si="134"/>
        <v>51.465996922075576</v>
      </c>
      <c r="U460">
        <f>70</f>
        <v>70</v>
      </c>
      <c r="V460">
        <f>30</f>
        <v>30</v>
      </c>
      <c r="W460">
        <f t="shared" ca="1" si="132"/>
        <v>154.52591187901169</v>
      </c>
      <c r="X460">
        <f t="shared" ca="1" si="142"/>
        <v>154.63913557845447</v>
      </c>
      <c r="Y460">
        <f t="shared" ca="1" si="141"/>
        <v>-0.18508044139954904</v>
      </c>
      <c r="Z460">
        <f t="shared" ca="1" si="143"/>
        <v>-0.39721599272826857</v>
      </c>
      <c r="AA460">
        <f t="shared" ca="1" si="144"/>
        <v>0.21213555132871953</v>
      </c>
      <c r="AB460">
        <f t="shared" ca="1" si="145"/>
        <v>153.1566</v>
      </c>
    </row>
    <row r="461" spans="1:28" x14ac:dyDescent="0.25">
      <c r="A461" s="20">
        <f t="shared" ca="1" si="146"/>
        <v>45957</v>
      </c>
      <c r="B461" vm="1340">
        <f ca="1"/>
        <v>45960</v>
      </c>
      <c r="C461" vm="1341">
        <f ca="1"/>
        <v>153.52000000000001</v>
      </c>
      <c r="D461" vm="1342">
        <f ca="1"/>
        <v>8971226</v>
      </c>
      <c r="E461">
        <f t="shared" ca="1" si="147"/>
        <v>1377262615.52</v>
      </c>
      <c r="F461">
        <f ca="1">SUM($E$2:E461)/SUM($D$2:D461)</f>
        <v>151.58644670158094</v>
      </c>
      <c r="G461">
        <f ca="1">_xlfn.STDEV.P($C$2:C461)</f>
        <v>7.4464104183572921</v>
      </c>
      <c r="H461">
        <f t="shared" ca="1" si="148"/>
        <v>159.03285711993823</v>
      </c>
      <c r="I461">
        <f t="shared" ca="1" si="149"/>
        <v>144.14003628322365</v>
      </c>
      <c r="J461">
        <f t="shared" ca="1" si="137"/>
        <v>153.59900000000002</v>
      </c>
      <c r="K461">
        <f t="shared" ca="1" si="138"/>
        <v>1.7886010410962312</v>
      </c>
      <c r="L461">
        <f t="shared" ca="1" si="139"/>
        <v>157.17620208219248</v>
      </c>
      <c r="M461">
        <f t="shared" ca="1" si="140"/>
        <v>150.02179791780756</v>
      </c>
      <c r="N461">
        <f t="shared" ca="1" si="150"/>
        <v>-1.5799999999999841</v>
      </c>
      <c r="O461">
        <f t="shared" ca="1" si="151"/>
        <v>0</v>
      </c>
      <c r="P461">
        <f t="shared" ca="1" si="152"/>
        <v>1.5799999999999841</v>
      </c>
      <c r="Q461">
        <f t="shared" ca="1" si="135"/>
        <v>0.55814862027991363</v>
      </c>
      <c r="R461">
        <f t="shared" ca="1" si="136"/>
        <v>0.63920829652507172</v>
      </c>
      <c r="S461">
        <f t="shared" ca="1" si="133"/>
        <v>0.87318738400952733</v>
      </c>
      <c r="T461">
        <f t="shared" ca="1" si="134"/>
        <v>46.615057920179019</v>
      </c>
      <c r="U461">
        <f>70</f>
        <v>70</v>
      </c>
      <c r="V461">
        <f>30</f>
        <v>30</v>
      </c>
      <c r="W461">
        <f t="shared" ca="1" si="132"/>
        <v>154.37115620531756</v>
      </c>
      <c r="X461">
        <f t="shared" ca="1" si="142"/>
        <v>154.55623664671711</v>
      </c>
      <c r="Y461">
        <f t="shared" ca="1" si="141"/>
        <v>9.5773455259973161E-2</v>
      </c>
      <c r="Z461">
        <f t="shared" ca="1" si="143"/>
        <v>-0.29861810313062026</v>
      </c>
      <c r="AA461">
        <f t="shared" ca="1" si="144"/>
        <v>0.39439155839059342</v>
      </c>
      <c r="AB461">
        <f t="shared" ca="1" si="145"/>
        <v>153.2842</v>
      </c>
    </row>
    <row r="462" spans="1:28" x14ac:dyDescent="0.25">
      <c r="A462" s="20">
        <f t="shared" ca="1" si="146"/>
        <v>45957</v>
      </c>
      <c r="B462" vm="1343">
        <f ca="1"/>
        <v>45961</v>
      </c>
      <c r="C462" vm="632">
        <f ca="1"/>
        <v>157.72</v>
      </c>
      <c r="D462" vm="1344">
        <f ca="1"/>
        <v>11136109</v>
      </c>
      <c r="E462">
        <f t="shared" ca="1" si="147"/>
        <v>1756387111.48</v>
      </c>
      <c r="F462">
        <f ca="1">SUM($E$2:E462)/SUM($D$2:D462)</f>
        <v>151.60434278622805</v>
      </c>
      <c r="G462">
        <f ca="1">_xlfn.STDEV.P($C$2:C462)</f>
        <v>7.4428113916340113</v>
      </c>
      <c r="H462">
        <f t="shared" ca="1" si="148"/>
        <v>159.04715417786207</v>
      </c>
      <c r="I462">
        <f t="shared" ca="1" si="149"/>
        <v>144.16153139459402</v>
      </c>
      <c r="J462">
        <f t="shared" ca="1" si="137"/>
        <v>153.8075</v>
      </c>
      <c r="K462">
        <f t="shared" ca="1" si="138"/>
        <v>2.0117232073915861</v>
      </c>
      <c r="L462">
        <f t="shared" ca="1" si="139"/>
        <v>157.83094641478317</v>
      </c>
      <c r="M462">
        <f t="shared" ca="1" si="140"/>
        <v>149.78405358521684</v>
      </c>
      <c r="N462">
        <f t="shared" ca="1" si="150"/>
        <v>4.1999999999999886</v>
      </c>
      <c r="O462">
        <f t="shared" ca="1" si="151"/>
        <v>4.1999999999999886</v>
      </c>
      <c r="P462">
        <f t="shared" ca="1" si="152"/>
        <v>0</v>
      </c>
      <c r="Q462">
        <f t="shared" ca="1" si="135"/>
        <v>0.81828086168849035</v>
      </c>
      <c r="R462">
        <f t="shared" ca="1" si="136"/>
        <v>0.59355056105899517</v>
      </c>
      <c r="S462">
        <f t="shared" ca="1" si="133"/>
        <v>1.3786203153924041</v>
      </c>
      <c r="T462">
        <f t="shared" ca="1" si="134"/>
        <v>57.958822031038252</v>
      </c>
      <c r="U462">
        <f>70</f>
        <v>70</v>
      </c>
      <c r="V462">
        <f>30</f>
        <v>30</v>
      </c>
      <c r="W462">
        <f t="shared" ca="1" si="132"/>
        <v>154.886362942961</v>
      </c>
      <c r="X462">
        <f t="shared" ca="1" si="142"/>
        <v>154.79058948770103</v>
      </c>
      <c r="Y462">
        <f t="shared" ca="1" si="141"/>
        <v>2.1162993038700506E-2</v>
      </c>
      <c r="Z462">
        <f t="shared" ca="1" si="143"/>
        <v>-0.2346618838967561</v>
      </c>
      <c r="AA462">
        <f t="shared" ca="1" si="144"/>
        <v>0.25582487693545664</v>
      </c>
      <c r="AB462">
        <f t="shared" ca="1" si="145"/>
        <v>153.42789999999999</v>
      </c>
    </row>
    <row r="463" spans="1:28" x14ac:dyDescent="0.25">
      <c r="A463" s="20">
        <f t="shared" ca="1" si="146"/>
        <v>45964</v>
      </c>
      <c r="B463" vm="1345">
        <f ca="1"/>
        <v>45964</v>
      </c>
      <c r="C463" vm="1346">
        <f ca="1"/>
        <v>154.04</v>
      </c>
      <c r="D463" vm="1347">
        <f ca="1"/>
        <v>8512209</v>
      </c>
      <c r="E463">
        <f t="shared" ca="1" si="147"/>
        <v>1311220674.3599999</v>
      </c>
      <c r="F463">
        <f ca="1">SUM($E$2:E463)/SUM($D$2:D463)</f>
        <v>151.60976283687452</v>
      </c>
      <c r="G463">
        <f ca="1">_xlfn.STDEV.P($C$2:C463)</f>
        <v>7.4352539114405056</v>
      </c>
      <c r="H463">
        <f t="shared" ca="1" si="148"/>
        <v>159.04501674831502</v>
      </c>
      <c r="I463">
        <f t="shared" ca="1" si="149"/>
        <v>144.17450892543403</v>
      </c>
      <c r="J463">
        <f t="shared" ca="1" si="137"/>
        <v>153.80849999999998</v>
      </c>
      <c r="K463">
        <f t="shared" ca="1" si="138"/>
        <v>2.011839365252341</v>
      </c>
      <c r="L463">
        <f t="shared" ca="1" si="139"/>
        <v>157.83217873050467</v>
      </c>
      <c r="M463">
        <f t="shared" ca="1" si="140"/>
        <v>149.7848212694953</v>
      </c>
      <c r="N463">
        <f t="shared" ca="1" si="150"/>
        <v>-3.6800000000000068</v>
      </c>
      <c r="O463">
        <f t="shared" ca="1" si="151"/>
        <v>0</v>
      </c>
      <c r="P463">
        <f t="shared" ca="1" si="152"/>
        <v>3.6800000000000068</v>
      </c>
      <c r="Q463">
        <f t="shared" ca="1" si="135"/>
        <v>0.75983222871074108</v>
      </c>
      <c r="R463">
        <f t="shared" ca="1" si="136"/>
        <v>0.81401123526906738</v>
      </c>
      <c r="S463">
        <f t="shared" ca="1" si="133"/>
        <v>0.93344194255449353</v>
      </c>
      <c r="T463">
        <f t="shared" ca="1" si="134"/>
        <v>48.278767622120348</v>
      </c>
      <c r="U463">
        <f>70</f>
        <v>70</v>
      </c>
      <c r="V463">
        <f>30</f>
        <v>30</v>
      </c>
      <c r="W463">
        <f t="shared" ref="W463:W514" ca="1" si="153">C463*(2/(12+1)) + W462*(1-(2/(12+1)))</f>
        <v>154.75615325942854</v>
      </c>
      <c r="X463">
        <f t="shared" ca="1" si="142"/>
        <v>154.73499026638984</v>
      </c>
      <c r="Y463">
        <f t="shared" ca="1" si="141"/>
        <v>-8.938552286730328E-2</v>
      </c>
      <c r="Z463">
        <f t="shared" ca="1" si="143"/>
        <v>-0.20560661169086553</v>
      </c>
      <c r="AA463">
        <f t="shared" ca="1" si="144"/>
        <v>0.11622108882356225</v>
      </c>
      <c r="AB463">
        <f t="shared" ca="1" si="145"/>
        <v>153.5205</v>
      </c>
    </row>
    <row r="464" spans="1:28" x14ac:dyDescent="0.25">
      <c r="A464" s="20">
        <f t="shared" ca="1" si="146"/>
        <v>45964</v>
      </c>
      <c r="B464" vm="1348">
        <f ca="1"/>
        <v>45965</v>
      </c>
      <c r="C464" vm="1349">
        <f ca="1"/>
        <v>153.38999999999999</v>
      </c>
      <c r="D464" vm="1350">
        <f ca="1"/>
        <v>6976838</v>
      </c>
      <c r="E464">
        <f t="shared" ca="1" si="147"/>
        <v>1070177180.8199999</v>
      </c>
      <c r="F464">
        <f ca="1">SUM($E$2:E464)/SUM($D$2:D464)</f>
        <v>151.6130039187953</v>
      </c>
      <c r="G464">
        <f ca="1">_xlfn.STDEV.P($C$2:C464)</f>
        <v>7.4274307434310698</v>
      </c>
      <c r="H464">
        <f t="shared" ca="1" si="148"/>
        <v>159.04043466222637</v>
      </c>
      <c r="I464">
        <f t="shared" ca="1" si="149"/>
        <v>144.18557317536423</v>
      </c>
      <c r="J464">
        <f t="shared" ca="1" si="137"/>
        <v>153.73249999999999</v>
      </c>
      <c r="K464">
        <f t="shared" ca="1" si="138"/>
        <v>1.9966916716355938</v>
      </c>
      <c r="L464">
        <f t="shared" ca="1" si="139"/>
        <v>157.72588334327116</v>
      </c>
      <c r="M464">
        <f t="shared" ca="1" si="140"/>
        <v>149.73911665672881</v>
      </c>
      <c r="N464">
        <f t="shared" ca="1" si="150"/>
        <v>-0.65000000000000568</v>
      </c>
      <c r="O464">
        <f t="shared" ca="1" si="151"/>
        <v>0</v>
      </c>
      <c r="P464">
        <f t="shared" ca="1" si="152"/>
        <v>0.65000000000000568</v>
      </c>
      <c r="Q464">
        <f t="shared" ca="1" si="135"/>
        <v>0.70555849808854532</v>
      </c>
      <c r="R464">
        <f t="shared" ca="1" si="136"/>
        <v>0.80229614703556307</v>
      </c>
      <c r="S464">
        <f t="shared" ref="S464:S514" ca="1" si="154">IF(R464=0,NA(),Q464/R464)</f>
        <v>0.87942401405708148</v>
      </c>
      <c r="T464">
        <f t="shared" ref="T464:T514" ca="1" si="155">100-(100/(1+S464))</f>
        <v>46.79220907466663</v>
      </c>
      <c r="U464">
        <f>70</f>
        <v>70</v>
      </c>
      <c r="V464">
        <f>30</f>
        <v>30</v>
      </c>
      <c r="W464">
        <f t="shared" ca="1" si="153"/>
        <v>154.54597583490107</v>
      </c>
      <c r="X464">
        <f t="shared" ca="1" si="142"/>
        <v>154.63536135776837</v>
      </c>
      <c r="Y464">
        <f t="shared" ca="1" si="141"/>
        <v>-0.23321258777519915</v>
      </c>
      <c r="Z464">
        <f t="shared" ca="1" si="143"/>
        <v>-0.21112780690773228</v>
      </c>
      <c r="AA464">
        <f t="shared" ca="1" si="144"/>
        <v>-2.2084780867466874E-2</v>
      </c>
      <c r="AB464">
        <f t="shared" ca="1" si="145"/>
        <v>153.60469999999998</v>
      </c>
    </row>
    <row r="465" spans="1:28" x14ac:dyDescent="0.25">
      <c r="A465" s="20">
        <f t="shared" ca="1" si="146"/>
        <v>45964</v>
      </c>
      <c r="B465" vm="1351">
        <f ca="1"/>
        <v>45966</v>
      </c>
      <c r="C465" vm="1352">
        <f ca="1"/>
        <v>152.66</v>
      </c>
      <c r="D465" vm="1353">
        <f ca="1"/>
        <v>5894721</v>
      </c>
      <c r="E465">
        <f t="shared" ca="1" si="147"/>
        <v>899888107.86000001</v>
      </c>
      <c r="F465">
        <f ca="1">SUM($E$2:E465)/SUM($D$2:D465)</f>
        <v>151.61461194933511</v>
      </c>
      <c r="G465">
        <f ca="1">_xlfn.STDEV.P($C$2:C465)</f>
        <v>7.4194550472776051</v>
      </c>
      <c r="H465">
        <f t="shared" ca="1" si="148"/>
        <v>159.03406699661272</v>
      </c>
      <c r="I465">
        <f t="shared" ca="1" si="149"/>
        <v>144.19515690205751</v>
      </c>
      <c r="J465">
        <f t="shared" ca="1" si="137"/>
        <v>153.67849999999996</v>
      </c>
      <c r="K465">
        <f t="shared" ca="1" si="138"/>
        <v>2.0110308301962943</v>
      </c>
      <c r="L465">
        <f t="shared" ca="1" si="139"/>
        <v>157.70056166039254</v>
      </c>
      <c r="M465">
        <f t="shared" ca="1" si="140"/>
        <v>149.65643833960738</v>
      </c>
      <c r="N465">
        <f t="shared" ca="1" si="150"/>
        <v>-0.72999999999998977</v>
      </c>
      <c r="O465">
        <f t="shared" ca="1" si="151"/>
        <v>0</v>
      </c>
      <c r="P465">
        <f t="shared" ca="1" si="152"/>
        <v>0.72999999999998977</v>
      </c>
      <c r="Q465">
        <f t="shared" ref="Q465:Q514" ca="1" si="156">(Q464*13+O465)/14</f>
        <v>0.6551614625107921</v>
      </c>
      <c r="R465">
        <f t="shared" ref="R465:R514" ca="1" si="157">(R464*13+P465)/14</f>
        <v>0.79713213653302206</v>
      </c>
      <c r="S465">
        <f t="shared" ca="1" si="154"/>
        <v>0.82189819288969457</v>
      </c>
      <c r="T465">
        <f t="shared" ca="1" si="155"/>
        <v>45.112191015793805</v>
      </c>
      <c r="U465">
        <f>70</f>
        <v>70</v>
      </c>
      <c r="V465">
        <f>30</f>
        <v>30</v>
      </c>
      <c r="W465">
        <f t="shared" ca="1" si="153"/>
        <v>154.25582570645477</v>
      </c>
      <c r="X465">
        <f t="shared" ca="1" si="142"/>
        <v>154.48903829422997</v>
      </c>
      <c r="Y465">
        <f t="shared" ca="1" si="141"/>
        <v>-0.3209037344948058</v>
      </c>
      <c r="Z465">
        <f t="shared" ca="1" si="143"/>
        <v>-0.23308299242514699</v>
      </c>
      <c r="AA465">
        <f t="shared" ca="1" si="144"/>
        <v>-8.7820742069658814E-2</v>
      </c>
      <c r="AB465">
        <f t="shared" ca="1" si="145"/>
        <v>153.67219999999998</v>
      </c>
    </row>
    <row r="466" spans="1:28" x14ac:dyDescent="0.25">
      <c r="A466" s="20">
        <f t="shared" ca="1" si="146"/>
        <v>45964</v>
      </c>
      <c r="B466" vm="1354">
        <f ca="1"/>
        <v>45967</v>
      </c>
      <c r="C466" vm="1355">
        <f ca="1"/>
        <v>152.94</v>
      </c>
      <c r="D466" vm="1356">
        <f ca="1"/>
        <v>6466257</v>
      </c>
      <c r="E466">
        <f t="shared" ca="1" si="147"/>
        <v>988949345.58000004</v>
      </c>
      <c r="F466">
        <f ca="1">SUM($E$2:E466)/SUM($D$2:D466)</f>
        <v>151.616841159047</v>
      </c>
      <c r="G466">
        <f ca="1">_xlfn.STDEV.P($C$2:C466)</f>
        <v>7.4115545395861018</v>
      </c>
      <c r="H466">
        <f t="shared" ca="1" si="148"/>
        <v>159.02839569863309</v>
      </c>
      <c r="I466">
        <f t="shared" ca="1" si="149"/>
        <v>144.20528661946091</v>
      </c>
      <c r="J466">
        <f t="shared" ca="1" si="137"/>
        <v>153.74349999999998</v>
      </c>
      <c r="K466">
        <f t="shared" ca="1" si="138"/>
        <v>1.9620887768959503</v>
      </c>
      <c r="L466">
        <f t="shared" ca="1" si="139"/>
        <v>157.66767755379189</v>
      </c>
      <c r="M466">
        <f t="shared" ca="1" si="140"/>
        <v>149.81932244620808</v>
      </c>
      <c r="N466">
        <f t="shared" ca="1" si="150"/>
        <v>0.28000000000000114</v>
      </c>
      <c r="O466">
        <f t="shared" ca="1" si="151"/>
        <v>0.28000000000000114</v>
      </c>
      <c r="P466">
        <f t="shared" ca="1" si="152"/>
        <v>0</v>
      </c>
      <c r="Q466">
        <f t="shared" ca="1" si="156"/>
        <v>0.62836421518859276</v>
      </c>
      <c r="R466">
        <f t="shared" ca="1" si="157"/>
        <v>0.74019412678066332</v>
      </c>
      <c r="S466">
        <f t="shared" ca="1" si="154"/>
        <v>0.84891813168194952</v>
      </c>
      <c r="T466">
        <f t="shared" ca="1" si="155"/>
        <v>45.914316980043566</v>
      </c>
      <c r="U466">
        <f>70</f>
        <v>70</v>
      </c>
      <c r="V466">
        <f>30</f>
        <v>30</v>
      </c>
      <c r="W466">
        <f t="shared" ca="1" si="153"/>
        <v>154.0533909823848</v>
      </c>
      <c r="X466">
        <f t="shared" ca="1" si="142"/>
        <v>154.3742947168796</v>
      </c>
      <c r="Y466">
        <f t="shared" ca="1" si="141"/>
        <v>-0.2200246758335993</v>
      </c>
      <c r="Z466">
        <f t="shared" ca="1" si="143"/>
        <v>-0.23047132910683746</v>
      </c>
      <c r="AA466">
        <f t="shared" ca="1" si="144"/>
        <v>1.0446653273238155E-2</v>
      </c>
      <c r="AB466">
        <f t="shared" ca="1" si="145"/>
        <v>153.7413</v>
      </c>
    </row>
    <row r="467" spans="1:28" x14ac:dyDescent="0.25">
      <c r="A467" s="20">
        <f t="shared" ca="1" si="146"/>
        <v>45964</v>
      </c>
      <c r="B467" vm="1357">
        <f ca="1"/>
        <v>45968</v>
      </c>
      <c r="C467" vm="1358">
        <f ca="1"/>
        <v>155.02000000000001</v>
      </c>
      <c r="D467" vm="1359">
        <f ca="1"/>
        <v>9835929</v>
      </c>
      <c r="E467">
        <f t="shared" ca="1" si="147"/>
        <v>1524765713.5800002</v>
      </c>
      <c r="F467">
        <f ca="1">SUM($E$2:E467)/SUM($D$2:D467)</f>
        <v>151.62552561935343</v>
      </c>
      <c r="G467">
        <f ca="1">_xlfn.STDEV.P($C$2:C467)</f>
        <v>7.4047557256754324</v>
      </c>
      <c r="H467">
        <f t="shared" ca="1" si="148"/>
        <v>159.03028134502887</v>
      </c>
      <c r="I467">
        <f t="shared" ca="1" si="149"/>
        <v>144.22076989367798</v>
      </c>
      <c r="J467">
        <f t="shared" ca="1" si="137"/>
        <v>154.04949999999997</v>
      </c>
      <c r="K467">
        <f t="shared" ca="1" si="138"/>
        <v>1.6131579848888096</v>
      </c>
      <c r="L467">
        <f t="shared" ca="1" si="139"/>
        <v>157.2758159697776</v>
      </c>
      <c r="M467">
        <f t="shared" ca="1" si="140"/>
        <v>150.82318403022234</v>
      </c>
      <c r="N467">
        <f t="shared" ca="1" si="150"/>
        <v>2.0800000000000125</v>
      </c>
      <c r="O467">
        <f t="shared" ca="1" si="151"/>
        <v>2.0800000000000125</v>
      </c>
      <c r="P467">
        <f t="shared" ca="1" si="152"/>
        <v>0</v>
      </c>
      <c r="Q467">
        <f t="shared" ca="1" si="156"/>
        <v>0.73205248553226554</v>
      </c>
      <c r="R467">
        <f t="shared" ca="1" si="157"/>
        <v>0.68732311772490173</v>
      </c>
      <c r="S467">
        <f t="shared" ca="1" si="154"/>
        <v>1.0650776420199888</v>
      </c>
      <c r="T467">
        <f t="shared" ca="1" si="155"/>
        <v>51.575670587289203</v>
      </c>
      <c r="U467">
        <f>70</f>
        <v>70</v>
      </c>
      <c r="V467">
        <f>30</f>
        <v>30</v>
      </c>
      <c r="W467">
        <f t="shared" ca="1" si="153"/>
        <v>154.20210006201791</v>
      </c>
      <c r="X467">
        <f t="shared" ca="1" si="142"/>
        <v>154.4221247378515</v>
      </c>
      <c r="Y467">
        <f t="shared" ca="1" si="141"/>
        <v>-8.8224562343071966E-2</v>
      </c>
      <c r="Z467">
        <f t="shared" ca="1" si="143"/>
        <v>-0.20202197575408437</v>
      </c>
      <c r="AA467">
        <f t="shared" ca="1" si="144"/>
        <v>0.1137974134110124</v>
      </c>
      <c r="AB467">
        <f t="shared" ca="1" si="145"/>
        <v>153.803</v>
      </c>
    </row>
    <row r="468" spans="1:28" x14ac:dyDescent="0.25">
      <c r="A468" s="20">
        <f t="shared" ca="1" si="146"/>
        <v>45971</v>
      </c>
      <c r="B468" vm="1360">
        <f ca="1"/>
        <v>45971</v>
      </c>
      <c r="C468" vm="785">
        <f ca="1"/>
        <v>155.65</v>
      </c>
      <c r="D468" vm="1361">
        <f ca="1"/>
        <v>8436797</v>
      </c>
      <c r="E468">
        <f t="shared" ca="1" si="147"/>
        <v>1313187453.05</v>
      </c>
      <c r="F468">
        <f ca="1">SUM($E$2:E468)/SUM($D$2:D468)</f>
        <v>151.63431548859137</v>
      </c>
      <c r="G468">
        <f ca="1">_xlfn.STDEV.P($C$2:C468)</f>
        <v>7.3985459368914137</v>
      </c>
      <c r="H468">
        <f t="shared" ca="1" si="148"/>
        <v>159.03286142548279</v>
      </c>
      <c r="I468">
        <f t="shared" ca="1" si="149"/>
        <v>144.23576955169995</v>
      </c>
      <c r="J468">
        <f t="shared" ca="1" si="137"/>
        <v>154.23499999999996</v>
      </c>
      <c r="K468">
        <f t="shared" ca="1" si="138"/>
        <v>1.5705630904400594</v>
      </c>
      <c r="L468">
        <f t="shared" ca="1" si="139"/>
        <v>157.37612618088008</v>
      </c>
      <c r="M468">
        <f t="shared" ca="1" si="140"/>
        <v>151.09387381911984</v>
      </c>
      <c r="N468">
        <f t="shared" ca="1" si="150"/>
        <v>0.62999999999999545</v>
      </c>
      <c r="O468">
        <f t="shared" ca="1" si="151"/>
        <v>0.62999999999999545</v>
      </c>
      <c r="P468">
        <f t="shared" ca="1" si="152"/>
        <v>0</v>
      </c>
      <c r="Q468">
        <f t="shared" ca="1" si="156"/>
        <v>0.72476302227996048</v>
      </c>
      <c r="R468">
        <f t="shared" ca="1" si="157"/>
        <v>0.63822860931598024</v>
      </c>
      <c r="S468">
        <f t="shared" ca="1" si="154"/>
        <v>1.1355852929512564</v>
      </c>
      <c r="T468">
        <f t="shared" ca="1" si="155"/>
        <v>53.174429356644552</v>
      </c>
      <c r="U468">
        <f>70</f>
        <v>70</v>
      </c>
      <c r="V468">
        <f>30</f>
        <v>30</v>
      </c>
      <c r="W468">
        <f t="shared" ca="1" si="153"/>
        <v>154.42485389863054</v>
      </c>
      <c r="X468">
        <f t="shared" ca="1" si="142"/>
        <v>154.51307846097362</v>
      </c>
      <c r="Y468">
        <f t="shared" ca="1" si="141"/>
        <v>6.3108570019522858E-2</v>
      </c>
      <c r="Z468">
        <f t="shared" ca="1" si="143"/>
        <v>-0.14899586659936292</v>
      </c>
      <c r="AA468">
        <f t="shared" ca="1" si="144"/>
        <v>0.21210443661888578</v>
      </c>
      <c r="AB468">
        <f t="shared" ca="1" si="145"/>
        <v>153.8776</v>
      </c>
    </row>
    <row r="469" spans="1:28" x14ac:dyDescent="0.25">
      <c r="A469" s="20">
        <f t="shared" ca="1" si="146"/>
        <v>45971</v>
      </c>
      <c r="B469" vm="1362">
        <f ca="1"/>
        <v>45972</v>
      </c>
      <c r="C469" vm="1363">
        <f ca="1"/>
        <v>156.24</v>
      </c>
      <c r="D469" vm="1364">
        <f ca="1"/>
        <v>6361426</v>
      </c>
      <c r="E469">
        <f t="shared" ca="1" si="147"/>
        <v>993909198.24000001</v>
      </c>
      <c r="F469">
        <f ca="1">SUM($E$2:E469)/SUM($D$2:D469)</f>
        <v>151.64188782133877</v>
      </c>
      <c r="G469">
        <f ca="1">_xlfn.STDEV.P($C$2:C469)</f>
        <v>7.3929867689171891</v>
      </c>
      <c r="H469">
        <f t="shared" ca="1" si="148"/>
        <v>159.03487459025595</v>
      </c>
      <c r="I469">
        <f t="shared" ca="1" si="149"/>
        <v>144.24890105242159</v>
      </c>
      <c r="J469">
        <f t="shared" ca="1" si="137"/>
        <v>154.42750000000001</v>
      </c>
      <c r="K469">
        <f t="shared" ca="1" si="138"/>
        <v>1.5684651397901197</v>
      </c>
      <c r="L469">
        <f t="shared" ca="1" si="139"/>
        <v>157.56443027958025</v>
      </c>
      <c r="M469">
        <f t="shared" ca="1" si="140"/>
        <v>151.29056972041977</v>
      </c>
      <c r="N469">
        <f t="shared" ca="1" si="150"/>
        <v>0.59000000000000341</v>
      </c>
      <c r="O469">
        <f t="shared" ca="1" si="151"/>
        <v>0.59000000000000341</v>
      </c>
      <c r="P469">
        <f t="shared" ca="1" si="152"/>
        <v>0</v>
      </c>
      <c r="Q469">
        <f t="shared" ca="1" si="156"/>
        <v>0.71513709211710641</v>
      </c>
      <c r="R469">
        <f t="shared" ca="1" si="157"/>
        <v>0.59264085150769596</v>
      </c>
      <c r="S469">
        <f t="shared" ca="1" si="154"/>
        <v>1.2066955733776643</v>
      </c>
      <c r="T469">
        <f t="shared" ca="1" si="155"/>
        <v>54.683373091225427</v>
      </c>
      <c r="U469">
        <f>70</f>
        <v>70</v>
      </c>
      <c r="V469">
        <f>30</f>
        <v>30</v>
      </c>
      <c r="W469">
        <f t="shared" ca="1" si="153"/>
        <v>154.70410714499508</v>
      </c>
      <c r="X469">
        <f t="shared" ca="1" si="142"/>
        <v>154.64099857497555</v>
      </c>
      <c r="Y469">
        <f t="shared" ca="1" si="141"/>
        <v>-5.1979244454457785E-2</v>
      </c>
      <c r="Z469">
        <f t="shared" ca="1" si="143"/>
        <v>-0.12959254217038191</v>
      </c>
      <c r="AA469">
        <f t="shared" ca="1" si="144"/>
        <v>7.7613297715924123E-2</v>
      </c>
      <c r="AB469">
        <f t="shared" ca="1" si="145"/>
        <v>153.94449999999998</v>
      </c>
    </row>
    <row r="470" spans="1:28" x14ac:dyDescent="0.25">
      <c r="A470" s="20">
        <f t="shared" ca="1" si="146"/>
        <v>45971</v>
      </c>
      <c r="B470" vm="1365">
        <f ca="1"/>
        <v>45973</v>
      </c>
      <c r="C470" vm="1366">
        <f ca="1"/>
        <v>153.32</v>
      </c>
      <c r="D470" vm="1367">
        <f ca="1"/>
        <v>11670947</v>
      </c>
      <c r="E470">
        <f t="shared" ca="1" si="147"/>
        <v>1789389594.04</v>
      </c>
      <c r="F470">
        <f ca="1">SUM($E$2:E470)/SUM($D$2:D470)</f>
        <v>151.64693443526767</v>
      </c>
      <c r="G470">
        <f ca="1">_xlfn.STDEV.P($C$2:C470)</f>
        <v>7.3852775976270264</v>
      </c>
      <c r="H470">
        <f t="shared" ca="1" si="148"/>
        <v>159.03221203289471</v>
      </c>
      <c r="I470">
        <f t="shared" ca="1" si="149"/>
        <v>144.26165683764063</v>
      </c>
      <c r="J470">
        <f t="shared" ref="J470:J514" ca="1" si="158">AVERAGE(C451:C470)</f>
        <v>154.488</v>
      </c>
      <c r="K470">
        <f t="shared" ref="K470:K514" ca="1" si="159">_xlfn.STDEV.S(C451:C470)</f>
        <v>1.4960319444942911</v>
      </c>
      <c r="L470">
        <f t="shared" ref="L470:L514" ca="1" si="160">J470 + 2*K470</f>
        <v>157.48006388898858</v>
      </c>
      <c r="M470">
        <f t="shared" ref="M470:M514" ca="1" si="161">J470-2*K470</f>
        <v>151.49593611101142</v>
      </c>
      <c r="N470">
        <f t="shared" ca="1" si="150"/>
        <v>-2.9200000000000159</v>
      </c>
      <c r="O470">
        <f t="shared" ca="1" si="151"/>
        <v>0</v>
      </c>
      <c r="P470">
        <f t="shared" ca="1" si="152"/>
        <v>2.9200000000000159</v>
      </c>
      <c r="Q470">
        <f t="shared" ca="1" si="156"/>
        <v>0.66405587125159882</v>
      </c>
      <c r="R470">
        <f t="shared" ca="1" si="157"/>
        <v>0.7588807906857189</v>
      </c>
      <c r="S470">
        <f t="shared" ca="1" si="154"/>
        <v>0.87504635695359079</v>
      </c>
      <c r="T470">
        <f t="shared" ca="1" si="155"/>
        <v>46.667985231857877</v>
      </c>
      <c r="U470">
        <f>70</f>
        <v>70</v>
      </c>
      <c r="V470">
        <f>30</f>
        <v>30</v>
      </c>
      <c r="W470">
        <f t="shared" ca="1" si="153"/>
        <v>154.49116758422662</v>
      </c>
      <c r="X470">
        <f t="shared" ca="1" si="142"/>
        <v>154.54314682868107</v>
      </c>
      <c r="Y470">
        <f t="shared" ca="1" si="141"/>
        <v>3.8729496279046316E-2</v>
      </c>
      <c r="Z470">
        <f t="shared" ca="1" si="143"/>
        <v>-9.5928134480496266E-2</v>
      </c>
      <c r="AA470">
        <f t="shared" ca="1" si="144"/>
        <v>0.13465763075954257</v>
      </c>
      <c r="AB470">
        <f t="shared" ca="1" si="145"/>
        <v>154.00909999999999</v>
      </c>
    </row>
    <row r="471" spans="1:28" x14ac:dyDescent="0.25">
      <c r="A471" s="20">
        <f t="shared" ca="1" si="146"/>
        <v>45971</v>
      </c>
      <c r="B471" vm="1368">
        <f ca="1"/>
        <v>45974</v>
      </c>
      <c r="C471" vm="1369">
        <f ca="1"/>
        <v>155.58000000000001</v>
      </c>
      <c r="D471" vm="1370">
        <f ca="1"/>
        <v>7998740</v>
      </c>
      <c r="E471">
        <f t="shared" ca="1" si="147"/>
        <v>1244443969.2</v>
      </c>
      <c r="F471">
        <f ca="1">SUM($E$2:E471)/SUM($D$2:D471)</f>
        <v>151.6550241194721</v>
      </c>
      <c r="G471">
        <f ca="1">_xlfn.STDEV.P($C$2:C471)</f>
        <v>7.3790460347206137</v>
      </c>
      <c r="H471">
        <f t="shared" ca="1" si="148"/>
        <v>159.0340701541927</v>
      </c>
      <c r="I471">
        <f t="shared" ca="1" si="149"/>
        <v>144.2759780847515</v>
      </c>
      <c r="J471">
        <f t="shared" ca="1" si="158"/>
        <v>154.68149999999997</v>
      </c>
      <c r="K471">
        <f t="shared" ca="1" si="159"/>
        <v>1.3620892427675815</v>
      </c>
      <c r="L471">
        <f t="shared" ca="1" si="160"/>
        <v>157.40567848553513</v>
      </c>
      <c r="M471">
        <f t="shared" ca="1" si="161"/>
        <v>151.95732151446481</v>
      </c>
      <c r="N471">
        <f t="shared" ca="1" si="150"/>
        <v>2.2600000000000193</v>
      </c>
      <c r="O471">
        <f t="shared" ca="1" si="151"/>
        <v>2.2600000000000193</v>
      </c>
      <c r="P471">
        <f t="shared" ca="1" si="152"/>
        <v>0</v>
      </c>
      <c r="Q471">
        <f t="shared" ca="1" si="156"/>
        <v>0.77805188044791451</v>
      </c>
      <c r="R471">
        <f t="shared" ca="1" si="157"/>
        <v>0.70467501992245318</v>
      </c>
      <c r="S471">
        <f t="shared" ca="1" si="154"/>
        <v>1.1041286528555194</v>
      </c>
      <c r="T471">
        <f t="shared" ca="1" si="155"/>
        <v>52.474388928505057</v>
      </c>
      <c r="U471">
        <f>70</f>
        <v>70</v>
      </c>
      <c r="V471">
        <f>30</f>
        <v>30</v>
      </c>
      <c r="W471">
        <f t="shared" ca="1" si="153"/>
        <v>154.65868026357634</v>
      </c>
      <c r="X471">
        <f t="shared" ca="1" si="142"/>
        <v>154.6199507672973</v>
      </c>
      <c r="Y471">
        <f t="shared" ca="1" si="141"/>
        <v>0.27209127894744256</v>
      </c>
      <c r="Z471">
        <f t="shared" ca="1" si="143"/>
        <v>-2.2324251794908503E-2</v>
      </c>
      <c r="AA471">
        <f t="shared" ca="1" si="144"/>
        <v>0.29441553074235105</v>
      </c>
      <c r="AB471">
        <f t="shared" ca="1" si="145"/>
        <v>154.12939999999998</v>
      </c>
    </row>
    <row r="472" spans="1:28" x14ac:dyDescent="0.25">
      <c r="A472" s="20">
        <f t="shared" ca="1" si="146"/>
        <v>45971</v>
      </c>
      <c r="B472" vm="1371">
        <f ca="1"/>
        <v>45975</v>
      </c>
      <c r="C472" vm="1372">
        <f ca="1"/>
        <v>157.62</v>
      </c>
      <c r="D472" vm="1373">
        <f ca="1"/>
        <v>8484812</v>
      </c>
      <c r="E472">
        <f t="shared" ca="1" si="147"/>
        <v>1337376067.4400001</v>
      </c>
      <c r="F472">
        <f ca="1">SUM($E$2:E472)/SUM($D$2:D472)</f>
        <v>151.66801035254443</v>
      </c>
      <c r="G472">
        <f ca="1">_xlfn.STDEV.P($C$2:C472)</f>
        <v>7.3753947520531185</v>
      </c>
      <c r="H472">
        <f t="shared" ca="1" si="148"/>
        <v>159.04340510459755</v>
      </c>
      <c r="I472">
        <f t="shared" ca="1" si="149"/>
        <v>144.2926156004913</v>
      </c>
      <c r="J472">
        <f t="shared" ca="1" si="158"/>
        <v>154.90849999999998</v>
      </c>
      <c r="K472">
        <f t="shared" ca="1" si="159"/>
        <v>1.4562000838519877</v>
      </c>
      <c r="L472">
        <f t="shared" ca="1" si="160"/>
        <v>157.82090016770394</v>
      </c>
      <c r="M472">
        <f t="shared" ca="1" si="161"/>
        <v>151.99609983229601</v>
      </c>
      <c r="N472">
        <f t="shared" ca="1" si="150"/>
        <v>2.039999999999992</v>
      </c>
      <c r="O472">
        <f t="shared" ca="1" si="151"/>
        <v>2.039999999999992</v>
      </c>
      <c r="P472">
        <f t="shared" ca="1" si="152"/>
        <v>0</v>
      </c>
      <c r="Q472">
        <f t="shared" ca="1" si="156"/>
        <v>0.86819103184449153</v>
      </c>
      <c r="R472">
        <f t="shared" ca="1" si="157"/>
        <v>0.65434108992799234</v>
      </c>
      <c r="S472">
        <f t="shared" ca="1" si="154"/>
        <v>1.3268172291305023</v>
      </c>
      <c r="T472">
        <f t="shared" ca="1" si="155"/>
        <v>57.022838430086516</v>
      </c>
      <c r="U472">
        <f>70</f>
        <v>70</v>
      </c>
      <c r="V472">
        <f>30</f>
        <v>30</v>
      </c>
      <c r="W472">
        <f t="shared" ca="1" si="153"/>
        <v>155.11426791533381</v>
      </c>
      <c r="X472">
        <f t="shared" ca="1" si="142"/>
        <v>154.84217663638637</v>
      </c>
      <c r="Y472">
        <f t="shared" ca="1" si="141"/>
        <v>0.22846200577942</v>
      </c>
      <c r="Z472">
        <f t="shared" ca="1" si="143"/>
        <v>2.7832999719957199E-2</v>
      </c>
      <c r="AA472">
        <f t="shared" ca="1" si="144"/>
        <v>0.20062900605946279</v>
      </c>
      <c r="AB472">
        <f t="shared" ca="1" si="145"/>
        <v>154.27330000000001</v>
      </c>
    </row>
    <row r="473" spans="1:28" x14ac:dyDescent="0.25">
      <c r="A473" s="20">
        <f t="shared" ca="1" si="146"/>
        <v>45978</v>
      </c>
      <c r="B473" vm="1374">
        <f ca="1"/>
        <v>45978</v>
      </c>
      <c r="C473" vm="1375">
        <f ca="1"/>
        <v>154.82</v>
      </c>
      <c r="D473" vm="1376">
        <f ca="1"/>
        <v>8744980</v>
      </c>
      <c r="E473">
        <f t="shared" ca="1" si="147"/>
        <v>1353897803.5999999</v>
      </c>
      <c r="F473">
        <f ca="1">SUM($E$2:E473)/SUM($D$2:D473)</f>
        <v>151.67506706605616</v>
      </c>
      <c r="G473">
        <f ca="1">_xlfn.STDEV.P($C$2:C473)</f>
        <v>7.3685375005390839</v>
      </c>
      <c r="H473">
        <f t="shared" ca="1" si="148"/>
        <v>159.04360456659523</v>
      </c>
      <c r="I473">
        <f t="shared" ca="1" si="149"/>
        <v>144.30652956551708</v>
      </c>
      <c r="J473">
        <f t="shared" ca="1" si="158"/>
        <v>154.9255</v>
      </c>
      <c r="K473">
        <f t="shared" ca="1" si="159"/>
        <v>1.4529153088658853</v>
      </c>
      <c r="L473">
        <f t="shared" ca="1" si="160"/>
        <v>157.83133061773177</v>
      </c>
      <c r="M473">
        <f t="shared" ca="1" si="161"/>
        <v>152.01966938226823</v>
      </c>
      <c r="N473">
        <f t="shared" ca="1" si="150"/>
        <v>-2.8000000000000114</v>
      </c>
      <c r="O473">
        <f t="shared" ca="1" si="151"/>
        <v>0</v>
      </c>
      <c r="P473">
        <f t="shared" ca="1" si="152"/>
        <v>2.8000000000000114</v>
      </c>
      <c r="Q473">
        <f t="shared" ca="1" si="156"/>
        <v>0.80617738671274208</v>
      </c>
      <c r="R473">
        <f t="shared" ca="1" si="157"/>
        <v>0.80760244064742237</v>
      </c>
      <c r="S473">
        <f t="shared" ca="1" si="154"/>
        <v>0.99823545117875345</v>
      </c>
      <c r="T473">
        <f t="shared" ca="1" si="155"/>
        <v>49.955847324693252</v>
      </c>
      <c r="U473">
        <f>70</f>
        <v>70</v>
      </c>
      <c r="V473">
        <f>30</f>
        <v>30</v>
      </c>
      <c r="W473">
        <f t="shared" ca="1" si="153"/>
        <v>155.06899592835939</v>
      </c>
      <c r="X473">
        <f t="shared" ca="1" si="142"/>
        <v>154.84053392257997</v>
      </c>
      <c r="Y473">
        <f t="shared" ca="1" si="141"/>
        <v>9.5949475453664945E-2</v>
      </c>
      <c r="Z473">
        <f t="shared" ca="1" si="143"/>
        <v>4.1456294866698745E-2</v>
      </c>
      <c r="AA473">
        <f t="shared" ca="1" si="144"/>
        <v>5.44931805869662E-2</v>
      </c>
      <c r="AB473">
        <f t="shared" ca="1" si="145"/>
        <v>154.37709999999998</v>
      </c>
    </row>
    <row r="474" spans="1:28" x14ac:dyDescent="0.25">
      <c r="A474" s="20">
        <f t="shared" ca="1" si="146"/>
        <v>45978</v>
      </c>
      <c r="B474" vm="1377">
        <f ca="1"/>
        <v>45979</v>
      </c>
      <c r="C474" vm="1378">
        <f ca="1"/>
        <v>153.62</v>
      </c>
      <c r="D474" vm="1379">
        <f ca="1"/>
        <v>10813365</v>
      </c>
      <c r="E474">
        <f t="shared" ca="1" si="147"/>
        <v>1661149131.3</v>
      </c>
      <c r="F474">
        <f ca="1">SUM($E$2:E474)/SUM($D$2:D474)</f>
        <v>151.68043644137029</v>
      </c>
      <c r="G474">
        <f ca="1">_xlfn.STDEV.P($C$2:C474)</f>
        <v>7.3610175475147601</v>
      </c>
      <c r="H474">
        <f t="shared" ca="1" si="148"/>
        <v>159.04145398888505</v>
      </c>
      <c r="I474">
        <f t="shared" ca="1" si="149"/>
        <v>144.31941889385553</v>
      </c>
      <c r="J474">
        <f t="shared" ca="1" si="158"/>
        <v>154.917</v>
      </c>
      <c r="K474">
        <f t="shared" ca="1" si="159"/>
        <v>1.4603860340406778</v>
      </c>
      <c r="L474">
        <f t="shared" ca="1" si="160"/>
        <v>157.83777206808136</v>
      </c>
      <c r="M474">
        <f t="shared" ca="1" si="161"/>
        <v>151.99622793191864</v>
      </c>
      <c r="N474">
        <f t="shared" ca="1" si="150"/>
        <v>-1.1999999999999886</v>
      </c>
      <c r="O474">
        <f t="shared" ca="1" si="151"/>
        <v>0</v>
      </c>
      <c r="P474">
        <f t="shared" ca="1" si="152"/>
        <v>1.1999999999999886</v>
      </c>
      <c r="Q474">
        <f t="shared" ca="1" si="156"/>
        <v>0.74859328766183186</v>
      </c>
      <c r="R474">
        <f t="shared" ca="1" si="157"/>
        <v>0.83563083774403424</v>
      </c>
      <c r="S474">
        <f t="shared" ca="1" si="154"/>
        <v>0.89584210377254747</v>
      </c>
      <c r="T474">
        <f t="shared" ca="1" si="155"/>
        <v>47.252991269151899</v>
      </c>
      <c r="U474">
        <f>70</f>
        <v>70</v>
      </c>
      <c r="V474">
        <f>30</f>
        <v>30</v>
      </c>
      <c r="W474">
        <f t="shared" ca="1" si="153"/>
        <v>154.84607347784254</v>
      </c>
      <c r="X474">
        <f t="shared" ca="1" si="142"/>
        <v>154.75012400238887</v>
      </c>
      <c r="Y474">
        <f t="shared" ca="1" si="141"/>
        <v>-0.1621267175417529</v>
      </c>
      <c r="Z474">
        <f t="shared" ca="1" si="143"/>
        <v>7.396923850084211E-4</v>
      </c>
      <c r="AA474">
        <f t="shared" ca="1" si="144"/>
        <v>-0.16286640992676132</v>
      </c>
      <c r="AB474">
        <f t="shared" ca="1" si="145"/>
        <v>154.47539999999998</v>
      </c>
    </row>
    <row r="475" spans="1:28" x14ac:dyDescent="0.25">
      <c r="A475" s="20">
        <f t="shared" ca="1" si="146"/>
        <v>45978</v>
      </c>
      <c r="B475" vm="1380">
        <f ca="1"/>
        <v>45980</v>
      </c>
      <c r="C475" vm="1381">
        <f ca="1"/>
        <v>151.69999999999999</v>
      </c>
      <c r="D475" vm="1382">
        <f ca="1"/>
        <v>7539905</v>
      </c>
      <c r="E475">
        <f t="shared" ca="1" si="147"/>
        <v>1143803588.5</v>
      </c>
      <c r="F475">
        <f ca="1">SUM($E$2:E475)/SUM($D$2:D475)</f>
        <v>151.68047402829538</v>
      </c>
      <c r="G475">
        <f ca="1">_xlfn.STDEV.P($C$2:C475)</f>
        <v>7.3532906955951756</v>
      </c>
      <c r="H475">
        <f t="shared" ca="1" si="148"/>
        <v>159.03376472389056</v>
      </c>
      <c r="I475">
        <f t="shared" ca="1" si="149"/>
        <v>144.3271833327002</v>
      </c>
      <c r="J475">
        <f t="shared" ca="1" si="158"/>
        <v>154.7235</v>
      </c>
      <c r="K475">
        <f t="shared" ca="1" si="159"/>
        <v>1.6172695475627108</v>
      </c>
      <c r="L475">
        <f t="shared" ca="1" si="160"/>
        <v>157.95803909512543</v>
      </c>
      <c r="M475">
        <f t="shared" ca="1" si="161"/>
        <v>151.48896090487457</v>
      </c>
      <c r="N475">
        <f t="shared" ca="1" si="150"/>
        <v>-1.9200000000000159</v>
      </c>
      <c r="O475">
        <f t="shared" ca="1" si="151"/>
        <v>0</v>
      </c>
      <c r="P475">
        <f t="shared" ca="1" si="152"/>
        <v>1.9200000000000159</v>
      </c>
      <c r="Q475">
        <f t="shared" ca="1" si="156"/>
        <v>0.69512233854312966</v>
      </c>
      <c r="R475">
        <f t="shared" ca="1" si="157"/>
        <v>0.91308577790517576</v>
      </c>
      <c r="S475">
        <f t="shared" ca="1" si="154"/>
        <v>0.76128919687906726</v>
      </c>
      <c r="T475">
        <f t="shared" ca="1" si="155"/>
        <v>43.223406935558387</v>
      </c>
      <c r="U475">
        <f>70</f>
        <v>70</v>
      </c>
      <c r="V475">
        <f>30</f>
        <v>30</v>
      </c>
      <c r="W475">
        <f t="shared" ca="1" si="153"/>
        <v>154.36206217355905</v>
      </c>
      <c r="X475">
        <f t="shared" ca="1" si="142"/>
        <v>154.52418889110081</v>
      </c>
      <c r="Y475">
        <f t="shared" ca="1" si="141"/>
        <v>-0.47335875800774829</v>
      </c>
      <c r="Z475">
        <f t="shared" ca="1" si="143"/>
        <v>-9.407999769354293E-2</v>
      </c>
      <c r="AA475">
        <f t="shared" ca="1" si="144"/>
        <v>-0.37927876031420538</v>
      </c>
      <c r="AB475">
        <f t="shared" ca="1" si="145"/>
        <v>154.56049999999999</v>
      </c>
    </row>
    <row r="476" spans="1:28" x14ac:dyDescent="0.25">
      <c r="A476" s="20">
        <f t="shared" ca="1" si="146"/>
        <v>45978</v>
      </c>
      <c r="B476" vm="1383">
        <f ca="1"/>
        <v>45981</v>
      </c>
      <c r="C476" vm="1384">
        <f ca="1"/>
        <v>150.31</v>
      </c>
      <c r="D476" vm="1385">
        <f ca="1"/>
        <v>7623448</v>
      </c>
      <c r="E476">
        <f t="shared" ca="1" si="147"/>
        <v>1145880468.8800001</v>
      </c>
      <c r="F476">
        <f ca="1">SUM($E$2:E476)/SUM($D$2:D476)</f>
        <v>151.67781696135853</v>
      </c>
      <c r="G476">
        <f ca="1">_xlfn.STDEV.P($C$2:C476)</f>
        <v>7.3460793616904816</v>
      </c>
      <c r="H476">
        <f t="shared" ca="1" si="148"/>
        <v>159.023896323049</v>
      </c>
      <c r="I476">
        <f t="shared" ca="1" si="149"/>
        <v>144.33173759966806</v>
      </c>
      <c r="J476">
        <f t="shared" ca="1" si="158"/>
        <v>154.411</v>
      </c>
      <c r="K476">
        <f t="shared" ca="1" si="159"/>
        <v>1.833156323193188</v>
      </c>
      <c r="L476">
        <f t="shared" ca="1" si="160"/>
        <v>158.07731264638639</v>
      </c>
      <c r="M476">
        <f t="shared" ca="1" si="161"/>
        <v>150.74468735361361</v>
      </c>
      <c r="N476">
        <f t="shared" ca="1" si="150"/>
        <v>-1.3899999999999864</v>
      </c>
      <c r="O476">
        <f t="shared" ca="1" si="151"/>
        <v>0</v>
      </c>
      <c r="P476">
        <f t="shared" ca="1" si="152"/>
        <v>1.3899999999999864</v>
      </c>
      <c r="Q476">
        <f t="shared" ca="1" si="156"/>
        <v>0.64547074293290607</v>
      </c>
      <c r="R476">
        <f t="shared" ca="1" si="157"/>
        <v>0.94715107948337651</v>
      </c>
      <c r="S476">
        <f t="shared" ca="1" si="154"/>
        <v>0.68148657264369905</v>
      </c>
      <c r="T476">
        <f t="shared" ca="1" si="155"/>
        <v>40.528814427119642</v>
      </c>
      <c r="U476">
        <f>70</f>
        <v>70</v>
      </c>
      <c r="V476">
        <f>30</f>
        <v>30</v>
      </c>
      <c r="W476">
        <f t="shared" ca="1" si="153"/>
        <v>153.73866799301152</v>
      </c>
      <c r="X476">
        <f t="shared" ca="1" si="142"/>
        <v>154.21202675101927</v>
      </c>
      <c r="Y476">
        <f t="shared" ref="Y476:Y514" ca="1" si="162">W477-X477</f>
        <v>-0.73813190927876349</v>
      </c>
      <c r="Z476">
        <f t="shared" ca="1" si="143"/>
        <v>-0.22289038001058703</v>
      </c>
      <c r="AA476">
        <f t="shared" ca="1" si="144"/>
        <v>-0.51524152926817646</v>
      </c>
      <c r="AB476">
        <f t="shared" ca="1" si="145"/>
        <v>154.6079</v>
      </c>
    </row>
    <row r="477" spans="1:28" x14ac:dyDescent="0.25">
      <c r="A477" s="20">
        <f t="shared" ca="1" si="146"/>
        <v>45978</v>
      </c>
      <c r="B477" vm="1386">
        <f ca="1"/>
        <v>45982</v>
      </c>
      <c r="C477" vm="1387">
        <f ca="1"/>
        <v>149.97999999999999</v>
      </c>
      <c r="D477" vm="1388">
        <f ca="1"/>
        <v>9248445</v>
      </c>
      <c r="E477">
        <f t="shared" ca="1" si="147"/>
        <v>1387081781.0999999</v>
      </c>
      <c r="F477">
        <f ca="1">SUM($E$2:E477)/SUM($D$2:D477)</f>
        <v>151.67383295942227</v>
      </c>
      <c r="G477">
        <f ca="1">_xlfn.STDEV.P($C$2:C477)</f>
        <v>7.3390862238103303</v>
      </c>
      <c r="H477">
        <f t="shared" ca="1" si="148"/>
        <v>159.01291918323261</v>
      </c>
      <c r="I477">
        <f t="shared" ca="1" si="149"/>
        <v>144.33474673561193</v>
      </c>
      <c r="J477">
        <f t="shared" ca="1" si="158"/>
        <v>154.13200000000001</v>
      </c>
      <c r="K477">
        <f t="shared" ca="1" si="159"/>
        <v>2.0597076951532949</v>
      </c>
      <c r="L477">
        <f t="shared" ca="1" si="160"/>
        <v>158.25141539030659</v>
      </c>
      <c r="M477">
        <f t="shared" ca="1" si="161"/>
        <v>150.01258460969342</v>
      </c>
      <c r="N477">
        <f t="shared" ca="1" si="150"/>
        <v>-0.33000000000001251</v>
      </c>
      <c r="O477">
        <f t="shared" ca="1" si="151"/>
        <v>0</v>
      </c>
      <c r="P477">
        <f t="shared" ca="1" si="152"/>
        <v>0.33000000000001251</v>
      </c>
      <c r="Q477">
        <f t="shared" ca="1" si="156"/>
        <v>0.59936568986626992</v>
      </c>
      <c r="R477">
        <f t="shared" ca="1" si="157"/>
        <v>0.90306885952027904</v>
      </c>
      <c r="S477">
        <f t="shared" ca="1" si="154"/>
        <v>0.66369876842465825</v>
      </c>
      <c r="T477">
        <f t="shared" ca="1" si="155"/>
        <v>39.892965062005111</v>
      </c>
      <c r="U477">
        <f>70</f>
        <v>70</v>
      </c>
      <c r="V477">
        <f>30</f>
        <v>30</v>
      </c>
      <c r="W477">
        <f t="shared" ca="1" si="153"/>
        <v>153.16041137870204</v>
      </c>
      <c r="X477">
        <f t="shared" ref="X477:X514" ca="1" si="163">C477*(2/(26+1)) + X476*(1-(2/(26+1)))</f>
        <v>153.8985432879808</v>
      </c>
      <c r="Y477">
        <f t="shared" ca="1" si="162"/>
        <v>-0.95551108011181896</v>
      </c>
      <c r="Z477">
        <f t="shared" ca="1" si="143"/>
        <v>-0.36941452003083342</v>
      </c>
      <c r="AA477">
        <f t="shared" ca="1" si="144"/>
        <v>-0.58609656008098554</v>
      </c>
      <c r="AB477">
        <f t="shared" ca="1" si="145"/>
        <v>154.62789999999998</v>
      </c>
    </row>
    <row r="478" spans="1:28" x14ac:dyDescent="0.25">
      <c r="A478" s="20">
        <f t="shared" ca="1" si="146"/>
        <v>45985</v>
      </c>
      <c r="B478" vm="1389">
        <f ca="1"/>
        <v>45985</v>
      </c>
      <c r="C478" vm="1390">
        <f ca="1"/>
        <v>149.75</v>
      </c>
      <c r="D478" vm="1391">
        <f ca="1"/>
        <v>14181131</v>
      </c>
      <c r="E478">
        <f t="shared" ca="1" si="147"/>
        <v>2123624367.25</v>
      </c>
      <c r="F478">
        <f ca="1">SUM($E$2:E478)/SUM($D$2:D478)</f>
        <v>151.66693567138887</v>
      </c>
      <c r="G478">
        <f ca="1">_xlfn.STDEV.P($C$2:C478)</f>
        <v>7.3322680612938056</v>
      </c>
      <c r="H478">
        <f t="shared" ca="1" si="148"/>
        <v>158.99920373268267</v>
      </c>
      <c r="I478">
        <f t="shared" ca="1" si="149"/>
        <v>144.33466761009507</v>
      </c>
      <c r="J478">
        <f t="shared" ca="1" si="158"/>
        <v>153.85549999999998</v>
      </c>
      <c r="K478">
        <f t="shared" ca="1" si="159"/>
        <v>2.2590227859338725</v>
      </c>
      <c r="L478">
        <f t="shared" ca="1" si="160"/>
        <v>158.37354557186774</v>
      </c>
      <c r="M478">
        <f t="shared" ca="1" si="161"/>
        <v>149.33745442813222</v>
      </c>
      <c r="N478">
        <f t="shared" ca="1" si="150"/>
        <v>-0.22999999999998977</v>
      </c>
      <c r="O478">
        <f t="shared" ca="1" si="151"/>
        <v>0</v>
      </c>
      <c r="P478">
        <f t="shared" ca="1" si="152"/>
        <v>0.22999999999998977</v>
      </c>
      <c r="Q478">
        <f t="shared" ca="1" si="156"/>
        <v>0.5565538548758221</v>
      </c>
      <c r="R478">
        <f t="shared" ca="1" si="157"/>
        <v>0.85499251241168694</v>
      </c>
      <c r="S478">
        <f t="shared" ca="1" si="154"/>
        <v>0.6509458817433903</v>
      </c>
      <c r="T478">
        <f t="shared" ca="1" si="155"/>
        <v>39.42866261951572</v>
      </c>
      <c r="U478">
        <f>70</f>
        <v>70</v>
      </c>
      <c r="V478">
        <f>30</f>
        <v>30</v>
      </c>
      <c r="W478">
        <f t="shared" ca="1" si="153"/>
        <v>152.63573270505557</v>
      </c>
      <c r="X478">
        <f t="shared" ca="1" si="163"/>
        <v>153.59124378516739</v>
      </c>
      <c r="Y478">
        <f t="shared" ca="1" si="162"/>
        <v>-1.2122553184555613</v>
      </c>
      <c r="Z478">
        <f t="shared" ca="1" si="143"/>
        <v>-0.53798267971577907</v>
      </c>
      <c r="AA478">
        <f t="shared" ca="1" si="144"/>
        <v>-0.67427263873978227</v>
      </c>
      <c r="AB478">
        <f t="shared" ca="1" si="145"/>
        <v>154.64169999999999</v>
      </c>
    </row>
    <row r="479" spans="1:28" x14ac:dyDescent="0.25">
      <c r="A479" s="20">
        <f t="shared" ca="1" si="146"/>
        <v>45985</v>
      </c>
      <c r="B479" vm="1392">
        <f ca="1"/>
        <v>45986</v>
      </c>
      <c r="C479" vm="1393">
        <f ca="1"/>
        <v>148.53</v>
      </c>
      <c r="D479" vm="1394">
        <f ca="1"/>
        <v>11447942</v>
      </c>
      <c r="E479">
        <f t="shared" ca="1" si="147"/>
        <v>1700362825.26</v>
      </c>
      <c r="F479">
        <f ca="1">SUM($E$2:E479)/SUM($D$2:D479)</f>
        <v>151.6578829730376</v>
      </c>
      <c r="G479">
        <f ca="1">_xlfn.STDEV.P($C$2:C479)</f>
        <v>7.3265415813953823</v>
      </c>
      <c r="H479">
        <f t="shared" ca="1" si="148"/>
        <v>158.98442455443299</v>
      </c>
      <c r="I479">
        <f t="shared" ca="1" si="149"/>
        <v>144.33134139164221</v>
      </c>
      <c r="J479">
        <f t="shared" ca="1" si="158"/>
        <v>153.57549999999998</v>
      </c>
      <c r="K479">
        <f t="shared" ca="1" si="159"/>
        <v>2.5513473736542904</v>
      </c>
      <c r="L479">
        <f t="shared" ca="1" si="160"/>
        <v>158.67819474730857</v>
      </c>
      <c r="M479">
        <f t="shared" ca="1" si="161"/>
        <v>148.47280525269139</v>
      </c>
      <c r="N479">
        <f t="shared" ca="1" si="150"/>
        <v>-1.2199999999999989</v>
      </c>
      <c r="O479">
        <f t="shared" ca="1" si="151"/>
        <v>0</v>
      </c>
      <c r="P479">
        <f t="shared" ca="1" si="152"/>
        <v>1.2199999999999989</v>
      </c>
      <c r="Q479">
        <f t="shared" ca="1" si="156"/>
        <v>0.51680000809897764</v>
      </c>
      <c r="R479">
        <f t="shared" ca="1" si="157"/>
        <v>0.88106447581085212</v>
      </c>
      <c r="S479">
        <f t="shared" ca="1" si="154"/>
        <v>0.58656321107869158</v>
      </c>
      <c r="T479">
        <f t="shared" ca="1" si="155"/>
        <v>36.97068020882017</v>
      </c>
      <c r="U479">
        <f>70</f>
        <v>70</v>
      </c>
      <c r="V479">
        <f>30</f>
        <v>30</v>
      </c>
      <c r="W479">
        <f t="shared" ca="1" si="153"/>
        <v>152.00408151966241</v>
      </c>
      <c r="X479">
        <f t="shared" ca="1" si="163"/>
        <v>153.21633683811797</v>
      </c>
      <c r="Y479">
        <f t="shared" ca="1" si="162"/>
        <v>-1.3214166981441622</v>
      </c>
      <c r="Z479">
        <f t="shared" ca="1" si="143"/>
        <v>-0.69466948340145573</v>
      </c>
      <c r="AA479">
        <f t="shared" ca="1" si="144"/>
        <v>-0.62674721474270645</v>
      </c>
      <c r="AB479">
        <f t="shared" ca="1" si="145"/>
        <v>154.65300000000002</v>
      </c>
    </row>
    <row r="480" spans="1:28" x14ac:dyDescent="0.25">
      <c r="A480" s="20">
        <f t="shared" ca="1" si="146"/>
        <v>45985</v>
      </c>
      <c r="B480" vm="1395">
        <f ca="1"/>
        <v>45987</v>
      </c>
      <c r="C480" vm="1396">
        <f ca="1"/>
        <v>149.51</v>
      </c>
      <c r="D480" vm="1397">
        <f ca="1"/>
        <v>7578938</v>
      </c>
      <c r="E480">
        <f t="shared" ca="1" si="147"/>
        <v>1133127020.3799999</v>
      </c>
      <c r="F480">
        <f ca="1">SUM($E$2:E480)/SUM($D$2:D480)</f>
        <v>151.65378720789556</v>
      </c>
      <c r="G480">
        <f ca="1">_xlfn.STDEV.P($C$2:C480)</f>
        <v>7.3199342399153755</v>
      </c>
      <c r="H480">
        <f t="shared" ca="1" si="148"/>
        <v>158.97372144781093</v>
      </c>
      <c r="I480">
        <f t="shared" ca="1" si="149"/>
        <v>144.33385296798019</v>
      </c>
      <c r="J480">
        <f t="shared" ca="1" si="158"/>
        <v>153.29599999999999</v>
      </c>
      <c r="K480">
        <f t="shared" ca="1" si="159"/>
        <v>2.6785687458633212</v>
      </c>
      <c r="L480">
        <f t="shared" ca="1" si="160"/>
        <v>158.65313749172662</v>
      </c>
      <c r="M480">
        <f t="shared" ca="1" si="161"/>
        <v>147.93886250827336</v>
      </c>
      <c r="N480">
        <f t="shared" ca="1" si="150"/>
        <v>0.97999999999998977</v>
      </c>
      <c r="O480">
        <f t="shared" ca="1" si="151"/>
        <v>0.97999999999998977</v>
      </c>
      <c r="P480">
        <f t="shared" ca="1" si="152"/>
        <v>0</v>
      </c>
      <c r="Q480">
        <f t="shared" ca="1" si="156"/>
        <v>0.54988572180619277</v>
      </c>
      <c r="R480">
        <f t="shared" ca="1" si="157"/>
        <v>0.81813129896721981</v>
      </c>
      <c r="S480">
        <f t="shared" ca="1" si="154"/>
        <v>0.67212404964869232</v>
      </c>
      <c r="T480">
        <f t="shared" ca="1" si="155"/>
        <v>40.19582457353588</v>
      </c>
      <c r="U480">
        <f>70</f>
        <v>70</v>
      </c>
      <c r="V480">
        <f>30</f>
        <v>30</v>
      </c>
      <c r="W480">
        <f t="shared" ca="1" si="153"/>
        <v>151.62037667048358</v>
      </c>
      <c r="X480">
        <f t="shared" ca="1" si="163"/>
        <v>152.94179336862774</v>
      </c>
      <c r="Y480">
        <f t="shared" ca="1" si="162"/>
        <v>-1.2626523466392996</v>
      </c>
      <c r="Z480">
        <f t="shared" ca="1" si="143"/>
        <v>-0.80826605604902457</v>
      </c>
      <c r="AA480">
        <f t="shared" ca="1" si="144"/>
        <v>-0.45438629059027502</v>
      </c>
      <c r="AB480">
        <f t="shared" ca="1" si="145"/>
        <v>154.6157</v>
      </c>
    </row>
    <row r="481" spans="1:28" x14ac:dyDescent="0.25">
      <c r="A481" s="20">
        <f t="shared" ca="1" si="146"/>
        <v>45985</v>
      </c>
      <c r="B481" vm="1398">
        <f ca="1"/>
        <v>45989</v>
      </c>
      <c r="C481" vm="1399">
        <f ca="1"/>
        <v>151.13</v>
      </c>
      <c r="D481" vm="1400">
        <f ca="1"/>
        <v>3848568</v>
      </c>
      <c r="E481">
        <f t="shared" ca="1" si="147"/>
        <v>581634081.84000003</v>
      </c>
      <c r="F481">
        <f ca="1">SUM($E$2:E481)/SUM($D$2:D481)</f>
        <v>151.6532805091849</v>
      </c>
      <c r="G481">
        <f ca="1">_xlfn.STDEV.P($C$2:C481)</f>
        <v>7.3124721704123763</v>
      </c>
      <c r="H481">
        <f t="shared" ca="1" si="148"/>
        <v>158.96575267959727</v>
      </c>
      <c r="I481">
        <f t="shared" ca="1" si="149"/>
        <v>144.34080833877252</v>
      </c>
      <c r="J481">
        <f t="shared" ca="1" si="158"/>
        <v>153.17649999999998</v>
      </c>
      <c r="K481">
        <f t="shared" ca="1" si="159"/>
        <v>2.721025880454885</v>
      </c>
      <c r="L481">
        <f t="shared" ca="1" si="160"/>
        <v>158.61855176090975</v>
      </c>
      <c r="M481">
        <f t="shared" ca="1" si="161"/>
        <v>147.7344482390902</v>
      </c>
      <c r="N481">
        <f t="shared" ca="1" si="150"/>
        <v>1.6200000000000045</v>
      </c>
      <c r="O481">
        <f t="shared" ca="1" si="151"/>
        <v>1.6200000000000045</v>
      </c>
      <c r="P481">
        <f t="shared" ca="1" si="152"/>
        <v>0</v>
      </c>
      <c r="Q481">
        <f t="shared" ca="1" si="156"/>
        <v>0.6263224559628936</v>
      </c>
      <c r="R481">
        <f t="shared" ca="1" si="157"/>
        <v>0.75969334904098973</v>
      </c>
      <c r="S481">
        <f t="shared" ca="1" si="154"/>
        <v>0.82444114688320114</v>
      </c>
      <c r="T481">
        <f t="shared" ca="1" si="155"/>
        <v>45.18869508570566</v>
      </c>
      <c r="U481">
        <f>70</f>
        <v>70</v>
      </c>
      <c r="V481">
        <f>30</f>
        <v>30</v>
      </c>
      <c r="W481">
        <f t="shared" ca="1" si="153"/>
        <v>151.5449341057938</v>
      </c>
      <c r="X481">
        <f t="shared" ca="1" si="163"/>
        <v>152.8075864524331</v>
      </c>
      <c r="Y481">
        <f t="shared" ca="1" si="162"/>
        <v>-1.0897440672934238</v>
      </c>
      <c r="Z481">
        <f t="shared" ca="1" si="143"/>
        <v>-0.86456165829790443</v>
      </c>
      <c r="AA481">
        <f t="shared" ca="1" si="144"/>
        <v>-0.22518240899551933</v>
      </c>
      <c r="AB481">
        <f t="shared" ca="1" si="145"/>
        <v>154.59679999999997</v>
      </c>
    </row>
    <row r="482" spans="1:28" x14ac:dyDescent="0.25">
      <c r="A482" s="20">
        <f t="shared" ca="1" si="146"/>
        <v>45992</v>
      </c>
      <c r="B482" vm="1401">
        <f ca="1"/>
        <v>45992</v>
      </c>
      <c r="C482" vm="1402">
        <f ca="1"/>
        <v>152.54</v>
      </c>
      <c r="D482" vm="1403">
        <f ca="1"/>
        <v>8208972</v>
      </c>
      <c r="E482">
        <f t="shared" ca="1" si="147"/>
        <v>1252196588.8799999</v>
      </c>
      <c r="F482">
        <f ca="1">SUM($E$2:E482)/SUM($D$2:D482)</f>
        <v>151.65510640323654</v>
      </c>
      <c r="G482">
        <f ca="1">_xlfn.STDEV.P($C$2:C482)</f>
        <v>7.3048822562299049</v>
      </c>
      <c r="H482">
        <f t="shared" ca="1" si="148"/>
        <v>158.95998865946646</v>
      </c>
      <c r="I482">
        <f t="shared" ca="1" si="149"/>
        <v>144.35022414700663</v>
      </c>
      <c r="J482">
        <f t="shared" ca="1" si="158"/>
        <v>152.91750000000002</v>
      </c>
      <c r="K482">
        <f t="shared" ca="1" si="159"/>
        <v>2.503637091155694</v>
      </c>
      <c r="L482">
        <f t="shared" ca="1" si="160"/>
        <v>157.92477418231141</v>
      </c>
      <c r="M482">
        <f t="shared" ca="1" si="161"/>
        <v>147.91022581768863</v>
      </c>
      <c r="N482">
        <f t="shared" ca="1" si="150"/>
        <v>1.4099999999999966</v>
      </c>
      <c r="O482">
        <f t="shared" ca="1" si="151"/>
        <v>1.4099999999999966</v>
      </c>
      <c r="P482">
        <f t="shared" ca="1" si="152"/>
        <v>0</v>
      </c>
      <c r="Q482">
        <f t="shared" ca="1" si="156"/>
        <v>0.6822994233941152</v>
      </c>
      <c r="R482">
        <f t="shared" ca="1" si="157"/>
        <v>0.70542953839520472</v>
      </c>
      <c r="S482">
        <f t="shared" ca="1" si="154"/>
        <v>0.96721130355030405</v>
      </c>
      <c r="T482">
        <f t="shared" ca="1" si="155"/>
        <v>49.166619864614418</v>
      </c>
      <c r="U482">
        <f>70</f>
        <v>70</v>
      </c>
      <c r="V482">
        <f>30</f>
        <v>30</v>
      </c>
      <c r="W482">
        <f t="shared" ca="1" si="153"/>
        <v>151.69802116644092</v>
      </c>
      <c r="X482">
        <f t="shared" ca="1" si="163"/>
        <v>152.78776523373435</v>
      </c>
      <c r="Y482">
        <f t="shared" ca="1" si="162"/>
        <v>-1.1245339445319189</v>
      </c>
      <c r="Z482">
        <f t="shared" ca="1" si="143"/>
        <v>-0.91655611554470739</v>
      </c>
      <c r="AA482">
        <f t="shared" ca="1" si="144"/>
        <v>-0.20797782898721151</v>
      </c>
      <c r="AB482">
        <f t="shared" ca="1" si="145"/>
        <v>154.5805</v>
      </c>
    </row>
    <row r="483" spans="1:28" x14ac:dyDescent="0.25">
      <c r="A483" s="20">
        <f t="shared" ca="1" si="146"/>
        <v>45992</v>
      </c>
      <c r="B483" vm="1404">
        <f ca="1"/>
        <v>45993</v>
      </c>
      <c r="C483" vm="1405">
        <f ca="1"/>
        <v>150.25</v>
      </c>
      <c r="D483" vm="1406">
        <f ca="1"/>
        <v>9196311</v>
      </c>
      <c r="E483">
        <f t="shared" ca="1" si="147"/>
        <v>1381745727.75</v>
      </c>
      <c r="F483">
        <f ca="1">SUM($E$2:E483)/SUM($D$2:D483)</f>
        <v>151.65187253201998</v>
      </c>
      <c r="G483">
        <f ca="1">_xlfn.STDEV.P($C$2:C483)</f>
        <v>7.2978465737259102</v>
      </c>
      <c r="H483">
        <f t="shared" ca="1" si="148"/>
        <v>158.94971910574588</v>
      </c>
      <c r="I483">
        <f t="shared" ca="1" si="149"/>
        <v>144.35402595829407</v>
      </c>
      <c r="J483">
        <f t="shared" ca="1" si="158"/>
        <v>152.72800000000001</v>
      </c>
      <c r="K483">
        <f t="shared" ca="1" si="159"/>
        <v>2.5570657526074516</v>
      </c>
      <c r="L483">
        <f t="shared" ca="1" si="160"/>
        <v>157.84213150521492</v>
      </c>
      <c r="M483">
        <f t="shared" ca="1" si="161"/>
        <v>147.61386849478509</v>
      </c>
      <c r="N483">
        <f t="shared" ca="1" si="150"/>
        <v>-2.289999999999992</v>
      </c>
      <c r="O483">
        <f t="shared" ca="1" si="151"/>
        <v>0</v>
      </c>
      <c r="P483">
        <f t="shared" ca="1" si="152"/>
        <v>2.289999999999992</v>
      </c>
      <c r="Q483">
        <f t="shared" ca="1" si="156"/>
        <v>0.63356375029453549</v>
      </c>
      <c r="R483">
        <f t="shared" ca="1" si="157"/>
        <v>0.81861314279554676</v>
      </c>
      <c r="S483">
        <f t="shared" ca="1" si="154"/>
        <v>0.77394768929671531</v>
      </c>
      <c r="T483">
        <f t="shared" ca="1" si="155"/>
        <v>43.628551955979511</v>
      </c>
      <c r="U483">
        <f>70</f>
        <v>70</v>
      </c>
      <c r="V483">
        <f>30</f>
        <v>30</v>
      </c>
      <c r="W483">
        <f t="shared" ca="1" si="153"/>
        <v>151.47524867929616</v>
      </c>
      <c r="X483">
        <f t="shared" ca="1" si="163"/>
        <v>152.59978262382808</v>
      </c>
      <c r="Y483">
        <f t="shared" ca="1" si="162"/>
        <v>-1.0320811823167162</v>
      </c>
      <c r="Z483">
        <f t="shared" ca="1" si="143"/>
        <v>-0.93966112889910924</v>
      </c>
      <c r="AA483">
        <f t="shared" ca="1" si="144"/>
        <v>-9.2420053417606951E-2</v>
      </c>
      <c r="AB483">
        <f t="shared" ca="1" si="145"/>
        <v>154.52990000000003</v>
      </c>
    </row>
    <row r="484" spans="1:28" x14ac:dyDescent="0.25">
      <c r="A484" s="20">
        <f t="shared" ca="1" si="146"/>
        <v>45992</v>
      </c>
      <c r="B484" vm="1407">
        <f ca="1"/>
        <v>45994</v>
      </c>
      <c r="C484" vm="1408">
        <f ca="1"/>
        <v>151.59</v>
      </c>
      <c r="D484" vm="1409">
        <f ca="1"/>
        <v>8060175</v>
      </c>
      <c r="E484">
        <f t="shared" ca="1" si="147"/>
        <v>1221841928.25</v>
      </c>
      <c r="F484">
        <f ca="1">SUM($E$2:E484)/SUM($D$2:D484)</f>
        <v>151.65174797533209</v>
      </c>
      <c r="G484">
        <f ca="1">_xlfn.STDEV.P($C$2:C484)</f>
        <v>7.2903420191901462</v>
      </c>
      <c r="H484">
        <f t="shared" ca="1" si="148"/>
        <v>158.94208999452223</v>
      </c>
      <c r="I484">
        <f t="shared" ca="1" si="149"/>
        <v>144.36140595614194</v>
      </c>
      <c r="J484">
        <f t="shared" ca="1" si="158"/>
        <v>152.63800000000001</v>
      </c>
      <c r="K484">
        <f t="shared" ca="1" si="159"/>
        <v>2.5642062483760046</v>
      </c>
      <c r="L484">
        <f t="shared" ca="1" si="160"/>
        <v>157.76641249675203</v>
      </c>
      <c r="M484">
        <f t="shared" ca="1" si="161"/>
        <v>147.50958750324799</v>
      </c>
      <c r="N484">
        <f t="shared" ca="1" si="150"/>
        <v>1.3400000000000034</v>
      </c>
      <c r="O484">
        <f t="shared" ca="1" si="151"/>
        <v>1.3400000000000034</v>
      </c>
      <c r="P484">
        <f t="shared" ca="1" si="152"/>
        <v>0</v>
      </c>
      <c r="Q484">
        <f t="shared" ca="1" si="156"/>
        <v>0.68402348241635458</v>
      </c>
      <c r="R484">
        <f t="shared" ca="1" si="157"/>
        <v>0.76014077545300762</v>
      </c>
      <c r="S484">
        <f t="shared" ca="1" si="154"/>
        <v>0.89986421529447524</v>
      </c>
      <c r="T484">
        <f t="shared" ca="1" si="155"/>
        <v>47.36465943462165</v>
      </c>
      <c r="U484">
        <f>70</f>
        <v>70</v>
      </c>
      <c r="V484">
        <f>30</f>
        <v>30</v>
      </c>
      <c r="W484">
        <f t="shared" ca="1" si="153"/>
        <v>151.49290272863522</v>
      </c>
      <c r="X484">
        <f t="shared" ca="1" si="163"/>
        <v>152.52498391095193</v>
      </c>
      <c r="Y484">
        <f t="shared" ca="1" si="162"/>
        <v>-0.89443777964308424</v>
      </c>
      <c r="Z484">
        <f t="shared" ca="1" si="143"/>
        <v>-0.93061645904790424</v>
      </c>
      <c r="AA484">
        <f t="shared" ca="1" si="144"/>
        <v>3.6178679404820002E-2</v>
      </c>
      <c r="AB484">
        <f t="shared" ca="1" si="145"/>
        <v>154.52930000000003</v>
      </c>
    </row>
    <row r="485" spans="1:28" x14ac:dyDescent="0.25">
      <c r="A485" s="20">
        <f t="shared" ca="1" si="146"/>
        <v>45992</v>
      </c>
      <c r="B485" vm="1410">
        <f ca="1"/>
        <v>45995</v>
      </c>
      <c r="C485" vm="1411">
        <f ca="1"/>
        <v>152.26</v>
      </c>
      <c r="D485" vm="1412">
        <f ca="1"/>
        <v>7254724</v>
      </c>
      <c r="E485">
        <f t="shared" ca="1" si="147"/>
        <v>1104604276.24</v>
      </c>
      <c r="F485">
        <f ca="1">SUM($E$2:E485)/SUM($D$2:D485)</f>
        <v>151.65284810263299</v>
      </c>
      <c r="G485">
        <f ca="1">_xlfn.STDEV.P($C$2:C485)</f>
        <v>7.2828071863551456</v>
      </c>
      <c r="H485">
        <f t="shared" ca="1" si="148"/>
        <v>158.93565528898813</v>
      </c>
      <c r="I485">
        <f t="shared" ca="1" si="149"/>
        <v>144.37004091627784</v>
      </c>
      <c r="J485">
        <f t="shared" ca="1" si="158"/>
        <v>152.61800000000002</v>
      </c>
      <c r="K485">
        <f t="shared" ca="1" si="159"/>
        <v>2.5655851902482349</v>
      </c>
      <c r="L485">
        <f t="shared" ca="1" si="160"/>
        <v>157.74917038049648</v>
      </c>
      <c r="M485">
        <f t="shared" ca="1" si="161"/>
        <v>147.48682961950357</v>
      </c>
      <c r="N485">
        <f t="shared" ca="1" si="150"/>
        <v>0.66999999999998749</v>
      </c>
      <c r="O485">
        <f t="shared" ca="1" si="151"/>
        <v>0.66999999999998749</v>
      </c>
      <c r="P485">
        <f t="shared" ca="1" si="152"/>
        <v>0</v>
      </c>
      <c r="Q485">
        <f t="shared" ca="1" si="156"/>
        <v>0.68302180510089983</v>
      </c>
      <c r="R485">
        <f t="shared" ca="1" si="157"/>
        <v>0.70584500577779274</v>
      </c>
      <c r="S485">
        <f t="shared" ca="1" si="154"/>
        <v>0.96766542160095992</v>
      </c>
      <c r="T485">
        <f t="shared" ca="1" si="155"/>
        <v>49.178351714573211</v>
      </c>
      <c r="U485">
        <f>70</f>
        <v>70</v>
      </c>
      <c r="V485">
        <f>30</f>
        <v>30</v>
      </c>
      <c r="W485">
        <f t="shared" ca="1" si="153"/>
        <v>151.61091769346055</v>
      </c>
      <c r="X485">
        <f t="shared" ca="1" si="163"/>
        <v>152.50535547310363</v>
      </c>
      <c r="Y485">
        <f t="shared" ca="1" si="162"/>
        <v>-0.95668938404816117</v>
      </c>
      <c r="Z485">
        <f t="shared" ca="1" si="143"/>
        <v>-0.9358310440479557</v>
      </c>
      <c r="AA485">
        <f t="shared" ca="1" si="144"/>
        <v>-2.0858340000205478E-2</v>
      </c>
      <c r="AB485">
        <f t="shared" ca="1" si="145"/>
        <v>154.54500000000002</v>
      </c>
    </row>
    <row r="486" spans="1:28" x14ac:dyDescent="0.25">
      <c r="A486" s="20">
        <f t="shared" ca="1" si="146"/>
        <v>45992</v>
      </c>
      <c r="B486" vm="1413">
        <f ca="1"/>
        <v>45996</v>
      </c>
      <c r="C486" vm="1414">
        <f ca="1"/>
        <v>150</v>
      </c>
      <c r="D486" vm="1415">
        <f ca="1"/>
        <v>12659762</v>
      </c>
      <c r="E486">
        <f t="shared" ca="1" si="147"/>
        <v>1898964300</v>
      </c>
      <c r="F486">
        <f ca="1">SUM($E$2:E486)/SUM($D$2:D486)</f>
        <v>151.64764780250559</v>
      </c>
      <c r="G486">
        <f ca="1">_xlfn.STDEV.P($C$2:C486)</f>
        <v>7.2759837255750259</v>
      </c>
      <c r="H486">
        <f t="shared" ca="1" si="148"/>
        <v>158.92363152808062</v>
      </c>
      <c r="I486">
        <f t="shared" ca="1" si="149"/>
        <v>144.37166407693056</v>
      </c>
      <c r="J486">
        <f t="shared" ca="1" si="158"/>
        <v>152.471</v>
      </c>
      <c r="K486">
        <f t="shared" ca="1" si="159"/>
        <v>2.6295925239674074</v>
      </c>
      <c r="L486">
        <f t="shared" ca="1" si="160"/>
        <v>157.73018504793481</v>
      </c>
      <c r="M486">
        <f t="shared" ca="1" si="161"/>
        <v>147.2118149520652</v>
      </c>
      <c r="N486">
        <f t="shared" ca="1" si="150"/>
        <v>-2.2599999999999909</v>
      </c>
      <c r="O486">
        <f t="shared" ca="1" si="151"/>
        <v>0</v>
      </c>
      <c r="P486">
        <f t="shared" ca="1" si="152"/>
        <v>2.2599999999999909</v>
      </c>
      <c r="Q486">
        <f t="shared" ca="1" si="156"/>
        <v>0.63423453330797841</v>
      </c>
      <c r="R486">
        <f t="shared" ca="1" si="157"/>
        <v>0.81685607679366412</v>
      </c>
      <c r="S486">
        <f t="shared" ca="1" si="154"/>
        <v>0.77643363540549937</v>
      </c>
      <c r="T486">
        <f t="shared" ca="1" si="155"/>
        <v>43.707438315209899</v>
      </c>
      <c r="U486">
        <f>70</f>
        <v>70</v>
      </c>
      <c r="V486">
        <f>30</f>
        <v>30</v>
      </c>
      <c r="W486">
        <f t="shared" ca="1" si="153"/>
        <v>151.36308420215892</v>
      </c>
      <c r="X486">
        <f t="shared" ca="1" si="163"/>
        <v>152.31977358620708</v>
      </c>
      <c r="Y486">
        <f t="shared" ca="1" si="162"/>
        <v>-1.0974655483649656</v>
      </c>
      <c r="Z486">
        <f t="shared" ref="Z486:Z514" ca="1" si="164">Y486*(2/(9+1)) + Z485*(1-(2/(9+1)))</f>
        <v>-0.96815794491135776</v>
      </c>
      <c r="AA486">
        <f t="shared" ref="AA486:AA514" ca="1" si="165">Y486-Z486</f>
        <v>-0.12930760345360781</v>
      </c>
      <c r="AB486">
        <f t="shared" ref="AB486:AB514" ca="1" si="166">AVERAGE(C387:C486)</f>
        <v>154.54580000000001</v>
      </c>
    </row>
    <row r="487" spans="1:28" x14ac:dyDescent="0.25">
      <c r="A487" s="20">
        <f t="shared" ca="1" si="146"/>
        <v>45999</v>
      </c>
      <c r="B487" vm="1416">
        <f ca="1"/>
        <v>45999</v>
      </c>
      <c r="C487" vm="1417">
        <f ca="1"/>
        <v>148.71</v>
      </c>
      <c r="D487" vm="1418">
        <f ca="1"/>
        <v>10237153</v>
      </c>
      <c r="E487">
        <f t="shared" ca="1" si="147"/>
        <v>1522367022.6300001</v>
      </c>
      <c r="F487">
        <f ca="1">SUM($E$2:E487)/SUM($D$2:D487)</f>
        <v>151.64019284243696</v>
      </c>
      <c r="G487">
        <f ca="1">_xlfn.STDEV.P($C$2:C487)</f>
        <v>7.270216503167549</v>
      </c>
      <c r="H487">
        <f t="shared" ca="1" si="148"/>
        <v>158.91040934560451</v>
      </c>
      <c r="I487">
        <f t="shared" ca="1" si="149"/>
        <v>144.36997633926941</v>
      </c>
      <c r="J487">
        <f t="shared" ca="1" si="158"/>
        <v>152.15549999999999</v>
      </c>
      <c r="K487">
        <f t="shared" ca="1" si="159"/>
        <v>2.6856077916416479</v>
      </c>
      <c r="L487">
        <f t="shared" ca="1" si="160"/>
        <v>157.52671558328328</v>
      </c>
      <c r="M487">
        <f t="shared" ca="1" si="161"/>
        <v>146.7842844167167</v>
      </c>
      <c r="N487">
        <f t="shared" ca="1" si="150"/>
        <v>-1.289999999999992</v>
      </c>
      <c r="O487">
        <f t="shared" ca="1" si="151"/>
        <v>0</v>
      </c>
      <c r="P487">
        <f t="shared" ca="1" si="152"/>
        <v>1.289999999999992</v>
      </c>
      <c r="Q487">
        <f t="shared" ca="1" si="156"/>
        <v>0.58893206664312281</v>
      </c>
      <c r="R487">
        <f t="shared" ca="1" si="157"/>
        <v>0.85065207130840181</v>
      </c>
      <c r="S487">
        <f t="shared" ca="1" si="154"/>
        <v>0.69233013885133643</v>
      </c>
      <c r="T487">
        <f t="shared" ca="1" si="155"/>
        <v>40.909874672636462</v>
      </c>
      <c r="U487">
        <f>70</f>
        <v>70</v>
      </c>
      <c r="V487">
        <f>30</f>
        <v>30</v>
      </c>
      <c r="W487">
        <f t="shared" ca="1" si="153"/>
        <v>150.95491740182678</v>
      </c>
      <c r="X487">
        <f t="shared" ca="1" si="163"/>
        <v>152.05238295019174</v>
      </c>
      <c r="Y487">
        <f t="shared" ca="1" si="162"/>
        <v>-1.2128033916517325</v>
      </c>
      <c r="Z487">
        <f t="shared" ca="1" si="164"/>
        <v>-1.0170870342594327</v>
      </c>
      <c r="AA487">
        <f t="shared" ca="1" si="165"/>
        <v>-0.19571635739229976</v>
      </c>
      <c r="AB487">
        <f t="shared" ca="1" si="166"/>
        <v>154.51910000000001</v>
      </c>
    </row>
    <row r="488" spans="1:28" x14ac:dyDescent="0.25">
      <c r="A488" s="20">
        <f t="shared" ca="1" si="146"/>
        <v>45999</v>
      </c>
      <c r="B488" vm="1419">
        <f ca="1"/>
        <v>46000</v>
      </c>
      <c r="C488" vm="1420">
        <f ca="1"/>
        <v>148.49</v>
      </c>
      <c r="D488" vm="1421">
        <f ca="1"/>
        <v>8916749</v>
      </c>
      <c r="E488">
        <f t="shared" ca="1" si="147"/>
        <v>1324048059.01</v>
      </c>
      <c r="F488">
        <f ca="1">SUM($E$2:E488)/SUM($D$2:D488)</f>
        <v>151.63324498060473</v>
      </c>
      <c r="G488">
        <f ca="1">_xlfn.STDEV.P($C$2:C488)</f>
        <v>7.2646844343148471</v>
      </c>
      <c r="H488">
        <f t="shared" ca="1" si="148"/>
        <v>158.89792941491959</v>
      </c>
      <c r="I488">
        <f t="shared" ca="1" si="149"/>
        <v>144.36856054628987</v>
      </c>
      <c r="J488">
        <f t="shared" ca="1" si="158"/>
        <v>151.79749999999999</v>
      </c>
      <c r="K488">
        <f t="shared" ca="1" si="159"/>
        <v>2.672455750212174</v>
      </c>
      <c r="L488">
        <f t="shared" ca="1" si="160"/>
        <v>157.14241150042434</v>
      </c>
      <c r="M488">
        <f t="shared" ca="1" si="161"/>
        <v>146.45258849957563</v>
      </c>
      <c r="N488">
        <f t="shared" ca="1" si="150"/>
        <v>-0.21999999999999886</v>
      </c>
      <c r="O488">
        <f t="shared" ca="1" si="151"/>
        <v>0</v>
      </c>
      <c r="P488">
        <f t="shared" ca="1" si="152"/>
        <v>0.21999999999999886</v>
      </c>
      <c r="Q488">
        <f t="shared" ca="1" si="156"/>
        <v>0.54686549045432831</v>
      </c>
      <c r="R488">
        <f t="shared" ca="1" si="157"/>
        <v>0.805605494786373</v>
      </c>
      <c r="S488">
        <f t="shared" ca="1" si="154"/>
        <v>0.67882542260879652</v>
      </c>
      <c r="T488">
        <f t="shared" ca="1" si="155"/>
        <v>40.434545097246719</v>
      </c>
      <c r="U488">
        <f>70</f>
        <v>70</v>
      </c>
      <c r="V488">
        <f>30</f>
        <v>30</v>
      </c>
      <c r="W488">
        <f t="shared" ca="1" si="153"/>
        <v>150.57569934000728</v>
      </c>
      <c r="X488">
        <f t="shared" ca="1" si="163"/>
        <v>151.78850273165901</v>
      </c>
      <c r="Y488">
        <f t="shared" ca="1" si="162"/>
        <v>-1.0564122045784075</v>
      </c>
      <c r="Z488">
        <f t="shared" ca="1" si="164"/>
        <v>-1.0249520683232278</v>
      </c>
      <c r="AA488">
        <f t="shared" ca="1" si="165"/>
        <v>-3.1460136255179627E-2</v>
      </c>
      <c r="AB488">
        <f t="shared" ca="1" si="166"/>
        <v>154.50359999999998</v>
      </c>
    </row>
    <row r="489" spans="1:28" x14ac:dyDescent="0.25">
      <c r="A489" s="20">
        <f t="shared" ca="1" si="146"/>
        <v>45999</v>
      </c>
      <c r="B489" vm="1422">
        <f ca="1"/>
        <v>46001</v>
      </c>
      <c r="C489" vm="1423">
        <f ca="1"/>
        <v>151.41</v>
      </c>
      <c r="D489" vm="1424">
        <f ca="1"/>
        <v>10976295</v>
      </c>
      <c r="E489">
        <f t="shared" ca="1" si="147"/>
        <v>1661920825.95</v>
      </c>
      <c r="F489">
        <f ca="1">SUM($E$2:E489)/SUM($D$2:D489)</f>
        <v>151.63264052073816</v>
      </c>
      <c r="G489">
        <f ca="1">_xlfn.STDEV.P($C$2:C489)</f>
        <v>7.2573223943391785</v>
      </c>
      <c r="H489">
        <f t="shared" ca="1" si="148"/>
        <v>158.88996291507735</v>
      </c>
      <c r="I489">
        <f t="shared" ca="1" si="149"/>
        <v>144.37531812639898</v>
      </c>
      <c r="J489">
        <f t="shared" ca="1" si="158"/>
        <v>151.55599999999998</v>
      </c>
      <c r="K489">
        <f t="shared" ca="1" si="159"/>
        <v>2.4596349750575426</v>
      </c>
      <c r="L489">
        <f t="shared" ca="1" si="160"/>
        <v>156.47526995011506</v>
      </c>
      <c r="M489">
        <f t="shared" ca="1" si="161"/>
        <v>146.6367300498849</v>
      </c>
      <c r="N489">
        <f t="shared" ca="1" si="150"/>
        <v>2.9199999999999875</v>
      </c>
      <c r="O489">
        <f t="shared" ca="1" si="151"/>
        <v>2.9199999999999875</v>
      </c>
      <c r="P489">
        <f t="shared" ca="1" si="152"/>
        <v>0</v>
      </c>
      <c r="Q489">
        <f t="shared" ca="1" si="156"/>
        <v>0.71637509827901824</v>
      </c>
      <c r="R489">
        <f t="shared" ca="1" si="157"/>
        <v>0.74806224515877495</v>
      </c>
      <c r="S489">
        <f t="shared" ca="1" si="154"/>
        <v>0.95764102909239701</v>
      </c>
      <c r="T489">
        <f t="shared" ca="1" si="155"/>
        <v>48.918111893904232</v>
      </c>
      <c r="U489">
        <f>70</f>
        <v>70</v>
      </c>
      <c r="V489">
        <f>30</f>
        <v>30</v>
      </c>
      <c r="W489">
        <f t="shared" ca="1" si="153"/>
        <v>150.70405328769846</v>
      </c>
      <c r="X489">
        <f t="shared" ca="1" si="163"/>
        <v>151.76046549227686</v>
      </c>
      <c r="Y489">
        <f t="shared" ca="1" si="162"/>
        <v>-0.97688734627789131</v>
      </c>
      <c r="Z489">
        <f t="shared" ca="1" si="164"/>
        <v>-1.0153391239141605</v>
      </c>
      <c r="AA489">
        <f t="shared" ca="1" si="165"/>
        <v>3.8451777636269169E-2</v>
      </c>
      <c r="AB489">
        <f t="shared" ca="1" si="166"/>
        <v>154.52090000000001</v>
      </c>
    </row>
    <row r="490" spans="1:28" x14ac:dyDescent="0.25">
      <c r="A490" s="20">
        <f t="shared" ca="1" si="146"/>
        <v>45999</v>
      </c>
      <c r="B490" vm="1425">
        <f ca="1"/>
        <v>46002</v>
      </c>
      <c r="C490" vm="1426">
        <f ca="1"/>
        <v>150.72</v>
      </c>
      <c r="D490" vm="1427">
        <f ca="1"/>
        <v>8414160</v>
      </c>
      <c r="E490">
        <f t="shared" ca="1" si="147"/>
        <v>1268182195.2</v>
      </c>
      <c r="F490">
        <f ca="1">SUM($E$2:E490)/SUM($D$2:D490)</f>
        <v>151.63075018028113</v>
      </c>
      <c r="G490">
        <f ca="1">_xlfn.STDEV.P($C$2:C490)</f>
        <v>7.2502003359439033</v>
      </c>
      <c r="H490">
        <f t="shared" ca="1" si="148"/>
        <v>158.88095051622503</v>
      </c>
      <c r="I490">
        <f t="shared" ca="1" si="149"/>
        <v>144.38054984433722</v>
      </c>
      <c r="J490">
        <f t="shared" ca="1" si="158"/>
        <v>151.42599999999999</v>
      </c>
      <c r="K490">
        <f t="shared" ca="1" si="159"/>
        <v>2.4300257741756357</v>
      </c>
      <c r="L490">
        <f t="shared" ca="1" si="160"/>
        <v>156.28605154835125</v>
      </c>
      <c r="M490">
        <f t="shared" ca="1" si="161"/>
        <v>146.56594845164872</v>
      </c>
      <c r="N490">
        <f t="shared" ca="1" si="150"/>
        <v>-0.68999999999999773</v>
      </c>
      <c r="O490">
        <f t="shared" ca="1" si="151"/>
        <v>0</v>
      </c>
      <c r="P490">
        <f t="shared" ca="1" si="152"/>
        <v>0.68999999999999773</v>
      </c>
      <c r="Q490">
        <f t="shared" ca="1" si="156"/>
        <v>0.66520544840194551</v>
      </c>
      <c r="R490">
        <f t="shared" ca="1" si="157"/>
        <v>0.743914941933148</v>
      </c>
      <c r="S490">
        <f t="shared" ca="1" si="154"/>
        <v>0.89419557385597492</v>
      </c>
      <c r="T490">
        <f t="shared" ca="1" si="155"/>
        <v>47.207140920284139</v>
      </c>
      <c r="U490">
        <f>70</f>
        <v>70</v>
      </c>
      <c r="V490">
        <f>30</f>
        <v>30</v>
      </c>
      <c r="W490">
        <f t="shared" ca="1" si="153"/>
        <v>150.70650662805255</v>
      </c>
      <c r="X490">
        <f t="shared" ca="1" si="163"/>
        <v>151.68339397433044</v>
      </c>
      <c r="Y490">
        <f t="shared" ca="1" si="162"/>
        <v>-0.96168254451791313</v>
      </c>
      <c r="Z490">
        <f t="shared" ca="1" si="164"/>
        <v>-1.004607808034911</v>
      </c>
      <c r="AA490">
        <f t="shared" ca="1" si="165"/>
        <v>4.292526351699788E-2</v>
      </c>
      <c r="AB490">
        <f t="shared" ca="1" si="166"/>
        <v>154.52770000000001</v>
      </c>
    </row>
    <row r="491" spans="1:28" x14ac:dyDescent="0.25">
      <c r="A491" s="20">
        <f t="shared" ca="1" si="146"/>
        <v>45999</v>
      </c>
      <c r="B491" vm="1428">
        <f ca="1"/>
        <v>46003</v>
      </c>
      <c r="C491" vm="1429">
        <f ca="1"/>
        <v>149.99</v>
      </c>
      <c r="D491" vm="1430">
        <f ca="1"/>
        <v>5848050</v>
      </c>
      <c r="E491">
        <f t="shared" ca="1" si="147"/>
        <v>877149019.5</v>
      </c>
      <c r="F491">
        <f ca="1">SUM($E$2:E491)/SUM($D$2:D491)</f>
        <v>151.62839155855536</v>
      </c>
      <c r="G491">
        <f ca="1">_xlfn.STDEV.P($C$2:C491)</f>
        <v>7.2434742865636208</v>
      </c>
      <c r="H491">
        <f t="shared" ca="1" si="148"/>
        <v>158.87186584511898</v>
      </c>
      <c r="I491">
        <f t="shared" ca="1" si="149"/>
        <v>144.38491727199175</v>
      </c>
      <c r="J491">
        <f t="shared" ca="1" si="158"/>
        <v>151.14649999999997</v>
      </c>
      <c r="K491">
        <f t="shared" ca="1" si="159"/>
        <v>2.241233858954998</v>
      </c>
      <c r="L491">
        <f t="shared" ca="1" si="160"/>
        <v>155.62896771790997</v>
      </c>
      <c r="M491">
        <f t="shared" ca="1" si="161"/>
        <v>146.66403228208998</v>
      </c>
      <c r="N491">
        <f t="shared" ca="1" si="150"/>
        <v>-0.72999999999998977</v>
      </c>
      <c r="O491">
        <f t="shared" ca="1" si="151"/>
        <v>0</v>
      </c>
      <c r="P491">
        <f t="shared" ca="1" si="152"/>
        <v>0.72999999999998977</v>
      </c>
      <c r="Q491">
        <f t="shared" ca="1" si="156"/>
        <v>0.61769077351609225</v>
      </c>
      <c r="R491">
        <f t="shared" ca="1" si="157"/>
        <v>0.74292101750935102</v>
      </c>
      <c r="S491">
        <f t="shared" ca="1" si="154"/>
        <v>0.83143531944607751</v>
      </c>
      <c r="T491">
        <f t="shared" ca="1" si="155"/>
        <v>45.398017097188415</v>
      </c>
      <c r="U491">
        <f>70</f>
        <v>70</v>
      </c>
      <c r="V491">
        <f>30</f>
        <v>30</v>
      </c>
      <c r="W491">
        <f t="shared" ca="1" si="153"/>
        <v>150.59627483912138</v>
      </c>
      <c r="X491">
        <f t="shared" ca="1" si="163"/>
        <v>151.55795738363929</v>
      </c>
      <c r="Y491">
        <f t="shared" ca="1" si="162"/>
        <v>-0.95396730046641665</v>
      </c>
      <c r="Z491">
        <f t="shared" ca="1" si="164"/>
        <v>-0.9944797065212122</v>
      </c>
      <c r="AA491">
        <f t="shared" ca="1" si="165"/>
        <v>4.0512406054795558E-2</v>
      </c>
      <c r="AB491">
        <f t="shared" ca="1" si="166"/>
        <v>154.49639999999999</v>
      </c>
    </row>
    <row r="492" spans="1:28" x14ac:dyDescent="0.25">
      <c r="A492" s="20">
        <f t="shared" ca="1" si="146"/>
        <v>46006</v>
      </c>
      <c r="B492" vm="1431">
        <f ca="1"/>
        <v>46006</v>
      </c>
      <c r="C492" vm="1432">
        <f ca="1"/>
        <v>149.80000000000001</v>
      </c>
      <c r="D492" vm="1433">
        <f ca="1"/>
        <v>7502951</v>
      </c>
      <c r="E492">
        <f t="shared" ca="1" si="147"/>
        <v>1123942059.8000002</v>
      </c>
      <c r="F492">
        <f ca="1">SUM($E$2:E492)/SUM($D$2:D492)</f>
        <v>151.62502562271692</v>
      </c>
      <c r="G492">
        <f ca="1">_xlfn.STDEV.P($C$2:C492)</f>
        <v>7.2368885051375589</v>
      </c>
      <c r="H492">
        <f t="shared" ca="1" si="148"/>
        <v>158.86191412785448</v>
      </c>
      <c r="I492">
        <f t="shared" ca="1" si="149"/>
        <v>144.38813711757936</v>
      </c>
      <c r="J492">
        <f t="shared" ca="1" si="158"/>
        <v>150.75549999999998</v>
      </c>
      <c r="K492">
        <f t="shared" ca="1" si="159"/>
        <v>1.6589263331888364</v>
      </c>
      <c r="L492">
        <f t="shared" ca="1" si="160"/>
        <v>154.07335266637764</v>
      </c>
      <c r="M492">
        <f t="shared" ca="1" si="161"/>
        <v>147.43764733362232</v>
      </c>
      <c r="N492">
        <f t="shared" ca="1" si="150"/>
        <v>-0.18999999999999773</v>
      </c>
      <c r="O492">
        <f t="shared" ca="1" si="151"/>
        <v>0</v>
      </c>
      <c r="P492">
        <f t="shared" ca="1" si="152"/>
        <v>0.18999999999999773</v>
      </c>
      <c r="Q492">
        <f t="shared" ca="1" si="156"/>
        <v>0.57357000397922853</v>
      </c>
      <c r="R492">
        <f t="shared" ca="1" si="157"/>
        <v>0.70342665911582569</v>
      </c>
      <c r="S492">
        <f t="shared" ca="1" si="154"/>
        <v>0.81539418011279119</v>
      </c>
      <c r="T492">
        <f t="shared" ca="1" si="155"/>
        <v>44.915544461100481</v>
      </c>
      <c r="U492">
        <f>70</f>
        <v>70</v>
      </c>
      <c r="V492">
        <f>30</f>
        <v>30</v>
      </c>
      <c r="W492">
        <f t="shared" ca="1" si="153"/>
        <v>150.47377101771809</v>
      </c>
      <c r="X492">
        <f t="shared" ca="1" si="163"/>
        <v>151.42773831818451</v>
      </c>
      <c r="Y492">
        <f t="shared" ca="1" si="162"/>
        <v>-1.1803560146657901</v>
      </c>
      <c r="Z492">
        <f t="shared" ca="1" si="164"/>
        <v>-1.0316549681501279</v>
      </c>
      <c r="AA492">
        <f t="shared" ca="1" si="165"/>
        <v>-0.14870104651566218</v>
      </c>
      <c r="AB492">
        <f t="shared" ca="1" si="166"/>
        <v>154.43609999999998</v>
      </c>
    </row>
    <row r="493" spans="1:28" x14ac:dyDescent="0.25">
      <c r="A493" s="20">
        <f t="shared" ca="1" si="146"/>
        <v>46006</v>
      </c>
      <c r="B493" vm="1434">
        <f ca="1"/>
        <v>46007</v>
      </c>
      <c r="C493" vm="1435">
        <f ca="1"/>
        <v>146.75</v>
      </c>
      <c r="D493" vm="1436">
        <f ca="1"/>
        <v>11290538</v>
      </c>
      <c r="E493">
        <f t="shared" ca="1" si="147"/>
        <v>1656886451.5</v>
      </c>
      <c r="F493">
        <f ca="1">SUM($E$2:E493)/SUM($D$2:D493)</f>
        <v>151.61155788613144</v>
      </c>
      <c r="G493">
        <f ca="1">_xlfn.STDEV.P($C$2:C493)</f>
        <v>7.2336550819750256</v>
      </c>
      <c r="H493">
        <f t="shared" ca="1" si="148"/>
        <v>158.84521296810647</v>
      </c>
      <c r="I493">
        <f t="shared" ca="1" si="149"/>
        <v>144.37790280415641</v>
      </c>
      <c r="J493">
        <f t="shared" ca="1" si="158"/>
        <v>150.352</v>
      </c>
      <c r="K493">
        <f t="shared" ca="1" si="159"/>
        <v>1.5986230917491706</v>
      </c>
      <c r="L493">
        <f t="shared" ca="1" si="160"/>
        <v>153.54924618349835</v>
      </c>
      <c r="M493">
        <f t="shared" ca="1" si="161"/>
        <v>147.15475381650165</v>
      </c>
      <c r="N493">
        <f t="shared" ca="1" si="150"/>
        <v>-3.0500000000000114</v>
      </c>
      <c r="O493">
        <f t="shared" ca="1" si="151"/>
        <v>0</v>
      </c>
      <c r="P493">
        <f t="shared" ca="1" si="152"/>
        <v>3.0500000000000114</v>
      </c>
      <c r="Q493">
        <f t="shared" ca="1" si="156"/>
        <v>0.53260071798071218</v>
      </c>
      <c r="R493">
        <f t="shared" ca="1" si="157"/>
        <v>0.87103904060755322</v>
      </c>
      <c r="S493">
        <f t="shared" ca="1" si="154"/>
        <v>0.61145447350927118</v>
      </c>
      <c r="T493">
        <f t="shared" ca="1" si="155"/>
        <v>37.944259894460693</v>
      </c>
      <c r="U493">
        <f>70</f>
        <v>70</v>
      </c>
      <c r="V493">
        <f>30</f>
        <v>30</v>
      </c>
      <c r="W493">
        <f t="shared" ca="1" si="153"/>
        <v>149.90088316883839</v>
      </c>
      <c r="X493">
        <f t="shared" ca="1" si="163"/>
        <v>151.08123918350418</v>
      </c>
      <c r="Y493">
        <f t="shared" ca="1" si="162"/>
        <v>-1.1233060783300743</v>
      </c>
      <c r="Z493">
        <f t="shared" ca="1" si="164"/>
        <v>-1.0499851901861172</v>
      </c>
      <c r="AA493">
        <f t="shared" ca="1" si="165"/>
        <v>-7.3320888143957097E-2</v>
      </c>
      <c r="AB493">
        <f t="shared" ca="1" si="166"/>
        <v>154.3552</v>
      </c>
    </row>
    <row r="494" spans="1:28" x14ac:dyDescent="0.25">
      <c r="A494" s="20">
        <f t="shared" ca="1" si="146"/>
        <v>46006</v>
      </c>
      <c r="B494" vm="1437">
        <f ca="1"/>
        <v>46008</v>
      </c>
      <c r="C494" vm="1438">
        <f ca="1"/>
        <v>149.52000000000001</v>
      </c>
      <c r="D494" vm="1439">
        <f ca="1"/>
        <v>8805268</v>
      </c>
      <c r="E494">
        <f t="shared" ca="1" si="147"/>
        <v>1316563671.3600001</v>
      </c>
      <c r="F494">
        <f ca="1">SUM($E$2:E494)/SUM($D$2:D494)</f>
        <v>151.60706132126944</v>
      </c>
      <c r="G494">
        <f ca="1">_xlfn.STDEV.P($C$2:C494)</f>
        <v>7.2272927820065567</v>
      </c>
      <c r="H494">
        <f t="shared" ca="1" si="148"/>
        <v>158.83435410327598</v>
      </c>
      <c r="I494">
        <f t="shared" ca="1" si="149"/>
        <v>144.3797685392629</v>
      </c>
      <c r="J494">
        <f t="shared" ca="1" si="158"/>
        <v>150.14699999999999</v>
      </c>
      <c r="K494">
        <f t="shared" ca="1" si="159"/>
        <v>1.4091471851704045</v>
      </c>
      <c r="L494">
        <f t="shared" ca="1" si="160"/>
        <v>152.96529437034081</v>
      </c>
      <c r="M494">
        <f t="shared" ca="1" si="161"/>
        <v>147.32870562965917</v>
      </c>
      <c r="N494">
        <f t="shared" ca="1" si="150"/>
        <v>2.7700000000000102</v>
      </c>
      <c r="O494">
        <f t="shared" ca="1" si="151"/>
        <v>2.7700000000000102</v>
      </c>
      <c r="P494">
        <f t="shared" ca="1" si="152"/>
        <v>0</v>
      </c>
      <c r="Q494">
        <f t="shared" ca="1" si="156"/>
        <v>0.69241495241066198</v>
      </c>
      <c r="R494">
        <f t="shared" ca="1" si="157"/>
        <v>0.80882196627844227</v>
      </c>
      <c r="S494">
        <f t="shared" ca="1" si="154"/>
        <v>0.85607832289299324</v>
      </c>
      <c r="T494">
        <f t="shared" ca="1" si="155"/>
        <v>46.122963257210991</v>
      </c>
      <c r="U494">
        <f>70</f>
        <v>70</v>
      </c>
      <c r="V494">
        <f>30</f>
        <v>30</v>
      </c>
      <c r="W494">
        <f t="shared" ca="1" si="153"/>
        <v>149.84228575824787</v>
      </c>
      <c r="X494">
        <f t="shared" ca="1" si="163"/>
        <v>150.96559183657794</v>
      </c>
      <c r="Y494">
        <f t="shared" ca="1" si="162"/>
        <v>-1.2117905318752378</v>
      </c>
      <c r="Z494">
        <f t="shared" ca="1" si="164"/>
        <v>-1.0823462585239414</v>
      </c>
      <c r="AA494">
        <f t="shared" ca="1" si="165"/>
        <v>-0.12944427335129638</v>
      </c>
      <c r="AB494">
        <f t="shared" ca="1" si="166"/>
        <v>154.2876</v>
      </c>
    </row>
    <row r="495" spans="1:28" x14ac:dyDescent="0.25">
      <c r="A495" s="20">
        <f t="shared" ca="1" si="146"/>
        <v>46006</v>
      </c>
      <c r="B495" vm="1440">
        <f ca="1"/>
        <v>46009</v>
      </c>
      <c r="C495" vm="1441">
        <f ca="1"/>
        <v>147.69</v>
      </c>
      <c r="D495" vm="1442">
        <f ca="1"/>
        <v>6998843</v>
      </c>
      <c r="E495">
        <f t="shared" ca="1" si="147"/>
        <v>1033659122.67</v>
      </c>
      <c r="F495">
        <f ca="1">SUM($E$2:E495)/SUM($D$2:D495)</f>
        <v>151.60037921278922</v>
      </c>
      <c r="G495">
        <f ca="1">_xlfn.STDEV.P($C$2:C495)</f>
        <v>7.2227649731456509</v>
      </c>
      <c r="H495">
        <f t="shared" ca="1" si="148"/>
        <v>158.82314418593486</v>
      </c>
      <c r="I495">
        <f t="shared" ca="1" si="149"/>
        <v>144.37761423964358</v>
      </c>
      <c r="J495">
        <f t="shared" ca="1" si="158"/>
        <v>149.94650000000001</v>
      </c>
      <c r="K495">
        <f t="shared" ca="1" si="159"/>
        <v>1.4608803221994149</v>
      </c>
      <c r="L495">
        <f t="shared" ca="1" si="160"/>
        <v>152.86826064439884</v>
      </c>
      <c r="M495">
        <f t="shared" ca="1" si="161"/>
        <v>147.02473935560118</v>
      </c>
      <c r="N495">
        <f t="shared" ca="1" si="150"/>
        <v>-1.8300000000000125</v>
      </c>
      <c r="O495">
        <f t="shared" ca="1" si="151"/>
        <v>0</v>
      </c>
      <c r="P495">
        <f t="shared" ca="1" si="152"/>
        <v>1.8300000000000125</v>
      </c>
      <c r="Q495">
        <f t="shared" ca="1" si="156"/>
        <v>0.64295674152418614</v>
      </c>
      <c r="R495">
        <f t="shared" ca="1" si="157"/>
        <v>0.88176325440141157</v>
      </c>
      <c r="S495">
        <f t="shared" ca="1" si="154"/>
        <v>0.72917162097059696</v>
      </c>
      <c r="T495">
        <f t="shared" ca="1" si="155"/>
        <v>42.168840393141977</v>
      </c>
      <c r="U495">
        <f>70</f>
        <v>70</v>
      </c>
      <c r="V495">
        <f>30</f>
        <v>30</v>
      </c>
      <c r="W495">
        <f t="shared" ca="1" si="153"/>
        <v>149.51116487236359</v>
      </c>
      <c r="X495">
        <f t="shared" ca="1" si="163"/>
        <v>150.72295540423883</v>
      </c>
      <c r="Y495">
        <f t="shared" ca="1" si="162"/>
        <v>-1.2625200549448152</v>
      </c>
      <c r="Z495">
        <f t="shared" ca="1" si="164"/>
        <v>-1.1183810178081162</v>
      </c>
      <c r="AA495">
        <f t="shared" ca="1" si="165"/>
        <v>-0.14413903713669907</v>
      </c>
      <c r="AB495">
        <f t="shared" ca="1" si="166"/>
        <v>154.1942</v>
      </c>
    </row>
    <row r="496" spans="1:28" x14ac:dyDescent="0.25">
      <c r="A496" s="20">
        <f t="shared" ca="1" si="146"/>
        <v>46006</v>
      </c>
      <c r="B496" vm="1443">
        <f ca="1"/>
        <v>46010</v>
      </c>
      <c r="C496" vm="1444">
        <f ca="1"/>
        <v>147.75</v>
      </c>
      <c r="D496" vm="1445">
        <f ca="1"/>
        <v>21701435</v>
      </c>
      <c r="E496">
        <f t="shared" ca="1" si="147"/>
        <v>3206387021.25</v>
      </c>
      <c r="F496">
        <f ca="1">SUM($E$2:E496)/SUM($D$2:D496)</f>
        <v>151.58011976021999</v>
      </c>
      <c r="G496">
        <f ca="1">_xlfn.STDEV.P($C$2:C496)</f>
        <v>7.2181671719567433</v>
      </c>
      <c r="H496">
        <f t="shared" ca="1" si="148"/>
        <v>158.79828693217672</v>
      </c>
      <c r="I496">
        <f t="shared" ca="1" si="149"/>
        <v>144.36195258826325</v>
      </c>
      <c r="J496">
        <f t="shared" ca="1" si="158"/>
        <v>149.8185</v>
      </c>
      <c r="K496">
        <f t="shared" ca="1" si="159"/>
        <v>1.5374971972588893</v>
      </c>
      <c r="L496">
        <f t="shared" ca="1" si="160"/>
        <v>152.89349439451777</v>
      </c>
      <c r="M496">
        <f t="shared" ca="1" si="161"/>
        <v>146.74350560548223</v>
      </c>
      <c r="N496">
        <f t="shared" ca="1" si="150"/>
        <v>6.0000000000002274E-2</v>
      </c>
      <c r="O496">
        <f t="shared" ca="1" si="151"/>
        <v>6.0000000000002274E-2</v>
      </c>
      <c r="P496">
        <f t="shared" ca="1" si="152"/>
        <v>0</v>
      </c>
      <c r="Q496">
        <f t="shared" ca="1" si="156"/>
        <v>0.60131697427245878</v>
      </c>
      <c r="R496">
        <f t="shared" ca="1" si="157"/>
        <v>0.81878016480131077</v>
      </c>
      <c r="S496">
        <f t="shared" ca="1" si="154"/>
        <v>0.73440588832336617</v>
      </c>
      <c r="T496">
        <f t="shared" ca="1" si="155"/>
        <v>42.343369177171638</v>
      </c>
      <c r="U496">
        <f>70</f>
        <v>70</v>
      </c>
      <c r="V496">
        <f>30</f>
        <v>30</v>
      </c>
      <c r="W496">
        <f t="shared" ca="1" si="153"/>
        <v>149.24021643046152</v>
      </c>
      <c r="X496">
        <f t="shared" ca="1" si="163"/>
        <v>150.50273648540633</v>
      </c>
      <c r="Y496">
        <f t="shared" ca="1" si="162"/>
        <v>-1.1243449513104906</v>
      </c>
      <c r="Z496">
        <f t="shared" ca="1" si="164"/>
        <v>-1.119573804508591</v>
      </c>
      <c r="AA496">
        <f t="shared" ca="1" si="165"/>
        <v>-4.7711468018996062E-3</v>
      </c>
      <c r="AB496">
        <f t="shared" ca="1" si="166"/>
        <v>154.1361</v>
      </c>
    </row>
    <row r="497" spans="1:28" x14ac:dyDescent="0.25">
      <c r="A497" s="20">
        <f t="shared" ca="1" si="146"/>
        <v>46013</v>
      </c>
      <c r="B497" vm="1446">
        <f ca="1"/>
        <v>46013</v>
      </c>
      <c r="C497" vm="1432">
        <f ca="1"/>
        <v>149.80000000000001</v>
      </c>
      <c r="D497" vm="1447">
        <f ca="1"/>
        <v>8143618</v>
      </c>
      <c r="E497">
        <f t="shared" ca="1" si="147"/>
        <v>1219913976.4000001</v>
      </c>
      <c r="F497">
        <f ca="1">SUM($E$2:E497)/SUM($D$2:D497)</f>
        <v>151.57661187234453</v>
      </c>
      <c r="G497">
        <f ca="1">_xlfn.STDEV.P($C$2:C497)</f>
        <v>7.211650341857232</v>
      </c>
      <c r="H497">
        <f t="shared" ca="1" si="148"/>
        <v>158.78826221420175</v>
      </c>
      <c r="I497">
        <f t="shared" ca="1" si="149"/>
        <v>144.36496153048731</v>
      </c>
      <c r="J497">
        <f t="shared" ca="1" si="158"/>
        <v>149.80950000000001</v>
      </c>
      <c r="K497">
        <f t="shared" ca="1" si="159"/>
        <v>1.5370288323837455</v>
      </c>
      <c r="L497">
        <f t="shared" ca="1" si="160"/>
        <v>152.88355766476749</v>
      </c>
      <c r="M497">
        <f t="shared" ca="1" si="161"/>
        <v>146.73544233523253</v>
      </c>
      <c r="N497">
        <f t="shared" ca="1" si="150"/>
        <v>2.0500000000000114</v>
      </c>
      <c r="O497">
        <f t="shared" ca="1" si="151"/>
        <v>2.0500000000000114</v>
      </c>
      <c r="P497">
        <f t="shared" ca="1" si="152"/>
        <v>0</v>
      </c>
      <c r="Q497">
        <f t="shared" ca="1" si="156"/>
        <v>0.70479433325299823</v>
      </c>
      <c r="R497">
        <f t="shared" ca="1" si="157"/>
        <v>0.76029586731550292</v>
      </c>
      <c r="S497">
        <f t="shared" ca="1" si="154"/>
        <v>0.92700008450858384</v>
      </c>
      <c r="T497">
        <f t="shared" ca="1" si="155"/>
        <v>48.105866313180975</v>
      </c>
      <c r="U497">
        <f>70</f>
        <v>70</v>
      </c>
      <c r="V497">
        <f>30</f>
        <v>30</v>
      </c>
      <c r="W497">
        <f t="shared" ca="1" si="153"/>
        <v>149.32633697962129</v>
      </c>
      <c r="X497">
        <f t="shared" ca="1" si="163"/>
        <v>150.45068193093178</v>
      </c>
      <c r="Y497">
        <f t="shared" ca="1" si="162"/>
        <v>-0.9466368792173796</v>
      </c>
      <c r="Z497">
        <f t="shared" ca="1" si="164"/>
        <v>-1.0849864194503489</v>
      </c>
      <c r="AA497">
        <f t="shared" ca="1" si="165"/>
        <v>0.1383495402329693</v>
      </c>
      <c r="AB497">
        <f t="shared" ca="1" si="166"/>
        <v>154.11770000000001</v>
      </c>
    </row>
    <row r="498" spans="1:28" x14ac:dyDescent="0.25">
      <c r="A498" s="20">
        <f t="shared" ca="1" si="146"/>
        <v>46013</v>
      </c>
      <c r="B498" vm="1448">
        <f ca="1"/>
        <v>46014</v>
      </c>
      <c r="C498" vm="1449">
        <f ca="1"/>
        <v>150.51</v>
      </c>
      <c r="D498" vm="1450">
        <f ca="1"/>
        <v>4663665</v>
      </c>
      <c r="E498">
        <f t="shared" ca="1" si="147"/>
        <v>701928219.14999998</v>
      </c>
      <c r="F498">
        <f ca="1">SUM($E$2:E498)/SUM($D$2:D498)</f>
        <v>151.57540954418647</v>
      </c>
      <c r="G498">
        <f ca="1">_xlfn.STDEV.P($C$2:C498)</f>
        <v>7.2047591605250663</v>
      </c>
      <c r="H498">
        <f t="shared" ca="1" si="148"/>
        <v>158.78016870471154</v>
      </c>
      <c r="I498">
        <f t="shared" ca="1" si="149"/>
        <v>144.3706503836614</v>
      </c>
      <c r="J498">
        <f t="shared" ca="1" si="158"/>
        <v>149.84750000000003</v>
      </c>
      <c r="K498">
        <f t="shared" ca="1" si="159"/>
        <v>1.5448552137915512</v>
      </c>
      <c r="L498">
        <f t="shared" ca="1" si="160"/>
        <v>152.93721042758312</v>
      </c>
      <c r="M498">
        <f t="shared" ca="1" si="161"/>
        <v>146.75778957241693</v>
      </c>
      <c r="N498">
        <f t="shared" ca="1" si="150"/>
        <v>0.70999999999997954</v>
      </c>
      <c r="O498">
        <f t="shared" ca="1" si="151"/>
        <v>0.70999999999997954</v>
      </c>
      <c r="P498">
        <f t="shared" ca="1" si="152"/>
        <v>0</v>
      </c>
      <c r="Q498">
        <f t="shared" ca="1" si="156"/>
        <v>0.70516616659206832</v>
      </c>
      <c r="R498">
        <f t="shared" ca="1" si="157"/>
        <v>0.70598901965010985</v>
      </c>
      <c r="S498">
        <f t="shared" ca="1" si="154"/>
        <v>0.99883446762606964</v>
      </c>
      <c r="T498">
        <f t="shared" ca="1" si="155"/>
        <v>49.970844699928691</v>
      </c>
      <c r="U498">
        <f>70</f>
        <v>70</v>
      </c>
      <c r="V498">
        <f>30</f>
        <v>30</v>
      </c>
      <c r="W498">
        <f t="shared" ca="1" si="153"/>
        <v>149.50843898275647</v>
      </c>
      <c r="X498">
        <f t="shared" ca="1" si="163"/>
        <v>150.45507586197385</v>
      </c>
      <c r="Y498">
        <f t="shared" ca="1" si="162"/>
        <v>-0.79741674433853404</v>
      </c>
      <c r="Z498">
        <f t="shared" ca="1" si="164"/>
        <v>-1.0274724844279859</v>
      </c>
      <c r="AA498">
        <f t="shared" ca="1" si="165"/>
        <v>0.23005574008945184</v>
      </c>
      <c r="AB498">
        <f t="shared" ca="1" si="166"/>
        <v>154.1088</v>
      </c>
    </row>
    <row r="499" spans="1:28" x14ac:dyDescent="0.25">
      <c r="A499" s="20">
        <f t="shared" ca="1" si="146"/>
        <v>46013</v>
      </c>
      <c r="B499" vm="1451">
        <f ca="1"/>
        <v>46015</v>
      </c>
      <c r="C499" vm="1452">
        <f ca="1"/>
        <v>150.5</v>
      </c>
      <c r="D499" vm="1453">
        <f ca="1"/>
        <v>2227609</v>
      </c>
      <c r="E499">
        <f t="shared" ca="1" si="147"/>
        <v>335255154.5</v>
      </c>
      <c r="F499">
        <f ca="1">SUM($E$2:E499)/SUM($D$2:D499)</f>
        <v>151.57483082439524</v>
      </c>
      <c r="G499">
        <f ca="1">_xlfn.STDEV.P($C$2:C499)</f>
        <v>7.1978921488355141</v>
      </c>
      <c r="H499">
        <f t="shared" ca="1" si="148"/>
        <v>158.77272297323074</v>
      </c>
      <c r="I499">
        <f t="shared" ca="1" si="149"/>
        <v>144.37693867555973</v>
      </c>
      <c r="J499">
        <f t="shared" ca="1" si="158"/>
        <v>149.946</v>
      </c>
      <c r="K499">
        <f t="shared" ca="1" si="159"/>
        <v>1.5190176881268027</v>
      </c>
      <c r="L499">
        <f t="shared" ca="1" si="160"/>
        <v>152.98403537625362</v>
      </c>
      <c r="M499">
        <f t="shared" ca="1" si="161"/>
        <v>146.90796462374638</v>
      </c>
      <c r="N499">
        <f t="shared" ca="1" si="150"/>
        <v>-9.9999999999909051E-3</v>
      </c>
      <c r="O499">
        <f t="shared" ca="1" si="151"/>
        <v>0</v>
      </c>
      <c r="P499">
        <f t="shared" ca="1" si="152"/>
        <v>9.9999999999909051E-3</v>
      </c>
      <c r="Q499">
        <f t="shared" ca="1" si="156"/>
        <v>0.65479715469263489</v>
      </c>
      <c r="R499">
        <f t="shared" ca="1" si="157"/>
        <v>0.65627551824652997</v>
      </c>
      <c r="S499">
        <f t="shared" ca="1" si="154"/>
        <v>0.99774734313136493</v>
      </c>
      <c r="T499">
        <f t="shared" ca="1" si="155"/>
        <v>49.943620075972568</v>
      </c>
      <c r="U499">
        <f>70</f>
        <v>70</v>
      </c>
      <c r="V499">
        <f>30</f>
        <v>30</v>
      </c>
      <c r="W499">
        <f t="shared" ca="1" si="153"/>
        <v>149.66098683156318</v>
      </c>
      <c r="X499">
        <f t="shared" ca="1" si="163"/>
        <v>150.45840357590171</v>
      </c>
      <c r="Y499">
        <f t="shared" ca="1" si="162"/>
        <v>-0.70970961023871837</v>
      </c>
      <c r="Z499">
        <f t="shared" ca="1" si="164"/>
        <v>-0.96391990959013241</v>
      </c>
      <c r="AA499">
        <f t="shared" ca="1" si="165"/>
        <v>0.25421029935141404</v>
      </c>
      <c r="AB499">
        <f t="shared" ca="1" si="166"/>
        <v>154.10339999999999</v>
      </c>
    </row>
    <row r="500" spans="1:28" x14ac:dyDescent="0.25">
      <c r="A500" s="20">
        <f t="shared" ca="1" si="146"/>
        <v>46013</v>
      </c>
      <c r="B500" vm="1454">
        <f ca="1"/>
        <v>46017</v>
      </c>
      <c r="C500" vm="1455">
        <f ca="1"/>
        <v>150.02000000000001</v>
      </c>
      <c r="D500" vm="1456">
        <f ca="1"/>
        <v>3706915</v>
      </c>
      <c r="E500">
        <f t="shared" ca="1" si="147"/>
        <v>556111388.30000007</v>
      </c>
      <c r="F500">
        <f ca="1">SUM($E$2:E500)/SUM($D$2:D500)</f>
        <v>151.57343971105581</v>
      </c>
      <c r="G500">
        <f ca="1">_xlfn.STDEV.P($C$2:C500)</f>
        <v>7.1912939923144883</v>
      </c>
      <c r="H500">
        <f t="shared" ca="1" si="148"/>
        <v>158.7647337033703</v>
      </c>
      <c r="I500">
        <f t="shared" ca="1" si="149"/>
        <v>144.38214571874133</v>
      </c>
      <c r="J500">
        <f t="shared" ca="1" si="158"/>
        <v>149.97150000000005</v>
      </c>
      <c r="K500">
        <f t="shared" ca="1" si="159"/>
        <v>1.5155901230387534</v>
      </c>
      <c r="L500">
        <f t="shared" ca="1" si="160"/>
        <v>153.00268024607755</v>
      </c>
      <c r="M500">
        <f t="shared" ca="1" si="161"/>
        <v>146.94031975392255</v>
      </c>
      <c r="N500">
        <f t="shared" ca="1" si="150"/>
        <v>-0.47999999999998977</v>
      </c>
      <c r="O500">
        <f t="shared" ca="1" si="151"/>
        <v>0</v>
      </c>
      <c r="P500">
        <f t="shared" ca="1" si="152"/>
        <v>0.47999999999998977</v>
      </c>
      <c r="Q500">
        <f t="shared" ca="1" si="156"/>
        <v>0.6080259293574467</v>
      </c>
      <c r="R500">
        <f t="shared" ca="1" si="157"/>
        <v>0.64368440980034858</v>
      </c>
      <c r="S500">
        <f t="shared" ca="1" si="154"/>
        <v>0.94460254140074318</v>
      </c>
      <c r="T500">
        <f t="shared" ca="1" si="155"/>
        <v>48.575609734641382</v>
      </c>
      <c r="U500">
        <f>70</f>
        <v>70</v>
      </c>
      <c r="V500">
        <f>30</f>
        <v>30</v>
      </c>
      <c r="W500">
        <f t="shared" ca="1" si="153"/>
        <v>149.7162196267073</v>
      </c>
      <c r="X500">
        <f t="shared" ca="1" si="163"/>
        <v>150.42592923694602</v>
      </c>
      <c r="Y500">
        <f t="shared" ca="1" si="162"/>
        <v>-0.55552641844838035</v>
      </c>
      <c r="Z500">
        <f t="shared" ca="1" si="164"/>
        <v>-0.88224121136178202</v>
      </c>
      <c r="AA500">
        <f t="shared" ca="1" si="165"/>
        <v>0.32671479291340166</v>
      </c>
      <c r="AB500">
        <f t="shared" ca="1" si="166"/>
        <v>154.07320000000001</v>
      </c>
    </row>
    <row r="501" spans="1:28" x14ac:dyDescent="0.25">
      <c r="A501" s="20">
        <f t="shared" ca="1" si="146"/>
        <v>46020</v>
      </c>
      <c r="B501" vm="1457">
        <f ca="1"/>
        <v>46020</v>
      </c>
      <c r="C501" vm="1458">
        <f ca="1"/>
        <v>150.99</v>
      </c>
      <c r="D501" vm="1459">
        <f ca="1"/>
        <v>5589133</v>
      </c>
      <c r="E501">
        <f t="shared" ca="1" si="147"/>
        <v>843903191.67000008</v>
      </c>
      <c r="F501">
        <f ca="1">SUM($E$2:E501)/SUM($D$2:D501)</f>
        <v>151.57265371257287</v>
      </c>
      <c r="G501">
        <f ca="1">_xlfn.STDEV.P($C$2:C501)</f>
        <v>7.1842775775717334</v>
      </c>
      <c r="H501">
        <f t="shared" ca="1" si="148"/>
        <v>158.75693129014459</v>
      </c>
      <c r="I501">
        <f t="shared" ca="1" si="149"/>
        <v>144.38837613500115</v>
      </c>
      <c r="J501">
        <f t="shared" ca="1" si="158"/>
        <v>149.96450000000004</v>
      </c>
      <c r="K501">
        <f t="shared" ca="1" si="159"/>
        <v>1.5102717601391074</v>
      </c>
      <c r="L501">
        <f t="shared" ca="1" si="160"/>
        <v>152.98504352027825</v>
      </c>
      <c r="M501">
        <f t="shared" ca="1" si="161"/>
        <v>146.94395647972183</v>
      </c>
      <c r="N501">
        <f t="shared" ca="1" si="150"/>
        <v>0.96999999999999886</v>
      </c>
      <c r="O501">
        <f t="shared" ca="1" si="151"/>
        <v>0.96999999999999886</v>
      </c>
      <c r="P501">
        <f t="shared" ca="1" si="152"/>
        <v>0</v>
      </c>
      <c r="Q501">
        <f t="shared" ca="1" si="156"/>
        <v>0.63388122011762904</v>
      </c>
      <c r="R501">
        <f t="shared" ca="1" si="157"/>
        <v>0.59770695195746648</v>
      </c>
      <c r="S501">
        <f t="shared" ca="1" si="154"/>
        <v>1.0605217457178526</v>
      </c>
      <c r="T501">
        <f t="shared" ca="1" si="155"/>
        <v>51.46860245089934</v>
      </c>
      <c r="U501">
        <f>70</f>
        <v>70</v>
      </c>
      <c r="V501">
        <f>30</f>
        <v>30</v>
      </c>
      <c r="W501">
        <f t="shared" ca="1" si="153"/>
        <v>149.91218583798312</v>
      </c>
      <c r="X501">
        <f t="shared" ca="1" si="163"/>
        <v>150.4677122564315</v>
      </c>
      <c r="Y501">
        <f t="shared" ca="1" si="162"/>
        <v>-0.32309769076709927</v>
      </c>
      <c r="Z501">
        <f t="shared" ca="1" si="164"/>
        <v>-0.77041250724284549</v>
      </c>
      <c r="AA501">
        <f t="shared" ca="1" si="165"/>
        <v>0.44731481647574622</v>
      </c>
      <c r="AB501">
        <f t="shared" ca="1" si="166"/>
        <v>154.05530000000002</v>
      </c>
    </row>
    <row r="502" spans="1:28" x14ac:dyDescent="0.25">
      <c r="A502" s="20">
        <f t="shared" ca="1" si="146"/>
        <v>46020</v>
      </c>
      <c r="B502" vm="1460">
        <f ca="1"/>
        <v>46021</v>
      </c>
      <c r="C502" vm="1461">
        <f ca="1"/>
        <v>152.31</v>
      </c>
      <c r="D502" vm="1462">
        <f ca="1"/>
        <v>5150514</v>
      </c>
      <c r="E502">
        <f t="shared" ca="1" si="147"/>
        <v>784474787.34000003</v>
      </c>
      <c r="F502">
        <f ca="1">SUM($E$2:E502)/SUM($D$2:D502)</f>
        <v>151.57356796163648</v>
      </c>
      <c r="G502">
        <f ca="1">_xlfn.STDEV.P($C$2:C502)</f>
        <v>7.1771090041739054</v>
      </c>
      <c r="H502">
        <f t="shared" ca="1" si="148"/>
        <v>158.75067696581038</v>
      </c>
      <c r="I502">
        <f t="shared" ca="1" si="149"/>
        <v>144.39645895746258</v>
      </c>
      <c r="J502">
        <f t="shared" ca="1" si="158"/>
        <v>149.95300000000003</v>
      </c>
      <c r="K502">
        <f t="shared" ca="1" si="159"/>
        <v>1.4903729663904151</v>
      </c>
      <c r="L502">
        <f t="shared" ca="1" si="160"/>
        <v>152.93374593278085</v>
      </c>
      <c r="M502">
        <f t="shared" ca="1" si="161"/>
        <v>146.97225406721921</v>
      </c>
      <c r="N502">
        <f t="shared" ca="1" si="150"/>
        <v>1.3199999999999932</v>
      </c>
      <c r="O502">
        <f t="shared" ca="1" si="151"/>
        <v>1.3199999999999932</v>
      </c>
      <c r="P502">
        <f t="shared" ca="1" si="152"/>
        <v>0</v>
      </c>
      <c r="Q502">
        <f t="shared" ca="1" si="156"/>
        <v>0.68288970439494079</v>
      </c>
      <c r="R502">
        <f t="shared" ca="1" si="157"/>
        <v>0.55501359824621888</v>
      </c>
      <c r="S502">
        <f t="shared" ca="1" si="154"/>
        <v>1.2304017533134255</v>
      </c>
      <c r="T502">
        <f t="shared" ca="1" si="155"/>
        <v>55.165028071089587</v>
      </c>
      <c r="U502">
        <f>70</f>
        <v>70</v>
      </c>
      <c r="V502">
        <f>30</f>
        <v>30</v>
      </c>
      <c r="W502">
        <f t="shared" ca="1" si="153"/>
        <v>150.28108032444726</v>
      </c>
      <c r="X502">
        <f t="shared" ca="1" si="163"/>
        <v>150.60417801521436</v>
      </c>
      <c r="Y502">
        <f t="shared" ca="1" si="162"/>
        <v>-0.12933617830151434</v>
      </c>
      <c r="Z502">
        <f t="shared" ca="1" si="164"/>
        <v>-0.64219724145457935</v>
      </c>
      <c r="AA502">
        <f t="shared" ca="1" si="165"/>
        <v>0.51286106315306501</v>
      </c>
      <c r="AB502">
        <f t="shared" ca="1" si="166"/>
        <v>154.04679999999999</v>
      </c>
    </row>
    <row r="503" spans="1:28" x14ac:dyDescent="0.25">
      <c r="A503" s="20">
        <f t="shared" ca="1" si="146"/>
        <v>46020</v>
      </c>
      <c r="B503" vm="1463">
        <f ca="1"/>
        <v>46022</v>
      </c>
      <c r="C503" vm="1464">
        <f ca="1"/>
        <v>152.41</v>
      </c>
      <c r="D503" vm="1465">
        <f ca="1"/>
        <v>4953110</v>
      </c>
      <c r="E503">
        <f t="shared" ca="1" si="147"/>
        <v>754903495.10000002</v>
      </c>
      <c r="F503">
        <f ca="1">SUM($E$2:E503)/SUM($D$2:D503)</f>
        <v>151.57456413183323</v>
      </c>
      <c r="G503">
        <f ca="1">_xlfn.STDEV.P($C$2:C503)</f>
        <v>7.1699684571015068</v>
      </c>
      <c r="H503">
        <f t="shared" ca="1" si="148"/>
        <v>158.74453258893473</v>
      </c>
      <c r="I503">
        <f t="shared" ca="1" si="149"/>
        <v>144.40459567473172</v>
      </c>
      <c r="J503">
        <f t="shared" ca="1" si="158"/>
        <v>150.06099999999998</v>
      </c>
      <c r="K503">
        <f t="shared" ca="1" si="159"/>
        <v>1.5880868993855453</v>
      </c>
      <c r="L503">
        <f t="shared" ca="1" si="160"/>
        <v>153.23717379877107</v>
      </c>
      <c r="M503">
        <f t="shared" ca="1" si="161"/>
        <v>146.88482620122889</v>
      </c>
      <c r="N503">
        <f t="shared" ca="1" si="150"/>
        <v>9.9999999999994316E-2</v>
      </c>
      <c r="O503">
        <f t="shared" ca="1" si="151"/>
        <v>9.9999999999994316E-2</v>
      </c>
      <c r="P503">
        <f t="shared" ca="1" si="152"/>
        <v>0</v>
      </c>
      <c r="Q503">
        <f t="shared" ca="1" si="156"/>
        <v>0.64125472550958751</v>
      </c>
      <c r="R503">
        <f t="shared" ca="1" si="157"/>
        <v>0.51536976980006044</v>
      </c>
      <c r="S503">
        <f t="shared" ca="1" si="154"/>
        <v>1.2442614275927837</v>
      </c>
      <c r="T503">
        <f t="shared" ca="1" si="155"/>
        <v>55.441911191575862</v>
      </c>
      <c r="U503">
        <f>70</f>
        <v>70</v>
      </c>
      <c r="V503">
        <f>30</f>
        <v>30</v>
      </c>
      <c r="W503">
        <f t="shared" ca="1" si="153"/>
        <v>150.60860642837844</v>
      </c>
      <c r="X503">
        <f t="shared" ca="1" si="163"/>
        <v>150.73794260667995</v>
      </c>
      <c r="Y503">
        <f t="shared" ca="1" si="162"/>
        <v>0.30234974945130944</v>
      </c>
      <c r="Z503">
        <f t="shared" ca="1" si="164"/>
        <v>-0.45328784327340166</v>
      </c>
      <c r="AA503">
        <f t="shared" ca="1" si="165"/>
        <v>0.75563759272471109</v>
      </c>
      <c r="AB503">
        <f t="shared" ca="1" si="166"/>
        <v>154.02079999999998</v>
      </c>
    </row>
    <row r="504" spans="1:28" x14ac:dyDescent="0.25">
      <c r="A504" s="20">
        <f t="shared" ca="1" si="146"/>
        <v>46020</v>
      </c>
      <c r="B504" vm="1466">
        <f ca="1"/>
        <v>46024</v>
      </c>
      <c r="C504" vm="1467">
        <f ca="1"/>
        <v>155.9</v>
      </c>
      <c r="D504" vm="1468">
        <f ca="1"/>
        <v>6862097</v>
      </c>
      <c r="E504">
        <f t="shared" ca="1" si="147"/>
        <v>1069800922.3000001</v>
      </c>
      <c r="F504">
        <f ca="1">SUM($E$2:E504)/SUM($D$2:D504)</f>
        <v>151.58168930871588</v>
      </c>
      <c r="G504">
        <f ca="1">_xlfn.STDEV.P($C$2:C504)</f>
        <v>7.1648141169348811</v>
      </c>
      <c r="H504">
        <f t="shared" ca="1" si="148"/>
        <v>158.74650342565076</v>
      </c>
      <c r="I504">
        <f t="shared" ca="1" si="149"/>
        <v>144.416875191781</v>
      </c>
      <c r="J504">
        <f t="shared" ca="1" si="158"/>
        <v>150.2765</v>
      </c>
      <c r="K504">
        <f t="shared" ca="1" si="159"/>
        <v>2.0358065128824827</v>
      </c>
      <c r="L504">
        <f t="shared" ca="1" si="160"/>
        <v>154.34811302576497</v>
      </c>
      <c r="M504">
        <f t="shared" ca="1" si="161"/>
        <v>146.20488697423502</v>
      </c>
      <c r="N504">
        <f t="shared" ca="1" si="150"/>
        <v>3.4900000000000091</v>
      </c>
      <c r="O504">
        <f t="shared" ca="1" si="151"/>
        <v>3.4900000000000091</v>
      </c>
      <c r="P504">
        <f t="shared" ca="1" si="152"/>
        <v>0</v>
      </c>
      <c r="Q504">
        <f t="shared" ca="1" si="156"/>
        <v>0.84473653083033184</v>
      </c>
      <c r="R504">
        <f t="shared" ca="1" si="157"/>
        <v>0.47855764338577039</v>
      </c>
      <c r="S504">
        <f t="shared" ca="1" si="154"/>
        <v>1.7651719547385449</v>
      </c>
      <c r="T504">
        <f t="shared" ca="1" si="155"/>
        <v>63.835883758102376</v>
      </c>
      <c r="U504">
        <f>70</f>
        <v>70</v>
      </c>
      <c r="V504">
        <f>30</f>
        <v>30</v>
      </c>
      <c r="W504">
        <f t="shared" ca="1" si="153"/>
        <v>151.42266697785868</v>
      </c>
      <c r="X504">
        <f t="shared" ca="1" si="163"/>
        <v>151.12031722840737</v>
      </c>
      <c r="Y504">
        <f t="shared" ca="1" si="162"/>
        <v>1.2713076729106376</v>
      </c>
      <c r="Z504">
        <f t="shared" ca="1" si="164"/>
        <v>-0.1083687400365938</v>
      </c>
      <c r="AA504">
        <f t="shared" ca="1" si="165"/>
        <v>1.3796764129472314</v>
      </c>
      <c r="AB504">
        <f t="shared" ca="1" si="166"/>
        <v>154.0453</v>
      </c>
    </row>
    <row r="505" spans="1:28" x14ac:dyDescent="0.25">
      <c r="A505" s="20">
        <f t="shared" ca="1" si="146"/>
        <v>46027</v>
      </c>
      <c r="B505" vm="1469">
        <f ca="1"/>
        <v>46027</v>
      </c>
      <c r="C505" vm="1470">
        <f ca="1"/>
        <v>163.85</v>
      </c>
      <c r="D505" vm="1471">
        <f ca="1"/>
        <v>35094878</v>
      </c>
      <c r="E505">
        <f t="shared" ca="1" si="147"/>
        <v>5750295760.3000002</v>
      </c>
      <c r="F505">
        <f ca="1">SUM($E$2:E505)/SUM($D$2:D505)</f>
        <v>151.68418225162372</v>
      </c>
      <c r="G505">
        <f ca="1">_xlfn.STDEV.P($C$2:C505)</f>
        <v>7.1766787281720577</v>
      </c>
      <c r="H505">
        <f t="shared" ca="1" si="148"/>
        <v>158.86086097979577</v>
      </c>
      <c r="I505">
        <f t="shared" ca="1" si="149"/>
        <v>144.50750352345167</v>
      </c>
      <c r="J505">
        <f t="shared" ca="1" si="158"/>
        <v>150.85600000000002</v>
      </c>
      <c r="K505">
        <f t="shared" ca="1" si="159"/>
        <v>3.6442808835070224</v>
      </c>
      <c r="L505">
        <f t="shared" ca="1" si="160"/>
        <v>158.14456176701407</v>
      </c>
      <c r="M505">
        <f t="shared" ca="1" si="161"/>
        <v>143.56743823298598</v>
      </c>
      <c r="N505">
        <f t="shared" ca="1" si="150"/>
        <v>7.9499999999999886</v>
      </c>
      <c r="O505">
        <f t="shared" ca="1" si="151"/>
        <v>7.9499999999999886</v>
      </c>
      <c r="P505">
        <f t="shared" ca="1" si="152"/>
        <v>0</v>
      </c>
      <c r="Q505">
        <f t="shared" ca="1" si="156"/>
        <v>1.3522553500567358</v>
      </c>
      <c r="R505">
        <f t="shared" ca="1" si="157"/>
        <v>0.44437495457250104</v>
      </c>
      <c r="S505">
        <f t="shared" ca="1" si="154"/>
        <v>3.0430503252768526</v>
      </c>
      <c r="T505">
        <f t="shared" ca="1" si="155"/>
        <v>75.266199538796883</v>
      </c>
      <c r="U505">
        <f>70</f>
        <v>70</v>
      </c>
      <c r="V505">
        <f>30</f>
        <v>30</v>
      </c>
      <c r="W505">
        <f t="shared" ca="1" si="153"/>
        <v>153.33456436588042</v>
      </c>
      <c r="X505">
        <f t="shared" ca="1" si="163"/>
        <v>152.06325669296979</v>
      </c>
      <c r="Y505">
        <f t="shared" ca="1" si="162"/>
        <v>1.432841001285766</v>
      </c>
      <c r="Z505">
        <f t="shared" ca="1" si="164"/>
        <v>0.19987320822787813</v>
      </c>
      <c r="AA505">
        <f t="shared" ca="1" si="165"/>
        <v>1.2329677930578877</v>
      </c>
      <c r="AB505">
        <f t="shared" ca="1" si="166"/>
        <v>154.13939999999999</v>
      </c>
    </row>
    <row r="506" spans="1:28" x14ac:dyDescent="0.25">
      <c r="A506" s="20">
        <f t="shared" ca="1" si="146"/>
        <v>46027</v>
      </c>
      <c r="B506" vm="1472">
        <f ca="1"/>
        <v>46028</v>
      </c>
      <c r="C506" vm="1473">
        <f ca="1"/>
        <v>156.54</v>
      </c>
      <c r="D506" vm="1474">
        <f ca="1"/>
        <v>20564935</v>
      </c>
      <c r="E506">
        <f t="shared" ca="1" si="147"/>
        <v>3219234924.8999996</v>
      </c>
      <c r="F506">
        <f ca="1">SUM($E$2:E506)/SUM($D$2:D506)</f>
        <v>151.70783786966069</v>
      </c>
      <c r="G506">
        <f ca="1">_xlfn.STDEV.P($C$2:C506)</f>
        <v>7.1722216987533933</v>
      </c>
      <c r="H506">
        <f t="shared" ca="1" si="148"/>
        <v>158.88005956841408</v>
      </c>
      <c r="I506">
        <f t="shared" ca="1" si="149"/>
        <v>144.5356161709073</v>
      </c>
      <c r="J506">
        <f t="shared" ca="1" si="158"/>
        <v>151.18300000000002</v>
      </c>
      <c r="K506">
        <f t="shared" ca="1" si="159"/>
        <v>3.8509836064104563</v>
      </c>
      <c r="L506">
        <f t="shared" ca="1" si="160"/>
        <v>158.88496721282092</v>
      </c>
      <c r="M506">
        <f t="shared" ca="1" si="161"/>
        <v>143.48103278717912</v>
      </c>
      <c r="N506">
        <f t="shared" ca="1" si="150"/>
        <v>-7.3100000000000023</v>
      </c>
      <c r="O506">
        <f t="shared" ca="1" si="151"/>
        <v>0</v>
      </c>
      <c r="P506">
        <f t="shared" ca="1" si="152"/>
        <v>7.3100000000000023</v>
      </c>
      <c r="Q506">
        <f t="shared" ca="1" si="156"/>
        <v>1.2556656821955403</v>
      </c>
      <c r="R506">
        <f t="shared" ca="1" si="157"/>
        <v>0.93477674353160822</v>
      </c>
      <c r="S506">
        <f t="shared" ca="1" si="154"/>
        <v>1.343278692890461</v>
      </c>
      <c r="T506">
        <f t="shared" ca="1" si="155"/>
        <v>57.324751723556687</v>
      </c>
      <c r="U506">
        <f>70</f>
        <v>70</v>
      </c>
      <c r="V506">
        <f>30</f>
        <v>30</v>
      </c>
      <c r="W506">
        <f t="shared" ca="1" si="153"/>
        <v>153.82770830959115</v>
      </c>
      <c r="X506">
        <f t="shared" ca="1" si="163"/>
        <v>152.39486730830538</v>
      </c>
      <c r="Y506">
        <f t="shared" ca="1" si="162"/>
        <v>1.4361751930180162</v>
      </c>
      <c r="Z506">
        <f t="shared" ca="1" si="164"/>
        <v>0.44713360518590578</v>
      </c>
      <c r="AA506">
        <f t="shared" ca="1" si="165"/>
        <v>0.98904158783211038</v>
      </c>
      <c r="AB506">
        <f t="shared" ca="1" si="166"/>
        <v>154.14610000000002</v>
      </c>
    </row>
    <row r="507" spans="1:28" x14ac:dyDescent="0.25">
      <c r="A507" s="20">
        <f t="shared" ca="1" si="146"/>
        <v>46027</v>
      </c>
      <c r="B507" vm="1475">
        <f ca="1"/>
        <v>46029</v>
      </c>
      <c r="C507" vm="1476">
        <f ca="1"/>
        <v>155.19999999999999</v>
      </c>
      <c r="D507" vm="1477">
        <f ca="1"/>
        <v>13537874</v>
      </c>
      <c r="E507">
        <f t="shared" ca="1" si="147"/>
        <v>2101078044.8</v>
      </c>
      <c r="F507">
        <f ca="1">SUM($E$2:E507)/SUM($D$2:D507)</f>
        <v>151.71900133182038</v>
      </c>
      <c r="G507">
        <f ca="1">_xlfn.STDEV.P($C$2:C507)</f>
        <v>7.1664015360975597</v>
      </c>
      <c r="H507">
        <f t="shared" ca="1" si="148"/>
        <v>158.88540286791795</v>
      </c>
      <c r="I507">
        <f t="shared" ca="1" si="149"/>
        <v>144.55259979572281</v>
      </c>
      <c r="J507">
        <f t="shared" ca="1" si="158"/>
        <v>151.50749999999999</v>
      </c>
      <c r="K507">
        <f t="shared" ca="1" si="159"/>
        <v>3.9046933635252166</v>
      </c>
      <c r="L507">
        <f t="shared" ca="1" si="160"/>
        <v>159.31688672705042</v>
      </c>
      <c r="M507">
        <f t="shared" ca="1" si="161"/>
        <v>143.69811327294957</v>
      </c>
      <c r="N507">
        <f t="shared" ca="1" si="150"/>
        <v>-1.3400000000000034</v>
      </c>
      <c r="O507">
        <f t="shared" ca="1" si="151"/>
        <v>0</v>
      </c>
      <c r="P507">
        <f t="shared" ca="1" si="152"/>
        <v>1.3400000000000034</v>
      </c>
      <c r="Q507">
        <f t="shared" ca="1" si="156"/>
        <v>1.1659752763244302</v>
      </c>
      <c r="R507">
        <f t="shared" ca="1" si="157"/>
        <v>0.96372126185077922</v>
      </c>
      <c r="S507">
        <f t="shared" ca="1" si="154"/>
        <v>1.2098677516829215</v>
      </c>
      <c r="T507">
        <f t="shared" ca="1" si="155"/>
        <v>54.748423328117639</v>
      </c>
      <c r="U507">
        <f>70</f>
        <v>70</v>
      </c>
      <c r="V507">
        <f>30</f>
        <v>30</v>
      </c>
      <c r="W507">
        <f t="shared" ca="1" si="153"/>
        <v>154.03883010811558</v>
      </c>
      <c r="X507">
        <f t="shared" ca="1" si="163"/>
        <v>152.60265491509756</v>
      </c>
      <c r="Y507">
        <f t="shared" ca="1" si="162"/>
        <v>1.745497705708317</v>
      </c>
      <c r="Z507">
        <f t="shared" ca="1" si="164"/>
        <v>0.70680642529038806</v>
      </c>
      <c r="AA507">
        <f t="shared" ca="1" si="165"/>
        <v>1.0386912804179289</v>
      </c>
      <c r="AB507">
        <f t="shared" ca="1" si="166"/>
        <v>154.1465</v>
      </c>
    </row>
    <row r="508" spans="1:28" x14ac:dyDescent="0.25">
      <c r="A508" s="20">
        <f t="shared" ca="1" si="146"/>
        <v>46027</v>
      </c>
      <c r="B508" vm="1478">
        <f ca="1"/>
        <v>46030</v>
      </c>
      <c r="C508" vm="1479">
        <f ca="1"/>
        <v>159.25</v>
      </c>
      <c r="D508" vm="1480">
        <f ca="1"/>
        <v>12929635</v>
      </c>
      <c r="E508">
        <f t="shared" ca="1" si="147"/>
        <v>2059044373.75</v>
      </c>
      <c r="F508">
        <f ca="1">SUM($E$2:E508)/SUM($D$2:D508)</f>
        <v>151.7419241997396</v>
      </c>
      <c r="G508">
        <f ca="1">_xlfn.STDEV.P($C$2:C508)</f>
        <v>7.1662231511656165</v>
      </c>
      <c r="H508">
        <f t="shared" ca="1" si="148"/>
        <v>158.90814735090521</v>
      </c>
      <c r="I508">
        <f t="shared" ca="1" si="149"/>
        <v>144.57570104857399</v>
      </c>
      <c r="J508">
        <f t="shared" ca="1" si="158"/>
        <v>152.0455</v>
      </c>
      <c r="K508">
        <f t="shared" ca="1" si="159"/>
        <v>4.1973556525131617</v>
      </c>
      <c r="L508">
        <f t="shared" ca="1" si="160"/>
        <v>160.44021130502634</v>
      </c>
      <c r="M508">
        <f t="shared" ca="1" si="161"/>
        <v>143.65078869497367</v>
      </c>
      <c r="N508">
        <f t="shared" ca="1" si="150"/>
        <v>4.0500000000000114</v>
      </c>
      <c r="O508">
        <f t="shared" ca="1" si="151"/>
        <v>4.0500000000000114</v>
      </c>
      <c r="P508">
        <f t="shared" ca="1" si="152"/>
        <v>0</v>
      </c>
      <c r="Q508">
        <f t="shared" ca="1" si="156"/>
        <v>1.3719770423012574</v>
      </c>
      <c r="R508">
        <f t="shared" ca="1" si="157"/>
        <v>0.89488402886143781</v>
      </c>
      <c r="S508">
        <f t="shared" ca="1" si="154"/>
        <v>1.5331339012126808</v>
      </c>
      <c r="T508">
        <f t="shared" ca="1" si="155"/>
        <v>60.523208049867691</v>
      </c>
      <c r="U508">
        <f>70</f>
        <v>70</v>
      </c>
      <c r="V508">
        <f>30</f>
        <v>30</v>
      </c>
      <c r="W508">
        <f t="shared" ca="1" si="153"/>
        <v>154.84054855302088</v>
      </c>
      <c r="X508">
        <f t="shared" ca="1" si="163"/>
        <v>153.09505084731256</v>
      </c>
      <c r="Y508">
        <f t="shared" ca="1" si="162"/>
        <v>2.1961008400872402</v>
      </c>
      <c r="Z508">
        <f t="shared" ca="1" si="164"/>
        <v>1.0046653082497585</v>
      </c>
      <c r="AA508">
        <f t="shared" ca="1" si="165"/>
        <v>1.1914355318374816</v>
      </c>
      <c r="AB508">
        <f t="shared" ca="1" si="166"/>
        <v>154.17349999999999</v>
      </c>
    </row>
    <row r="509" spans="1:28" x14ac:dyDescent="0.25">
      <c r="A509" s="20">
        <f t="shared" ca="1" si="146"/>
        <v>46027</v>
      </c>
      <c r="B509" vm="1481">
        <f ca="1"/>
        <v>46031</v>
      </c>
      <c r="C509" vm="677">
        <f ca="1"/>
        <v>162.11000000000001</v>
      </c>
      <c r="D509" vm="1482">
        <f ca="1"/>
        <v>12549643</v>
      </c>
      <c r="E509">
        <f t="shared" ca="1" si="147"/>
        <v>2034422626.7300003</v>
      </c>
      <c r="F509">
        <f ca="1">SUM($E$2:E509)/SUM($D$2:D509)</f>
        <v>151.77246486454146</v>
      </c>
      <c r="G509">
        <f ca="1">_xlfn.STDEV.P($C$2:C509)</f>
        <v>7.1726788527574437</v>
      </c>
      <c r="H509">
        <f t="shared" ca="1" si="148"/>
        <v>158.94514371729892</v>
      </c>
      <c r="I509">
        <f t="shared" ca="1" si="149"/>
        <v>144.599786011784</v>
      </c>
      <c r="J509">
        <f t="shared" ca="1" si="158"/>
        <v>152.58049999999997</v>
      </c>
      <c r="K509">
        <f t="shared" ca="1" si="159"/>
        <v>4.7567342567641582</v>
      </c>
      <c r="L509">
        <f t="shared" ca="1" si="160"/>
        <v>162.0939685135283</v>
      </c>
      <c r="M509">
        <f t="shared" ca="1" si="161"/>
        <v>143.06703148647165</v>
      </c>
      <c r="N509">
        <f t="shared" ca="1" si="150"/>
        <v>2.8600000000000136</v>
      </c>
      <c r="O509">
        <f t="shared" ca="1" si="151"/>
        <v>2.8600000000000136</v>
      </c>
      <c r="P509">
        <f t="shared" ca="1" si="152"/>
        <v>0</v>
      </c>
      <c r="Q509">
        <f t="shared" ca="1" si="156"/>
        <v>1.4782643964225972</v>
      </c>
      <c r="R509">
        <f t="shared" ca="1" si="157"/>
        <v>0.83096374108562088</v>
      </c>
      <c r="S509">
        <f t="shared" ca="1" si="154"/>
        <v>1.7789758124600046</v>
      </c>
      <c r="T509">
        <f t="shared" ca="1" si="155"/>
        <v>64.015519835893059</v>
      </c>
      <c r="U509">
        <f>70</f>
        <v>70</v>
      </c>
      <c r="V509">
        <f>30</f>
        <v>30</v>
      </c>
      <c r="W509">
        <f t="shared" ca="1" si="153"/>
        <v>155.95892569870998</v>
      </c>
      <c r="X509">
        <f t="shared" ca="1" si="163"/>
        <v>153.76282485862274</v>
      </c>
      <c r="Y509">
        <f t="shared" ca="1" si="162"/>
        <v>2.5424582719785462</v>
      </c>
      <c r="Z509">
        <f t="shared" ca="1" si="164"/>
        <v>1.3122239009955163</v>
      </c>
      <c r="AA509">
        <f t="shared" ca="1" si="165"/>
        <v>1.2302343709830299</v>
      </c>
      <c r="AB509">
        <f t="shared" ca="1" si="166"/>
        <v>154.24140000000003</v>
      </c>
    </row>
    <row r="510" spans="1:28" x14ac:dyDescent="0.25">
      <c r="A510" s="20">
        <f t="shared" ca="1" si="146"/>
        <v>46034</v>
      </c>
      <c r="B510" vm="1483">
        <f ca="1"/>
        <v>46034</v>
      </c>
      <c r="C510" vm="1484">
        <f ca="1"/>
        <v>162.34</v>
      </c>
      <c r="D510" vm="1485">
        <f ca="1"/>
        <v>9796786</v>
      </c>
      <c r="E510">
        <f t="shared" ca="1" si="147"/>
        <v>1590410239.24</v>
      </c>
      <c r="F510">
        <f ca="1">SUM($E$2:E510)/SUM($D$2:D510)</f>
        <v>151.79670911496967</v>
      </c>
      <c r="G510">
        <f ca="1">_xlfn.STDEV.P($C$2:C510)</f>
        <v>7.1796801822145291</v>
      </c>
      <c r="H510">
        <f t="shared" ca="1" si="148"/>
        <v>158.9763892971842</v>
      </c>
      <c r="I510">
        <f t="shared" ca="1" si="149"/>
        <v>144.61702893275515</v>
      </c>
      <c r="J510">
        <f t="shared" ca="1" si="158"/>
        <v>153.16149999999999</v>
      </c>
      <c r="K510">
        <f t="shared" ca="1" si="159"/>
        <v>5.2059634580273197</v>
      </c>
      <c r="L510">
        <f t="shared" ca="1" si="160"/>
        <v>163.57342691605464</v>
      </c>
      <c r="M510">
        <f t="shared" ca="1" si="161"/>
        <v>142.74957308394534</v>
      </c>
      <c r="N510">
        <f t="shared" ca="1" si="150"/>
        <v>0.22999999999998977</v>
      </c>
      <c r="O510">
        <f t="shared" ca="1" si="151"/>
        <v>0.22999999999998977</v>
      </c>
      <c r="P510">
        <f t="shared" ca="1" si="152"/>
        <v>0</v>
      </c>
      <c r="Q510">
        <f t="shared" ca="1" si="156"/>
        <v>1.3891026538209823</v>
      </c>
      <c r="R510">
        <f t="shared" ca="1" si="157"/>
        <v>0.77160918815093371</v>
      </c>
      <c r="S510">
        <f t="shared" ca="1" si="154"/>
        <v>1.800267123762219</v>
      </c>
      <c r="T510">
        <f t="shared" ca="1" si="155"/>
        <v>64.289121151539348</v>
      </c>
      <c r="U510">
        <f>70</f>
        <v>70</v>
      </c>
      <c r="V510">
        <f>30</f>
        <v>30</v>
      </c>
      <c r="W510">
        <f t="shared" ca="1" si="153"/>
        <v>156.94062943736998</v>
      </c>
      <c r="X510">
        <f t="shared" ca="1" si="163"/>
        <v>154.39817116539143</v>
      </c>
      <c r="Y510">
        <f t="shared" ca="1" si="162"/>
        <v>2.9068983309022087</v>
      </c>
      <c r="Z510">
        <f t="shared" ca="1" si="164"/>
        <v>1.6311587869768549</v>
      </c>
      <c r="AA510">
        <f t="shared" ca="1" si="165"/>
        <v>1.2757395439253538</v>
      </c>
      <c r="AB510">
        <f t="shared" ca="1" si="166"/>
        <v>154.34480000000002</v>
      </c>
    </row>
    <row r="511" spans="1:28" x14ac:dyDescent="0.25">
      <c r="A511" s="20">
        <f t="shared" ca="1" si="146"/>
        <v>46034</v>
      </c>
      <c r="B511" vm="1486">
        <f ca="1"/>
        <v>46035</v>
      </c>
      <c r="C511" vm="1487">
        <f ca="1"/>
        <v>163.87</v>
      </c>
      <c r="D511" vm="1488">
        <f ca="1"/>
        <v>12068630</v>
      </c>
      <c r="E511">
        <f t="shared" ca="1" si="147"/>
        <v>1977686398.1000001</v>
      </c>
      <c r="F511">
        <f ca="1">SUM($E$2:E511)/SUM($D$2:D511)</f>
        <v>151.83073499656462</v>
      </c>
      <c r="G511">
        <f ca="1">_xlfn.STDEV.P($C$2:C511)</f>
        <v>7.1911254859788247</v>
      </c>
      <c r="H511">
        <f t="shared" ca="1" si="148"/>
        <v>159.02186048254345</v>
      </c>
      <c r="I511">
        <f t="shared" ca="1" si="149"/>
        <v>144.63960951058579</v>
      </c>
      <c r="J511">
        <f t="shared" ca="1" si="158"/>
        <v>153.85550000000001</v>
      </c>
      <c r="K511">
        <f t="shared" ca="1" si="159"/>
        <v>5.6657785965622729</v>
      </c>
      <c r="L511">
        <f t="shared" ca="1" si="160"/>
        <v>165.18705719312456</v>
      </c>
      <c r="M511">
        <f t="shared" ca="1" si="161"/>
        <v>142.52394280687545</v>
      </c>
      <c r="N511">
        <f t="shared" ca="1" si="150"/>
        <v>1.5300000000000011</v>
      </c>
      <c r="O511">
        <f t="shared" ca="1" si="151"/>
        <v>1.5300000000000011</v>
      </c>
      <c r="P511">
        <f t="shared" ca="1" si="152"/>
        <v>0</v>
      </c>
      <c r="Q511">
        <f t="shared" ca="1" si="156"/>
        <v>1.3991667499766265</v>
      </c>
      <c r="R511">
        <f t="shared" ca="1" si="157"/>
        <v>0.71649424614015267</v>
      </c>
      <c r="S511">
        <f t="shared" ca="1" si="154"/>
        <v>1.9527955144289282</v>
      </c>
      <c r="T511">
        <f t="shared" ca="1" si="155"/>
        <v>66.133787622154372</v>
      </c>
      <c r="U511">
        <f>70</f>
        <v>70</v>
      </c>
      <c r="V511">
        <f>30</f>
        <v>30</v>
      </c>
      <c r="W511">
        <f t="shared" ca="1" si="153"/>
        <v>158.00668644700536</v>
      </c>
      <c r="X511">
        <f t="shared" ca="1" si="163"/>
        <v>155.09978811610316</v>
      </c>
      <c r="Y511">
        <f t="shared" ca="1" si="162"/>
        <v>3.4281331539232838</v>
      </c>
      <c r="Z511">
        <f t="shared" ca="1" si="164"/>
        <v>1.9905536603661409</v>
      </c>
      <c r="AA511">
        <f t="shared" ca="1" si="165"/>
        <v>1.4375794935571429</v>
      </c>
      <c r="AB511">
        <f t="shared" ca="1" si="166"/>
        <v>154.45130000000003</v>
      </c>
    </row>
    <row r="512" spans="1:28" x14ac:dyDescent="0.25">
      <c r="A512" s="20">
        <f t="shared" ca="1" si="146"/>
        <v>46034</v>
      </c>
      <c r="B512" vm="1489">
        <f ca="1"/>
        <v>46036</v>
      </c>
      <c r="C512" vm="1490">
        <f ca="1"/>
        <v>167.24</v>
      </c>
      <c r="D512" vm="1491">
        <f ca="1"/>
        <v>16414917</v>
      </c>
      <c r="E512">
        <f t="shared" ca="1" si="147"/>
        <v>2745230719.0799999</v>
      </c>
      <c r="F512">
        <f ca="1">SUM($E$2:E512)/SUM($D$2:D512)</f>
        <v>151.88957664053746</v>
      </c>
      <c r="G512">
        <f ca="1">_xlfn.STDEV.P($C$2:C512)</f>
        <v>7.2145901052223786</v>
      </c>
      <c r="H512">
        <f t="shared" ca="1" si="148"/>
        <v>159.10416674575984</v>
      </c>
      <c r="I512">
        <f t="shared" ca="1" si="149"/>
        <v>144.67498653531507</v>
      </c>
      <c r="J512">
        <f t="shared" ca="1" si="158"/>
        <v>154.72750000000002</v>
      </c>
      <c r="K512">
        <f t="shared" ca="1" si="159"/>
        <v>6.3137693095912875</v>
      </c>
      <c r="L512">
        <f t="shared" ca="1" si="160"/>
        <v>167.35503861918261</v>
      </c>
      <c r="M512">
        <f t="shared" ca="1" si="161"/>
        <v>142.09996138081743</v>
      </c>
      <c r="N512">
        <f t="shared" ca="1" si="150"/>
        <v>3.3700000000000045</v>
      </c>
      <c r="O512">
        <f t="shared" ca="1" si="151"/>
        <v>3.3700000000000045</v>
      </c>
      <c r="P512">
        <f t="shared" ca="1" si="152"/>
        <v>0</v>
      </c>
      <c r="Q512">
        <f t="shared" ca="1" si="156"/>
        <v>1.5399405535497248</v>
      </c>
      <c r="R512">
        <f t="shared" ca="1" si="157"/>
        <v>0.6653160857015703</v>
      </c>
      <c r="S512">
        <f t="shared" ca="1" si="154"/>
        <v>2.3145999121994327</v>
      </c>
      <c r="T512">
        <f t="shared" ca="1" si="155"/>
        <v>69.830446313611318</v>
      </c>
      <c r="U512">
        <f>70</f>
        <v>70</v>
      </c>
      <c r="V512">
        <f>30</f>
        <v>30</v>
      </c>
      <c r="W512">
        <f t="shared" ca="1" si="153"/>
        <v>159.42719622438918</v>
      </c>
      <c r="X512">
        <f t="shared" ca="1" si="163"/>
        <v>155.99906307046589</v>
      </c>
      <c r="Y512">
        <f t="shared" ca="1" si="162"/>
        <v>3.7112871246215491</v>
      </c>
      <c r="Z512">
        <f t="shared" ca="1" si="164"/>
        <v>2.3347003532172228</v>
      </c>
      <c r="AA512">
        <f t="shared" ca="1" si="165"/>
        <v>1.3765867714043263</v>
      </c>
      <c r="AB512">
        <f t="shared" ca="1" si="166"/>
        <v>154.56820000000005</v>
      </c>
    </row>
    <row r="513" spans="1:28" x14ac:dyDescent="0.25">
      <c r="A513" s="20">
        <f t="shared" ca="1" si="146"/>
        <v>46034</v>
      </c>
      <c r="B513" vm="1492">
        <f ca="1"/>
        <v>46037</v>
      </c>
      <c r="C513" vm="1493">
        <f ca="1"/>
        <v>166.16</v>
      </c>
      <c r="D513" vm="1494">
        <f ca="1"/>
        <v>8097405</v>
      </c>
      <c r="E513">
        <f t="shared" ca="1" si="147"/>
        <v>1345464814.8</v>
      </c>
      <c r="F513">
        <f ca="1">SUM($E$2:E513)/SUM($D$2:D513)</f>
        <v>151.91640719168524</v>
      </c>
      <c r="G513">
        <f ca="1">_xlfn.STDEV.P($C$2:C513)</f>
        <v>7.2335716116401949</v>
      </c>
      <c r="H513">
        <f t="shared" ca="1" si="148"/>
        <v>159.14997880332544</v>
      </c>
      <c r="I513">
        <f t="shared" ca="1" si="149"/>
        <v>144.68283558004504</v>
      </c>
      <c r="J513">
        <f t="shared" ca="1" si="158"/>
        <v>155.69800000000001</v>
      </c>
      <c r="K513">
        <f t="shared" ca="1" si="159"/>
        <v>6.5116661300679173</v>
      </c>
      <c r="L513">
        <f t="shared" ca="1" si="160"/>
        <v>168.72133226013585</v>
      </c>
      <c r="M513">
        <f t="shared" ca="1" si="161"/>
        <v>142.67466773986416</v>
      </c>
      <c r="N513">
        <f t="shared" ca="1" si="150"/>
        <v>-1.0800000000000125</v>
      </c>
      <c r="O513">
        <f t="shared" ca="1" si="151"/>
        <v>0</v>
      </c>
      <c r="P513">
        <f t="shared" ca="1" si="152"/>
        <v>1.0800000000000125</v>
      </c>
      <c r="Q513">
        <f t="shared" ca="1" si="156"/>
        <v>1.4299447997247445</v>
      </c>
      <c r="R513">
        <f t="shared" ca="1" si="157"/>
        <v>0.69493636529431613</v>
      </c>
      <c r="S513">
        <f t="shared" ca="1" si="154"/>
        <v>2.0576629330933649</v>
      </c>
      <c r="T513">
        <f t="shared" ca="1" si="155"/>
        <v>67.295283297026998</v>
      </c>
      <c r="U513">
        <f>70</f>
        <v>70</v>
      </c>
      <c r="V513">
        <f>30</f>
        <v>30</v>
      </c>
      <c r="W513">
        <f t="shared" ca="1" si="153"/>
        <v>160.46301218986775</v>
      </c>
      <c r="X513">
        <f t="shared" ca="1" si="163"/>
        <v>156.75172506524621</v>
      </c>
      <c r="Y513">
        <f t="shared" ca="1" si="162"/>
        <v>3.8988147412698027</v>
      </c>
      <c r="Z513">
        <f t="shared" ca="1" si="164"/>
        <v>2.6475232308277388</v>
      </c>
      <c r="AA513">
        <f t="shared" ca="1" si="165"/>
        <v>1.2512915104420639</v>
      </c>
      <c r="AB513">
        <f t="shared" ca="1" si="166"/>
        <v>154.64800000000002</v>
      </c>
    </row>
    <row r="514" spans="1:28" x14ac:dyDescent="0.25">
      <c r="A514" s="20">
        <f t="shared" ca="1" si="146"/>
        <v>46034</v>
      </c>
      <c r="B514" vm="1495">
        <f ca="1"/>
        <v>46038</v>
      </c>
      <c r="C514" vm="1496">
        <f ca="1"/>
        <v>166.26</v>
      </c>
      <c r="D514" vm="1497">
        <f ca="1"/>
        <v>9745753</v>
      </c>
      <c r="E514">
        <f t="shared" ca="1" si="147"/>
        <v>1620328893.78</v>
      </c>
      <c r="F514">
        <f ca="1">SUM($E$2:E514)/SUM($D$2:D514)</f>
        <v>151.94879179452488</v>
      </c>
      <c r="G514">
        <f ca="1">_xlfn.STDEV.P($C$2:C514)</f>
        <v>7.2527020175261168</v>
      </c>
      <c r="H514">
        <f t="shared" ca="1" si="148"/>
        <v>159.20149381205098</v>
      </c>
      <c r="I514">
        <f t="shared" ca="1" si="149"/>
        <v>144.69608977699878</v>
      </c>
      <c r="J514">
        <f t="shared" ca="1" si="158"/>
        <v>156.53500000000003</v>
      </c>
      <c r="K514">
        <f t="shared" ca="1" si="159"/>
        <v>6.7473616676212194</v>
      </c>
      <c r="L514">
        <f t="shared" ca="1" si="160"/>
        <v>170.02972333524247</v>
      </c>
      <c r="M514">
        <f t="shared" ca="1" si="161"/>
        <v>143.04027666475758</v>
      </c>
      <c r="N514">
        <f t="shared" ca="1" si="150"/>
        <v>9.9999999999994316E-2</v>
      </c>
      <c r="O514">
        <f t="shared" ca="1" si="151"/>
        <v>9.9999999999994316E-2</v>
      </c>
      <c r="P514">
        <f t="shared" ca="1" si="152"/>
        <v>0</v>
      </c>
      <c r="Q514">
        <f t="shared" ca="1" si="156"/>
        <v>1.3349487426015483</v>
      </c>
      <c r="R514">
        <f t="shared" ca="1" si="157"/>
        <v>0.64529805348757929</v>
      </c>
      <c r="S514">
        <f t="shared" ca="1" si="154"/>
        <v>2.0687320152086022</v>
      </c>
      <c r="T514">
        <f t="shared" ca="1" si="155"/>
        <v>67.413250976494169</v>
      </c>
      <c r="U514">
        <f>70</f>
        <v>70</v>
      </c>
      <c r="V514">
        <f>30</f>
        <v>30</v>
      </c>
      <c r="W514">
        <f t="shared" ca="1" si="153"/>
        <v>161.35485646834962</v>
      </c>
      <c r="X514">
        <f t="shared" ca="1" si="163"/>
        <v>157.45604172707982</v>
      </c>
      <c r="Y514">
        <f t="shared" ca="1" si="162"/>
        <v>3.9247259538430228</v>
      </c>
      <c r="Z514">
        <f t="shared" ca="1" si="164"/>
        <v>2.9029637754307958</v>
      </c>
      <c r="AA514">
        <f t="shared" ca="1" si="165"/>
        <v>1.0217621784122271</v>
      </c>
      <c r="AB514">
        <f t="shared" ca="1" si="166"/>
        <v>154.72860000000003</v>
      </c>
    </row>
    <row r="515" spans="1:28" x14ac:dyDescent="0.25">
      <c r="A515" s="20">
        <f t="shared" ref="A515:A525" ca="1" si="167">B515 - WEEKDAY(B515, 2) + 1</f>
        <v>46041</v>
      </c>
      <c r="B515" vm="1498">
        <f ca="1"/>
        <v>46042</v>
      </c>
      <c r="C515" vm="1499">
        <f ca="1"/>
        <v>165.3</v>
      </c>
      <c r="D515" vm="1500">
        <f ca="1"/>
        <v>11142530</v>
      </c>
      <c r="E515">
        <f t="shared" ref="E515:E523" ca="1" si="168">C515*D515</f>
        <v>1841860209.0000002</v>
      </c>
      <c r="F515">
        <f ca="1">SUM($E$2:E515)/SUM($D$2:D515)</f>
        <v>151.98316737026596</v>
      </c>
      <c r="G515">
        <f ca="1">_xlfn.STDEV.P($C$2:C515)</f>
        <v>7.2681573793980689</v>
      </c>
      <c r="H515">
        <f t="shared" ref="H515:H523" ca="1" si="169">F515 + G515</f>
        <v>159.25132474966404</v>
      </c>
      <c r="I515">
        <f t="shared" ref="I515:I523" ca="1" si="170">F515 - G515</f>
        <v>144.71500999086788</v>
      </c>
      <c r="J515">
        <f t="shared" ref="J515:J523" ca="1" si="171">AVERAGE(C496:C515)</f>
        <v>157.41550000000001</v>
      </c>
      <c r="K515">
        <f t="shared" ref="K515:K523" ca="1" si="172">_xlfn.STDEV.S(C496:C515)</f>
        <v>6.681067102759779</v>
      </c>
      <c r="L515">
        <f t="shared" ref="L515:L523" ca="1" si="173">J515 + 2*K515</f>
        <v>170.77763420551958</v>
      </c>
      <c r="M515">
        <f t="shared" ref="M515:M523" ca="1" si="174">J515-2*K515</f>
        <v>144.05336579448044</v>
      </c>
      <c r="N515">
        <f t="shared" ref="N515:N523" ca="1" si="175">C515-C514</f>
        <v>-0.95999999999997954</v>
      </c>
      <c r="O515">
        <f t="shared" ref="O515:O523" ca="1" si="176">MAX(N515,0)</f>
        <v>0</v>
      </c>
      <c r="P515">
        <f t="shared" ref="P515:P523" ca="1" si="177">MAX(-N515,0)</f>
        <v>0.95999999999997954</v>
      </c>
      <c r="Q515">
        <f t="shared" ref="Q515:Q523" ca="1" si="178">(Q514*13+O515)/14</f>
        <v>1.2395952609871519</v>
      </c>
      <c r="R515">
        <f t="shared" ref="R515:R523" ca="1" si="179">(R514*13+P515)/14</f>
        <v>0.66777676395275076</v>
      </c>
      <c r="S515">
        <f t="shared" ref="S515:S523" ca="1" si="180">IF(R515=0,NA(),Q515/R515)</f>
        <v>1.8563018779654046</v>
      </c>
      <c r="T515">
        <f t="shared" ref="T515:T523" ca="1" si="181">100-(100/(1+S515))</f>
        <v>64.989694971866271</v>
      </c>
      <c r="U515">
        <f>70</f>
        <v>70</v>
      </c>
      <c r="V515">
        <f>30</f>
        <v>30</v>
      </c>
      <c r="W515">
        <f t="shared" ref="W515:W523" ca="1" si="182">C515*(2/(12+1)) + W514*(1-(2/(12+1)))</f>
        <v>161.96180162706509</v>
      </c>
      <c r="X515">
        <f t="shared" ref="X515:X523" ca="1" si="183">C515*(2/(26+1)) + X514*(1-(2/(26+1)))</f>
        <v>158.03707567322206</v>
      </c>
      <c r="Y515">
        <f t="shared" ref="Y515:Y523" ca="1" si="184">W516-X516</f>
        <v>4.0143746137924836</v>
      </c>
      <c r="Z515">
        <f t="shared" ref="Z515:Z523" ca="1" si="185">Y515*(2/(9+1)) + Z514*(1-(2/(9+1)))</f>
        <v>3.1252459431031334</v>
      </c>
      <c r="AA515">
        <f t="shared" ref="AA515:AA523" ca="1" si="186">Y515-Z515</f>
        <v>0.8891286706893502</v>
      </c>
      <c r="AB515">
        <f t="shared" ref="AB515:AB523" ca="1" si="187">AVERAGE(C416:C515)</f>
        <v>154.80800000000002</v>
      </c>
    </row>
    <row r="516" spans="1:28" x14ac:dyDescent="0.25">
      <c r="A516" s="20">
        <f t="shared" ca="1" si="167"/>
        <v>46041</v>
      </c>
      <c r="B516" vm="1501">
        <f ca="1"/>
        <v>46043</v>
      </c>
      <c r="C516" vm="1502">
        <f ca="1"/>
        <v>166.73</v>
      </c>
      <c r="D516" vm="1503">
        <f ca="1"/>
        <v>10918539</v>
      </c>
      <c r="E516">
        <f t="shared" ca="1" si="168"/>
        <v>1820448007.4699998</v>
      </c>
      <c r="F516">
        <f ca="1">SUM($E$2:E516)/SUM($D$2:D516)</f>
        <v>152.02027938687601</v>
      </c>
      <c r="G516">
        <f ca="1">_xlfn.STDEV.P($C$2:C516)</f>
        <v>7.2886297032228402</v>
      </c>
      <c r="H516">
        <f t="shared" ca="1" si="169"/>
        <v>159.30890909009887</v>
      </c>
      <c r="I516">
        <f t="shared" ca="1" si="170"/>
        <v>144.73164968365316</v>
      </c>
      <c r="J516">
        <f t="shared" ca="1" si="171"/>
        <v>158.36450000000002</v>
      </c>
      <c r="K516">
        <f t="shared" ca="1" si="172"/>
        <v>6.5831623140122844</v>
      </c>
      <c r="L516">
        <f t="shared" ca="1" si="173"/>
        <v>171.53082462802459</v>
      </c>
      <c r="M516">
        <f t="shared" ca="1" si="174"/>
        <v>145.19817537197545</v>
      </c>
      <c r="N516">
        <f t="shared" ca="1" si="175"/>
        <v>1.4299999999999784</v>
      </c>
      <c r="O516">
        <f t="shared" ca="1" si="176"/>
        <v>1.4299999999999784</v>
      </c>
      <c r="P516">
        <f t="shared" ca="1" si="177"/>
        <v>0</v>
      </c>
      <c r="Q516">
        <f t="shared" ca="1" si="178"/>
        <v>1.2531955994880681</v>
      </c>
      <c r="R516">
        <f t="shared" ca="1" si="179"/>
        <v>0.62007842367041144</v>
      </c>
      <c r="S516">
        <f t="shared" ca="1" si="180"/>
        <v>2.0210275856238722</v>
      </c>
      <c r="T516">
        <f t="shared" ca="1" si="181"/>
        <v>66.898680278237507</v>
      </c>
      <c r="U516">
        <f>70</f>
        <v>70</v>
      </c>
      <c r="V516">
        <f>30</f>
        <v>30</v>
      </c>
      <c r="W516">
        <f t="shared" ca="1" si="182"/>
        <v>162.69537060751662</v>
      </c>
      <c r="X516">
        <f t="shared" ca="1" si="183"/>
        <v>158.68099599372414</v>
      </c>
      <c r="Y516">
        <f t="shared" ca="1" si="184"/>
        <v>4.0332802634532641</v>
      </c>
      <c r="Z516">
        <f t="shared" ca="1" si="185"/>
        <v>3.30685280717316</v>
      </c>
      <c r="AA516">
        <f t="shared" ca="1" si="186"/>
        <v>0.72642745628010408</v>
      </c>
      <c r="AB516">
        <f t="shared" ca="1" si="187"/>
        <v>154.88290000000001</v>
      </c>
    </row>
    <row r="517" spans="1:28" x14ac:dyDescent="0.25">
      <c r="A517" s="20">
        <f t="shared" ca="1" si="167"/>
        <v>46041</v>
      </c>
      <c r="B517" vm="1504">
        <f ca="1"/>
        <v>46044</v>
      </c>
      <c r="C517" vm="1505">
        <f ca="1"/>
        <v>166.66</v>
      </c>
      <c r="D517" vm="1506">
        <f ca="1"/>
        <v>8957383</v>
      </c>
      <c r="E517">
        <f t="shared" ca="1" si="168"/>
        <v>1492837450.78</v>
      </c>
      <c r="F517">
        <f ca="1">SUM($E$2:E517)/SUM($D$2:D517)</f>
        <v>152.05044203675737</v>
      </c>
      <c r="G517">
        <f ca="1">_xlfn.STDEV.P($C$2:C517)</f>
        <v>7.3085944810588872</v>
      </c>
      <c r="H517">
        <f t="shared" ca="1" si="169"/>
        <v>159.35903651781626</v>
      </c>
      <c r="I517">
        <f t="shared" ca="1" si="170"/>
        <v>144.74184755569848</v>
      </c>
      <c r="J517">
        <f t="shared" ca="1" si="171"/>
        <v>159.20750000000001</v>
      </c>
      <c r="K517">
        <f t="shared" ca="1" si="172"/>
        <v>6.5077855195466485</v>
      </c>
      <c r="L517">
        <f t="shared" ca="1" si="173"/>
        <v>172.2230710390933</v>
      </c>
      <c r="M517">
        <f t="shared" ca="1" si="174"/>
        <v>146.19192896090672</v>
      </c>
      <c r="N517">
        <f t="shared" ca="1" si="175"/>
        <v>-6.9999999999993179E-2</v>
      </c>
      <c r="O517">
        <f t="shared" ca="1" si="176"/>
        <v>0</v>
      </c>
      <c r="P517">
        <f t="shared" ca="1" si="177"/>
        <v>6.9999999999993179E-2</v>
      </c>
      <c r="Q517">
        <f t="shared" ca="1" si="178"/>
        <v>1.1636816280960631</v>
      </c>
      <c r="R517">
        <f t="shared" ca="1" si="179"/>
        <v>0.58078710769395303</v>
      </c>
      <c r="S517">
        <f t="shared" ca="1" si="180"/>
        <v>2.0036285459512428</v>
      </c>
      <c r="T517">
        <f t="shared" ca="1" si="181"/>
        <v>66.706935138569136</v>
      </c>
      <c r="U517">
        <f>70</f>
        <v>70</v>
      </c>
      <c r="V517">
        <f>30</f>
        <v>30</v>
      </c>
      <c r="W517">
        <f t="shared" ca="1" si="182"/>
        <v>163.30531359097563</v>
      </c>
      <c r="X517">
        <f t="shared" ca="1" si="183"/>
        <v>159.27203332752237</v>
      </c>
      <c r="Y517">
        <f t="shared" ca="1" si="184"/>
        <v>4.0069153990740745</v>
      </c>
      <c r="Z517">
        <f t="shared" ca="1" si="185"/>
        <v>3.4468653255533432</v>
      </c>
      <c r="AA517">
        <f t="shared" ca="1" si="186"/>
        <v>0.56005007352073122</v>
      </c>
      <c r="AB517">
        <f t="shared" ca="1" si="187"/>
        <v>154.9563</v>
      </c>
    </row>
    <row r="518" spans="1:28" x14ac:dyDescent="0.25">
      <c r="A518" s="20">
        <f t="shared" ca="1" si="167"/>
        <v>46041</v>
      </c>
      <c r="B518" vm="1507">
        <f ca="1"/>
        <v>46045</v>
      </c>
      <c r="C518" vm="1508">
        <f ca="1"/>
        <v>166.72</v>
      </c>
      <c r="D518" vm="1509">
        <f ca="1"/>
        <v>8368686</v>
      </c>
      <c r="E518">
        <f t="shared" ca="1" si="168"/>
        <v>1395227329.9200001</v>
      </c>
      <c r="F518">
        <f ca="1">SUM($E$2:E518)/SUM($D$2:D518)</f>
        <v>152.07862552094664</v>
      </c>
      <c r="G518">
        <f ca="1">_xlfn.STDEV.P($C$2:C518)</f>
        <v>7.328549787475807</v>
      </c>
      <c r="H518">
        <f t="shared" ca="1" si="169"/>
        <v>159.40717530842244</v>
      </c>
      <c r="I518">
        <f t="shared" ca="1" si="170"/>
        <v>144.75007573347085</v>
      </c>
      <c r="J518">
        <f t="shared" ca="1" si="171"/>
        <v>160.01799999999997</v>
      </c>
      <c r="K518">
        <f t="shared" ca="1" si="172"/>
        <v>6.3756408140259646</v>
      </c>
      <c r="L518">
        <f t="shared" ca="1" si="173"/>
        <v>172.76928162805191</v>
      </c>
      <c r="M518">
        <f t="shared" ca="1" si="174"/>
        <v>147.26671837194803</v>
      </c>
      <c r="N518">
        <f t="shared" ca="1" si="175"/>
        <v>6.0000000000002274E-2</v>
      </c>
      <c r="O518">
        <f t="shared" ca="1" si="176"/>
        <v>6.0000000000002274E-2</v>
      </c>
      <c r="P518">
        <f t="shared" ca="1" si="177"/>
        <v>0</v>
      </c>
      <c r="Q518">
        <f t="shared" ca="1" si="178"/>
        <v>1.0848472260892017</v>
      </c>
      <c r="R518">
        <f t="shared" ca="1" si="179"/>
        <v>0.53930231428724207</v>
      </c>
      <c r="S518">
        <f t="shared" ca="1" si="180"/>
        <v>2.0115753212054504</v>
      </c>
      <c r="T518">
        <f t="shared" ca="1" si="181"/>
        <v>66.794787002048892</v>
      </c>
      <c r="U518">
        <f>70</f>
        <v>70</v>
      </c>
      <c r="V518">
        <f>30</f>
        <v>30</v>
      </c>
      <c r="W518">
        <f t="shared" ca="1" si="182"/>
        <v>163.83064996159476</v>
      </c>
      <c r="X518">
        <f t="shared" ca="1" si="183"/>
        <v>159.82373456252068</v>
      </c>
      <c r="Y518">
        <f t="shared" ca="1" si="184"/>
        <v>4.0028185349698617</v>
      </c>
      <c r="Z518">
        <f t="shared" ca="1" si="185"/>
        <v>3.5580559674366468</v>
      </c>
      <c r="AA518">
        <f t="shared" ca="1" si="186"/>
        <v>0.44476256753321497</v>
      </c>
      <c r="AB518">
        <f t="shared" ca="1" si="187"/>
        <v>155.01750000000001</v>
      </c>
    </row>
    <row r="519" spans="1:28" x14ac:dyDescent="0.25">
      <c r="A519" s="20">
        <f t="shared" ca="1" si="167"/>
        <v>46048</v>
      </c>
      <c r="B519" vm="1510">
        <f ca="1"/>
        <v>46048</v>
      </c>
      <c r="C519" vm="1511">
        <f ca="1"/>
        <v>167.5</v>
      </c>
      <c r="D519" vm="1512">
        <f ca="1"/>
        <v>8912601</v>
      </c>
      <c r="E519">
        <f t="shared" ca="1" si="168"/>
        <v>1492860667.5</v>
      </c>
      <c r="F519">
        <f ca="1">SUM($E$2:E519)/SUM($D$2:D519)</f>
        <v>152.11011461971029</v>
      </c>
      <c r="G519">
        <f ca="1">_xlfn.STDEV.P($C$2:C519)</f>
        <v>7.3512710185091956</v>
      </c>
      <c r="H519">
        <f t="shared" ca="1" si="169"/>
        <v>159.4613856382195</v>
      </c>
      <c r="I519">
        <f t="shared" ca="1" si="170"/>
        <v>144.75884360120108</v>
      </c>
      <c r="J519">
        <f t="shared" ca="1" si="171"/>
        <v>160.86799999999999</v>
      </c>
      <c r="K519">
        <f t="shared" ca="1" si="172"/>
        <v>6.1698124171775177</v>
      </c>
      <c r="L519">
        <f t="shared" ca="1" si="173"/>
        <v>173.20762483435504</v>
      </c>
      <c r="M519">
        <f t="shared" ca="1" si="174"/>
        <v>148.52837516564495</v>
      </c>
      <c r="N519">
        <f t="shared" ca="1" si="175"/>
        <v>0.78000000000000114</v>
      </c>
      <c r="O519">
        <f t="shared" ca="1" si="176"/>
        <v>0.78000000000000114</v>
      </c>
      <c r="P519">
        <f t="shared" ca="1" si="177"/>
        <v>0</v>
      </c>
      <c r="Q519">
        <f t="shared" ca="1" si="178"/>
        <v>1.0630724242256873</v>
      </c>
      <c r="R519">
        <f t="shared" ca="1" si="179"/>
        <v>0.50078072040958188</v>
      </c>
      <c r="S519">
        <f t="shared" ca="1" si="180"/>
        <v>2.1228301747643448</v>
      </c>
      <c r="T519">
        <f t="shared" ca="1" si="181"/>
        <v>67.977765551229112</v>
      </c>
      <c r="U519">
        <f>70</f>
        <v>70</v>
      </c>
      <c r="V519">
        <f>30</f>
        <v>30</v>
      </c>
      <c r="W519">
        <f t="shared" ca="1" si="182"/>
        <v>164.39516535211865</v>
      </c>
      <c r="X519">
        <f t="shared" ca="1" si="183"/>
        <v>160.39234681714879</v>
      </c>
      <c r="Y519">
        <f t="shared" ca="1" si="184"/>
        <v>4.0776392991620867</v>
      </c>
      <c r="Z519">
        <f t="shared" ca="1" si="185"/>
        <v>3.6619726337817351</v>
      </c>
      <c r="AA519">
        <f t="shared" ca="1" si="186"/>
        <v>0.41566666538035157</v>
      </c>
      <c r="AB519">
        <f t="shared" ca="1" si="187"/>
        <v>155.07419999999999</v>
      </c>
    </row>
    <row r="520" spans="1:28" x14ac:dyDescent="0.25">
      <c r="A520" s="20">
        <f t="shared" ca="1" si="167"/>
        <v>46048</v>
      </c>
      <c r="B520" vm="1513">
        <f ca="1"/>
        <v>46049</v>
      </c>
      <c r="C520" vm="1514">
        <f ca="1"/>
        <v>169.05</v>
      </c>
      <c r="D520" vm="1515">
        <f ca="1"/>
        <v>9784855</v>
      </c>
      <c r="E520">
        <f t="shared" ca="1" si="168"/>
        <v>1654129737.75</v>
      </c>
      <c r="F520">
        <f ca="1">SUM($E$2:E520)/SUM($D$2:D520)</f>
        <v>152.14800465897045</v>
      </c>
      <c r="G520">
        <f ca="1">_xlfn.STDEV.P($C$2:C520)</f>
        <v>7.3801092647621331</v>
      </c>
      <c r="H520">
        <f t="shared" ca="1" si="169"/>
        <v>159.52811392373258</v>
      </c>
      <c r="I520">
        <f t="shared" ca="1" si="170"/>
        <v>144.76789539420832</v>
      </c>
      <c r="J520">
        <f t="shared" ca="1" si="171"/>
        <v>161.81950000000001</v>
      </c>
      <c r="K520">
        <f t="shared" ca="1" si="172"/>
        <v>5.8688477081155064</v>
      </c>
      <c r="L520">
        <f t="shared" ca="1" si="173"/>
        <v>173.55719541623102</v>
      </c>
      <c r="M520">
        <f t="shared" ca="1" si="174"/>
        <v>150.08180458376899</v>
      </c>
      <c r="N520">
        <f t="shared" ca="1" si="175"/>
        <v>1.5500000000000114</v>
      </c>
      <c r="O520">
        <f t="shared" ca="1" si="176"/>
        <v>1.5500000000000114</v>
      </c>
      <c r="P520">
        <f t="shared" ca="1" si="177"/>
        <v>0</v>
      </c>
      <c r="Q520">
        <f t="shared" ca="1" si="178"/>
        <v>1.0978529653524247</v>
      </c>
      <c r="R520">
        <f t="shared" ca="1" si="179"/>
        <v>0.46501066895175464</v>
      </c>
      <c r="S520">
        <f t="shared" ca="1" si="180"/>
        <v>2.3609199501320006</v>
      </c>
      <c r="T520">
        <f t="shared" ca="1" si="181"/>
        <v>70.246241658902804</v>
      </c>
      <c r="U520">
        <f>70</f>
        <v>70</v>
      </c>
      <c r="V520">
        <f>30</f>
        <v>30</v>
      </c>
      <c r="W520">
        <f t="shared" ca="1" si="182"/>
        <v>165.11129375948502</v>
      </c>
      <c r="X520">
        <f t="shared" ca="1" si="183"/>
        <v>161.03365446032294</v>
      </c>
      <c r="Y520">
        <f t="shared" ca="1" si="184"/>
        <v>4.1599901622851974</v>
      </c>
      <c r="Z520">
        <f t="shared" ca="1" si="185"/>
        <v>3.7615761394824281</v>
      </c>
      <c r="AA520">
        <f t="shared" ca="1" si="186"/>
        <v>0.39841402280276927</v>
      </c>
      <c r="AB520">
        <f t="shared" ca="1" si="187"/>
        <v>155.18409999999997</v>
      </c>
    </row>
    <row r="521" spans="1:28" x14ac:dyDescent="0.25">
      <c r="A521" s="20">
        <f t="shared" ca="1" si="167"/>
        <v>46048</v>
      </c>
      <c r="B521" vm="1516">
        <f ca="1"/>
        <v>46050</v>
      </c>
      <c r="C521" vm="1517">
        <f ca="1"/>
        <v>169.93</v>
      </c>
      <c r="D521" vm="1518">
        <f ca="1"/>
        <v>9200244</v>
      </c>
      <c r="E521">
        <f t="shared" ca="1" si="168"/>
        <v>1563397462.9200001</v>
      </c>
      <c r="F521">
        <f ca="1">SUM($E$2:E521)/SUM($D$2:D521)</f>
        <v>152.18532345517741</v>
      </c>
      <c r="G521">
        <f ca="1">_xlfn.STDEV.P($C$2:C521)</f>
        <v>7.4124610749649031</v>
      </c>
      <c r="H521">
        <f t="shared" ca="1" si="169"/>
        <v>159.59778453014232</v>
      </c>
      <c r="I521">
        <f t="shared" ca="1" si="170"/>
        <v>144.7728623802125</v>
      </c>
      <c r="J521">
        <f t="shared" ca="1" si="171"/>
        <v>162.76650000000001</v>
      </c>
      <c r="K521">
        <f t="shared" ca="1" si="172"/>
        <v>5.5487791687143142</v>
      </c>
      <c r="L521">
        <f t="shared" ca="1" si="173"/>
        <v>173.86405833742865</v>
      </c>
      <c r="M521">
        <f t="shared" ca="1" si="174"/>
        <v>151.66894166257137</v>
      </c>
      <c r="N521">
        <f t="shared" ca="1" si="175"/>
        <v>0.87999999999999545</v>
      </c>
      <c r="O521">
        <f t="shared" ca="1" si="176"/>
        <v>0.87999999999999545</v>
      </c>
      <c r="P521">
        <f t="shared" ca="1" si="177"/>
        <v>0</v>
      </c>
      <c r="Q521">
        <f t="shared" ca="1" si="178"/>
        <v>1.0822920392558226</v>
      </c>
      <c r="R521">
        <f t="shared" ca="1" si="179"/>
        <v>0.4317956211694865</v>
      </c>
      <c r="S521">
        <f t="shared" ca="1" si="180"/>
        <v>2.5064914653940091</v>
      </c>
      <c r="T521">
        <f t="shared" ca="1" si="181"/>
        <v>71.481464881089209</v>
      </c>
      <c r="U521">
        <f>70</f>
        <v>70</v>
      </c>
      <c r="V521">
        <f>30</f>
        <v>30</v>
      </c>
      <c r="W521">
        <f t="shared" ca="1" si="182"/>
        <v>165.85263318110273</v>
      </c>
      <c r="X521">
        <f t="shared" ca="1" si="183"/>
        <v>161.69264301881753</v>
      </c>
      <c r="Y521">
        <f t="shared" ca="1" si="184"/>
        <v>4.2776155945065852</v>
      </c>
      <c r="Z521">
        <f t="shared" ca="1" si="185"/>
        <v>3.8647840304872596</v>
      </c>
      <c r="AA521">
        <f t="shared" ca="1" si="186"/>
        <v>0.41283156401932564</v>
      </c>
      <c r="AB521">
        <f t="shared" ca="1" si="187"/>
        <v>155.30649999999997</v>
      </c>
    </row>
    <row r="522" spans="1:28" x14ac:dyDescent="0.25">
      <c r="A522" s="20">
        <f t="shared" ca="1" si="167"/>
        <v>46048</v>
      </c>
      <c r="B522" vm="1519">
        <f ca="1"/>
        <v>46051</v>
      </c>
      <c r="C522" vm="1520">
        <f ca="1"/>
        <v>171.19</v>
      </c>
      <c r="D522" vm="1521">
        <f ca="1"/>
        <v>16786612</v>
      </c>
      <c r="E522">
        <f t="shared" ca="1" si="168"/>
        <v>2873700108.2799997</v>
      </c>
      <c r="F522">
        <f ca="1">SUM($E$2:E522)/SUM($D$2:D522)</f>
        <v>152.25781902842374</v>
      </c>
      <c r="G522">
        <f ca="1">_xlfn.STDEV.P($C$2:C522)</f>
        <v>7.4502423799249922</v>
      </c>
      <c r="H522">
        <f t="shared" ca="1" si="169"/>
        <v>159.70806140834873</v>
      </c>
      <c r="I522">
        <f t="shared" ca="1" si="170"/>
        <v>144.80757664849875</v>
      </c>
      <c r="J522">
        <f t="shared" ca="1" si="171"/>
        <v>163.71049999999997</v>
      </c>
      <c r="K522">
        <f t="shared" ca="1" si="172"/>
        <v>5.2754859840986281</v>
      </c>
      <c r="L522">
        <f t="shared" ca="1" si="173"/>
        <v>174.26147196819721</v>
      </c>
      <c r="M522">
        <f t="shared" ca="1" si="174"/>
        <v>153.15952803180272</v>
      </c>
      <c r="N522">
        <f t="shared" ca="1" si="175"/>
        <v>1.2599999999999909</v>
      </c>
      <c r="O522">
        <f t="shared" ca="1" si="176"/>
        <v>1.2599999999999909</v>
      </c>
      <c r="P522">
        <f t="shared" ca="1" si="177"/>
        <v>0</v>
      </c>
      <c r="Q522">
        <f t="shared" ca="1" si="178"/>
        <v>1.0949854650232633</v>
      </c>
      <c r="R522">
        <f t="shared" ca="1" si="179"/>
        <v>0.40095307680023751</v>
      </c>
      <c r="S522">
        <f t="shared" ca="1" si="180"/>
        <v>2.7309566340322813</v>
      </c>
      <c r="T522">
        <f t="shared" ca="1" si="181"/>
        <v>73.19722264047769</v>
      </c>
      <c r="U522">
        <f>70</f>
        <v>70</v>
      </c>
      <c r="V522">
        <f>30</f>
        <v>30</v>
      </c>
      <c r="W522">
        <f t="shared" ca="1" si="182"/>
        <v>166.67376653785615</v>
      </c>
      <c r="X522">
        <f t="shared" ca="1" si="183"/>
        <v>162.39615094334957</v>
      </c>
      <c r="Y522">
        <f t="shared" ca="1" si="184"/>
        <v>4.7765230916087376</v>
      </c>
      <c r="Z522">
        <f t="shared" ca="1" si="185"/>
        <v>4.0471318427115559</v>
      </c>
      <c r="AA522">
        <f t="shared" ca="1" si="186"/>
        <v>0.72939124889718165</v>
      </c>
      <c r="AB522">
        <f t="shared" ca="1" si="187"/>
        <v>155.48179999999996</v>
      </c>
    </row>
    <row r="523" spans="1:28" x14ac:dyDescent="0.25">
      <c r="A523" s="20">
        <f t="shared" ca="1" si="167"/>
        <v>46048</v>
      </c>
      <c r="B523" vm="1522">
        <f ca="1"/>
        <v>46052</v>
      </c>
      <c r="C523" vm="1523">
        <f ca="1"/>
        <v>176.9</v>
      </c>
      <c r="D523" vm="1524">
        <f ca="1"/>
        <v>22946582</v>
      </c>
      <c r="E523">
        <f t="shared" ca="1" si="168"/>
        <v>4059250355.8000002</v>
      </c>
      <c r="F523">
        <f ca="1">SUM($E$2:E523)/SUM($D$2:D523)</f>
        <v>152.38564714526578</v>
      </c>
      <c r="G523">
        <f ca="1">_xlfn.STDEV.P($C$2:C523)</f>
        <v>7.5187722328480397</v>
      </c>
      <c r="H523">
        <f t="shared" ca="1" si="169"/>
        <v>159.90441937811383</v>
      </c>
      <c r="I523">
        <f t="shared" ca="1" si="170"/>
        <v>144.86687491241773</v>
      </c>
      <c r="J523">
        <f t="shared" ca="1" si="171"/>
        <v>164.935</v>
      </c>
      <c r="K523">
        <f t="shared" ca="1" si="172"/>
        <v>5.3560487203475713</v>
      </c>
      <c r="L523">
        <f t="shared" ca="1" si="173"/>
        <v>175.64709744069515</v>
      </c>
      <c r="M523">
        <f t="shared" ca="1" si="174"/>
        <v>154.22290255930486</v>
      </c>
      <c r="N523">
        <f t="shared" ca="1" si="175"/>
        <v>5.710000000000008</v>
      </c>
      <c r="O523">
        <f t="shared" ca="1" si="176"/>
        <v>5.710000000000008</v>
      </c>
      <c r="P523">
        <f t="shared" ca="1" si="177"/>
        <v>0</v>
      </c>
      <c r="Q523">
        <f t="shared" ca="1" si="178"/>
        <v>1.424629360378745</v>
      </c>
      <c r="R523">
        <f t="shared" ca="1" si="179"/>
        <v>0.37231357131450621</v>
      </c>
      <c r="S523">
        <f t="shared" ca="1" si="180"/>
        <v>3.8264233972156525</v>
      </c>
      <c r="T523">
        <f t="shared" ca="1" si="181"/>
        <v>79.280723680875226</v>
      </c>
      <c r="U523">
        <f>70</f>
        <v>70</v>
      </c>
      <c r="V523">
        <f>30</f>
        <v>30</v>
      </c>
      <c r="W523">
        <f t="shared" ca="1" si="182"/>
        <v>168.24703322433982</v>
      </c>
      <c r="X523">
        <f t="shared" ca="1" si="183"/>
        <v>163.47051013273108</v>
      </c>
      <c r="Y523">
        <f t="shared" ca="1" si="184"/>
        <v>4.8840258532516145</v>
      </c>
      <c r="Z523">
        <f t="shared" ca="1" si="185"/>
        <v>4.2145106448195673</v>
      </c>
      <c r="AA523">
        <f t="shared" ca="1" si="186"/>
        <v>0.66951520843204726</v>
      </c>
      <c r="AB523">
        <f t="shared" ca="1" si="187"/>
        <v>155.71079999999995</v>
      </c>
    </row>
    <row r="524" spans="1:28" x14ac:dyDescent="0.25">
      <c r="A524" s="20">
        <f t="shared" ca="1" si="167"/>
        <v>46055</v>
      </c>
      <c r="B524" vm="1525">
        <f ca="1"/>
        <v>46055</v>
      </c>
      <c r="C524" vm="1526">
        <f ca="1"/>
        <v>174.03</v>
      </c>
      <c r="D524" vm="1527">
        <f ca="1"/>
        <v>14235347</v>
      </c>
      <c r="E524">
        <f t="shared" ref="E524:E525" ca="1" si="188">C524*D524</f>
        <v>2477377438.4099998</v>
      </c>
      <c r="F524">
        <f ca="1">SUM($E$2:E524)/SUM($D$2:D524)</f>
        <v>152.45507704772959</v>
      </c>
      <c r="G524">
        <f ca="1">_xlfn.STDEV.P($C$2:C524)</f>
        <v>7.5696230229844694</v>
      </c>
      <c r="H524">
        <f t="shared" ref="H524:H525" ca="1" si="189">F524 + G524</f>
        <v>160.02470007071406</v>
      </c>
      <c r="I524">
        <f t="shared" ref="I524:I525" ca="1" si="190">F524 - G524</f>
        <v>144.88545402474512</v>
      </c>
      <c r="J524">
        <f t="shared" ref="J524:J525" ca="1" si="191">AVERAGE(C505:C524)</f>
        <v>165.8415</v>
      </c>
      <c r="K524">
        <f t="shared" ref="K524:K525" ca="1" si="192">_xlfn.STDEV.S(C505:C524)</f>
        <v>5.2801059349420774</v>
      </c>
      <c r="L524">
        <f t="shared" ref="L524:L525" ca="1" si="193">J524 + 2*K524</f>
        <v>176.40171186988414</v>
      </c>
      <c r="M524">
        <f t="shared" ref="M524:M525" ca="1" si="194">J524-2*K524</f>
        <v>155.28128813011585</v>
      </c>
      <c r="N524">
        <f t="shared" ref="N524:N525" ca="1" si="195">C524-C523</f>
        <v>-2.8700000000000045</v>
      </c>
      <c r="O524">
        <f t="shared" ref="O524:O525" ca="1" si="196">MAX(N524,0)</f>
        <v>0</v>
      </c>
      <c r="P524">
        <f t="shared" ref="P524:P525" ca="1" si="197">MAX(-N524,0)</f>
        <v>2.8700000000000045</v>
      </c>
      <c r="Q524">
        <f t="shared" ref="Q524:Q525" ca="1" si="198">(Q523*13+O524)/14</f>
        <v>1.3228701203516917</v>
      </c>
      <c r="R524">
        <f t="shared" ref="R524:R525" ca="1" si="199">(R523*13+P524)/14</f>
        <v>0.55071974479204178</v>
      </c>
      <c r="S524">
        <f t="shared" ref="S524:S525" ca="1" si="200">IF(R524=0,NA(),Q524/R524)</f>
        <v>2.4020749807167765</v>
      </c>
      <c r="T524">
        <f t="shared" ref="T524:T525" ca="1" si="201">100-(100/(1+S524))</f>
        <v>70.606174006508468</v>
      </c>
      <c r="U524">
        <f>70</f>
        <v>70</v>
      </c>
      <c r="V524">
        <f>30</f>
        <v>30</v>
      </c>
      <c r="W524">
        <f t="shared" ref="W524:W525" ca="1" si="202">C524*(2/(12+1)) + W523*(1-(2/(12+1)))</f>
        <v>169.13672042059522</v>
      </c>
      <c r="X524">
        <f t="shared" ref="X524:X525" ca="1" si="203">C524*(2/(26+1)) + X523*(1-(2/(26+1)))</f>
        <v>164.25269456734361</v>
      </c>
      <c r="Y524">
        <f t="shared" ref="Y524:Y525" ca="1" si="204">W525-X525</f>
        <v>5.2324792892595724</v>
      </c>
      <c r="Z524">
        <f t="shared" ref="Z524:Z525" ca="1" si="205">Y524*(2/(9+1)) + Z523*(1-(2/(9+1)))</f>
        <v>4.4181043737075685</v>
      </c>
      <c r="AA524">
        <f t="shared" ref="AA524:AA525" ca="1" si="206">Y524-Z524</f>
        <v>0.81437491555200392</v>
      </c>
      <c r="AB524">
        <f t="shared" ref="AB524:AB525" ca="1" si="207">AVERAGE(C425:C524)</f>
        <v>155.90259999999998</v>
      </c>
    </row>
    <row r="525" spans="1:28" x14ac:dyDescent="0.25">
      <c r="A525" s="20">
        <f t="shared" ca="1" si="167"/>
        <v>46055</v>
      </c>
      <c r="B525" vm="1528">
        <f ca="1"/>
        <v>46056</v>
      </c>
      <c r="C525" vm="1529">
        <f ca="1"/>
        <v>178.04</v>
      </c>
      <c r="D525" vm="1530">
        <f ca="1"/>
        <v>18425423</v>
      </c>
      <c r="E525">
        <f t="shared" ca="1" si="188"/>
        <v>3280462310.9200001</v>
      </c>
      <c r="F525">
        <f ca="1">SUM($E$2:E525)/SUM($D$2:D525)</f>
        <v>152.56086495829152</v>
      </c>
      <c r="G525">
        <f ca="1">_xlfn.STDEV.P($C$2:C525)</f>
        <v>7.6431248324120871</v>
      </c>
      <c r="H525">
        <f t="shared" ca="1" si="189"/>
        <v>160.20398979070362</v>
      </c>
      <c r="I525">
        <f t="shared" ca="1" si="190"/>
        <v>144.91774012587942</v>
      </c>
      <c r="J525">
        <f t="shared" ca="1" si="191"/>
        <v>166.55100000000002</v>
      </c>
      <c r="K525">
        <f t="shared" ca="1" si="192"/>
        <v>5.9137679679665638</v>
      </c>
      <c r="L525">
        <f t="shared" ca="1" si="193"/>
        <v>178.37853593593314</v>
      </c>
      <c r="M525">
        <f t="shared" ca="1" si="194"/>
        <v>154.72346406406689</v>
      </c>
      <c r="N525">
        <f t="shared" ca="1" si="195"/>
        <v>4.0099999999999909</v>
      </c>
      <c r="O525">
        <f t="shared" ca="1" si="196"/>
        <v>4.0099999999999909</v>
      </c>
      <c r="P525">
        <f t="shared" ca="1" si="197"/>
        <v>0</v>
      </c>
      <c r="Q525">
        <f t="shared" ca="1" si="198"/>
        <v>1.514807968897999</v>
      </c>
      <c r="R525">
        <f t="shared" ca="1" si="199"/>
        <v>0.51138262016403879</v>
      </c>
      <c r="S525">
        <f t="shared" ca="1" si="200"/>
        <v>2.9621811715307929</v>
      </c>
      <c r="T525">
        <f t="shared" ca="1" si="201"/>
        <v>74.761376203964716</v>
      </c>
      <c r="U525">
        <f>70</f>
        <v>70</v>
      </c>
      <c r="V525">
        <f>30</f>
        <v>30</v>
      </c>
      <c r="W525">
        <f t="shared" ca="1" si="202"/>
        <v>170.50645574050364</v>
      </c>
      <c r="X525">
        <f t="shared" ca="1" si="203"/>
        <v>165.27397645124407</v>
      </c>
      <c r="Y525">
        <f t="shared" si="204"/>
        <v>0</v>
      </c>
      <c r="Z525">
        <f t="shared" ca="1" si="205"/>
        <v>3.534483498966055</v>
      </c>
      <c r="AA525">
        <f t="shared" ca="1" si="206"/>
        <v>-3.534483498966055</v>
      </c>
      <c r="AB525">
        <f t="shared" ca="1" si="207"/>
        <v>156.10510000000002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4EA2-0722-4231-B9C5-8A61A1521B71}">
  <dimension ref="A1:D120"/>
  <sheetViews>
    <sheetView workbookViewId="0">
      <selection activeCell="H112" sqref="H112"/>
    </sheetView>
  </sheetViews>
  <sheetFormatPr defaultRowHeight="15" x14ac:dyDescent="0.25"/>
  <cols>
    <col min="1" max="2" width="10.42578125" bestFit="1" customWidth="1"/>
    <col min="3" max="3" width="13.5703125" bestFit="1" customWidth="1"/>
    <col min="4" max="4" width="15.5703125" bestFit="1" customWidth="1"/>
  </cols>
  <sheetData>
    <row r="1" spans="1:4" x14ac:dyDescent="0.25">
      <c r="A1" t="s">
        <v>45</v>
      </c>
      <c r="B1" t="s">
        <v>46</v>
      </c>
      <c r="C1" t="s">
        <v>47</v>
      </c>
      <c r="D1" t="s">
        <v>48</v>
      </c>
    </row>
    <row r="2" spans="1:4" x14ac:dyDescent="0.25">
      <c r="A2" s="25">
        <v>45292</v>
      </c>
      <c r="B2">
        <v>150.7175</v>
      </c>
    </row>
    <row r="3" spans="1:4" x14ac:dyDescent="0.25">
      <c r="A3" s="25">
        <v>45299</v>
      </c>
      <c r="B3">
        <v>146.44999999999999</v>
      </c>
    </row>
    <row r="4" spans="1:4" x14ac:dyDescent="0.25">
      <c r="A4" s="25">
        <v>45306</v>
      </c>
      <c r="B4">
        <v>142.7175</v>
      </c>
    </row>
    <row r="5" spans="1:4" x14ac:dyDescent="0.25">
      <c r="A5" s="25">
        <v>45313</v>
      </c>
      <c r="B5">
        <v>145.44200000000001</v>
      </c>
    </row>
    <row r="6" spans="1:4" x14ac:dyDescent="0.25">
      <c r="A6" s="25">
        <v>45320</v>
      </c>
      <c r="B6">
        <v>149.352</v>
      </c>
    </row>
    <row r="7" spans="1:4" x14ac:dyDescent="0.25">
      <c r="A7" s="25">
        <v>45327</v>
      </c>
      <c r="B7">
        <v>152.38200000000001</v>
      </c>
    </row>
    <row r="8" spans="1:4" x14ac:dyDescent="0.25">
      <c r="A8" s="25">
        <v>45334</v>
      </c>
      <c r="B8">
        <v>152.55600000000001</v>
      </c>
    </row>
    <row r="9" spans="1:4" x14ac:dyDescent="0.25">
      <c r="A9" s="25">
        <v>45341</v>
      </c>
      <c r="B9">
        <v>154.88249999999999</v>
      </c>
    </row>
    <row r="10" spans="1:4" x14ac:dyDescent="0.25">
      <c r="A10" s="25">
        <v>45348</v>
      </c>
      <c r="B10">
        <v>152.75399999999999</v>
      </c>
    </row>
    <row r="11" spans="1:4" x14ac:dyDescent="0.25">
      <c r="A11" s="25">
        <v>45355</v>
      </c>
      <c r="B11">
        <v>149.21</v>
      </c>
    </row>
    <row r="12" spans="1:4" x14ac:dyDescent="0.25">
      <c r="A12" s="25">
        <v>45362</v>
      </c>
      <c r="B12">
        <v>153.80599999999998</v>
      </c>
    </row>
    <row r="13" spans="1:4" x14ac:dyDescent="0.25">
      <c r="A13" s="25">
        <v>45369</v>
      </c>
      <c r="B13">
        <v>155.22</v>
      </c>
    </row>
    <row r="14" spans="1:4" x14ac:dyDescent="0.25">
      <c r="A14" s="25">
        <v>45376</v>
      </c>
      <c r="B14">
        <v>156.45750000000001</v>
      </c>
    </row>
    <row r="15" spans="1:4" x14ac:dyDescent="0.25">
      <c r="A15" s="25">
        <v>45383</v>
      </c>
      <c r="B15">
        <v>160.31800000000001</v>
      </c>
    </row>
    <row r="16" spans="1:4" x14ac:dyDescent="0.25">
      <c r="A16" s="25">
        <v>45390</v>
      </c>
      <c r="B16">
        <v>161.358</v>
      </c>
    </row>
    <row r="17" spans="1:2" x14ac:dyDescent="0.25">
      <c r="A17" s="25">
        <v>45397</v>
      </c>
      <c r="B17">
        <v>157.56800000000001</v>
      </c>
    </row>
    <row r="18" spans="1:2" x14ac:dyDescent="0.25">
      <c r="A18" s="25">
        <v>45404</v>
      </c>
      <c r="B18">
        <v>163.90199999999999</v>
      </c>
    </row>
    <row r="19" spans="1:2" x14ac:dyDescent="0.25">
      <c r="A19" s="25">
        <v>45411</v>
      </c>
      <c r="B19">
        <v>161.642</v>
      </c>
    </row>
    <row r="20" spans="1:2" x14ac:dyDescent="0.25">
      <c r="A20" s="25">
        <v>45418</v>
      </c>
      <c r="B20">
        <v>163.756</v>
      </c>
    </row>
    <row r="21" spans="1:2" x14ac:dyDescent="0.25">
      <c r="A21" s="25">
        <v>45425</v>
      </c>
      <c r="B21">
        <v>162.99</v>
      </c>
    </row>
    <row r="22" spans="1:2" x14ac:dyDescent="0.25">
      <c r="A22" s="25">
        <v>45432</v>
      </c>
      <c r="B22">
        <v>158.67400000000001</v>
      </c>
    </row>
    <row r="23" spans="1:2" x14ac:dyDescent="0.25">
      <c r="A23" s="25">
        <v>45439</v>
      </c>
      <c r="B23">
        <v>159.125</v>
      </c>
    </row>
    <row r="24" spans="1:2" x14ac:dyDescent="0.25">
      <c r="A24" s="25">
        <v>45446</v>
      </c>
      <c r="B24">
        <v>156.11600000000001</v>
      </c>
    </row>
    <row r="25" spans="1:2" x14ac:dyDescent="0.25">
      <c r="A25" s="25">
        <v>45453</v>
      </c>
      <c r="B25">
        <v>154.572</v>
      </c>
    </row>
    <row r="26" spans="1:2" x14ac:dyDescent="0.25">
      <c r="A26" s="25">
        <v>45460</v>
      </c>
      <c r="B26">
        <v>154.61000000000001</v>
      </c>
    </row>
    <row r="27" spans="1:2" x14ac:dyDescent="0.25">
      <c r="A27" s="25">
        <v>45467</v>
      </c>
      <c r="B27">
        <v>157.292</v>
      </c>
    </row>
    <row r="28" spans="1:2" x14ac:dyDescent="0.25">
      <c r="A28" s="25">
        <v>45474</v>
      </c>
      <c r="B28">
        <v>156.07249999999999</v>
      </c>
    </row>
    <row r="29" spans="1:2" x14ac:dyDescent="0.25">
      <c r="A29" s="25">
        <v>45481</v>
      </c>
      <c r="B29">
        <v>154.65799999999999</v>
      </c>
    </row>
    <row r="30" spans="1:2" x14ac:dyDescent="0.25">
      <c r="A30" s="25">
        <v>45488</v>
      </c>
      <c r="B30">
        <v>159.63200000000001</v>
      </c>
    </row>
    <row r="31" spans="1:2" x14ac:dyDescent="0.25">
      <c r="A31" s="25">
        <v>45495</v>
      </c>
      <c r="B31">
        <v>156.30600000000001</v>
      </c>
    </row>
    <row r="32" spans="1:2" x14ac:dyDescent="0.25">
      <c r="A32" s="25">
        <v>45502</v>
      </c>
      <c r="B32">
        <v>155.56200000000001</v>
      </c>
    </row>
    <row r="33" spans="1:2" x14ac:dyDescent="0.25">
      <c r="A33" s="25">
        <v>45509</v>
      </c>
      <c r="B33">
        <v>143.95599999999999</v>
      </c>
    </row>
    <row r="34" spans="1:2" x14ac:dyDescent="0.25">
      <c r="A34" s="25">
        <v>45516</v>
      </c>
      <c r="B34">
        <v>145.58199999999999</v>
      </c>
    </row>
    <row r="35" spans="1:2" x14ac:dyDescent="0.25">
      <c r="A35" s="25">
        <v>45523</v>
      </c>
      <c r="B35">
        <v>146.03800000000001</v>
      </c>
    </row>
    <row r="36" spans="1:2" x14ac:dyDescent="0.25">
      <c r="A36" s="25">
        <v>45530</v>
      </c>
      <c r="B36">
        <v>147.364</v>
      </c>
    </row>
    <row r="37" spans="1:2" x14ac:dyDescent="0.25">
      <c r="A37" s="25">
        <v>45537</v>
      </c>
      <c r="B37">
        <v>141.55500000000001</v>
      </c>
    </row>
    <row r="38" spans="1:2" x14ac:dyDescent="0.25">
      <c r="A38" s="25">
        <v>45544</v>
      </c>
      <c r="B38">
        <v>139.24600000000001</v>
      </c>
    </row>
    <row r="39" spans="1:2" x14ac:dyDescent="0.25">
      <c r="A39" s="25">
        <v>45551</v>
      </c>
      <c r="B39">
        <v>144.02600000000001</v>
      </c>
    </row>
    <row r="40" spans="1:2" x14ac:dyDescent="0.25">
      <c r="A40" s="25">
        <v>45558</v>
      </c>
      <c r="B40">
        <v>145.28800000000001</v>
      </c>
    </row>
    <row r="41" spans="1:2" x14ac:dyDescent="0.25">
      <c r="A41" s="25">
        <v>45565</v>
      </c>
      <c r="B41">
        <v>149.982</v>
      </c>
    </row>
    <row r="42" spans="1:2" x14ac:dyDescent="0.25">
      <c r="A42" s="25">
        <v>45572</v>
      </c>
      <c r="B42">
        <v>150.31200000000001</v>
      </c>
    </row>
    <row r="43" spans="1:2" x14ac:dyDescent="0.25">
      <c r="A43" s="25">
        <v>45579</v>
      </c>
      <c r="B43">
        <v>150.03799999999998</v>
      </c>
    </row>
    <row r="44" spans="1:2" x14ac:dyDescent="0.25">
      <c r="A44" s="25">
        <v>45586</v>
      </c>
      <c r="B44">
        <v>150.708</v>
      </c>
    </row>
    <row r="45" spans="1:2" x14ac:dyDescent="0.25">
      <c r="A45" s="25">
        <v>45593</v>
      </c>
      <c r="B45">
        <v>149.80000000000001</v>
      </c>
    </row>
    <row r="46" spans="1:2" x14ac:dyDescent="0.25">
      <c r="A46" s="25">
        <v>45600</v>
      </c>
      <c r="B46">
        <v>155.76</v>
      </c>
    </row>
    <row r="47" spans="1:2" x14ac:dyDescent="0.25">
      <c r="A47" s="25">
        <v>45607</v>
      </c>
      <c r="B47">
        <v>158.74600000000001</v>
      </c>
    </row>
    <row r="48" spans="1:2" x14ac:dyDescent="0.25">
      <c r="A48" s="25">
        <v>45614</v>
      </c>
      <c r="B48">
        <v>161.136</v>
      </c>
    </row>
    <row r="49" spans="1:2" x14ac:dyDescent="0.25">
      <c r="A49" s="25">
        <v>45621</v>
      </c>
      <c r="B49">
        <v>161.73250000000002</v>
      </c>
    </row>
    <row r="50" spans="1:2" x14ac:dyDescent="0.25">
      <c r="A50" s="25">
        <v>45628</v>
      </c>
      <c r="B50">
        <v>159.404</v>
      </c>
    </row>
    <row r="51" spans="1:2" x14ac:dyDescent="0.25">
      <c r="A51" s="25">
        <v>45635</v>
      </c>
      <c r="B51">
        <v>155.774</v>
      </c>
    </row>
    <row r="52" spans="1:2" x14ac:dyDescent="0.25">
      <c r="A52" s="25">
        <v>45642</v>
      </c>
      <c r="B52">
        <v>145.11000000000001</v>
      </c>
    </row>
    <row r="53" spans="1:2" x14ac:dyDescent="0.25">
      <c r="A53" s="25">
        <v>45649</v>
      </c>
      <c r="B53">
        <v>143.69749999999999</v>
      </c>
    </row>
    <row r="54" spans="1:2" x14ac:dyDescent="0.25">
      <c r="A54" s="25">
        <v>45656</v>
      </c>
      <c r="B54">
        <v>145.61750000000001</v>
      </c>
    </row>
    <row r="55" spans="1:2" x14ac:dyDescent="0.25">
      <c r="A55" s="25">
        <v>45663</v>
      </c>
      <c r="B55">
        <v>150.07249999999999</v>
      </c>
    </row>
    <row r="56" spans="1:2" x14ac:dyDescent="0.25">
      <c r="A56" s="25">
        <v>45670</v>
      </c>
      <c r="B56">
        <v>158.286</v>
      </c>
    </row>
    <row r="57" spans="1:2" x14ac:dyDescent="0.25">
      <c r="A57" s="25">
        <v>45677</v>
      </c>
      <c r="B57">
        <v>156.57749999999999</v>
      </c>
    </row>
    <row r="58" spans="1:2" x14ac:dyDescent="0.25">
      <c r="A58" s="25">
        <v>45684</v>
      </c>
      <c r="B58">
        <v>154.928</v>
      </c>
    </row>
    <row r="59" spans="1:2" x14ac:dyDescent="0.25">
      <c r="A59" s="25">
        <v>45691</v>
      </c>
      <c r="B59">
        <v>152.01400000000001</v>
      </c>
    </row>
    <row r="60" spans="1:2" x14ac:dyDescent="0.25">
      <c r="A60" s="25">
        <v>45698</v>
      </c>
      <c r="B60">
        <v>155.86600000000001</v>
      </c>
    </row>
    <row r="61" spans="1:2" x14ac:dyDescent="0.25">
      <c r="A61" s="25">
        <v>45705</v>
      </c>
      <c r="B61">
        <v>157.27499999999998</v>
      </c>
    </row>
    <row r="62" spans="1:2" x14ac:dyDescent="0.25">
      <c r="A62" s="25">
        <v>45712</v>
      </c>
      <c r="B62">
        <v>156.94799999999998</v>
      </c>
    </row>
    <row r="63" spans="1:2" x14ac:dyDescent="0.25">
      <c r="A63" s="25">
        <v>45719</v>
      </c>
      <c r="B63">
        <v>153.03800000000001</v>
      </c>
    </row>
    <row r="64" spans="1:2" x14ac:dyDescent="0.25">
      <c r="A64" s="25">
        <v>45726</v>
      </c>
      <c r="B64">
        <v>154.99</v>
      </c>
    </row>
    <row r="65" spans="1:2" x14ac:dyDescent="0.25">
      <c r="A65" s="25">
        <v>45733</v>
      </c>
      <c r="B65">
        <v>162.62</v>
      </c>
    </row>
    <row r="66" spans="1:2" x14ac:dyDescent="0.25">
      <c r="A66" s="25">
        <v>45740</v>
      </c>
      <c r="B66">
        <v>166.334</v>
      </c>
    </row>
    <row r="67" spans="1:2" x14ac:dyDescent="0.25">
      <c r="A67" s="25">
        <v>45747</v>
      </c>
      <c r="B67">
        <v>160.334</v>
      </c>
    </row>
    <row r="68" spans="1:2" x14ac:dyDescent="0.25">
      <c r="A68" s="25">
        <v>45754</v>
      </c>
      <c r="B68">
        <v>138.744</v>
      </c>
    </row>
    <row r="69" spans="1:2" x14ac:dyDescent="0.25">
      <c r="A69" s="25">
        <v>45761</v>
      </c>
      <c r="B69">
        <v>135.77250000000001</v>
      </c>
    </row>
    <row r="70" spans="1:2" x14ac:dyDescent="0.25">
      <c r="A70" s="25">
        <v>45768</v>
      </c>
      <c r="B70">
        <v>137.102</v>
      </c>
    </row>
    <row r="71" spans="1:2" x14ac:dyDescent="0.25">
      <c r="A71" s="25">
        <v>45775</v>
      </c>
      <c r="B71">
        <v>138.04400000000001</v>
      </c>
    </row>
    <row r="72" spans="1:2" x14ac:dyDescent="0.25">
      <c r="A72" s="25">
        <v>45782</v>
      </c>
      <c r="B72">
        <v>136.48400000000001</v>
      </c>
    </row>
    <row r="73" spans="1:2" x14ac:dyDescent="0.25">
      <c r="A73" s="25">
        <v>45789</v>
      </c>
      <c r="B73">
        <v>142</v>
      </c>
    </row>
    <row r="74" spans="1:2" x14ac:dyDescent="0.25">
      <c r="A74" s="25">
        <v>45796</v>
      </c>
      <c r="B74">
        <v>136.63</v>
      </c>
    </row>
    <row r="75" spans="1:2" x14ac:dyDescent="0.25">
      <c r="A75" s="25">
        <v>45803</v>
      </c>
      <c r="B75">
        <v>137.11500000000001</v>
      </c>
    </row>
    <row r="76" spans="1:2" x14ac:dyDescent="0.25">
      <c r="A76" s="25">
        <v>45810</v>
      </c>
      <c r="B76">
        <v>138.374</v>
      </c>
    </row>
    <row r="77" spans="1:2" x14ac:dyDescent="0.25">
      <c r="A77" s="25">
        <v>45817</v>
      </c>
      <c r="B77">
        <v>143.95400000000001</v>
      </c>
    </row>
    <row r="78" spans="1:2" x14ac:dyDescent="0.25">
      <c r="A78" s="25">
        <v>45824</v>
      </c>
      <c r="B78">
        <v>148.155</v>
      </c>
    </row>
    <row r="79" spans="1:2" x14ac:dyDescent="0.25">
      <c r="A79" s="25">
        <v>45831</v>
      </c>
      <c r="B79">
        <v>144.374</v>
      </c>
    </row>
    <row r="80" spans="1:2" x14ac:dyDescent="0.25">
      <c r="A80" s="25">
        <v>45838</v>
      </c>
      <c r="B80">
        <v>146.2775</v>
      </c>
    </row>
    <row r="81" spans="1:2" x14ac:dyDescent="0.25">
      <c r="A81" s="25">
        <v>45845</v>
      </c>
      <c r="B81">
        <v>152.62800000000001</v>
      </c>
    </row>
    <row r="82" spans="1:2" x14ac:dyDescent="0.25">
      <c r="A82" s="25">
        <v>45852</v>
      </c>
      <c r="B82">
        <v>150.73599999999999</v>
      </c>
    </row>
    <row r="83" spans="1:2" x14ac:dyDescent="0.25">
      <c r="A83" s="25">
        <v>45859</v>
      </c>
      <c r="B83">
        <v>152.702</v>
      </c>
    </row>
    <row r="84" spans="1:2" x14ac:dyDescent="0.25">
      <c r="A84" s="25">
        <v>45866</v>
      </c>
      <c r="B84">
        <v>153.982</v>
      </c>
    </row>
    <row r="85" spans="1:2" x14ac:dyDescent="0.25">
      <c r="A85" s="25">
        <v>45873</v>
      </c>
      <c r="B85">
        <v>153.006</v>
      </c>
    </row>
    <row r="86" spans="1:2" x14ac:dyDescent="0.25">
      <c r="A86" s="25">
        <v>45880</v>
      </c>
      <c r="B86">
        <v>155.09399999999999</v>
      </c>
    </row>
    <row r="87" spans="1:2" x14ac:dyDescent="0.25">
      <c r="A87" s="25">
        <v>45887</v>
      </c>
      <c r="B87">
        <v>154.85400000000001</v>
      </c>
    </row>
    <row r="88" spans="1:2" x14ac:dyDescent="0.25">
      <c r="A88" s="25">
        <v>45894</v>
      </c>
      <c r="B88">
        <v>158.94399999999999</v>
      </c>
    </row>
    <row r="89" spans="1:2" x14ac:dyDescent="0.25">
      <c r="A89" s="25">
        <v>45901</v>
      </c>
      <c r="B89">
        <v>157.81</v>
      </c>
    </row>
    <row r="90" spans="1:2" x14ac:dyDescent="0.25">
      <c r="A90" s="25">
        <v>45908</v>
      </c>
      <c r="B90">
        <v>156.4</v>
      </c>
    </row>
    <row r="91" spans="1:2" x14ac:dyDescent="0.25">
      <c r="A91" s="25">
        <v>45915</v>
      </c>
      <c r="B91">
        <v>158.398</v>
      </c>
    </row>
    <row r="92" spans="1:2" x14ac:dyDescent="0.25">
      <c r="A92" s="25">
        <v>45922</v>
      </c>
      <c r="B92">
        <v>158.70599999999999</v>
      </c>
    </row>
    <row r="93" spans="1:2" x14ac:dyDescent="0.25">
      <c r="A93" s="25">
        <v>45929</v>
      </c>
      <c r="B93">
        <v>154.578</v>
      </c>
    </row>
    <row r="94" spans="1:2" x14ac:dyDescent="0.25">
      <c r="A94" s="25">
        <v>45936</v>
      </c>
      <c r="B94">
        <v>152.642</v>
      </c>
    </row>
    <row r="95" spans="1:2" x14ac:dyDescent="0.25">
      <c r="A95" s="25">
        <v>45943</v>
      </c>
      <c r="B95">
        <v>152.24600000000001</v>
      </c>
    </row>
    <row r="96" spans="1:2" x14ac:dyDescent="0.25">
      <c r="A96" s="25">
        <v>45950</v>
      </c>
      <c r="B96">
        <v>155.19200000000001</v>
      </c>
    </row>
    <row r="97" spans="1:4" x14ac:dyDescent="0.25">
      <c r="A97" s="25">
        <v>45957</v>
      </c>
      <c r="B97">
        <v>155.15</v>
      </c>
    </row>
    <row r="98" spans="1:4" x14ac:dyDescent="0.25">
      <c r="A98" s="25">
        <v>45964</v>
      </c>
      <c r="B98">
        <v>153.60999999999999</v>
      </c>
    </row>
    <row r="99" spans="1:4" x14ac:dyDescent="0.25">
      <c r="A99" s="25">
        <v>45971</v>
      </c>
      <c r="B99">
        <v>155.68200000000002</v>
      </c>
    </row>
    <row r="100" spans="1:4" x14ac:dyDescent="0.25">
      <c r="A100" s="25">
        <v>45978</v>
      </c>
      <c r="B100">
        <v>152.08599999999998</v>
      </c>
    </row>
    <row r="101" spans="1:4" x14ac:dyDescent="0.25">
      <c r="A101" s="25">
        <v>45985</v>
      </c>
      <c r="B101">
        <v>149.72999999999999</v>
      </c>
    </row>
    <row r="102" spans="1:4" x14ac:dyDescent="0.25">
      <c r="A102" s="25">
        <v>45992</v>
      </c>
      <c r="B102">
        <v>151.328</v>
      </c>
    </row>
    <row r="103" spans="1:4" x14ac:dyDescent="0.25">
      <c r="A103" s="25">
        <v>45999</v>
      </c>
      <c r="B103">
        <v>149.864</v>
      </c>
    </row>
    <row r="104" spans="1:4" x14ac:dyDescent="0.25">
      <c r="A104" s="25">
        <v>46006</v>
      </c>
      <c r="B104">
        <v>148.30199999999999</v>
      </c>
    </row>
    <row r="105" spans="1:4" x14ac:dyDescent="0.25">
      <c r="A105" s="25">
        <v>46013</v>
      </c>
      <c r="B105">
        <v>150.20750000000001</v>
      </c>
    </row>
    <row r="106" spans="1:4" x14ac:dyDescent="0.25">
      <c r="A106" s="25">
        <v>46020</v>
      </c>
      <c r="B106">
        <v>152.9025</v>
      </c>
    </row>
    <row r="107" spans="1:4" x14ac:dyDescent="0.25">
      <c r="A107" s="25">
        <v>46027</v>
      </c>
      <c r="B107">
        <v>159.38999999999999</v>
      </c>
    </row>
    <row r="108" spans="1:4" x14ac:dyDescent="0.25">
      <c r="A108" s="25">
        <v>46034</v>
      </c>
      <c r="B108">
        <v>165.17400000000001</v>
      </c>
    </row>
    <row r="109" spans="1:4" x14ac:dyDescent="0.25">
      <c r="A109" s="25">
        <v>46041</v>
      </c>
      <c r="B109">
        <v>166.35249999999999</v>
      </c>
    </row>
    <row r="110" spans="1:4" x14ac:dyDescent="0.25">
      <c r="A110" s="25">
        <v>46048</v>
      </c>
      <c r="B110">
        <v>170.91400000000002</v>
      </c>
    </row>
    <row r="111" spans="1:4" x14ac:dyDescent="0.25">
      <c r="A111" s="25">
        <v>46055</v>
      </c>
      <c r="B111">
        <v>176.035</v>
      </c>
    </row>
    <row r="112" spans="1:4" x14ac:dyDescent="0.25">
      <c r="A112" s="25">
        <v>46062</v>
      </c>
      <c r="C112">
        <f>_xlfn.FORECAST.ETS(Forecast[[#This Row],[Week]],B2:B111,A2:A111,1,1,1)</f>
        <v>168.9041882828169</v>
      </c>
      <c r="D112">
        <v>180.631</v>
      </c>
    </row>
    <row r="113" spans="1:4" x14ac:dyDescent="0.25">
      <c r="A113" s="25">
        <v>46069</v>
      </c>
      <c r="C113">
        <f>_xlfn.FORECAST.ETS(Forecast[[#This Row],[Week]],B3:B112,A3:A112,1,1,1)</f>
        <v>182.24492731845703</v>
      </c>
      <c r="D113">
        <v>182.04499999999999</v>
      </c>
    </row>
    <row r="114" spans="1:4" x14ac:dyDescent="0.25">
      <c r="A114" s="25">
        <v>46076</v>
      </c>
      <c r="C114">
        <f>_xlfn.FORECAST.ETS(Forecast[[#This Row],[Week]],B4:B113,A4:A113,1,1,1)</f>
        <v>179.27362256391294</v>
      </c>
      <c r="D114">
        <v>183.2825</v>
      </c>
    </row>
    <row r="115" spans="1:4" x14ac:dyDescent="0.25">
      <c r="A115" s="25">
        <v>46083</v>
      </c>
      <c r="C115">
        <f>_xlfn.FORECAST.ETS(Forecast[[#This Row],[Week]],B5:B114,A5:A114,1,1,1)</f>
        <v>186.8851569440221</v>
      </c>
      <c r="D115">
        <v>187.143</v>
      </c>
    </row>
    <row r="116" spans="1:4" x14ac:dyDescent="0.25">
      <c r="A116" s="25">
        <v>46090</v>
      </c>
      <c r="C116">
        <f>_xlfn.FORECAST.ETS(Forecast[[#This Row],[Week]],B6:B115,A6:A115,1,1,1)</f>
        <v>182.09683431988148</v>
      </c>
      <c r="D116">
        <v>188.18299999999999</v>
      </c>
    </row>
    <row r="117" spans="1:4" x14ac:dyDescent="0.25">
      <c r="A117" s="25">
        <v>46097</v>
      </c>
      <c r="C117">
        <f>_xlfn.FORECAST.ETS(Forecast[[#This Row],[Week]],B7:B116,A7:A116,1,1,1)</f>
        <v>185.27400143519472</v>
      </c>
      <c r="D117">
        <v>184.393</v>
      </c>
    </row>
    <row r="118" spans="1:4" x14ac:dyDescent="0.25">
      <c r="A118" s="25">
        <v>46104</v>
      </c>
      <c r="C118">
        <f>_xlfn.FORECAST.ETS(Forecast[[#This Row],[Week]],B8:B117,A8:A117,1,1,1)</f>
        <v>195.04375702213005</v>
      </c>
      <c r="D118">
        <v>190.727</v>
      </c>
    </row>
    <row r="119" spans="1:4" x14ac:dyDescent="0.25">
      <c r="A119" s="25">
        <v>46111</v>
      </c>
      <c r="C119">
        <f>_xlfn.FORECAST.ETS(Forecast[[#This Row],[Week]],B9:B118,A9:A118,1,1,1)</f>
        <v>178.9093916563601</v>
      </c>
      <c r="D119">
        <v>188.46700000000001</v>
      </c>
    </row>
    <row r="120" spans="1:4" x14ac:dyDescent="0.25">
      <c r="A120" s="25">
        <v>46118</v>
      </c>
      <c r="C120">
        <f>_xlfn.FORECAST.ETS(Forecast[[#This Row],[Week]],B10:B119,A10:A119,1,1,1)</f>
        <v>171.6319827343313</v>
      </c>
      <c r="D120">
        <v>190.58099999999999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95C45-F96F-4332-BD51-BCEF2E2A40CE}">
  <dimension ref="A1:B525"/>
  <sheetViews>
    <sheetView workbookViewId="0">
      <selection sqref="A1:B525"/>
    </sheetView>
  </sheetViews>
  <sheetFormatPr defaultRowHeight="15" x14ac:dyDescent="0.25"/>
  <cols>
    <col min="1" max="1" width="10.42578125" style="20" bestFit="1" customWidth="1"/>
    <col min="2" max="2" width="9" bestFit="1" customWidth="1"/>
  </cols>
  <sheetData>
    <row r="1" spans="1:2" x14ac:dyDescent="0.25">
      <c r="A1" s="20" t="s">
        <v>45</v>
      </c>
      <c r="B1" t="s">
        <v>43</v>
      </c>
    </row>
    <row r="2" spans="1:2" x14ac:dyDescent="0.25">
      <c r="A2" s="20">
        <v>45292</v>
      </c>
      <c r="B2" vm="2">
        <v>149.47999999999999</v>
      </c>
    </row>
    <row r="3" spans="1:2" x14ac:dyDescent="0.25">
      <c r="A3" s="20">
        <v>45292</v>
      </c>
      <c r="B3" vm="5">
        <v>152.33000000000001</v>
      </c>
    </row>
    <row r="4" spans="1:2" x14ac:dyDescent="0.25">
      <c r="A4" s="20">
        <v>45292</v>
      </c>
      <c r="B4" vm="8">
        <v>150.66</v>
      </c>
    </row>
    <row r="5" spans="1:2" x14ac:dyDescent="0.25">
      <c r="A5" s="20">
        <v>45292</v>
      </c>
      <c r="B5" vm="11">
        <v>150.4</v>
      </c>
    </row>
    <row r="6" spans="1:2" x14ac:dyDescent="0.25">
      <c r="A6" s="20">
        <v>45299</v>
      </c>
      <c r="B6" vm="14">
        <v>149.5</v>
      </c>
    </row>
    <row r="7" spans="1:2" x14ac:dyDescent="0.25">
      <c r="A7" s="20">
        <v>45299</v>
      </c>
      <c r="B7" vm="17">
        <v>145.69999999999999</v>
      </c>
    </row>
    <row r="8" spans="1:2" x14ac:dyDescent="0.25">
      <c r="A8" s="20">
        <v>45299</v>
      </c>
      <c r="B8" vm="20">
        <v>144.5</v>
      </c>
    </row>
    <row r="9" spans="1:2" x14ac:dyDescent="0.25">
      <c r="A9" s="20">
        <v>45299</v>
      </c>
      <c r="B9" vm="23">
        <v>145.28</v>
      </c>
    </row>
    <row r="10" spans="1:2" x14ac:dyDescent="0.25">
      <c r="A10" s="20">
        <v>45299</v>
      </c>
      <c r="B10" vm="26">
        <v>147.27000000000001</v>
      </c>
    </row>
    <row r="11" spans="1:2" x14ac:dyDescent="0.25">
      <c r="A11" s="20">
        <v>45306</v>
      </c>
      <c r="B11" vm="29">
        <v>143.69</v>
      </c>
    </row>
    <row r="12" spans="1:2" x14ac:dyDescent="0.25">
      <c r="A12" s="20">
        <v>45306</v>
      </c>
      <c r="B12" vm="32">
        <v>143.12</v>
      </c>
    </row>
    <row r="13" spans="1:2" x14ac:dyDescent="0.25">
      <c r="A13" s="20">
        <v>45306</v>
      </c>
      <c r="B13" vm="35">
        <v>141.82</v>
      </c>
    </row>
    <row r="14" spans="1:2" x14ac:dyDescent="0.25">
      <c r="A14" s="20">
        <v>45306</v>
      </c>
      <c r="B14" vm="38">
        <v>142.24</v>
      </c>
    </row>
    <row r="15" spans="1:2" x14ac:dyDescent="0.25">
      <c r="A15" s="20">
        <v>45313</v>
      </c>
      <c r="B15" vm="41">
        <v>142.49</v>
      </c>
    </row>
    <row r="16" spans="1:2" x14ac:dyDescent="0.25">
      <c r="A16" s="20">
        <v>45313</v>
      </c>
      <c r="B16" vm="44">
        <v>142.09</v>
      </c>
    </row>
    <row r="17" spans="1:2" x14ac:dyDescent="0.25">
      <c r="A17" s="20">
        <v>45313</v>
      </c>
      <c r="B17" vm="47">
        <v>144.91999999999999</v>
      </c>
    </row>
    <row r="18" spans="1:2" x14ac:dyDescent="0.25">
      <c r="A18" s="20">
        <v>45313</v>
      </c>
      <c r="B18" vm="50">
        <v>148.57</v>
      </c>
    </row>
    <row r="19" spans="1:2" x14ac:dyDescent="0.25">
      <c r="A19" s="20">
        <v>45313</v>
      </c>
      <c r="B19" vm="53">
        <v>149.13999999999999</v>
      </c>
    </row>
    <row r="20" spans="1:2" x14ac:dyDescent="0.25">
      <c r="A20" s="20">
        <v>45320</v>
      </c>
      <c r="B20" vm="56">
        <v>149.08000000000001</v>
      </c>
    </row>
    <row r="21" spans="1:2" x14ac:dyDescent="0.25">
      <c r="A21" s="20">
        <v>45320</v>
      </c>
      <c r="B21" vm="59">
        <v>150.12</v>
      </c>
    </row>
    <row r="22" spans="1:2" x14ac:dyDescent="0.25">
      <c r="A22" s="20">
        <v>45320</v>
      </c>
      <c r="B22" vm="62">
        <v>147.43</v>
      </c>
    </row>
    <row r="23" spans="1:2" x14ac:dyDescent="0.25">
      <c r="A23" s="20">
        <v>45320</v>
      </c>
      <c r="B23" vm="65">
        <v>147.88999999999999</v>
      </c>
    </row>
    <row r="24" spans="1:2" x14ac:dyDescent="0.25">
      <c r="A24" s="20">
        <v>45320</v>
      </c>
      <c r="B24" vm="68">
        <v>152.24</v>
      </c>
    </row>
    <row r="25" spans="1:2" x14ac:dyDescent="0.25">
      <c r="A25" s="20">
        <v>45327</v>
      </c>
      <c r="B25" vm="5">
        <v>152.33000000000001</v>
      </c>
    </row>
    <row r="26" spans="1:2" x14ac:dyDescent="0.25">
      <c r="A26" s="20">
        <v>45327</v>
      </c>
      <c r="B26" vm="73">
        <v>152.35</v>
      </c>
    </row>
    <row r="27" spans="1:2" x14ac:dyDescent="0.25">
      <c r="A27" s="20">
        <v>45327</v>
      </c>
      <c r="B27" vm="76">
        <v>152.13</v>
      </c>
    </row>
    <row r="28" spans="1:2" x14ac:dyDescent="0.25">
      <c r="A28" s="20">
        <v>45327</v>
      </c>
      <c r="B28" vm="79">
        <v>154.06</v>
      </c>
    </row>
    <row r="29" spans="1:2" x14ac:dyDescent="0.25">
      <c r="A29" s="20">
        <v>45327</v>
      </c>
      <c r="B29" vm="82">
        <v>151.04</v>
      </c>
    </row>
    <row r="30" spans="1:2" x14ac:dyDescent="0.25">
      <c r="A30" s="20">
        <v>45334</v>
      </c>
      <c r="B30" vm="85">
        <v>152.08000000000001</v>
      </c>
    </row>
    <row r="31" spans="1:2" x14ac:dyDescent="0.25">
      <c r="A31" s="20">
        <v>45334</v>
      </c>
      <c r="B31" vm="88">
        <v>150.6</v>
      </c>
    </row>
    <row r="32" spans="1:2" x14ac:dyDescent="0.25">
      <c r="A32" s="20">
        <v>45334</v>
      </c>
      <c r="B32" vm="91">
        <v>151.01</v>
      </c>
    </row>
    <row r="33" spans="1:2" x14ac:dyDescent="0.25">
      <c r="A33" s="20">
        <v>45334</v>
      </c>
      <c r="B33" vm="94">
        <v>154.46</v>
      </c>
    </row>
    <row r="34" spans="1:2" x14ac:dyDescent="0.25">
      <c r="A34" s="20">
        <v>45334</v>
      </c>
      <c r="B34" vm="97">
        <v>154.63</v>
      </c>
    </row>
    <row r="35" spans="1:2" x14ac:dyDescent="0.25">
      <c r="A35" s="20">
        <v>45341</v>
      </c>
      <c r="B35" vm="100">
        <v>154</v>
      </c>
    </row>
    <row r="36" spans="1:2" x14ac:dyDescent="0.25">
      <c r="A36" s="20">
        <v>45341</v>
      </c>
      <c r="B36" vm="103">
        <v>155.44</v>
      </c>
    </row>
    <row r="37" spans="1:2" x14ac:dyDescent="0.25">
      <c r="A37" s="20">
        <v>45341</v>
      </c>
      <c r="B37" vm="106">
        <v>155.43</v>
      </c>
    </row>
    <row r="38" spans="1:2" x14ac:dyDescent="0.25">
      <c r="A38" s="20">
        <v>45341</v>
      </c>
      <c r="B38" vm="109">
        <v>154.66</v>
      </c>
    </row>
    <row r="39" spans="1:2" x14ac:dyDescent="0.25">
      <c r="A39" s="20">
        <v>45348</v>
      </c>
      <c r="B39" vm="112">
        <v>154.44999999999999</v>
      </c>
    </row>
    <row r="40" spans="1:2" x14ac:dyDescent="0.25">
      <c r="A40" s="20">
        <v>45348</v>
      </c>
      <c r="B40" vm="115">
        <v>152.16</v>
      </c>
    </row>
    <row r="41" spans="1:2" x14ac:dyDescent="0.25">
      <c r="A41" s="20">
        <v>45348</v>
      </c>
      <c r="B41" vm="118">
        <v>152.34</v>
      </c>
    </row>
    <row r="42" spans="1:2" x14ac:dyDescent="0.25">
      <c r="A42" s="20">
        <v>45348</v>
      </c>
      <c r="B42" vm="121">
        <v>152.01</v>
      </c>
    </row>
    <row r="43" spans="1:2" x14ac:dyDescent="0.25">
      <c r="A43" s="20">
        <v>45348</v>
      </c>
      <c r="B43" vm="124">
        <v>152.81</v>
      </c>
    </row>
    <row r="44" spans="1:2" x14ac:dyDescent="0.25">
      <c r="A44" s="20">
        <v>45355</v>
      </c>
      <c r="B44" vm="127">
        <v>148.88</v>
      </c>
    </row>
    <row r="45" spans="1:2" x14ac:dyDescent="0.25">
      <c r="A45" s="20">
        <v>45355</v>
      </c>
      <c r="B45" vm="130">
        <v>149.59</v>
      </c>
    </row>
    <row r="46" spans="1:2" x14ac:dyDescent="0.25">
      <c r="A46" s="20">
        <v>45355</v>
      </c>
      <c r="B46" vm="133">
        <v>148.33000000000001</v>
      </c>
    </row>
    <row r="47" spans="1:2" x14ac:dyDescent="0.25">
      <c r="A47" s="20">
        <v>45355</v>
      </c>
      <c r="B47" vm="136">
        <v>149.37</v>
      </c>
    </row>
    <row r="48" spans="1:2" x14ac:dyDescent="0.25">
      <c r="A48" s="20">
        <v>45355</v>
      </c>
      <c r="B48" vm="139">
        <v>149.88</v>
      </c>
    </row>
    <row r="49" spans="1:2" x14ac:dyDescent="0.25">
      <c r="A49" s="20">
        <v>45362</v>
      </c>
      <c r="B49" vm="142">
        <v>152</v>
      </c>
    </row>
    <row r="50" spans="1:2" x14ac:dyDescent="0.25">
      <c r="A50" s="20">
        <v>45362</v>
      </c>
      <c r="B50" vm="145">
        <v>151.88999999999999</v>
      </c>
    </row>
    <row r="51" spans="1:2" x14ac:dyDescent="0.25">
      <c r="A51" s="20">
        <v>45362</v>
      </c>
      <c r="B51" vm="148">
        <v>153.88999999999999</v>
      </c>
    </row>
    <row r="52" spans="1:2" x14ac:dyDescent="0.25">
      <c r="A52" s="20">
        <v>45362</v>
      </c>
      <c r="B52" vm="151">
        <v>155.69999999999999</v>
      </c>
    </row>
    <row r="53" spans="1:2" x14ac:dyDescent="0.25">
      <c r="A53" s="20">
        <v>45362</v>
      </c>
      <c r="B53" vm="154">
        <v>155.55000000000001</v>
      </c>
    </row>
    <row r="54" spans="1:2" x14ac:dyDescent="0.25">
      <c r="A54" s="20">
        <v>45369</v>
      </c>
      <c r="B54" vm="157">
        <v>155.41</v>
      </c>
    </row>
    <row r="55" spans="1:2" x14ac:dyDescent="0.25">
      <c r="A55" s="20">
        <v>45369</v>
      </c>
      <c r="B55" vm="160">
        <v>156.62</v>
      </c>
    </row>
    <row r="56" spans="1:2" x14ac:dyDescent="0.25">
      <c r="A56" s="20">
        <v>45369</v>
      </c>
      <c r="B56" vm="163">
        <v>154.55000000000001</v>
      </c>
    </row>
    <row r="57" spans="1:2" x14ac:dyDescent="0.25">
      <c r="A57" s="20">
        <v>45369</v>
      </c>
      <c r="B57" vm="166">
        <v>154.86000000000001</v>
      </c>
    </row>
    <row r="58" spans="1:2" x14ac:dyDescent="0.25">
      <c r="A58" s="20">
        <v>45369</v>
      </c>
      <c r="B58" vm="109">
        <v>154.66</v>
      </c>
    </row>
    <row r="59" spans="1:2" x14ac:dyDescent="0.25">
      <c r="A59" s="20">
        <v>45376</v>
      </c>
      <c r="B59" vm="171">
        <v>156.47</v>
      </c>
    </row>
    <row r="60" spans="1:2" x14ac:dyDescent="0.25">
      <c r="A60" s="20">
        <v>45376</v>
      </c>
      <c r="B60" vm="174">
        <v>155.27000000000001</v>
      </c>
    </row>
    <row r="61" spans="1:2" x14ac:dyDescent="0.25">
      <c r="A61" s="20">
        <v>45376</v>
      </c>
      <c r="B61" vm="177">
        <v>156.35</v>
      </c>
    </row>
    <row r="62" spans="1:2" x14ac:dyDescent="0.25">
      <c r="A62" s="20">
        <v>45376</v>
      </c>
      <c r="B62" vm="180">
        <v>157.74</v>
      </c>
    </row>
    <row r="63" spans="1:2" x14ac:dyDescent="0.25">
      <c r="A63" s="20">
        <v>45383</v>
      </c>
      <c r="B63" vm="183">
        <v>159.08000000000001</v>
      </c>
    </row>
    <row r="64" spans="1:2" x14ac:dyDescent="0.25">
      <c r="A64" s="20">
        <v>45383</v>
      </c>
      <c r="B64" vm="186">
        <v>159.78</v>
      </c>
    </row>
    <row r="65" spans="1:2" x14ac:dyDescent="0.25">
      <c r="A65" s="20">
        <v>45383</v>
      </c>
      <c r="B65" vm="189">
        <v>160.44</v>
      </c>
    </row>
    <row r="66" spans="1:2" x14ac:dyDescent="0.25">
      <c r="A66" s="20">
        <v>45383</v>
      </c>
      <c r="B66" vm="192">
        <v>160.69</v>
      </c>
    </row>
    <row r="67" spans="1:2" x14ac:dyDescent="0.25">
      <c r="A67" s="20">
        <v>45383</v>
      </c>
      <c r="B67" vm="195">
        <v>161.6</v>
      </c>
    </row>
    <row r="68" spans="1:2" x14ac:dyDescent="0.25">
      <c r="A68" s="20">
        <v>45390</v>
      </c>
      <c r="B68" vm="198">
        <v>161.27000000000001</v>
      </c>
    </row>
    <row r="69" spans="1:2" x14ac:dyDescent="0.25">
      <c r="A69" s="20">
        <v>45390</v>
      </c>
      <c r="B69" vm="201">
        <v>162</v>
      </c>
    </row>
    <row r="70" spans="1:2" x14ac:dyDescent="0.25">
      <c r="A70" s="20">
        <v>45390</v>
      </c>
      <c r="B70" vm="204">
        <v>162.66999999999999</v>
      </c>
    </row>
    <row r="71" spans="1:2" x14ac:dyDescent="0.25">
      <c r="A71" s="20">
        <v>45390</v>
      </c>
      <c r="B71" vm="207">
        <v>161.88999999999999</v>
      </c>
    </row>
    <row r="72" spans="1:2" x14ac:dyDescent="0.25">
      <c r="A72" s="20">
        <v>45390</v>
      </c>
      <c r="B72" vm="210">
        <v>158.96</v>
      </c>
    </row>
    <row r="73" spans="1:2" x14ac:dyDescent="0.25">
      <c r="A73" s="20">
        <v>45397</v>
      </c>
      <c r="B73" vm="213">
        <v>157.59</v>
      </c>
    </row>
    <row r="74" spans="1:2" x14ac:dyDescent="0.25">
      <c r="A74" s="20">
        <v>45397</v>
      </c>
      <c r="B74" vm="216">
        <v>156.28</v>
      </c>
    </row>
    <row r="75" spans="1:2" x14ac:dyDescent="0.25">
      <c r="A75" s="20">
        <v>45397</v>
      </c>
      <c r="B75" vm="219">
        <v>156.4</v>
      </c>
    </row>
    <row r="76" spans="1:2" x14ac:dyDescent="0.25">
      <c r="A76" s="20">
        <v>45397</v>
      </c>
      <c r="B76" vm="222">
        <v>157.57</v>
      </c>
    </row>
    <row r="77" spans="1:2" x14ac:dyDescent="0.25">
      <c r="A77" s="20">
        <v>45397</v>
      </c>
      <c r="B77" vm="225">
        <v>160</v>
      </c>
    </row>
    <row r="78" spans="1:2" x14ac:dyDescent="0.25">
      <c r="A78" s="20">
        <v>45404</v>
      </c>
      <c r="B78" vm="228">
        <v>161.91999999999999</v>
      </c>
    </row>
    <row r="79" spans="1:2" x14ac:dyDescent="0.25">
      <c r="A79" s="20">
        <v>45404</v>
      </c>
      <c r="B79" vm="231">
        <v>162.85</v>
      </c>
    </row>
    <row r="80" spans="1:2" x14ac:dyDescent="0.25">
      <c r="A80" s="20">
        <v>45404</v>
      </c>
      <c r="B80" vm="234">
        <v>163.57</v>
      </c>
    </row>
    <row r="81" spans="1:2" x14ac:dyDescent="0.25">
      <c r="A81" s="20">
        <v>45404</v>
      </c>
      <c r="B81" vm="237">
        <v>165.28</v>
      </c>
    </row>
    <row r="82" spans="1:2" x14ac:dyDescent="0.25">
      <c r="A82" s="20">
        <v>45404</v>
      </c>
      <c r="B82" vm="240">
        <v>165.89</v>
      </c>
    </row>
    <row r="83" spans="1:2" x14ac:dyDescent="0.25">
      <c r="A83" s="20">
        <v>45411</v>
      </c>
      <c r="B83" vm="243">
        <v>166.33</v>
      </c>
    </row>
    <row r="84" spans="1:2" x14ac:dyDescent="0.25">
      <c r="A84" s="20">
        <v>45411</v>
      </c>
      <c r="B84" vm="198">
        <v>161.27000000000001</v>
      </c>
    </row>
    <row r="85" spans="1:2" x14ac:dyDescent="0.25">
      <c r="A85" s="20">
        <v>45411</v>
      </c>
      <c r="B85" vm="248">
        <v>159.63</v>
      </c>
    </row>
    <row r="86" spans="1:2" x14ac:dyDescent="0.25">
      <c r="A86" s="20">
        <v>45411</v>
      </c>
      <c r="B86" vm="251">
        <v>160.72999999999999</v>
      </c>
    </row>
    <row r="87" spans="1:2" x14ac:dyDescent="0.25">
      <c r="A87" s="20">
        <v>45411</v>
      </c>
      <c r="B87" vm="254">
        <v>160.25</v>
      </c>
    </row>
    <row r="88" spans="1:2" x14ac:dyDescent="0.25">
      <c r="A88" s="20">
        <v>45418</v>
      </c>
      <c r="B88" vm="257">
        <v>162.30000000000001</v>
      </c>
    </row>
    <row r="89" spans="1:2" x14ac:dyDescent="0.25">
      <c r="A89" s="20">
        <v>45418</v>
      </c>
      <c r="B89" vm="204">
        <v>162.66999999999999</v>
      </c>
    </row>
    <row r="90" spans="1:2" x14ac:dyDescent="0.25">
      <c r="A90" s="20">
        <v>45418</v>
      </c>
      <c r="B90" vm="262">
        <v>162.54</v>
      </c>
    </row>
    <row r="91" spans="1:2" x14ac:dyDescent="0.25">
      <c r="A91" s="20">
        <v>45418</v>
      </c>
      <c r="B91" vm="265">
        <v>165.45</v>
      </c>
    </row>
    <row r="92" spans="1:2" x14ac:dyDescent="0.25">
      <c r="A92" s="20">
        <v>45418</v>
      </c>
      <c r="B92" vm="268">
        <v>165.82</v>
      </c>
    </row>
    <row r="93" spans="1:2" x14ac:dyDescent="0.25">
      <c r="A93" s="20">
        <v>45425</v>
      </c>
      <c r="B93" vm="271">
        <v>164.53</v>
      </c>
    </row>
    <row r="94" spans="1:2" x14ac:dyDescent="0.25">
      <c r="A94" s="20">
        <v>45425</v>
      </c>
      <c r="B94" vm="274">
        <v>163.61000000000001</v>
      </c>
    </row>
    <row r="95" spans="1:2" x14ac:dyDescent="0.25">
      <c r="A95" s="20">
        <v>45425</v>
      </c>
      <c r="B95" vm="277">
        <v>163.05000000000001</v>
      </c>
    </row>
    <row r="96" spans="1:2" x14ac:dyDescent="0.25">
      <c r="A96" s="20">
        <v>45425</v>
      </c>
      <c r="B96" vm="280">
        <v>161.09</v>
      </c>
    </row>
    <row r="97" spans="1:2" x14ac:dyDescent="0.25">
      <c r="A97" s="20">
        <v>45425</v>
      </c>
      <c r="B97" vm="204">
        <v>162.66999999999999</v>
      </c>
    </row>
    <row r="98" spans="1:2" x14ac:dyDescent="0.25">
      <c r="A98" s="20">
        <v>45432</v>
      </c>
      <c r="B98" vm="285">
        <v>161.13999999999999</v>
      </c>
    </row>
    <row r="99" spans="1:2" x14ac:dyDescent="0.25">
      <c r="A99" s="20">
        <v>45432</v>
      </c>
      <c r="B99" vm="288">
        <v>159.97</v>
      </c>
    </row>
    <row r="100" spans="1:2" x14ac:dyDescent="0.25">
      <c r="A100" s="20">
        <v>45432</v>
      </c>
      <c r="B100" vm="222">
        <v>157.57</v>
      </c>
    </row>
    <row r="101" spans="1:2" x14ac:dyDescent="0.25">
      <c r="A101" s="20">
        <v>45432</v>
      </c>
      <c r="B101" vm="293">
        <v>156.94</v>
      </c>
    </row>
    <row r="102" spans="1:2" x14ac:dyDescent="0.25">
      <c r="A102" s="20">
        <v>45432</v>
      </c>
      <c r="B102" vm="296">
        <v>157.75</v>
      </c>
    </row>
    <row r="103" spans="1:2" x14ac:dyDescent="0.25">
      <c r="A103" s="20">
        <v>45439</v>
      </c>
      <c r="B103" vm="299">
        <v>159.04</v>
      </c>
    </row>
    <row r="104" spans="1:2" x14ac:dyDescent="0.25">
      <c r="A104" s="20">
        <v>45439</v>
      </c>
      <c r="B104" vm="302">
        <v>156.9</v>
      </c>
    </row>
    <row r="105" spans="1:2" x14ac:dyDescent="0.25">
      <c r="A105" s="20">
        <v>45439</v>
      </c>
      <c r="B105" vm="305">
        <v>158.26</v>
      </c>
    </row>
    <row r="106" spans="1:2" x14ac:dyDescent="0.25">
      <c r="A106" s="20">
        <v>45439</v>
      </c>
      <c r="B106" vm="257">
        <v>162.30000000000001</v>
      </c>
    </row>
    <row r="107" spans="1:2" x14ac:dyDescent="0.25">
      <c r="A107" s="20">
        <v>45446</v>
      </c>
      <c r="B107" vm="310">
        <v>157.46</v>
      </c>
    </row>
    <row r="108" spans="1:2" x14ac:dyDescent="0.25">
      <c r="A108" s="20">
        <v>45446</v>
      </c>
      <c r="B108" vm="313">
        <v>156.13</v>
      </c>
    </row>
    <row r="109" spans="1:2" x14ac:dyDescent="0.25">
      <c r="A109" s="20">
        <v>45446</v>
      </c>
      <c r="B109" vm="316">
        <v>154.97999999999999</v>
      </c>
    </row>
    <row r="110" spans="1:2" x14ac:dyDescent="0.25">
      <c r="A110" s="20">
        <v>45446</v>
      </c>
      <c r="B110" vm="319">
        <v>155.93</v>
      </c>
    </row>
    <row r="111" spans="1:2" x14ac:dyDescent="0.25">
      <c r="A111" s="20">
        <v>45446</v>
      </c>
      <c r="B111" vm="322">
        <v>156.08000000000001</v>
      </c>
    </row>
    <row r="112" spans="1:2" x14ac:dyDescent="0.25">
      <c r="A112" s="20">
        <v>45453</v>
      </c>
      <c r="B112" vm="325">
        <v>156.74</v>
      </c>
    </row>
    <row r="113" spans="1:2" x14ac:dyDescent="0.25">
      <c r="A113" s="20">
        <v>45453</v>
      </c>
      <c r="B113" vm="328">
        <v>156.49</v>
      </c>
    </row>
    <row r="114" spans="1:2" x14ac:dyDescent="0.25">
      <c r="A114" s="20">
        <v>45453</v>
      </c>
      <c r="B114" vm="331">
        <v>154.22</v>
      </c>
    </row>
    <row r="115" spans="1:2" x14ac:dyDescent="0.25">
      <c r="A115" s="20">
        <v>45453</v>
      </c>
      <c r="B115" vm="334">
        <v>152.84</v>
      </c>
    </row>
    <row r="116" spans="1:2" x14ac:dyDescent="0.25">
      <c r="A116" s="20">
        <v>45453</v>
      </c>
      <c r="B116" vm="337">
        <v>152.57</v>
      </c>
    </row>
    <row r="117" spans="1:2" x14ac:dyDescent="0.25">
      <c r="A117" s="20">
        <v>45460</v>
      </c>
      <c r="B117" vm="340">
        <v>153.19</v>
      </c>
    </row>
    <row r="118" spans="1:2" x14ac:dyDescent="0.25">
      <c r="A118" s="20">
        <v>45460</v>
      </c>
      <c r="B118" vm="343">
        <v>153.33000000000001</v>
      </c>
    </row>
    <row r="119" spans="1:2" x14ac:dyDescent="0.25">
      <c r="A119" s="20">
        <v>45460</v>
      </c>
      <c r="B119" vm="346">
        <v>156.63999999999999</v>
      </c>
    </row>
    <row r="120" spans="1:2" x14ac:dyDescent="0.25">
      <c r="A120" s="20">
        <v>45460</v>
      </c>
      <c r="B120" vm="349">
        <v>155.28</v>
      </c>
    </row>
    <row r="121" spans="1:2" x14ac:dyDescent="0.25">
      <c r="A121" s="20">
        <v>45467</v>
      </c>
      <c r="B121" vm="352">
        <v>159.31</v>
      </c>
    </row>
    <row r="122" spans="1:2" x14ac:dyDescent="0.25">
      <c r="A122" s="20">
        <v>45467</v>
      </c>
      <c r="B122" vm="355">
        <v>158.46</v>
      </c>
    </row>
    <row r="123" spans="1:2" x14ac:dyDescent="0.25">
      <c r="A123" s="20">
        <v>45467</v>
      </c>
      <c r="B123" vm="358">
        <v>155.94999999999999</v>
      </c>
    </row>
    <row r="124" spans="1:2" x14ac:dyDescent="0.25">
      <c r="A124" s="20">
        <v>45467</v>
      </c>
      <c r="B124" vm="361">
        <v>156.32</v>
      </c>
    </row>
    <row r="125" spans="1:2" x14ac:dyDescent="0.25">
      <c r="A125" s="20">
        <v>45467</v>
      </c>
      <c r="B125" vm="364">
        <v>156.41999999999999</v>
      </c>
    </row>
    <row r="126" spans="1:2" x14ac:dyDescent="0.25">
      <c r="A126" s="20">
        <v>45474</v>
      </c>
      <c r="B126" vm="367">
        <v>156.52000000000001</v>
      </c>
    </row>
    <row r="127" spans="1:2" x14ac:dyDescent="0.25">
      <c r="A127" s="20">
        <v>45474</v>
      </c>
      <c r="B127" vm="370">
        <v>156.75</v>
      </c>
    </row>
    <row r="128" spans="1:2" x14ac:dyDescent="0.25">
      <c r="A128" s="20">
        <v>45474</v>
      </c>
      <c r="B128" vm="373">
        <v>156.71</v>
      </c>
    </row>
    <row r="129" spans="1:2" x14ac:dyDescent="0.25">
      <c r="A129" s="20">
        <v>45474</v>
      </c>
      <c r="B129" vm="376">
        <v>154.31</v>
      </c>
    </row>
    <row r="130" spans="1:2" x14ac:dyDescent="0.25">
      <c r="A130" s="20">
        <v>45481</v>
      </c>
      <c r="B130" vm="379">
        <v>154.33000000000001</v>
      </c>
    </row>
    <row r="131" spans="1:2" x14ac:dyDescent="0.25">
      <c r="A131" s="20">
        <v>45481</v>
      </c>
      <c r="B131" vm="382">
        <v>152.97999999999999</v>
      </c>
    </row>
    <row r="132" spans="1:2" x14ac:dyDescent="0.25">
      <c r="A132" s="20">
        <v>45481</v>
      </c>
      <c r="B132" vm="385">
        <v>155.13</v>
      </c>
    </row>
    <row r="133" spans="1:2" x14ac:dyDescent="0.25">
      <c r="A133" s="20">
        <v>45481</v>
      </c>
      <c r="B133" vm="388">
        <v>155.26</v>
      </c>
    </row>
    <row r="134" spans="1:2" x14ac:dyDescent="0.25">
      <c r="A134" s="20">
        <v>45481</v>
      </c>
      <c r="B134" vm="391">
        <v>155.59</v>
      </c>
    </row>
    <row r="135" spans="1:2" x14ac:dyDescent="0.25">
      <c r="A135" s="20">
        <v>45488</v>
      </c>
      <c r="B135" vm="394">
        <v>158.04</v>
      </c>
    </row>
    <row r="136" spans="1:2" x14ac:dyDescent="0.25">
      <c r="A136" s="20">
        <v>45488</v>
      </c>
      <c r="B136" vm="397">
        <v>157.77000000000001</v>
      </c>
    </row>
    <row r="137" spans="1:2" x14ac:dyDescent="0.25">
      <c r="A137" s="20">
        <v>45488</v>
      </c>
      <c r="B137" vm="400">
        <v>161.22999999999999</v>
      </c>
    </row>
    <row r="138" spans="1:2" x14ac:dyDescent="0.25">
      <c r="A138" s="20">
        <v>45488</v>
      </c>
      <c r="B138" vm="403">
        <v>161.97</v>
      </c>
    </row>
    <row r="139" spans="1:2" x14ac:dyDescent="0.25">
      <c r="A139" s="20">
        <v>45488</v>
      </c>
      <c r="B139" vm="406">
        <v>159.15</v>
      </c>
    </row>
    <row r="140" spans="1:2" x14ac:dyDescent="0.25">
      <c r="A140" s="20">
        <v>45495</v>
      </c>
      <c r="B140" vm="409">
        <v>156.99</v>
      </c>
    </row>
    <row r="141" spans="1:2" x14ac:dyDescent="0.25">
      <c r="A141" s="20">
        <v>45495</v>
      </c>
      <c r="B141" vm="412">
        <v>154.09</v>
      </c>
    </row>
    <row r="142" spans="1:2" x14ac:dyDescent="0.25">
      <c r="A142" s="20">
        <v>45495</v>
      </c>
      <c r="B142" vm="415">
        <v>155.07</v>
      </c>
    </row>
    <row r="143" spans="1:2" x14ac:dyDescent="0.25">
      <c r="A143" s="20">
        <v>45495</v>
      </c>
      <c r="B143" vm="418">
        <v>157.54</v>
      </c>
    </row>
    <row r="144" spans="1:2" x14ac:dyDescent="0.25">
      <c r="A144" s="20">
        <v>45495</v>
      </c>
      <c r="B144" vm="421">
        <v>157.84</v>
      </c>
    </row>
    <row r="145" spans="1:2" x14ac:dyDescent="0.25">
      <c r="A145" s="20">
        <v>45502</v>
      </c>
      <c r="B145" vm="424">
        <v>156.6</v>
      </c>
    </row>
    <row r="146" spans="1:2" x14ac:dyDescent="0.25">
      <c r="A146" s="20">
        <v>45502</v>
      </c>
      <c r="B146" vm="427">
        <v>159.57</v>
      </c>
    </row>
    <row r="147" spans="1:2" x14ac:dyDescent="0.25">
      <c r="A147" s="20">
        <v>45502</v>
      </c>
      <c r="B147" vm="430">
        <v>160.47</v>
      </c>
    </row>
    <row r="148" spans="1:2" x14ac:dyDescent="0.25">
      <c r="A148" s="20">
        <v>45502</v>
      </c>
      <c r="B148" vm="433">
        <v>152.62</v>
      </c>
    </row>
    <row r="149" spans="1:2" x14ac:dyDescent="0.25">
      <c r="A149" s="20">
        <v>45502</v>
      </c>
      <c r="B149" vm="436">
        <v>148.55000000000001</v>
      </c>
    </row>
    <row r="150" spans="1:2" x14ac:dyDescent="0.25">
      <c r="A150" s="20">
        <v>45509</v>
      </c>
      <c r="B150" vm="439">
        <v>144.66</v>
      </c>
    </row>
    <row r="151" spans="1:2" x14ac:dyDescent="0.25">
      <c r="A151" s="20">
        <v>45509</v>
      </c>
      <c r="B151" vm="442">
        <v>143.22999999999999</v>
      </c>
    </row>
    <row r="152" spans="1:2" x14ac:dyDescent="0.25">
      <c r="A152" s="20">
        <v>45509</v>
      </c>
      <c r="B152" vm="445">
        <v>142.41</v>
      </c>
    </row>
    <row r="153" spans="1:2" x14ac:dyDescent="0.25">
      <c r="A153" s="20">
        <v>45509</v>
      </c>
      <c r="B153" vm="448">
        <v>144.49</v>
      </c>
    </row>
    <row r="154" spans="1:2" x14ac:dyDescent="0.25">
      <c r="A154" s="20">
        <v>45509</v>
      </c>
      <c r="B154" vm="451">
        <v>144.99</v>
      </c>
    </row>
    <row r="155" spans="1:2" x14ac:dyDescent="0.25">
      <c r="A155" s="20">
        <v>45516</v>
      </c>
      <c r="B155" vm="454">
        <v>145.02000000000001</v>
      </c>
    </row>
    <row r="156" spans="1:2" x14ac:dyDescent="0.25">
      <c r="A156" s="20">
        <v>45516</v>
      </c>
      <c r="B156" vm="457">
        <v>144.15</v>
      </c>
    </row>
    <row r="157" spans="1:2" x14ac:dyDescent="0.25">
      <c r="A157" s="20">
        <v>45516</v>
      </c>
      <c r="B157" vm="460">
        <v>144.66999999999999</v>
      </c>
    </row>
    <row r="158" spans="1:2" x14ac:dyDescent="0.25">
      <c r="A158" s="20">
        <v>45516</v>
      </c>
      <c r="B158" vm="463">
        <v>146.80000000000001</v>
      </c>
    </row>
    <row r="159" spans="1:2" x14ac:dyDescent="0.25">
      <c r="A159" s="20">
        <v>45516</v>
      </c>
      <c r="B159" vm="26">
        <v>147.27000000000001</v>
      </c>
    </row>
    <row r="160" spans="1:2" x14ac:dyDescent="0.25">
      <c r="A160" s="20">
        <v>45523</v>
      </c>
      <c r="B160" vm="468">
        <v>146.83000000000001</v>
      </c>
    </row>
    <row r="161" spans="1:2" x14ac:dyDescent="0.25">
      <c r="A161" s="20">
        <v>45523</v>
      </c>
      <c r="B161" vm="471">
        <v>144.69</v>
      </c>
    </row>
    <row r="162" spans="1:2" x14ac:dyDescent="0.25">
      <c r="A162" s="20">
        <v>45523</v>
      </c>
      <c r="B162" vm="474">
        <v>145.32</v>
      </c>
    </row>
    <row r="163" spans="1:2" x14ac:dyDescent="0.25">
      <c r="A163" s="20">
        <v>45523</v>
      </c>
      <c r="B163" vm="477">
        <v>145.72999999999999</v>
      </c>
    </row>
    <row r="164" spans="1:2" x14ac:dyDescent="0.25">
      <c r="A164" s="20">
        <v>45523</v>
      </c>
      <c r="B164" vm="480">
        <v>147.62</v>
      </c>
    </row>
    <row r="165" spans="1:2" x14ac:dyDescent="0.25">
      <c r="A165" s="20">
        <v>45530</v>
      </c>
      <c r="B165" vm="483">
        <v>148.5</v>
      </c>
    </row>
    <row r="166" spans="1:2" x14ac:dyDescent="0.25">
      <c r="A166" s="20">
        <v>45530</v>
      </c>
      <c r="B166" vm="486">
        <v>146.94999999999999</v>
      </c>
    </row>
    <row r="167" spans="1:2" x14ac:dyDescent="0.25">
      <c r="A167" s="20">
        <v>45530</v>
      </c>
      <c r="B167" vm="489">
        <v>146</v>
      </c>
    </row>
    <row r="168" spans="1:2" x14ac:dyDescent="0.25">
      <c r="A168" s="20">
        <v>45530</v>
      </c>
      <c r="B168" vm="492">
        <v>147.41999999999999</v>
      </c>
    </row>
    <row r="169" spans="1:2" x14ac:dyDescent="0.25">
      <c r="A169" s="20">
        <v>45530</v>
      </c>
      <c r="B169" vm="495">
        <v>147.94999999999999</v>
      </c>
    </row>
    <row r="170" spans="1:2" x14ac:dyDescent="0.25">
      <c r="A170" s="20">
        <v>45537</v>
      </c>
      <c r="B170" vm="439">
        <v>144.66</v>
      </c>
    </row>
    <row r="171" spans="1:2" x14ac:dyDescent="0.25">
      <c r="A171" s="20">
        <v>45537</v>
      </c>
      <c r="B171" vm="500">
        <v>142.07</v>
      </c>
    </row>
    <row r="172" spans="1:2" x14ac:dyDescent="0.25">
      <c r="A172" s="20">
        <v>45537</v>
      </c>
      <c r="B172" vm="503">
        <v>140.93</v>
      </c>
    </row>
    <row r="173" spans="1:2" x14ac:dyDescent="0.25">
      <c r="A173" s="20">
        <v>45537</v>
      </c>
      <c r="B173" vm="506">
        <v>138.56</v>
      </c>
    </row>
    <row r="174" spans="1:2" x14ac:dyDescent="0.25">
      <c r="A174" s="20">
        <v>45544</v>
      </c>
      <c r="B174" vm="509">
        <v>140.30000000000001</v>
      </c>
    </row>
    <row r="175" spans="1:2" x14ac:dyDescent="0.25">
      <c r="A175" s="20">
        <v>45544</v>
      </c>
      <c r="B175" vm="512">
        <v>138.22999999999999</v>
      </c>
    </row>
    <row r="176" spans="1:2" x14ac:dyDescent="0.25">
      <c r="A176" s="20">
        <v>45544</v>
      </c>
      <c r="B176" vm="515">
        <v>137.88</v>
      </c>
    </row>
    <row r="177" spans="1:2" x14ac:dyDescent="0.25">
      <c r="A177" s="20">
        <v>45544</v>
      </c>
      <c r="B177" vm="518">
        <v>139.21</v>
      </c>
    </row>
    <row r="178" spans="1:2" x14ac:dyDescent="0.25">
      <c r="A178" s="20">
        <v>45544</v>
      </c>
      <c r="B178" vm="521">
        <v>140.61000000000001</v>
      </c>
    </row>
    <row r="179" spans="1:2" x14ac:dyDescent="0.25">
      <c r="A179" s="20">
        <v>45551</v>
      </c>
      <c r="B179" vm="44">
        <v>142.09</v>
      </c>
    </row>
    <row r="180" spans="1:2" x14ac:dyDescent="0.25">
      <c r="A180" s="20">
        <v>45551</v>
      </c>
      <c r="B180" vm="526">
        <v>143.41</v>
      </c>
    </row>
    <row r="181" spans="1:2" x14ac:dyDescent="0.25">
      <c r="A181" s="20">
        <v>45551</v>
      </c>
      <c r="B181" vm="529">
        <v>143.96</v>
      </c>
    </row>
    <row r="182" spans="1:2" x14ac:dyDescent="0.25">
      <c r="A182" s="20">
        <v>45551</v>
      </c>
      <c r="B182" vm="451">
        <v>144.99</v>
      </c>
    </row>
    <row r="183" spans="1:2" x14ac:dyDescent="0.25">
      <c r="A183" s="20">
        <v>45551</v>
      </c>
      <c r="B183" vm="534">
        <v>145.68</v>
      </c>
    </row>
    <row r="184" spans="1:2" x14ac:dyDescent="0.25">
      <c r="A184" s="20">
        <v>45558</v>
      </c>
      <c r="B184" vm="537">
        <v>147.54</v>
      </c>
    </row>
    <row r="185" spans="1:2" x14ac:dyDescent="0.25">
      <c r="A185" s="20">
        <v>45558</v>
      </c>
      <c r="B185" vm="540">
        <v>147.44999999999999</v>
      </c>
    </row>
    <row r="186" spans="1:2" x14ac:dyDescent="0.25">
      <c r="A186" s="20">
        <v>45558</v>
      </c>
      <c r="B186" vm="543">
        <v>143.97</v>
      </c>
    </row>
    <row r="187" spans="1:2" x14ac:dyDescent="0.25">
      <c r="A187" s="20">
        <v>45558</v>
      </c>
      <c r="B187" vm="546">
        <v>141.99</v>
      </c>
    </row>
    <row r="188" spans="1:2" x14ac:dyDescent="0.25">
      <c r="A188" s="20">
        <v>45558</v>
      </c>
      <c r="B188" vm="549">
        <v>145.49</v>
      </c>
    </row>
    <row r="189" spans="1:2" x14ac:dyDescent="0.25">
      <c r="A189" s="20">
        <v>45565</v>
      </c>
      <c r="B189" vm="26">
        <v>147.27000000000001</v>
      </c>
    </row>
    <row r="190" spans="1:2" x14ac:dyDescent="0.25">
      <c r="A190" s="20">
        <v>45565</v>
      </c>
      <c r="B190" vm="554">
        <v>149.69999999999999</v>
      </c>
    </row>
    <row r="191" spans="1:2" x14ac:dyDescent="0.25">
      <c r="A191" s="20">
        <v>45565</v>
      </c>
      <c r="B191" vm="557">
        <v>150.94999999999999</v>
      </c>
    </row>
    <row r="192" spans="1:2" x14ac:dyDescent="0.25">
      <c r="A192" s="20">
        <v>45565</v>
      </c>
      <c r="B192" vm="560">
        <v>151.25</v>
      </c>
    </row>
    <row r="193" spans="1:2" x14ac:dyDescent="0.25">
      <c r="A193" s="20">
        <v>45565</v>
      </c>
      <c r="B193" vm="563">
        <v>150.74</v>
      </c>
    </row>
    <row r="194" spans="1:2" x14ac:dyDescent="0.25">
      <c r="A194" s="20">
        <v>45572</v>
      </c>
      <c r="B194" vm="566">
        <v>151.12</v>
      </c>
    </row>
    <row r="195" spans="1:2" x14ac:dyDescent="0.25">
      <c r="A195" s="20">
        <v>45572</v>
      </c>
      <c r="B195" vm="569">
        <v>148.75</v>
      </c>
    </row>
    <row r="196" spans="1:2" x14ac:dyDescent="0.25">
      <c r="A196" s="20">
        <v>45572</v>
      </c>
      <c r="B196" vm="572">
        <v>149.65</v>
      </c>
    </row>
    <row r="197" spans="1:2" x14ac:dyDescent="0.25">
      <c r="A197" s="20">
        <v>45572</v>
      </c>
      <c r="B197" vm="575">
        <v>150.62</v>
      </c>
    </row>
    <row r="198" spans="1:2" x14ac:dyDescent="0.25">
      <c r="A198" s="20">
        <v>45572</v>
      </c>
      <c r="B198" vm="578">
        <v>151.41999999999999</v>
      </c>
    </row>
    <row r="199" spans="1:2" x14ac:dyDescent="0.25">
      <c r="A199" s="20">
        <v>45579</v>
      </c>
      <c r="B199" vm="581">
        <v>151.78</v>
      </c>
    </row>
    <row r="200" spans="1:2" x14ac:dyDescent="0.25">
      <c r="A200" s="20">
        <v>45579</v>
      </c>
      <c r="B200" vm="584">
        <v>147.72999999999999</v>
      </c>
    </row>
    <row r="201" spans="1:2" x14ac:dyDescent="0.25">
      <c r="A201" s="20">
        <v>45579</v>
      </c>
      <c r="B201" vm="587">
        <v>148.72999999999999</v>
      </c>
    </row>
    <row r="202" spans="1:2" x14ac:dyDescent="0.25">
      <c r="A202" s="20">
        <v>45579</v>
      </c>
      <c r="B202" vm="590">
        <v>151.19999999999999</v>
      </c>
    </row>
    <row r="203" spans="1:2" x14ac:dyDescent="0.25">
      <c r="A203" s="20">
        <v>45579</v>
      </c>
      <c r="B203" vm="593">
        <v>150.75</v>
      </c>
    </row>
    <row r="204" spans="1:2" x14ac:dyDescent="0.25">
      <c r="A204" s="20">
        <v>45586</v>
      </c>
      <c r="B204" vm="596">
        <v>150.88</v>
      </c>
    </row>
    <row r="205" spans="1:2" x14ac:dyDescent="0.25">
      <c r="A205" s="20">
        <v>45586</v>
      </c>
      <c r="B205" vm="599">
        <v>150.91999999999999</v>
      </c>
    </row>
    <row r="206" spans="1:2" x14ac:dyDescent="0.25">
      <c r="A206" s="20">
        <v>45586</v>
      </c>
      <c r="B206" vm="602">
        <v>150.47999999999999</v>
      </c>
    </row>
    <row r="207" spans="1:2" x14ac:dyDescent="0.25">
      <c r="A207" s="20">
        <v>45586</v>
      </c>
      <c r="B207" vm="605">
        <v>150.44999999999999</v>
      </c>
    </row>
    <row r="208" spans="1:2" x14ac:dyDescent="0.25">
      <c r="A208" s="20">
        <v>45586</v>
      </c>
      <c r="B208" vm="608">
        <v>150.81</v>
      </c>
    </row>
    <row r="209" spans="1:2" x14ac:dyDescent="0.25">
      <c r="A209" s="20">
        <v>45593</v>
      </c>
      <c r="B209" vm="611">
        <v>150.54</v>
      </c>
    </row>
    <row r="210" spans="1:2" x14ac:dyDescent="0.25">
      <c r="A210" s="20">
        <v>45593</v>
      </c>
      <c r="B210" vm="614">
        <v>148.52000000000001</v>
      </c>
    </row>
    <row r="211" spans="1:2" x14ac:dyDescent="0.25">
      <c r="A211" s="20">
        <v>45593</v>
      </c>
      <c r="B211" vm="617">
        <v>148.05000000000001</v>
      </c>
    </row>
    <row r="212" spans="1:2" x14ac:dyDescent="0.25">
      <c r="A212" s="20">
        <v>45593</v>
      </c>
      <c r="B212" vm="620">
        <v>148.82</v>
      </c>
    </row>
    <row r="213" spans="1:2" x14ac:dyDescent="0.25">
      <c r="A213" s="20">
        <v>45593</v>
      </c>
      <c r="B213" vm="623">
        <v>153.07</v>
      </c>
    </row>
    <row r="214" spans="1:2" x14ac:dyDescent="0.25">
      <c r="A214" s="20">
        <v>45600</v>
      </c>
      <c r="B214" vm="626">
        <v>153.97</v>
      </c>
    </row>
    <row r="215" spans="1:2" x14ac:dyDescent="0.25">
      <c r="A215" s="20">
        <v>45600</v>
      </c>
      <c r="B215" vm="629">
        <v>153.41</v>
      </c>
    </row>
    <row r="216" spans="1:2" x14ac:dyDescent="0.25">
      <c r="A216" s="20">
        <v>45600</v>
      </c>
      <c r="B216" vm="632">
        <v>157.72</v>
      </c>
    </row>
    <row r="217" spans="1:2" x14ac:dyDescent="0.25">
      <c r="A217" s="20">
        <v>45600</v>
      </c>
      <c r="B217" vm="635">
        <v>156.77000000000001</v>
      </c>
    </row>
    <row r="218" spans="1:2" x14ac:dyDescent="0.25">
      <c r="A218" s="20">
        <v>45600</v>
      </c>
      <c r="B218" vm="638">
        <v>156.93</v>
      </c>
    </row>
    <row r="219" spans="1:2" x14ac:dyDescent="0.25">
      <c r="A219" s="20">
        <v>45607</v>
      </c>
      <c r="B219" vm="641">
        <v>156.5</v>
      </c>
    </row>
    <row r="220" spans="1:2" x14ac:dyDescent="0.25">
      <c r="A220" s="20">
        <v>45607</v>
      </c>
      <c r="B220" vm="644">
        <v>155.29</v>
      </c>
    </row>
    <row r="221" spans="1:2" x14ac:dyDescent="0.25">
      <c r="A221" s="20">
        <v>45607</v>
      </c>
      <c r="B221" vm="647">
        <v>158.72</v>
      </c>
    </row>
    <row r="222" spans="1:2" x14ac:dyDescent="0.25">
      <c r="A222" s="20">
        <v>45607</v>
      </c>
      <c r="B222" vm="650">
        <v>161.80000000000001</v>
      </c>
    </row>
    <row r="223" spans="1:2" x14ac:dyDescent="0.25">
      <c r="A223" s="20">
        <v>45607</v>
      </c>
      <c r="B223" vm="653">
        <v>161.41999999999999</v>
      </c>
    </row>
    <row r="224" spans="1:2" x14ac:dyDescent="0.25">
      <c r="A224" s="20">
        <v>45614</v>
      </c>
      <c r="B224" vm="656">
        <v>160.76</v>
      </c>
    </row>
    <row r="225" spans="1:2" x14ac:dyDescent="0.25">
      <c r="A225" s="20">
        <v>45614</v>
      </c>
      <c r="B225" vm="659">
        <v>159.6</v>
      </c>
    </row>
    <row r="226" spans="1:2" x14ac:dyDescent="0.25">
      <c r="A226" s="20">
        <v>45614</v>
      </c>
      <c r="B226" vm="662">
        <v>161.33000000000001</v>
      </c>
    </row>
    <row r="227" spans="1:2" x14ac:dyDescent="0.25">
      <c r="A227" s="20">
        <v>45614</v>
      </c>
      <c r="B227" vm="665">
        <v>161.63</v>
      </c>
    </row>
    <row r="228" spans="1:2" x14ac:dyDescent="0.25">
      <c r="A228" s="20">
        <v>45614</v>
      </c>
      <c r="B228" vm="668">
        <v>162.36000000000001</v>
      </c>
    </row>
    <row r="229" spans="1:2" x14ac:dyDescent="0.25">
      <c r="A229" s="20">
        <v>45621</v>
      </c>
      <c r="B229" vm="671">
        <v>160.36000000000001</v>
      </c>
    </row>
    <row r="230" spans="1:2" x14ac:dyDescent="0.25">
      <c r="A230" s="20">
        <v>45621</v>
      </c>
      <c r="B230" vm="674">
        <v>162.53</v>
      </c>
    </row>
    <row r="231" spans="1:2" x14ac:dyDescent="0.25">
      <c r="A231" s="20">
        <v>45621</v>
      </c>
      <c r="B231" vm="677">
        <v>162.11000000000001</v>
      </c>
    </row>
    <row r="232" spans="1:2" x14ac:dyDescent="0.25">
      <c r="A232" s="20">
        <v>45621</v>
      </c>
      <c r="B232" vm="680">
        <v>161.93</v>
      </c>
    </row>
    <row r="233" spans="1:2" x14ac:dyDescent="0.25">
      <c r="A233" s="20">
        <v>45628</v>
      </c>
      <c r="B233" vm="683">
        <v>162.21</v>
      </c>
    </row>
    <row r="234" spans="1:2" x14ac:dyDescent="0.25">
      <c r="A234" s="20">
        <v>45628</v>
      </c>
      <c r="B234" vm="228">
        <v>161.91999999999999</v>
      </c>
    </row>
    <row r="235" spans="1:2" x14ac:dyDescent="0.25">
      <c r="A235" s="20">
        <v>45628</v>
      </c>
      <c r="B235" vm="688">
        <v>158.32</v>
      </c>
    </row>
    <row r="236" spans="1:2" x14ac:dyDescent="0.25">
      <c r="A236" s="20">
        <v>45628</v>
      </c>
      <c r="B236" vm="691">
        <v>159.33000000000001</v>
      </c>
    </row>
    <row r="237" spans="1:2" x14ac:dyDescent="0.25">
      <c r="A237" s="20">
        <v>45628</v>
      </c>
      <c r="B237" vm="694">
        <v>155.24</v>
      </c>
    </row>
    <row r="238" spans="1:2" x14ac:dyDescent="0.25">
      <c r="A238" s="20">
        <v>45635</v>
      </c>
      <c r="B238" vm="697">
        <v>157.08000000000001</v>
      </c>
    </row>
    <row r="239" spans="1:2" x14ac:dyDescent="0.25">
      <c r="A239" s="20">
        <v>45635</v>
      </c>
      <c r="B239" vm="700">
        <v>157</v>
      </c>
    </row>
    <row r="240" spans="1:2" x14ac:dyDescent="0.25">
      <c r="A240" s="20">
        <v>45635</v>
      </c>
      <c r="B240" vm="703">
        <v>156.21</v>
      </c>
    </row>
    <row r="241" spans="1:2" x14ac:dyDescent="0.25">
      <c r="A241" s="20">
        <v>45635</v>
      </c>
      <c r="B241" vm="706">
        <v>154.71</v>
      </c>
    </row>
    <row r="242" spans="1:2" x14ac:dyDescent="0.25">
      <c r="A242" s="20">
        <v>45635</v>
      </c>
      <c r="B242" vm="709">
        <v>153.87</v>
      </c>
    </row>
    <row r="243" spans="1:2" x14ac:dyDescent="0.25">
      <c r="A243" s="20">
        <v>45642</v>
      </c>
      <c r="B243" vm="712">
        <v>149.36000000000001</v>
      </c>
    </row>
    <row r="244" spans="1:2" x14ac:dyDescent="0.25">
      <c r="A244" s="20">
        <v>45642</v>
      </c>
      <c r="B244" vm="715">
        <v>148.11000000000001</v>
      </c>
    </row>
    <row r="245" spans="1:2" x14ac:dyDescent="0.25">
      <c r="A245" s="20">
        <v>45642</v>
      </c>
      <c r="B245" vm="718">
        <v>144.08000000000001</v>
      </c>
    </row>
    <row r="246" spans="1:2" x14ac:dyDescent="0.25">
      <c r="A246" s="20">
        <v>45642</v>
      </c>
      <c r="B246" vm="721">
        <v>141.15</v>
      </c>
    </row>
    <row r="247" spans="1:2" x14ac:dyDescent="0.25">
      <c r="A247" s="20">
        <v>45642</v>
      </c>
      <c r="B247" vm="724">
        <v>142.85</v>
      </c>
    </row>
    <row r="248" spans="1:2" x14ac:dyDescent="0.25">
      <c r="A248" s="20">
        <v>45649</v>
      </c>
      <c r="B248" vm="727">
        <v>142.97</v>
      </c>
    </row>
    <row r="249" spans="1:2" x14ac:dyDescent="0.25">
      <c r="A249" s="20">
        <v>45649</v>
      </c>
      <c r="B249" vm="730">
        <v>143.84</v>
      </c>
    </row>
    <row r="250" spans="1:2" x14ac:dyDescent="0.25">
      <c r="A250" s="20">
        <v>45649</v>
      </c>
      <c r="B250" vm="733">
        <v>143.97999999999999</v>
      </c>
    </row>
    <row r="251" spans="1:2" x14ac:dyDescent="0.25">
      <c r="A251" s="20">
        <v>45649</v>
      </c>
      <c r="B251" vm="736">
        <v>144</v>
      </c>
    </row>
    <row r="252" spans="1:2" x14ac:dyDescent="0.25">
      <c r="A252" s="20">
        <v>45656</v>
      </c>
      <c r="B252" vm="739">
        <v>143.07</v>
      </c>
    </row>
    <row r="253" spans="1:2" x14ac:dyDescent="0.25">
      <c r="A253" s="20">
        <v>45656</v>
      </c>
      <c r="B253" vm="742">
        <v>144.84</v>
      </c>
    </row>
    <row r="254" spans="1:2" x14ac:dyDescent="0.25">
      <c r="A254" s="20">
        <v>45656</v>
      </c>
      <c r="B254" vm="745">
        <v>146.71</v>
      </c>
    </row>
    <row r="255" spans="1:2" x14ac:dyDescent="0.25">
      <c r="A255" s="20">
        <v>45656</v>
      </c>
      <c r="B255" vm="748">
        <v>147.85</v>
      </c>
    </row>
    <row r="256" spans="1:2" x14ac:dyDescent="0.25">
      <c r="A256" s="20">
        <v>45663</v>
      </c>
      <c r="B256" vm="751">
        <v>147.26</v>
      </c>
    </row>
    <row r="257" spans="1:2" x14ac:dyDescent="0.25">
      <c r="A257" s="20">
        <v>45663</v>
      </c>
      <c r="B257" vm="130">
        <v>149.59</v>
      </c>
    </row>
    <row r="258" spans="1:2" x14ac:dyDescent="0.25">
      <c r="A258" s="20">
        <v>45663</v>
      </c>
      <c r="B258" vm="756">
        <v>150.30000000000001</v>
      </c>
    </row>
    <row r="259" spans="1:2" x14ac:dyDescent="0.25">
      <c r="A259" s="20">
        <v>45663</v>
      </c>
      <c r="B259" vm="759">
        <v>153.13999999999999</v>
      </c>
    </row>
    <row r="260" spans="1:2" x14ac:dyDescent="0.25">
      <c r="A260" s="20">
        <v>45670</v>
      </c>
      <c r="B260" vm="762">
        <v>155.35</v>
      </c>
    </row>
    <row r="261" spans="1:2" x14ac:dyDescent="0.25">
      <c r="A261" s="20">
        <v>45670</v>
      </c>
      <c r="B261" vm="302">
        <v>156.9</v>
      </c>
    </row>
    <row r="262" spans="1:2" x14ac:dyDescent="0.25">
      <c r="A262" s="20">
        <v>45670</v>
      </c>
      <c r="B262" vm="767">
        <v>158.33000000000001</v>
      </c>
    </row>
    <row r="263" spans="1:2" x14ac:dyDescent="0.25">
      <c r="A263" s="20">
        <v>45670</v>
      </c>
      <c r="B263" vm="770">
        <v>159.38</v>
      </c>
    </row>
    <row r="264" spans="1:2" x14ac:dyDescent="0.25">
      <c r="A264" s="20">
        <v>45670</v>
      </c>
      <c r="B264" vm="773">
        <v>161.47</v>
      </c>
    </row>
    <row r="265" spans="1:2" x14ac:dyDescent="0.25">
      <c r="A265" s="20">
        <v>45677</v>
      </c>
      <c r="B265" vm="776">
        <v>158.24</v>
      </c>
    </row>
    <row r="266" spans="1:2" x14ac:dyDescent="0.25">
      <c r="A266" s="20">
        <v>45677</v>
      </c>
      <c r="B266" vm="779">
        <v>156.41</v>
      </c>
    </row>
    <row r="267" spans="1:2" x14ac:dyDescent="0.25">
      <c r="A267" s="20">
        <v>45677</v>
      </c>
      <c r="B267" vm="782">
        <v>156.01</v>
      </c>
    </row>
    <row r="268" spans="1:2" x14ac:dyDescent="0.25">
      <c r="A268" s="20">
        <v>45677</v>
      </c>
      <c r="B268" vm="785">
        <v>155.65</v>
      </c>
    </row>
    <row r="269" spans="1:2" x14ac:dyDescent="0.25">
      <c r="A269" s="20">
        <v>45684</v>
      </c>
      <c r="B269" vm="788">
        <v>157.22999999999999</v>
      </c>
    </row>
    <row r="270" spans="1:2" x14ac:dyDescent="0.25">
      <c r="A270" s="20">
        <v>45684</v>
      </c>
      <c r="B270" vm="703">
        <v>156.21</v>
      </c>
    </row>
    <row r="271" spans="1:2" x14ac:dyDescent="0.25">
      <c r="A271" s="20">
        <v>45684</v>
      </c>
      <c r="B271" vm="793">
        <v>155.69</v>
      </c>
    </row>
    <row r="272" spans="1:2" x14ac:dyDescent="0.25">
      <c r="A272" s="20">
        <v>45684</v>
      </c>
      <c r="B272" vm="361">
        <v>156.32</v>
      </c>
    </row>
    <row r="273" spans="1:2" x14ac:dyDescent="0.25">
      <c r="A273" s="20">
        <v>45684</v>
      </c>
      <c r="B273" vm="798">
        <v>149.19</v>
      </c>
    </row>
    <row r="274" spans="1:2" x14ac:dyDescent="0.25">
      <c r="A274" s="20">
        <v>45691</v>
      </c>
      <c r="B274" vm="801">
        <v>149.34</v>
      </c>
    </row>
    <row r="275" spans="1:2" x14ac:dyDescent="0.25">
      <c r="A275" s="20">
        <v>45691</v>
      </c>
      <c r="B275" vm="804">
        <v>153.22</v>
      </c>
    </row>
    <row r="276" spans="1:2" x14ac:dyDescent="0.25">
      <c r="A276" s="20">
        <v>45691</v>
      </c>
      <c r="B276" vm="807">
        <v>152.99</v>
      </c>
    </row>
    <row r="277" spans="1:2" x14ac:dyDescent="0.25">
      <c r="A277" s="20">
        <v>45691</v>
      </c>
      <c r="B277" vm="810">
        <v>151.9</v>
      </c>
    </row>
    <row r="278" spans="1:2" x14ac:dyDescent="0.25">
      <c r="A278" s="20">
        <v>45691</v>
      </c>
      <c r="B278" vm="433">
        <v>152.62</v>
      </c>
    </row>
    <row r="279" spans="1:2" x14ac:dyDescent="0.25">
      <c r="A279" s="20">
        <v>45698</v>
      </c>
      <c r="B279" vm="815">
        <v>155.77000000000001</v>
      </c>
    </row>
    <row r="280" spans="1:2" x14ac:dyDescent="0.25">
      <c r="A280" s="20">
        <v>45698</v>
      </c>
      <c r="B280" vm="818">
        <v>157.44</v>
      </c>
    </row>
    <row r="281" spans="1:2" x14ac:dyDescent="0.25">
      <c r="A281" s="20">
        <v>45698</v>
      </c>
      <c r="B281" vm="821">
        <v>154.9</v>
      </c>
    </row>
    <row r="282" spans="1:2" x14ac:dyDescent="0.25">
      <c r="A282" s="20">
        <v>45698</v>
      </c>
      <c r="B282" vm="824">
        <v>155.88</v>
      </c>
    </row>
    <row r="283" spans="1:2" x14ac:dyDescent="0.25">
      <c r="A283" s="20">
        <v>45698</v>
      </c>
      <c r="B283" vm="827">
        <v>155.34</v>
      </c>
    </row>
    <row r="284" spans="1:2" x14ac:dyDescent="0.25">
      <c r="A284" s="20">
        <v>45705</v>
      </c>
      <c r="B284" vm="830">
        <v>156.16</v>
      </c>
    </row>
    <row r="285" spans="1:2" x14ac:dyDescent="0.25">
      <c r="A285" s="20">
        <v>45705</v>
      </c>
      <c r="B285" vm="788">
        <v>157.22999999999999</v>
      </c>
    </row>
    <row r="286" spans="1:2" x14ac:dyDescent="0.25">
      <c r="A286" s="20">
        <v>45705</v>
      </c>
      <c r="B286" vm="835">
        <v>158.79</v>
      </c>
    </row>
    <row r="287" spans="1:2" x14ac:dyDescent="0.25">
      <c r="A287" s="20">
        <v>45705</v>
      </c>
      <c r="B287" vm="838">
        <v>156.91999999999999</v>
      </c>
    </row>
    <row r="288" spans="1:2" x14ac:dyDescent="0.25">
      <c r="A288" s="20">
        <v>45712</v>
      </c>
      <c r="B288" vm="841">
        <v>157.88999999999999</v>
      </c>
    </row>
    <row r="289" spans="1:2" x14ac:dyDescent="0.25">
      <c r="A289" s="20">
        <v>45712</v>
      </c>
      <c r="B289" vm="364">
        <v>156.41999999999999</v>
      </c>
    </row>
    <row r="290" spans="1:2" x14ac:dyDescent="0.25">
      <c r="A290" s="20">
        <v>45712</v>
      </c>
      <c r="B290" vm="846">
        <v>155.13999999999999</v>
      </c>
    </row>
    <row r="291" spans="1:2" x14ac:dyDescent="0.25">
      <c r="A291" s="20">
        <v>45712</v>
      </c>
      <c r="B291" vm="849">
        <v>156.66999999999999</v>
      </c>
    </row>
    <row r="292" spans="1:2" x14ac:dyDescent="0.25">
      <c r="A292" s="20">
        <v>45712</v>
      </c>
      <c r="B292" vm="852">
        <v>158.62</v>
      </c>
    </row>
    <row r="293" spans="1:2" x14ac:dyDescent="0.25">
      <c r="A293" s="20">
        <v>45719</v>
      </c>
      <c r="B293" vm="855">
        <v>153.09</v>
      </c>
    </row>
    <row r="294" spans="1:2" x14ac:dyDescent="0.25">
      <c r="A294" s="20">
        <v>45719</v>
      </c>
      <c r="B294" vm="142">
        <v>152</v>
      </c>
    </row>
    <row r="295" spans="1:2" x14ac:dyDescent="0.25">
      <c r="A295" s="20">
        <v>45719</v>
      </c>
      <c r="B295" vm="608">
        <v>150.81</v>
      </c>
    </row>
    <row r="296" spans="1:2" x14ac:dyDescent="0.25">
      <c r="A296" s="20">
        <v>45719</v>
      </c>
      <c r="B296" vm="862">
        <v>152.94999999999999</v>
      </c>
    </row>
    <row r="297" spans="1:2" x14ac:dyDescent="0.25">
      <c r="A297" s="20">
        <v>45719</v>
      </c>
      <c r="B297" vm="865">
        <v>156.34</v>
      </c>
    </row>
    <row r="298" spans="1:2" x14ac:dyDescent="0.25">
      <c r="A298" s="20">
        <v>45726</v>
      </c>
      <c r="B298" vm="222">
        <v>157.57</v>
      </c>
    </row>
    <row r="299" spans="1:2" x14ac:dyDescent="0.25">
      <c r="A299" s="20">
        <v>45726</v>
      </c>
      <c r="B299" vm="870">
        <v>154.08000000000001</v>
      </c>
    </row>
    <row r="300" spans="1:2" x14ac:dyDescent="0.25">
      <c r="A300" s="20">
        <v>45726</v>
      </c>
      <c r="B300" vm="873">
        <v>152.66999999999999</v>
      </c>
    </row>
    <row r="301" spans="1:2" x14ac:dyDescent="0.25">
      <c r="A301" s="20">
        <v>45726</v>
      </c>
      <c r="B301" vm="876">
        <v>153.61000000000001</v>
      </c>
    </row>
    <row r="302" spans="1:2" x14ac:dyDescent="0.25">
      <c r="A302" s="20">
        <v>45726</v>
      </c>
      <c r="B302" vm="879">
        <v>157.02000000000001</v>
      </c>
    </row>
    <row r="303" spans="1:2" x14ac:dyDescent="0.25">
      <c r="A303" s="20">
        <v>45733</v>
      </c>
      <c r="B303" vm="647">
        <v>158.72</v>
      </c>
    </row>
    <row r="304" spans="1:2" x14ac:dyDescent="0.25">
      <c r="A304" s="20">
        <v>45733</v>
      </c>
      <c r="B304" vm="884">
        <v>160.81</v>
      </c>
    </row>
    <row r="305" spans="1:2" x14ac:dyDescent="0.25">
      <c r="A305" s="20">
        <v>45733</v>
      </c>
      <c r="B305" vm="887">
        <v>164.05</v>
      </c>
    </row>
    <row r="306" spans="1:2" x14ac:dyDescent="0.25">
      <c r="A306" s="20">
        <v>45733</v>
      </c>
      <c r="B306" vm="890">
        <v>164.77</v>
      </c>
    </row>
    <row r="307" spans="1:2" x14ac:dyDescent="0.25">
      <c r="A307" s="20">
        <v>45733</v>
      </c>
      <c r="B307" vm="893">
        <v>164.75</v>
      </c>
    </row>
    <row r="308" spans="1:2" x14ac:dyDescent="0.25">
      <c r="A308" s="20">
        <v>45740</v>
      </c>
      <c r="B308" vm="896">
        <v>165.02</v>
      </c>
    </row>
    <row r="309" spans="1:2" x14ac:dyDescent="0.25">
      <c r="A309" s="20">
        <v>45740</v>
      </c>
      <c r="B309" vm="899">
        <v>165.94</v>
      </c>
    </row>
    <row r="310" spans="1:2" x14ac:dyDescent="0.25">
      <c r="A310" s="20">
        <v>45740</v>
      </c>
      <c r="B310" vm="902">
        <v>167.97</v>
      </c>
    </row>
    <row r="311" spans="1:2" x14ac:dyDescent="0.25">
      <c r="A311" s="20">
        <v>45740</v>
      </c>
      <c r="B311" vm="905">
        <v>166.65</v>
      </c>
    </row>
    <row r="312" spans="1:2" x14ac:dyDescent="0.25">
      <c r="A312" s="20">
        <v>45740</v>
      </c>
      <c r="B312" vm="908">
        <v>166.09</v>
      </c>
    </row>
    <row r="313" spans="1:2" x14ac:dyDescent="0.25">
      <c r="A313" s="20">
        <v>45747</v>
      </c>
      <c r="B313" vm="911">
        <v>167.29</v>
      </c>
    </row>
    <row r="314" spans="1:2" x14ac:dyDescent="0.25">
      <c r="A314" s="20">
        <v>45747</v>
      </c>
      <c r="B314" vm="914">
        <v>168.51</v>
      </c>
    </row>
    <row r="315" spans="1:2" x14ac:dyDescent="0.25">
      <c r="A315" s="20">
        <v>45747</v>
      </c>
      <c r="B315" vm="917">
        <v>166.47</v>
      </c>
    </row>
    <row r="316" spans="1:2" x14ac:dyDescent="0.25">
      <c r="A316" s="20">
        <v>45747</v>
      </c>
      <c r="B316" vm="920">
        <v>156.12</v>
      </c>
    </row>
    <row r="317" spans="1:2" x14ac:dyDescent="0.25">
      <c r="A317" s="20">
        <v>45747</v>
      </c>
      <c r="B317" vm="923">
        <v>143.28</v>
      </c>
    </row>
    <row r="318" spans="1:2" x14ac:dyDescent="0.25">
      <c r="A318" s="20">
        <v>45754</v>
      </c>
      <c r="B318" vm="926">
        <v>140.15</v>
      </c>
    </row>
    <row r="319" spans="1:2" x14ac:dyDescent="0.25">
      <c r="A319" s="20">
        <v>45754</v>
      </c>
      <c r="B319" vm="929">
        <v>136.93</v>
      </c>
    </row>
    <row r="320" spans="1:2" x14ac:dyDescent="0.25">
      <c r="A320" s="20">
        <v>45754</v>
      </c>
      <c r="B320" vm="932">
        <v>146.03</v>
      </c>
    </row>
    <row r="321" spans="1:2" x14ac:dyDescent="0.25">
      <c r="A321" s="20">
        <v>45754</v>
      </c>
      <c r="B321" vm="935">
        <v>134.97999999999999</v>
      </c>
    </row>
    <row r="322" spans="1:2" x14ac:dyDescent="0.25">
      <c r="A322" s="20">
        <v>45754</v>
      </c>
      <c r="B322" vm="938">
        <v>135.63</v>
      </c>
    </row>
    <row r="323" spans="1:2" x14ac:dyDescent="0.25">
      <c r="A323" s="20">
        <v>45761</v>
      </c>
      <c r="B323" vm="941">
        <v>135.32</v>
      </c>
    </row>
    <row r="324" spans="1:2" x14ac:dyDescent="0.25">
      <c r="A324" s="20">
        <v>45761</v>
      </c>
      <c r="B324" vm="944">
        <v>134.54</v>
      </c>
    </row>
    <row r="325" spans="1:2" x14ac:dyDescent="0.25">
      <c r="A325" s="20">
        <v>45761</v>
      </c>
      <c r="B325" vm="947">
        <v>135.36000000000001</v>
      </c>
    </row>
    <row r="326" spans="1:2" x14ac:dyDescent="0.25">
      <c r="A326" s="20">
        <v>45761</v>
      </c>
      <c r="B326" vm="950">
        <v>137.87</v>
      </c>
    </row>
    <row r="327" spans="1:2" x14ac:dyDescent="0.25">
      <c r="A327" s="20">
        <v>45768</v>
      </c>
      <c r="B327" vm="953">
        <v>133.72999999999999</v>
      </c>
    </row>
    <row r="328" spans="1:2" x14ac:dyDescent="0.25">
      <c r="A328" s="20">
        <v>45768</v>
      </c>
      <c r="B328" vm="956">
        <v>137.30000000000001</v>
      </c>
    </row>
    <row r="329" spans="1:2" x14ac:dyDescent="0.25">
      <c r="A329" s="20">
        <v>45768</v>
      </c>
      <c r="B329" vm="959">
        <v>136.68</v>
      </c>
    </row>
    <row r="330" spans="1:2" x14ac:dyDescent="0.25">
      <c r="A330" s="20">
        <v>45768</v>
      </c>
      <c r="B330" vm="962">
        <v>139.07</v>
      </c>
    </row>
    <row r="331" spans="1:2" x14ac:dyDescent="0.25">
      <c r="A331" s="20">
        <v>45768</v>
      </c>
      <c r="B331" vm="965">
        <v>138.72999999999999</v>
      </c>
    </row>
    <row r="332" spans="1:2" x14ac:dyDescent="0.25">
      <c r="A332" s="20">
        <v>45775</v>
      </c>
      <c r="B332" vm="968">
        <v>140.1</v>
      </c>
    </row>
    <row r="333" spans="1:2" x14ac:dyDescent="0.25">
      <c r="A333" s="20">
        <v>45775</v>
      </c>
      <c r="B333" vm="971">
        <v>139.30000000000001</v>
      </c>
    </row>
    <row r="334" spans="1:2" x14ac:dyDescent="0.25">
      <c r="A334" s="20">
        <v>45775</v>
      </c>
      <c r="B334" vm="974">
        <v>136.06</v>
      </c>
    </row>
    <row r="335" spans="1:2" x14ac:dyDescent="0.25">
      <c r="A335" s="20">
        <v>45775</v>
      </c>
      <c r="B335" vm="977">
        <v>136.26</v>
      </c>
    </row>
    <row r="336" spans="1:2" x14ac:dyDescent="0.25">
      <c r="A336" s="20">
        <v>45775</v>
      </c>
      <c r="B336" vm="980">
        <v>138.5</v>
      </c>
    </row>
    <row r="337" spans="1:2" x14ac:dyDescent="0.25">
      <c r="A337" s="20">
        <v>45782</v>
      </c>
      <c r="B337" vm="983">
        <v>135.5</v>
      </c>
    </row>
    <row r="338" spans="1:2" x14ac:dyDescent="0.25">
      <c r="A338" s="20">
        <v>45782</v>
      </c>
      <c r="B338" vm="986">
        <v>135.6</v>
      </c>
    </row>
    <row r="339" spans="1:2" x14ac:dyDescent="0.25">
      <c r="A339" s="20">
        <v>45782</v>
      </c>
      <c r="B339" vm="989">
        <v>135.79</v>
      </c>
    </row>
    <row r="340" spans="1:2" x14ac:dyDescent="0.25">
      <c r="A340" s="20">
        <v>45782</v>
      </c>
      <c r="B340" vm="992">
        <v>137.04</v>
      </c>
    </row>
    <row r="341" spans="1:2" x14ac:dyDescent="0.25">
      <c r="A341" s="20">
        <v>45782</v>
      </c>
      <c r="B341" vm="995">
        <v>138.49</v>
      </c>
    </row>
    <row r="342" spans="1:2" x14ac:dyDescent="0.25">
      <c r="A342" s="20">
        <v>45789</v>
      </c>
      <c r="B342" vm="998">
        <v>141.62</v>
      </c>
    </row>
    <row r="343" spans="1:2" x14ac:dyDescent="0.25">
      <c r="A343" s="20">
        <v>45789</v>
      </c>
      <c r="B343" vm="1001">
        <v>142.35</v>
      </c>
    </row>
    <row r="344" spans="1:2" x14ac:dyDescent="0.25">
      <c r="A344" s="20">
        <v>45789</v>
      </c>
      <c r="B344" vm="1004">
        <v>141.66999999999999</v>
      </c>
    </row>
    <row r="345" spans="1:2" x14ac:dyDescent="0.25">
      <c r="A345" s="20">
        <v>45789</v>
      </c>
      <c r="B345" vm="1007">
        <v>142.26</v>
      </c>
    </row>
    <row r="346" spans="1:2" x14ac:dyDescent="0.25">
      <c r="A346" s="20">
        <v>45789</v>
      </c>
      <c r="B346" vm="1010">
        <v>142.1</v>
      </c>
    </row>
    <row r="347" spans="1:2" x14ac:dyDescent="0.25">
      <c r="A347" s="20">
        <v>45796</v>
      </c>
      <c r="B347" vm="995">
        <v>138.49</v>
      </c>
    </row>
    <row r="348" spans="1:2" x14ac:dyDescent="0.25">
      <c r="A348" s="20">
        <v>45796</v>
      </c>
      <c r="B348" vm="1015">
        <v>137.27000000000001</v>
      </c>
    </row>
    <row r="349" spans="1:2" x14ac:dyDescent="0.25">
      <c r="A349" s="20">
        <v>45796</v>
      </c>
      <c r="B349" vm="1018">
        <v>135.56</v>
      </c>
    </row>
    <row r="350" spans="1:2" x14ac:dyDescent="0.25">
      <c r="A350" s="20">
        <v>45796</v>
      </c>
      <c r="B350" vm="1021">
        <v>135.29</v>
      </c>
    </row>
    <row r="351" spans="1:2" x14ac:dyDescent="0.25">
      <c r="A351" s="20">
        <v>45796</v>
      </c>
      <c r="B351" vm="1024">
        <v>136.54</v>
      </c>
    </row>
    <row r="352" spans="1:2" x14ac:dyDescent="0.25">
      <c r="A352" s="20">
        <v>45803</v>
      </c>
      <c r="B352" vm="1027">
        <v>137.83000000000001</v>
      </c>
    </row>
    <row r="353" spans="1:2" x14ac:dyDescent="0.25">
      <c r="A353" s="20">
        <v>45803</v>
      </c>
      <c r="B353" vm="1030">
        <v>136.02000000000001</v>
      </c>
    </row>
    <row r="354" spans="1:2" x14ac:dyDescent="0.25">
      <c r="A354" s="20">
        <v>45803</v>
      </c>
      <c r="B354" vm="1033">
        <v>137.91</v>
      </c>
    </row>
    <row r="355" spans="1:2" x14ac:dyDescent="0.25">
      <c r="A355" s="20">
        <v>45803</v>
      </c>
      <c r="B355" vm="1036">
        <v>136.69999999999999</v>
      </c>
    </row>
    <row r="356" spans="1:2" x14ac:dyDescent="0.25">
      <c r="A356" s="20">
        <v>45810</v>
      </c>
      <c r="B356" vm="1039">
        <v>137.84</v>
      </c>
    </row>
    <row r="357" spans="1:2" x14ac:dyDescent="0.25">
      <c r="A357" s="20">
        <v>45810</v>
      </c>
      <c r="B357" vm="1042">
        <v>139.55000000000001</v>
      </c>
    </row>
    <row r="358" spans="1:2" x14ac:dyDescent="0.25">
      <c r="A358" s="20">
        <v>45810</v>
      </c>
      <c r="B358" vm="1045">
        <v>137.37</v>
      </c>
    </row>
    <row r="359" spans="1:2" x14ac:dyDescent="0.25">
      <c r="A359" s="20">
        <v>45810</v>
      </c>
      <c r="B359" vm="1048">
        <v>136.9</v>
      </c>
    </row>
    <row r="360" spans="1:2" x14ac:dyDescent="0.25">
      <c r="A360" s="20">
        <v>45810</v>
      </c>
      <c r="B360" vm="1051">
        <v>140.21</v>
      </c>
    </row>
    <row r="361" spans="1:2" x14ac:dyDescent="0.25">
      <c r="A361" s="20">
        <v>45817</v>
      </c>
      <c r="B361" vm="1054">
        <v>140.76</v>
      </c>
    </row>
    <row r="362" spans="1:2" x14ac:dyDescent="0.25">
      <c r="A362" s="20">
        <v>45817</v>
      </c>
      <c r="B362" vm="1057">
        <v>143.35</v>
      </c>
    </row>
    <row r="363" spans="1:2" x14ac:dyDescent="0.25">
      <c r="A363" s="20">
        <v>45817</v>
      </c>
      <c r="B363" vm="1060">
        <v>144.78</v>
      </c>
    </row>
    <row r="364" spans="1:2" x14ac:dyDescent="0.25">
      <c r="A364" s="20">
        <v>45817</v>
      </c>
      <c r="B364" vm="1063">
        <v>144.97</v>
      </c>
    </row>
    <row r="365" spans="1:2" x14ac:dyDescent="0.25">
      <c r="A365" s="20">
        <v>45817</v>
      </c>
      <c r="B365" vm="1066">
        <v>145.91</v>
      </c>
    </row>
    <row r="366" spans="1:2" x14ac:dyDescent="0.25">
      <c r="A366" s="20">
        <v>45824</v>
      </c>
      <c r="B366" vm="932">
        <v>146.03</v>
      </c>
    </row>
    <row r="367" spans="1:2" x14ac:dyDescent="0.25">
      <c r="A367" s="20">
        <v>45824</v>
      </c>
      <c r="B367" vm="1071">
        <v>148.85</v>
      </c>
    </row>
    <row r="368" spans="1:2" x14ac:dyDescent="0.25">
      <c r="A368" s="20">
        <v>45824</v>
      </c>
      <c r="B368" vm="1074">
        <v>148.19</v>
      </c>
    </row>
    <row r="369" spans="1:2" x14ac:dyDescent="0.25">
      <c r="A369" s="20">
        <v>45824</v>
      </c>
      <c r="B369" vm="1077">
        <v>149.55000000000001</v>
      </c>
    </row>
    <row r="370" spans="1:2" x14ac:dyDescent="0.25">
      <c r="A370" s="20">
        <v>45831</v>
      </c>
      <c r="B370" vm="1080">
        <v>146.86000000000001</v>
      </c>
    </row>
    <row r="371" spans="1:2" x14ac:dyDescent="0.25">
      <c r="A371" s="20">
        <v>45831</v>
      </c>
      <c r="B371" vm="1083">
        <v>143.55000000000001</v>
      </c>
    </row>
    <row r="372" spans="1:2" x14ac:dyDescent="0.25">
      <c r="A372" s="20">
        <v>45831</v>
      </c>
      <c r="B372" vm="442">
        <v>143.22999999999999</v>
      </c>
    </row>
    <row r="373" spans="1:2" x14ac:dyDescent="0.25">
      <c r="A373" s="20">
        <v>45831</v>
      </c>
      <c r="B373" vm="1088">
        <v>144.44</v>
      </c>
    </row>
    <row r="374" spans="1:2" x14ac:dyDescent="0.25">
      <c r="A374" s="20">
        <v>45831</v>
      </c>
      <c r="B374" vm="1091">
        <v>143.79</v>
      </c>
    </row>
    <row r="375" spans="1:2" x14ac:dyDescent="0.25">
      <c r="A375" s="20">
        <v>45838</v>
      </c>
      <c r="B375" vm="1094">
        <v>143.19</v>
      </c>
    </row>
    <row r="376" spans="1:2" x14ac:dyDescent="0.25">
      <c r="A376" s="20">
        <v>45838</v>
      </c>
      <c r="B376" vm="1097">
        <v>145.57</v>
      </c>
    </row>
    <row r="377" spans="1:2" x14ac:dyDescent="0.25">
      <c r="A377" s="20">
        <v>45838</v>
      </c>
      <c r="B377" vm="1100">
        <v>147.97999999999999</v>
      </c>
    </row>
    <row r="378" spans="1:2" x14ac:dyDescent="0.25">
      <c r="A378" s="20">
        <v>45838</v>
      </c>
      <c r="B378" vm="1103">
        <v>148.37</v>
      </c>
    </row>
    <row r="379" spans="1:2" x14ac:dyDescent="0.25">
      <c r="A379" s="20">
        <v>45845</v>
      </c>
      <c r="B379" vm="1106">
        <v>147.4</v>
      </c>
    </row>
    <row r="380" spans="1:2" x14ac:dyDescent="0.25">
      <c r="A380" s="20">
        <v>45845</v>
      </c>
      <c r="B380" vm="1109">
        <v>153.24</v>
      </c>
    </row>
    <row r="381" spans="1:2" x14ac:dyDescent="0.25">
      <c r="A381" s="20">
        <v>45845</v>
      </c>
      <c r="B381" vm="1112">
        <v>153.02000000000001</v>
      </c>
    </row>
    <row r="382" spans="1:2" x14ac:dyDescent="0.25">
      <c r="A382" s="20">
        <v>45845</v>
      </c>
      <c r="B382" vm="1115">
        <v>154.16999999999999</v>
      </c>
    </row>
    <row r="383" spans="1:2" x14ac:dyDescent="0.25">
      <c r="A383" s="20">
        <v>45845</v>
      </c>
      <c r="B383" vm="1118">
        <v>155.31</v>
      </c>
    </row>
    <row r="384" spans="1:2" x14ac:dyDescent="0.25">
      <c r="A384" s="20">
        <v>45852</v>
      </c>
      <c r="B384" vm="1121">
        <v>151.65</v>
      </c>
    </row>
    <row r="385" spans="1:2" x14ac:dyDescent="0.25">
      <c r="A385" s="20">
        <v>45852</v>
      </c>
      <c r="B385" vm="1124">
        <v>150.69</v>
      </c>
    </row>
    <row r="386" spans="1:2" x14ac:dyDescent="0.25">
      <c r="A386" s="20">
        <v>45852</v>
      </c>
      <c r="B386" vm="1127">
        <v>149.91999999999999</v>
      </c>
    </row>
    <row r="387" spans="1:2" x14ac:dyDescent="0.25">
      <c r="A387" s="20">
        <v>45852</v>
      </c>
      <c r="B387" vm="1130">
        <v>151.38</v>
      </c>
    </row>
    <row r="388" spans="1:2" x14ac:dyDescent="0.25">
      <c r="A388" s="20">
        <v>45852</v>
      </c>
      <c r="B388" vm="1133">
        <v>150.04</v>
      </c>
    </row>
    <row r="389" spans="1:2" x14ac:dyDescent="0.25">
      <c r="A389" s="20">
        <v>45859</v>
      </c>
      <c r="B389" vm="1136">
        <v>149.68</v>
      </c>
    </row>
    <row r="390" spans="1:2" x14ac:dyDescent="0.25">
      <c r="A390" s="20">
        <v>45859</v>
      </c>
      <c r="B390" vm="1133">
        <v>150.04</v>
      </c>
    </row>
    <row r="391" spans="1:2" x14ac:dyDescent="0.25">
      <c r="A391" s="20">
        <v>45859</v>
      </c>
      <c r="B391" vm="1141">
        <v>153.12</v>
      </c>
    </row>
    <row r="392" spans="1:2" x14ac:dyDescent="0.25">
      <c r="A392" s="20">
        <v>45859</v>
      </c>
      <c r="B392" vm="1144">
        <v>155.83000000000001</v>
      </c>
    </row>
    <row r="393" spans="1:2" x14ac:dyDescent="0.25">
      <c r="A393" s="20">
        <v>45859</v>
      </c>
      <c r="B393" vm="1147">
        <v>154.84</v>
      </c>
    </row>
    <row r="394" spans="1:2" x14ac:dyDescent="0.25">
      <c r="A394" s="20">
        <v>45866</v>
      </c>
      <c r="B394" vm="216">
        <v>156.28</v>
      </c>
    </row>
    <row r="395" spans="1:2" x14ac:dyDescent="0.25">
      <c r="A395" s="20">
        <v>45866</v>
      </c>
      <c r="B395" vm="1152">
        <v>157.03</v>
      </c>
    </row>
    <row r="396" spans="1:2" x14ac:dyDescent="0.25">
      <c r="A396" s="20">
        <v>45866</v>
      </c>
      <c r="B396" vm="1155">
        <v>153.56</v>
      </c>
    </row>
    <row r="397" spans="1:2" x14ac:dyDescent="0.25">
      <c r="A397" s="20">
        <v>45866</v>
      </c>
      <c r="B397" vm="1158">
        <v>151.63999999999999</v>
      </c>
    </row>
    <row r="398" spans="1:2" x14ac:dyDescent="0.25">
      <c r="A398" s="20">
        <v>45866</v>
      </c>
      <c r="B398" vm="1161">
        <v>151.4</v>
      </c>
    </row>
    <row r="399" spans="1:2" x14ac:dyDescent="0.25">
      <c r="A399" s="20">
        <v>45873</v>
      </c>
      <c r="B399" vm="82">
        <v>151.04</v>
      </c>
    </row>
    <row r="400" spans="1:2" x14ac:dyDescent="0.25">
      <c r="A400" s="20">
        <v>45873</v>
      </c>
      <c r="B400" vm="1166">
        <v>153.04</v>
      </c>
    </row>
    <row r="401" spans="1:2" x14ac:dyDescent="0.25">
      <c r="A401" s="20">
        <v>45873</v>
      </c>
      <c r="B401" vm="1169">
        <v>152.78</v>
      </c>
    </row>
    <row r="402" spans="1:2" x14ac:dyDescent="0.25">
      <c r="A402" s="20">
        <v>45873</v>
      </c>
      <c r="B402" vm="1172">
        <v>153.16</v>
      </c>
    </row>
    <row r="403" spans="1:2" x14ac:dyDescent="0.25">
      <c r="A403" s="20">
        <v>45873</v>
      </c>
      <c r="B403" vm="1175">
        <v>155.01</v>
      </c>
    </row>
    <row r="404" spans="1:2" x14ac:dyDescent="0.25">
      <c r="A404" s="20">
        <v>45880</v>
      </c>
      <c r="B404" vm="1178">
        <v>153.44999999999999</v>
      </c>
    </row>
    <row r="405" spans="1:2" x14ac:dyDescent="0.25">
      <c r="A405" s="20">
        <v>45880</v>
      </c>
      <c r="B405" vm="1181">
        <v>154.44</v>
      </c>
    </row>
    <row r="406" spans="1:2" x14ac:dyDescent="0.25">
      <c r="A406" s="20">
        <v>45880</v>
      </c>
      <c r="B406" vm="1184">
        <v>155.87</v>
      </c>
    </row>
    <row r="407" spans="1:2" x14ac:dyDescent="0.25">
      <c r="A407" s="20">
        <v>45880</v>
      </c>
      <c r="B407" vm="1187">
        <v>155.16</v>
      </c>
    </row>
    <row r="408" spans="1:2" x14ac:dyDescent="0.25">
      <c r="A408" s="20">
        <v>45880</v>
      </c>
      <c r="B408" vm="1190">
        <v>156.55000000000001</v>
      </c>
    </row>
    <row r="409" spans="1:2" x14ac:dyDescent="0.25">
      <c r="A409" s="20">
        <v>45887</v>
      </c>
      <c r="B409" vm="1193">
        <v>155.32</v>
      </c>
    </row>
    <row r="410" spans="1:2" x14ac:dyDescent="0.25">
      <c r="A410" s="20">
        <v>45887</v>
      </c>
      <c r="B410" vm="142">
        <v>152</v>
      </c>
    </row>
    <row r="411" spans="1:2" x14ac:dyDescent="0.25">
      <c r="A411" s="20">
        <v>45887</v>
      </c>
      <c r="B411" vm="804">
        <v>153.22</v>
      </c>
    </row>
    <row r="412" spans="1:2" x14ac:dyDescent="0.25">
      <c r="A412" s="20">
        <v>45887</v>
      </c>
      <c r="B412" vm="154">
        <v>155.55000000000001</v>
      </c>
    </row>
    <row r="413" spans="1:2" x14ac:dyDescent="0.25">
      <c r="A413" s="20">
        <v>45887</v>
      </c>
      <c r="B413" vm="1202">
        <v>158.18</v>
      </c>
    </row>
    <row r="414" spans="1:2" x14ac:dyDescent="0.25">
      <c r="A414" s="20">
        <v>45894</v>
      </c>
      <c r="B414" vm="1205">
        <v>158.19999999999999</v>
      </c>
    </row>
    <row r="415" spans="1:2" x14ac:dyDescent="0.25">
      <c r="A415" s="20">
        <v>45894</v>
      </c>
      <c r="B415" vm="1208">
        <v>157.36000000000001</v>
      </c>
    </row>
    <row r="416" spans="1:2" x14ac:dyDescent="0.25">
      <c r="A416" s="20">
        <v>45894</v>
      </c>
      <c r="B416" vm="1211">
        <v>159.24</v>
      </c>
    </row>
    <row r="417" spans="1:2" x14ac:dyDescent="0.25">
      <c r="A417" s="20">
        <v>45894</v>
      </c>
      <c r="B417" vm="1214">
        <v>159.32</v>
      </c>
    </row>
    <row r="418" spans="1:2" x14ac:dyDescent="0.25">
      <c r="A418" s="20">
        <v>45894</v>
      </c>
      <c r="B418" vm="1217">
        <v>160.6</v>
      </c>
    </row>
    <row r="419" spans="1:2" x14ac:dyDescent="0.25">
      <c r="A419" s="20">
        <v>45901</v>
      </c>
      <c r="B419" vm="1220">
        <v>161.83000000000001</v>
      </c>
    </row>
    <row r="420" spans="1:2" x14ac:dyDescent="0.25">
      <c r="A420" s="20">
        <v>45901</v>
      </c>
      <c r="B420" vm="1223">
        <v>158.06</v>
      </c>
    </row>
    <row r="421" spans="1:2" x14ac:dyDescent="0.25">
      <c r="A421" s="20">
        <v>45901</v>
      </c>
      <c r="B421" vm="1226">
        <v>157.69</v>
      </c>
    </row>
    <row r="422" spans="1:2" x14ac:dyDescent="0.25">
      <c r="A422" s="20">
        <v>45901</v>
      </c>
      <c r="B422" vm="1229">
        <v>153.66</v>
      </c>
    </row>
    <row r="423" spans="1:2" x14ac:dyDescent="0.25">
      <c r="A423" s="20">
        <v>45908</v>
      </c>
      <c r="B423" vm="100">
        <v>154</v>
      </c>
    </row>
    <row r="424" spans="1:2" x14ac:dyDescent="0.25">
      <c r="A424" s="20">
        <v>45908</v>
      </c>
      <c r="B424" vm="1234">
        <v>154.85</v>
      </c>
    </row>
    <row r="425" spans="1:2" x14ac:dyDescent="0.25">
      <c r="A425" s="20">
        <v>45908</v>
      </c>
      <c r="B425" vm="1237">
        <v>157.79</v>
      </c>
    </row>
    <row r="426" spans="1:2" x14ac:dyDescent="0.25">
      <c r="A426" s="20">
        <v>45908</v>
      </c>
      <c r="B426" vm="1240">
        <v>158.25</v>
      </c>
    </row>
    <row r="427" spans="1:2" x14ac:dyDescent="0.25">
      <c r="A427" s="20">
        <v>45908</v>
      </c>
      <c r="B427" vm="1243">
        <v>157.11000000000001</v>
      </c>
    </row>
    <row r="428" spans="1:2" x14ac:dyDescent="0.25">
      <c r="A428" s="20">
        <v>45915</v>
      </c>
      <c r="B428" vm="1246">
        <v>157.31</v>
      </c>
    </row>
    <row r="429" spans="1:2" x14ac:dyDescent="0.25">
      <c r="A429" s="20">
        <v>45915</v>
      </c>
      <c r="B429" vm="1249">
        <v>159.54</v>
      </c>
    </row>
    <row r="430" spans="1:2" x14ac:dyDescent="0.25">
      <c r="A430" s="20">
        <v>45915</v>
      </c>
      <c r="B430" vm="1252">
        <v>160.09</v>
      </c>
    </row>
    <row r="431" spans="1:2" x14ac:dyDescent="0.25">
      <c r="A431" s="20">
        <v>45915</v>
      </c>
      <c r="B431" vm="1255">
        <v>158.84</v>
      </c>
    </row>
    <row r="432" spans="1:2" x14ac:dyDescent="0.25">
      <c r="A432" s="20">
        <v>45915</v>
      </c>
      <c r="B432" vm="703">
        <v>156.21</v>
      </c>
    </row>
    <row r="433" spans="1:2" x14ac:dyDescent="0.25">
      <c r="A433" s="20">
        <v>45922</v>
      </c>
      <c r="B433" vm="1260">
        <v>156.05000000000001</v>
      </c>
    </row>
    <row r="434" spans="1:2" x14ac:dyDescent="0.25">
      <c r="A434" s="20">
        <v>45922</v>
      </c>
      <c r="B434" vm="1263">
        <v>157.41999999999999</v>
      </c>
    </row>
    <row r="435" spans="1:2" x14ac:dyDescent="0.25">
      <c r="A435" s="20">
        <v>45922</v>
      </c>
      <c r="B435" vm="1266">
        <v>159.18</v>
      </c>
    </row>
    <row r="436" spans="1:2" x14ac:dyDescent="0.25">
      <c r="A436" s="20">
        <v>45922</v>
      </c>
      <c r="B436" vm="1269">
        <v>160.72</v>
      </c>
    </row>
    <row r="437" spans="1:2" x14ac:dyDescent="0.25">
      <c r="A437" s="20">
        <v>45922</v>
      </c>
      <c r="B437" vm="1272">
        <v>160.16</v>
      </c>
    </row>
    <row r="438" spans="1:2" x14ac:dyDescent="0.25">
      <c r="A438" s="20">
        <v>45929</v>
      </c>
      <c r="B438" vm="1275">
        <v>156.1</v>
      </c>
    </row>
    <row r="439" spans="1:2" x14ac:dyDescent="0.25">
      <c r="A439" s="20">
        <v>45929</v>
      </c>
      <c r="B439" vm="644">
        <v>155.29</v>
      </c>
    </row>
    <row r="440" spans="1:2" x14ac:dyDescent="0.25">
      <c r="A440" s="20">
        <v>45929</v>
      </c>
      <c r="B440" vm="1280">
        <v>154.58000000000001</v>
      </c>
    </row>
    <row r="441" spans="1:2" x14ac:dyDescent="0.25">
      <c r="A441" s="20">
        <v>45929</v>
      </c>
      <c r="B441" vm="1283">
        <v>153.37</v>
      </c>
    </row>
    <row r="442" spans="1:2" x14ac:dyDescent="0.25">
      <c r="A442" s="20">
        <v>45929</v>
      </c>
      <c r="B442" vm="1286">
        <v>153.55000000000001</v>
      </c>
    </row>
    <row r="443" spans="1:2" x14ac:dyDescent="0.25">
      <c r="A443" s="20">
        <v>45936</v>
      </c>
      <c r="B443" vm="1289">
        <v>154.02000000000001</v>
      </c>
    </row>
    <row r="444" spans="1:2" x14ac:dyDescent="0.25">
      <c r="A444" s="20">
        <v>45936</v>
      </c>
      <c r="B444" vm="1292">
        <v>154.91</v>
      </c>
    </row>
    <row r="445" spans="1:2" x14ac:dyDescent="0.25">
      <c r="A445" s="20">
        <v>45936</v>
      </c>
      <c r="B445" vm="1295">
        <v>153.74</v>
      </c>
    </row>
    <row r="446" spans="1:2" x14ac:dyDescent="0.25">
      <c r="A446" s="20">
        <v>45936</v>
      </c>
      <c r="B446" vm="1158">
        <v>151.63999999999999</v>
      </c>
    </row>
    <row r="447" spans="1:2" x14ac:dyDescent="0.25">
      <c r="A447" s="20">
        <v>45936</v>
      </c>
      <c r="B447" vm="1300">
        <v>148.9</v>
      </c>
    </row>
    <row r="448" spans="1:2" x14ac:dyDescent="0.25">
      <c r="A448" s="20">
        <v>45943</v>
      </c>
      <c r="B448" vm="1303">
        <v>151.94</v>
      </c>
    </row>
    <row r="449" spans="1:2" x14ac:dyDescent="0.25">
      <c r="A449" s="20">
        <v>45943</v>
      </c>
      <c r="B449" vm="1306">
        <v>152.38999999999999</v>
      </c>
    </row>
    <row r="450" spans="1:2" x14ac:dyDescent="0.25">
      <c r="A450" s="20">
        <v>45943</v>
      </c>
      <c r="B450" vm="1309">
        <v>152.11000000000001</v>
      </c>
    </row>
    <row r="451" spans="1:2" x14ac:dyDescent="0.25">
      <c r="A451" s="20">
        <v>45943</v>
      </c>
      <c r="B451" vm="1312">
        <v>151.71</v>
      </c>
    </row>
    <row r="452" spans="1:2" x14ac:dyDescent="0.25">
      <c r="A452" s="20">
        <v>45943</v>
      </c>
      <c r="B452" vm="1315">
        <v>153.08000000000001</v>
      </c>
    </row>
    <row r="453" spans="1:2" x14ac:dyDescent="0.25">
      <c r="A453" s="20">
        <v>45950</v>
      </c>
      <c r="B453" vm="1318">
        <v>154.47999999999999</v>
      </c>
    </row>
    <row r="454" spans="1:2" x14ac:dyDescent="0.25">
      <c r="A454" s="20">
        <v>45950</v>
      </c>
      <c r="B454" vm="1321">
        <v>153.79</v>
      </c>
    </row>
    <row r="455" spans="1:2" x14ac:dyDescent="0.25">
      <c r="A455" s="20">
        <v>45950</v>
      </c>
      <c r="B455" vm="1324">
        <v>155.57</v>
      </c>
    </row>
    <row r="456" spans="1:2" x14ac:dyDescent="0.25">
      <c r="A456" s="20">
        <v>45950</v>
      </c>
      <c r="B456" vm="1327">
        <v>156.56</v>
      </c>
    </row>
    <row r="457" spans="1:2" x14ac:dyDescent="0.25">
      <c r="A457" s="20">
        <v>45950</v>
      </c>
      <c r="B457" vm="1330">
        <v>155.56</v>
      </c>
    </row>
    <row r="458" spans="1:2" x14ac:dyDescent="0.25">
      <c r="A458" s="20">
        <v>45957</v>
      </c>
      <c r="B458" vm="349">
        <v>155.28</v>
      </c>
    </row>
    <row r="459" spans="1:2" x14ac:dyDescent="0.25">
      <c r="A459" s="20">
        <v>45957</v>
      </c>
      <c r="B459" vm="1335">
        <v>154.13</v>
      </c>
    </row>
    <row r="460" spans="1:2" x14ac:dyDescent="0.25">
      <c r="A460" s="20">
        <v>45957</v>
      </c>
      <c r="B460" vm="1338">
        <v>155.1</v>
      </c>
    </row>
    <row r="461" spans="1:2" x14ac:dyDescent="0.25">
      <c r="A461" s="20">
        <v>45957</v>
      </c>
      <c r="B461" vm="1341">
        <v>153.52000000000001</v>
      </c>
    </row>
    <row r="462" spans="1:2" x14ac:dyDescent="0.25">
      <c r="A462" s="20">
        <v>45957</v>
      </c>
      <c r="B462" vm="632">
        <v>157.72</v>
      </c>
    </row>
    <row r="463" spans="1:2" x14ac:dyDescent="0.25">
      <c r="A463" s="20">
        <v>45964</v>
      </c>
      <c r="B463" vm="1346">
        <v>154.04</v>
      </c>
    </row>
    <row r="464" spans="1:2" x14ac:dyDescent="0.25">
      <c r="A464" s="20">
        <v>45964</v>
      </c>
      <c r="B464" vm="1349">
        <v>153.38999999999999</v>
      </c>
    </row>
    <row r="465" spans="1:2" x14ac:dyDescent="0.25">
      <c r="A465" s="20">
        <v>45964</v>
      </c>
      <c r="B465" vm="1352">
        <v>152.66</v>
      </c>
    </row>
    <row r="466" spans="1:2" x14ac:dyDescent="0.25">
      <c r="A466" s="20">
        <v>45964</v>
      </c>
      <c r="B466" vm="1355">
        <v>152.94</v>
      </c>
    </row>
    <row r="467" spans="1:2" x14ac:dyDescent="0.25">
      <c r="A467" s="20">
        <v>45964</v>
      </c>
      <c r="B467" vm="1358">
        <v>155.02000000000001</v>
      </c>
    </row>
    <row r="468" spans="1:2" x14ac:dyDescent="0.25">
      <c r="A468" s="20">
        <v>45971</v>
      </c>
      <c r="B468" vm="785">
        <v>155.65</v>
      </c>
    </row>
    <row r="469" spans="1:2" x14ac:dyDescent="0.25">
      <c r="A469" s="20">
        <v>45971</v>
      </c>
      <c r="B469" vm="1363">
        <v>156.24</v>
      </c>
    </row>
    <row r="470" spans="1:2" x14ac:dyDescent="0.25">
      <c r="A470" s="20">
        <v>45971</v>
      </c>
      <c r="B470" vm="1366">
        <v>153.32</v>
      </c>
    </row>
    <row r="471" spans="1:2" x14ac:dyDescent="0.25">
      <c r="A471" s="20">
        <v>45971</v>
      </c>
      <c r="B471" vm="1369">
        <v>155.58000000000001</v>
      </c>
    </row>
    <row r="472" spans="1:2" x14ac:dyDescent="0.25">
      <c r="A472" s="20">
        <v>45971</v>
      </c>
      <c r="B472" vm="1372">
        <v>157.62</v>
      </c>
    </row>
    <row r="473" spans="1:2" x14ac:dyDescent="0.25">
      <c r="A473" s="20">
        <v>45978</v>
      </c>
      <c r="B473" vm="1375">
        <v>154.82</v>
      </c>
    </row>
    <row r="474" spans="1:2" x14ac:dyDescent="0.25">
      <c r="A474" s="20">
        <v>45978</v>
      </c>
      <c r="B474" vm="1378">
        <v>153.62</v>
      </c>
    </row>
    <row r="475" spans="1:2" x14ac:dyDescent="0.25">
      <c r="A475" s="20">
        <v>45978</v>
      </c>
      <c r="B475" vm="1381">
        <v>151.69999999999999</v>
      </c>
    </row>
    <row r="476" spans="1:2" x14ac:dyDescent="0.25">
      <c r="A476" s="20">
        <v>45978</v>
      </c>
      <c r="B476" vm="1384">
        <v>150.31</v>
      </c>
    </row>
    <row r="477" spans="1:2" x14ac:dyDescent="0.25">
      <c r="A477" s="20">
        <v>45978</v>
      </c>
      <c r="B477" vm="1387">
        <v>149.97999999999999</v>
      </c>
    </row>
    <row r="478" spans="1:2" x14ac:dyDescent="0.25">
      <c r="A478" s="20">
        <v>45985</v>
      </c>
      <c r="B478" vm="1390">
        <v>149.75</v>
      </c>
    </row>
    <row r="479" spans="1:2" x14ac:dyDescent="0.25">
      <c r="A479" s="20">
        <v>45985</v>
      </c>
      <c r="B479" vm="1393">
        <v>148.53</v>
      </c>
    </row>
    <row r="480" spans="1:2" x14ac:dyDescent="0.25">
      <c r="A480" s="20">
        <v>45985</v>
      </c>
      <c r="B480" vm="1396">
        <v>149.51</v>
      </c>
    </row>
    <row r="481" spans="1:2" x14ac:dyDescent="0.25">
      <c r="A481" s="20">
        <v>45985</v>
      </c>
      <c r="B481" vm="1399">
        <v>151.13</v>
      </c>
    </row>
    <row r="482" spans="1:2" x14ac:dyDescent="0.25">
      <c r="A482" s="20">
        <v>45992</v>
      </c>
      <c r="B482" vm="1402">
        <v>152.54</v>
      </c>
    </row>
    <row r="483" spans="1:2" x14ac:dyDescent="0.25">
      <c r="A483" s="20">
        <v>45992</v>
      </c>
      <c r="B483" vm="1405">
        <v>150.25</v>
      </c>
    </row>
    <row r="484" spans="1:2" x14ac:dyDescent="0.25">
      <c r="A484" s="20">
        <v>45992</v>
      </c>
      <c r="B484" vm="1408">
        <v>151.59</v>
      </c>
    </row>
    <row r="485" spans="1:2" x14ac:dyDescent="0.25">
      <c r="A485" s="20">
        <v>45992</v>
      </c>
      <c r="B485" vm="1411">
        <v>152.26</v>
      </c>
    </row>
    <row r="486" spans="1:2" x14ac:dyDescent="0.25">
      <c r="A486" s="20">
        <v>45992</v>
      </c>
      <c r="B486" vm="1414">
        <v>150</v>
      </c>
    </row>
    <row r="487" spans="1:2" x14ac:dyDescent="0.25">
      <c r="A487" s="20">
        <v>45999</v>
      </c>
      <c r="B487" vm="1417">
        <v>148.71</v>
      </c>
    </row>
    <row r="488" spans="1:2" x14ac:dyDescent="0.25">
      <c r="A488" s="20">
        <v>45999</v>
      </c>
      <c r="B488" vm="1420">
        <v>148.49</v>
      </c>
    </row>
    <row r="489" spans="1:2" x14ac:dyDescent="0.25">
      <c r="A489" s="20">
        <v>45999</v>
      </c>
      <c r="B489" vm="1423">
        <v>151.41</v>
      </c>
    </row>
    <row r="490" spans="1:2" x14ac:dyDescent="0.25">
      <c r="A490" s="20">
        <v>45999</v>
      </c>
      <c r="B490" vm="1426">
        <v>150.72</v>
      </c>
    </row>
    <row r="491" spans="1:2" x14ac:dyDescent="0.25">
      <c r="A491" s="20">
        <v>45999</v>
      </c>
      <c r="B491" vm="1429">
        <v>149.99</v>
      </c>
    </row>
    <row r="492" spans="1:2" x14ac:dyDescent="0.25">
      <c r="A492" s="20">
        <v>46006</v>
      </c>
      <c r="B492" vm="1432">
        <v>149.80000000000001</v>
      </c>
    </row>
    <row r="493" spans="1:2" x14ac:dyDescent="0.25">
      <c r="A493" s="20">
        <v>46006</v>
      </c>
      <c r="B493" vm="1435">
        <v>146.75</v>
      </c>
    </row>
    <row r="494" spans="1:2" x14ac:dyDescent="0.25">
      <c r="A494" s="20">
        <v>46006</v>
      </c>
      <c r="B494" vm="1438">
        <v>149.52000000000001</v>
      </c>
    </row>
    <row r="495" spans="1:2" x14ac:dyDescent="0.25">
      <c r="A495" s="20">
        <v>46006</v>
      </c>
      <c r="B495" vm="1441">
        <v>147.69</v>
      </c>
    </row>
    <row r="496" spans="1:2" x14ac:dyDescent="0.25">
      <c r="A496" s="20">
        <v>46006</v>
      </c>
      <c r="B496" vm="1444">
        <v>147.75</v>
      </c>
    </row>
    <row r="497" spans="1:2" x14ac:dyDescent="0.25">
      <c r="A497" s="20">
        <v>46013</v>
      </c>
      <c r="B497" vm="1432">
        <v>149.80000000000001</v>
      </c>
    </row>
    <row r="498" spans="1:2" x14ac:dyDescent="0.25">
      <c r="A498" s="20">
        <v>46013</v>
      </c>
      <c r="B498" vm="1449">
        <v>150.51</v>
      </c>
    </row>
    <row r="499" spans="1:2" x14ac:dyDescent="0.25">
      <c r="A499" s="20">
        <v>46013</v>
      </c>
      <c r="B499" vm="1452">
        <v>150.5</v>
      </c>
    </row>
    <row r="500" spans="1:2" x14ac:dyDescent="0.25">
      <c r="A500" s="20">
        <v>46013</v>
      </c>
      <c r="B500" vm="1455">
        <v>150.02000000000001</v>
      </c>
    </row>
    <row r="501" spans="1:2" x14ac:dyDescent="0.25">
      <c r="A501" s="20">
        <v>46020</v>
      </c>
      <c r="B501" vm="1458">
        <v>150.99</v>
      </c>
    </row>
    <row r="502" spans="1:2" x14ac:dyDescent="0.25">
      <c r="A502" s="20">
        <v>46020</v>
      </c>
      <c r="B502" vm="1461">
        <v>152.31</v>
      </c>
    </row>
    <row r="503" spans="1:2" x14ac:dyDescent="0.25">
      <c r="A503" s="20">
        <v>46020</v>
      </c>
      <c r="B503" vm="1464">
        <v>152.41</v>
      </c>
    </row>
    <row r="504" spans="1:2" x14ac:dyDescent="0.25">
      <c r="A504" s="20">
        <v>46020</v>
      </c>
      <c r="B504" vm="1467">
        <v>155.9</v>
      </c>
    </row>
    <row r="505" spans="1:2" x14ac:dyDescent="0.25">
      <c r="A505" s="20">
        <v>46027</v>
      </c>
      <c r="B505" vm="1470">
        <v>163.85</v>
      </c>
    </row>
    <row r="506" spans="1:2" x14ac:dyDescent="0.25">
      <c r="A506" s="20">
        <v>46027</v>
      </c>
      <c r="B506" vm="1473">
        <v>156.54</v>
      </c>
    </row>
    <row r="507" spans="1:2" x14ac:dyDescent="0.25">
      <c r="A507" s="20">
        <v>46027</v>
      </c>
      <c r="B507" vm="1476">
        <v>155.19999999999999</v>
      </c>
    </row>
    <row r="508" spans="1:2" x14ac:dyDescent="0.25">
      <c r="A508" s="20">
        <v>46027</v>
      </c>
      <c r="B508" vm="1479">
        <v>159.25</v>
      </c>
    </row>
    <row r="509" spans="1:2" x14ac:dyDescent="0.25">
      <c r="A509" s="20">
        <v>46027</v>
      </c>
      <c r="B509" vm="677">
        <v>162.11000000000001</v>
      </c>
    </row>
    <row r="510" spans="1:2" x14ac:dyDescent="0.25">
      <c r="A510" s="20">
        <v>46034</v>
      </c>
      <c r="B510" vm="1484">
        <v>162.34</v>
      </c>
    </row>
    <row r="511" spans="1:2" x14ac:dyDescent="0.25">
      <c r="A511" s="20">
        <v>46034</v>
      </c>
      <c r="B511" vm="1487">
        <v>163.87</v>
      </c>
    </row>
    <row r="512" spans="1:2" x14ac:dyDescent="0.25">
      <c r="A512" s="20">
        <v>46034</v>
      </c>
      <c r="B512" vm="1490">
        <v>167.24</v>
      </c>
    </row>
    <row r="513" spans="1:2" x14ac:dyDescent="0.25">
      <c r="A513" s="20">
        <v>46034</v>
      </c>
      <c r="B513" vm="1493">
        <v>166.16</v>
      </c>
    </row>
    <row r="514" spans="1:2" x14ac:dyDescent="0.25">
      <c r="A514" s="20">
        <v>46034</v>
      </c>
      <c r="B514" vm="1496">
        <v>166.26</v>
      </c>
    </row>
    <row r="515" spans="1:2" x14ac:dyDescent="0.25">
      <c r="A515" s="20">
        <v>46041</v>
      </c>
      <c r="B515" vm="1499">
        <v>165.3</v>
      </c>
    </row>
    <row r="516" spans="1:2" x14ac:dyDescent="0.25">
      <c r="A516" s="20">
        <v>46041</v>
      </c>
      <c r="B516" vm="1502">
        <v>166.73</v>
      </c>
    </row>
    <row r="517" spans="1:2" x14ac:dyDescent="0.25">
      <c r="A517" s="20">
        <v>46041</v>
      </c>
      <c r="B517" vm="1505">
        <v>166.66</v>
      </c>
    </row>
    <row r="518" spans="1:2" x14ac:dyDescent="0.25">
      <c r="A518" s="20">
        <v>46041</v>
      </c>
      <c r="B518" vm="1508">
        <v>166.72</v>
      </c>
    </row>
    <row r="519" spans="1:2" x14ac:dyDescent="0.25">
      <c r="A519" s="20">
        <v>46048</v>
      </c>
      <c r="B519" vm="1511">
        <v>167.5</v>
      </c>
    </row>
    <row r="520" spans="1:2" x14ac:dyDescent="0.25">
      <c r="A520" s="20">
        <v>46048</v>
      </c>
      <c r="B520" vm="1514">
        <v>169.05</v>
      </c>
    </row>
    <row r="521" spans="1:2" x14ac:dyDescent="0.25">
      <c r="A521" s="20">
        <v>46048</v>
      </c>
      <c r="B521" vm="1517">
        <v>169.93</v>
      </c>
    </row>
    <row r="522" spans="1:2" x14ac:dyDescent="0.25">
      <c r="A522" s="20">
        <v>46048</v>
      </c>
      <c r="B522" vm="1520">
        <v>171.19</v>
      </c>
    </row>
    <row r="523" spans="1:2" x14ac:dyDescent="0.25">
      <c r="A523" s="20">
        <v>46048</v>
      </c>
      <c r="B523" vm="1523">
        <v>176.9</v>
      </c>
    </row>
    <row r="524" spans="1:2" x14ac:dyDescent="0.25">
      <c r="A524" s="20">
        <v>46055</v>
      </c>
      <c r="B524" vm="1526">
        <v>174.03</v>
      </c>
    </row>
    <row r="525" spans="1:2" x14ac:dyDescent="0.25">
      <c r="A525" s="20">
        <v>46055</v>
      </c>
      <c r="B525" vm="1529">
        <v>178.04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0568-B321-401D-B457-33B556BF8509}">
  <dimension ref="A1"/>
  <sheetViews>
    <sheetView tabSelected="1" topLeftCell="A77" workbookViewId="0">
      <selection activeCell="J70" sqref="J70"/>
    </sheetView>
  </sheetViews>
  <sheetFormatPr defaultRowHeight="15" x14ac:dyDescent="0.25"/>
  <cols>
    <col min="1" max="16384" width="9.140625" style="2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4C35-70BE-41E7-92F0-6607B2127896}">
  <dimension ref="A1:B1000"/>
  <sheetViews>
    <sheetView topLeftCell="A91" workbookViewId="0">
      <selection activeCell="D4" sqref="D4"/>
    </sheetView>
  </sheetViews>
  <sheetFormatPr defaultRowHeight="15" x14ac:dyDescent="0.25"/>
  <cols>
    <col min="1" max="1" width="20.7109375" style="22" customWidth="1"/>
    <col min="2" max="2" width="12.85546875" style="23" customWidth="1"/>
  </cols>
  <sheetData>
    <row r="1" spans="1:2" ht="14.25" customHeight="1" thickBot="1" x14ac:dyDescent="0.3">
      <c r="A1" s="24" t="s">
        <v>49</v>
      </c>
      <c r="B1" s="24" t="s">
        <v>50</v>
      </c>
    </row>
    <row r="2" spans="1:2" ht="15.75" thickBot="1" x14ac:dyDescent="0.3">
      <c r="A2" s="26">
        <v>36572</v>
      </c>
      <c r="B2" s="27">
        <v>0.33</v>
      </c>
    </row>
    <row r="3" spans="1:2" ht="15.75" thickBot="1" x14ac:dyDescent="0.3">
      <c r="A3" s="26">
        <v>36663</v>
      </c>
      <c r="B3" s="27">
        <v>0.33</v>
      </c>
    </row>
    <row r="4" spans="1:2" ht="15.75" thickBot="1" x14ac:dyDescent="0.3">
      <c r="A4" s="26">
        <v>36754</v>
      </c>
      <c r="B4" s="27">
        <v>0.33</v>
      </c>
    </row>
    <row r="5" spans="1:2" ht="15.75" thickBot="1" x14ac:dyDescent="0.3">
      <c r="A5" s="26">
        <v>36845</v>
      </c>
      <c r="B5" s="27">
        <v>0.33</v>
      </c>
    </row>
    <row r="6" spans="1:2" ht="15.75" thickBot="1" x14ac:dyDescent="0.3">
      <c r="A6" s="26">
        <v>36936</v>
      </c>
      <c r="B6" s="27">
        <v>0.33</v>
      </c>
    </row>
    <row r="7" spans="1:2" ht="15.75" thickBot="1" x14ac:dyDescent="0.3">
      <c r="A7" s="26">
        <v>37027</v>
      </c>
      <c r="B7" s="27">
        <v>0.33</v>
      </c>
    </row>
    <row r="8" spans="1:2" ht="15.75" thickBot="1" x14ac:dyDescent="0.3">
      <c r="A8" s="26">
        <v>37118</v>
      </c>
      <c r="B8" s="27">
        <v>0.33</v>
      </c>
    </row>
    <row r="9" spans="1:2" ht="15.75" thickBot="1" x14ac:dyDescent="0.3">
      <c r="A9" s="26">
        <v>37209</v>
      </c>
      <c r="B9" s="27">
        <v>0.35</v>
      </c>
    </row>
    <row r="10" spans="1:2" ht="15.75" thickBot="1" x14ac:dyDescent="0.3">
      <c r="A10" s="26">
        <v>37300</v>
      </c>
      <c r="B10" s="27">
        <v>0.35</v>
      </c>
    </row>
    <row r="11" spans="1:2" ht="15.75" thickBot="1" x14ac:dyDescent="0.3">
      <c r="A11" s="26">
        <v>37391</v>
      </c>
      <c r="B11" s="27">
        <v>0.35</v>
      </c>
    </row>
    <row r="12" spans="1:2" ht="15.75" thickBot="1" x14ac:dyDescent="0.3">
      <c r="A12" s="26">
        <v>37483</v>
      </c>
      <c r="B12" s="27">
        <v>0.35</v>
      </c>
    </row>
    <row r="13" spans="1:2" ht="15.75" thickBot="1" x14ac:dyDescent="0.3">
      <c r="A13" s="26">
        <v>37574</v>
      </c>
      <c r="B13" s="27">
        <v>0.35</v>
      </c>
    </row>
    <row r="14" spans="1:2" ht="15.75" thickBot="1" x14ac:dyDescent="0.3">
      <c r="A14" s="26">
        <v>37664</v>
      </c>
      <c r="B14" s="27">
        <v>0.35</v>
      </c>
    </row>
    <row r="15" spans="1:2" ht="15.75" thickBot="1" x14ac:dyDescent="0.3">
      <c r="A15" s="26">
        <v>37756</v>
      </c>
      <c r="B15" s="27">
        <v>0.35</v>
      </c>
    </row>
    <row r="16" spans="1:2" ht="15.75" thickBot="1" x14ac:dyDescent="0.3">
      <c r="A16" s="26">
        <v>37848</v>
      </c>
      <c r="B16" s="27">
        <v>0.37</v>
      </c>
    </row>
    <row r="17" spans="1:2" ht="15.75" thickBot="1" x14ac:dyDescent="0.3">
      <c r="A17" s="26">
        <v>37939</v>
      </c>
      <c r="B17" s="27">
        <v>0.37</v>
      </c>
    </row>
    <row r="18" spans="1:2" ht="15.75" thickBot="1" x14ac:dyDescent="0.3">
      <c r="A18" s="26">
        <v>38030</v>
      </c>
      <c r="B18" s="27">
        <v>0.37</v>
      </c>
    </row>
    <row r="19" spans="1:2" ht="15.75" thickBot="1" x14ac:dyDescent="0.3">
      <c r="A19" s="26">
        <v>38124</v>
      </c>
      <c r="B19" s="27">
        <v>0.37</v>
      </c>
    </row>
    <row r="20" spans="1:2" ht="15.75" thickBot="1" x14ac:dyDescent="0.3">
      <c r="A20" s="26">
        <v>38216</v>
      </c>
      <c r="B20" s="27">
        <v>0.4</v>
      </c>
    </row>
    <row r="21" spans="1:2" ht="15.75" thickBot="1" x14ac:dyDescent="0.3">
      <c r="A21" s="26">
        <v>38307</v>
      </c>
      <c r="B21" s="27">
        <v>0.4</v>
      </c>
    </row>
    <row r="22" spans="1:2" ht="15.75" thickBot="1" x14ac:dyDescent="0.3">
      <c r="A22" s="26">
        <v>38397</v>
      </c>
      <c r="B22" s="27">
        <v>0.4</v>
      </c>
    </row>
    <row r="23" spans="1:2" ht="15.75" thickBot="1" x14ac:dyDescent="0.3">
      <c r="A23" s="26">
        <v>38489</v>
      </c>
      <c r="B23" s="27">
        <v>0.45</v>
      </c>
    </row>
    <row r="24" spans="1:2" ht="15.75" thickBot="1" x14ac:dyDescent="0.3">
      <c r="A24" s="26">
        <v>38581</v>
      </c>
      <c r="B24" s="27">
        <v>0.45</v>
      </c>
    </row>
    <row r="25" spans="1:2" ht="15.75" thickBot="1" x14ac:dyDescent="0.3">
      <c r="A25" s="26">
        <v>38672</v>
      </c>
      <c r="B25" s="27">
        <v>0.45</v>
      </c>
    </row>
    <row r="26" spans="1:2" ht="15.75" thickBot="1" x14ac:dyDescent="0.3">
      <c r="A26" s="26">
        <v>38762</v>
      </c>
      <c r="B26" s="27">
        <v>0.45</v>
      </c>
    </row>
    <row r="27" spans="1:2" ht="15.75" thickBot="1" x14ac:dyDescent="0.3">
      <c r="A27" s="26">
        <v>38854</v>
      </c>
      <c r="B27" s="27">
        <v>0.52</v>
      </c>
    </row>
    <row r="28" spans="1:2" ht="15.75" thickBot="1" x14ac:dyDescent="0.3">
      <c r="A28" s="26">
        <v>38945</v>
      </c>
      <c r="B28" s="27">
        <v>0.52</v>
      </c>
    </row>
    <row r="29" spans="1:2" ht="15.75" thickBot="1" x14ac:dyDescent="0.3">
      <c r="A29" s="26">
        <v>39036</v>
      </c>
      <c r="B29" s="27">
        <v>0.52</v>
      </c>
    </row>
    <row r="30" spans="1:2" ht="15.75" thickBot="1" x14ac:dyDescent="0.3">
      <c r="A30" s="26">
        <v>39127</v>
      </c>
      <c r="B30" s="27">
        <v>0.52</v>
      </c>
    </row>
    <row r="31" spans="1:2" ht="15.75" thickBot="1" x14ac:dyDescent="0.3">
      <c r="A31" s="26">
        <v>39218</v>
      </c>
      <c r="B31" s="27">
        <v>0.57999999999999996</v>
      </c>
    </row>
    <row r="32" spans="1:2" ht="15.75" thickBot="1" x14ac:dyDescent="0.3">
      <c r="A32" s="26">
        <v>39309</v>
      </c>
      <c r="B32" s="27">
        <v>0.57999999999999996</v>
      </c>
    </row>
    <row r="33" spans="1:2" ht="15.75" thickBot="1" x14ac:dyDescent="0.3">
      <c r="A33" s="26">
        <v>39400</v>
      </c>
      <c r="B33" s="27">
        <v>0.57999999999999996</v>
      </c>
    </row>
    <row r="34" spans="1:2" ht="15.75" thickBot="1" x14ac:dyDescent="0.3">
      <c r="A34" s="26">
        <v>39491</v>
      </c>
      <c r="B34" s="27">
        <v>0.57999999999999996</v>
      </c>
    </row>
    <row r="35" spans="1:2" ht="15.75" thickBot="1" x14ac:dyDescent="0.3">
      <c r="A35" s="26">
        <v>39583</v>
      </c>
      <c r="B35" s="27">
        <v>0.65</v>
      </c>
    </row>
    <row r="36" spans="1:2" ht="15.75" thickBot="1" x14ac:dyDescent="0.3">
      <c r="A36" s="26">
        <v>39675</v>
      </c>
      <c r="B36" s="27">
        <v>0.65</v>
      </c>
    </row>
    <row r="37" spans="1:2" ht="15.75" thickBot="1" x14ac:dyDescent="0.3">
      <c r="A37" s="26">
        <v>39766</v>
      </c>
      <c r="B37" s="27">
        <v>0.65</v>
      </c>
    </row>
    <row r="38" spans="1:2" ht="15.75" thickBot="1" x14ac:dyDescent="0.3">
      <c r="A38" s="26">
        <v>39856</v>
      </c>
      <c r="B38" s="27">
        <v>0.65</v>
      </c>
    </row>
    <row r="39" spans="1:2" ht="15.75" thickBot="1" x14ac:dyDescent="0.3">
      <c r="A39" s="26">
        <v>39948</v>
      </c>
      <c r="B39" s="27">
        <v>0.65</v>
      </c>
    </row>
    <row r="40" spans="1:2" ht="15.75" thickBot="1" x14ac:dyDescent="0.3">
      <c r="A40" s="26">
        <v>40042</v>
      </c>
      <c r="B40" s="27">
        <v>0.68</v>
      </c>
    </row>
    <row r="41" spans="1:2" ht="15.75" thickBot="1" x14ac:dyDescent="0.3">
      <c r="A41" s="26">
        <v>40133</v>
      </c>
      <c r="B41" s="27">
        <v>0.68</v>
      </c>
    </row>
    <row r="42" spans="1:2" ht="15.75" thickBot="1" x14ac:dyDescent="0.3">
      <c r="A42" s="26">
        <v>40221</v>
      </c>
      <c r="B42" s="27">
        <v>0.68</v>
      </c>
    </row>
    <row r="43" spans="1:2" ht="15.75" thickBot="1" x14ac:dyDescent="0.3">
      <c r="A43" s="26">
        <v>40315</v>
      </c>
      <c r="B43" s="27">
        <v>0.72</v>
      </c>
    </row>
    <row r="44" spans="1:2" ht="15.75" thickBot="1" x14ac:dyDescent="0.3">
      <c r="A44" s="26">
        <v>40407</v>
      </c>
      <c r="B44" s="27">
        <v>0.72</v>
      </c>
    </row>
    <row r="45" spans="1:2" ht="15.75" thickBot="1" x14ac:dyDescent="0.3">
      <c r="A45" s="26">
        <v>40498</v>
      </c>
      <c r="B45" s="27">
        <v>0.72</v>
      </c>
    </row>
    <row r="46" spans="1:2" ht="15.75" thickBot="1" x14ac:dyDescent="0.3">
      <c r="A46" s="26">
        <v>40588</v>
      </c>
      <c r="B46" s="27">
        <v>0.72</v>
      </c>
    </row>
    <row r="47" spans="1:2" ht="15.75" thickBot="1" x14ac:dyDescent="0.3">
      <c r="A47" s="26">
        <v>40680</v>
      </c>
      <c r="B47" s="27">
        <v>0.78</v>
      </c>
    </row>
    <row r="48" spans="1:2" ht="15.75" thickBot="1" x14ac:dyDescent="0.3">
      <c r="A48" s="26">
        <v>40772</v>
      </c>
      <c r="B48" s="27">
        <v>0.78</v>
      </c>
    </row>
    <row r="49" spans="1:2" ht="15.75" thickBot="1" x14ac:dyDescent="0.3">
      <c r="A49" s="26">
        <v>40863</v>
      </c>
      <c r="B49" s="27">
        <v>0.81</v>
      </c>
    </row>
    <row r="50" spans="1:2" ht="15.75" thickBot="1" x14ac:dyDescent="0.3">
      <c r="A50" s="26">
        <v>40954</v>
      </c>
      <c r="B50" s="27">
        <v>0.81</v>
      </c>
    </row>
    <row r="51" spans="1:2" ht="15.75" thickBot="1" x14ac:dyDescent="0.3">
      <c r="A51" s="26">
        <v>41045</v>
      </c>
      <c r="B51" s="27">
        <v>0.9</v>
      </c>
    </row>
    <row r="52" spans="1:2" ht="15.75" thickBot="1" x14ac:dyDescent="0.3">
      <c r="A52" s="26">
        <v>41136</v>
      </c>
      <c r="B52" s="27">
        <v>0.9</v>
      </c>
    </row>
    <row r="53" spans="1:2" ht="15.75" thickBot="1" x14ac:dyDescent="0.3">
      <c r="A53" s="26">
        <v>41227</v>
      </c>
      <c r="B53" s="27">
        <v>0.9</v>
      </c>
    </row>
    <row r="54" spans="1:2" ht="15.75" thickBot="1" x14ac:dyDescent="0.3">
      <c r="A54" s="26">
        <v>41318</v>
      </c>
      <c r="B54" s="27">
        <v>0.9</v>
      </c>
    </row>
    <row r="55" spans="1:2" ht="15.75" thickBot="1" x14ac:dyDescent="0.3">
      <c r="A55" s="26">
        <v>41409</v>
      </c>
      <c r="B55" s="27">
        <v>1</v>
      </c>
    </row>
    <row r="56" spans="1:2" ht="15.75" thickBot="1" x14ac:dyDescent="0.3">
      <c r="A56" s="26">
        <v>41501</v>
      </c>
      <c r="B56" s="27">
        <v>1</v>
      </c>
    </row>
    <row r="57" spans="1:2" ht="15.75" thickBot="1" x14ac:dyDescent="0.3">
      <c r="A57" s="26">
        <v>41592</v>
      </c>
      <c r="B57" s="27">
        <v>1</v>
      </c>
    </row>
    <row r="58" spans="1:2" ht="15.75" thickBot="1" x14ac:dyDescent="0.3">
      <c r="A58" s="26">
        <v>41682</v>
      </c>
      <c r="B58" s="27">
        <v>1</v>
      </c>
    </row>
    <row r="59" spans="1:2" ht="15.75" thickBot="1" x14ac:dyDescent="0.3">
      <c r="A59" s="26">
        <v>41774</v>
      </c>
      <c r="B59" s="27">
        <v>1.07</v>
      </c>
    </row>
    <row r="60" spans="1:2" ht="15.75" thickBot="1" x14ac:dyDescent="0.3">
      <c r="A60" s="26">
        <v>41866</v>
      </c>
      <c r="B60" s="27">
        <v>1.07</v>
      </c>
    </row>
    <row r="61" spans="1:2" ht="15.75" thickBot="1" x14ac:dyDescent="0.3">
      <c r="A61" s="26">
        <v>41957</v>
      </c>
      <c r="B61" s="27">
        <v>1.07</v>
      </c>
    </row>
    <row r="62" spans="1:2" ht="15.75" thickBot="1" x14ac:dyDescent="0.3">
      <c r="A62" s="26">
        <v>42047</v>
      </c>
      <c r="B62" s="27">
        <v>1.07</v>
      </c>
    </row>
    <row r="63" spans="1:2" ht="15.75" thickBot="1" x14ac:dyDescent="0.3">
      <c r="A63" s="26">
        <v>42139</v>
      </c>
      <c r="B63" s="27">
        <v>1.07</v>
      </c>
    </row>
    <row r="64" spans="1:2" ht="15.75" thickBot="1" x14ac:dyDescent="0.3">
      <c r="A64" s="26">
        <v>42233</v>
      </c>
      <c r="B64" s="27">
        <v>1.07</v>
      </c>
    </row>
    <row r="65" spans="1:2" ht="15.75" thickBot="1" x14ac:dyDescent="0.3">
      <c r="A65" s="26">
        <v>42324</v>
      </c>
      <c r="B65" s="27">
        <v>1.07</v>
      </c>
    </row>
    <row r="66" spans="1:2" ht="15.75" thickBot="1" x14ac:dyDescent="0.3">
      <c r="A66" s="26">
        <v>42416</v>
      </c>
      <c r="B66" s="27">
        <v>1.07</v>
      </c>
    </row>
    <row r="67" spans="1:2" ht="15.75" thickBot="1" x14ac:dyDescent="0.3">
      <c r="A67" s="26">
        <v>42507</v>
      </c>
      <c r="B67" s="27">
        <v>1.07</v>
      </c>
    </row>
    <row r="68" spans="1:2" ht="15.75" thickBot="1" x14ac:dyDescent="0.3">
      <c r="A68" s="26">
        <v>42599</v>
      </c>
      <c r="B68" s="27">
        <v>1.07</v>
      </c>
    </row>
    <row r="69" spans="1:2" ht="15.75" thickBot="1" x14ac:dyDescent="0.3">
      <c r="A69" s="26">
        <v>42690</v>
      </c>
      <c r="B69" s="27">
        <v>1.08</v>
      </c>
    </row>
    <row r="70" spans="1:2" ht="15.75" thickBot="1" x14ac:dyDescent="0.3">
      <c r="A70" s="26">
        <v>42780</v>
      </c>
      <c r="B70" s="27">
        <v>1.08</v>
      </c>
    </row>
    <row r="71" spans="1:2" ht="15.75" thickBot="1" x14ac:dyDescent="0.3">
      <c r="A71" s="26">
        <v>42872</v>
      </c>
      <c r="B71" s="27">
        <v>1.08</v>
      </c>
    </row>
    <row r="72" spans="1:2" ht="15.75" thickBot="1" x14ac:dyDescent="0.3">
      <c r="A72" s="26">
        <v>42963</v>
      </c>
      <c r="B72" s="27">
        <v>1.08</v>
      </c>
    </row>
    <row r="73" spans="1:2" ht="15.75" thickBot="1" x14ac:dyDescent="0.3">
      <c r="A73" s="26">
        <v>43055</v>
      </c>
      <c r="B73" s="27">
        <v>1.08</v>
      </c>
    </row>
    <row r="74" spans="1:2" ht="15.75" thickBot="1" x14ac:dyDescent="0.3">
      <c r="A74" s="26">
        <v>43146</v>
      </c>
      <c r="B74" s="27">
        <v>1.1200000000000001</v>
      </c>
    </row>
    <row r="75" spans="1:2" ht="15.75" thickBot="1" x14ac:dyDescent="0.3">
      <c r="A75" s="26">
        <v>43237</v>
      </c>
      <c r="B75" s="27">
        <v>1.1200000000000001</v>
      </c>
    </row>
    <row r="76" spans="1:2" ht="15.75" thickBot="1" x14ac:dyDescent="0.3">
      <c r="A76" s="26">
        <v>43328</v>
      </c>
      <c r="B76" s="27">
        <v>1.1200000000000001</v>
      </c>
    </row>
    <row r="77" spans="1:2" ht="15.75" thickBot="1" x14ac:dyDescent="0.3">
      <c r="A77" s="26">
        <v>43419</v>
      </c>
      <c r="B77" s="27">
        <v>1.1200000000000001</v>
      </c>
    </row>
    <row r="78" spans="1:2" ht="15.75" thickBot="1" x14ac:dyDescent="0.3">
      <c r="A78" s="26">
        <v>43510</v>
      </c>
      <c r="B78" s="27">
        <v>1.19</v>
      </c>
    </row>
    <row r="79" spans="1:2" ht="15.75" thickBot="1" x14ac:dyDescent="0.3">
      <c r="A79" s="26">
        <v>43601</v>
      </c>
      <c r="B79" s="27">
        <v>1.19</v>
      </c>
    </row>
    <row r="80" spans="1:2" ht="15.75" thickBot="1" x14ac:dyDescent="0.3">
      <c r="A80" s="26">
        <v>43693</v>
      </c>
      <c r="B80" s="27">
        <v>1.19</v>
      </c>
    </row>
    <row r="81" spans="1:2" ht="15.75" thickBot="1" x14ac:dyDescent="0.3">
      <c r="A81" s="26">
        <v>43784</v>
      </c>
      <c r="B81" s="27">
        <v>1.19</v>
      </c>
    </row>
    <row r="82" spans="1:2" ht="15.75" thickBot="1" x14ac:dyDescent="0.3">
      <c r="A82" s="26">
        <v>43875</v>
      </c>
      <c r="B82" s="27">
        <v>1.29</v>
      </c>
    </row>
    <row r="83" spans="1:2" ht="15.75" thickBot="1" x14ac:dyDescent="0.3">
      <c r="A83" s="26">
        <v>43969</v>
      </c>
      <c r="B83" s="27">
        <v>1.29</v>
      </c>
    </row>
    <row r="84" spans="1:2" ht="15.75" thickBot="1" x14ac:dyDescent="0.3">
      <c r="A84" s="26">
        <v>44061</v>
      </c>
      <c r="B84" s="27">
        <v>1.29</v>
      </c>
    </row>
    <row r="85" spans="1:2" ht="15.75" thickBot="1" x14ac:dyDescent="0.3">
      <c r="A85" s="26">
        <v>44152</v>
      </c>
      <c r="B85" s="27">
        <v>1.29</v>
      </c>
    </row>
    <row r="86" spans="1:2" ht="15.75" thickBot="1" x14ac:dyDescent="0.3">
      <c r="A86" s="26">
        <v>44243</v>
      </c>
      <c r="B86" s="27">
        <v>1.29</v>
      </c>
    </row>
    <row r="87" spans="1:2" ht="15.75" thickBot="1" x14ac:dyDescent="0.3">
      <c r="A87" s="26">
        <v>44334</v>
      </c>
      <c r="B87" s="27">
        <v>1.34</v>
      </c>
    </row>
    <row r="88" spans="1:2" ht="15.75" thickBot="1" x14ac:dyDescent="0.3">
      <c r="A88" s="26">
        <v>44426</v>
      </c>
      <c r="B88" s="27">
        <v>1.34</v>
      </c>
    </row>
    <row r="89" spans="1:2" ht="15.75" thickBot="1" x14ac:dyDescent="0.3">
      <c r="A89" s="26">
        <v>44517</v>
      </c>
      <c r="B89" s="27">
        <v>1.34</v>
      </c>
    </row>
    <row r="90" spans="1:2" ht="15.75" thickBot="1" x14ac:dyDescent="0.3">
      <c r="A90" s="26">
        <v>44607</v>
      </c>
      <c r="B90" s="27">
        <v>1.42</v>
      </c>
    </row>
    <row r="91" spans="1:2" ht="15.75" thickBot="1" x14ac:dyDescent="0.3">
      <c r="A91" s="26">
        <v>44699</v>
      </c>
      <c r="B91" s="27">
        <v>1.42</v>
      </c>
    </row>
    <row r="92" spans="1:2" ht="15.75" thickBot="1" x14ac:dyDescent="0.3">
      <c r="A92" s="26">
        <v>44791</v>
      </c>
      <c r="B92" s="27">
        <v>1.42</v>
      </c>
    </row>
    <row r="93" spans="1:2" ht="15.75" thickBot="1" x14ac:dyDescent="0.3">
      <c r="A93" s="26">
        <v>44882</v>
      </c>
      <c r="B93" s="27">
        <v>1.42</v>
      </c>
    </row>
    <row r="94" spans="1:2" ht="15.75" thickBot="1" x14ac:dyDescent="0.3">
      <c r="A94" s="26">
        <v>44972</v>
      </c>
      <c r="B94" s="27">
        <v>1.51</v>
      </c>
    </row>
    <row r="95" spans="1:2" ht="15.75" thickBot="1" x14ac:dyDescent="0.3">
      <c r="A95" s="26">
        <v>45064</v>
      </c>
      <c r="B95" s="27">
        <v>1.51</v>
      </c>
    </row>
    <row r="96" spans="1:2" ht="15.75" thickBot="1" x14ac:dyDescent="0.3">
      <c r="A96" s="26">
        <v>45155</v>
      </c>
      <c r="B96" s="27">
        <v>1.51</v>
      </c>
    </row>
    <row r="97" spans="1:2" ht="15.75" thickBot="1" x14ac:dyDescent="0.3">
      <c r="A97" s="26">
        <v>45246</v>
      </c>
      <c r="B97" s="27">
        <v>1.51</v>
      </c>
    </row>
    <row r="98" spans="1:2" ht="15.75" thickBot="1" x14ac:dyDescent="0.3">
      <c r="A98" s="26">
        <v>45337</v>
      </c>
      <c r="B98" s="27">
        <v>1.63</v>
      </c>
    </row>
    <row r="99" spans="1:2" ht="15.75" thickBot="1" x14ac:dyDescent="0.3">
      <c r="A99" s="26">
        <v>45428</v>
      </c>
      <c r="B99" s="27">
        <v>1.63</v>
      </c>
    </row>
    <row r="100" spans="1:2" ht="15.75" thickBot="1" x14ac:dyDescent="0.3">
      <c r="A100" s="26">
        <v>45523</v>
      </c>
      <c r="B100" s="27">
        <v>1.63</v>
      </c>
    </row>
    <row r="101" spans="1:2" ht="15.75" thickBot="1" x14ac:dyDescent="0.3">
      <c r="A101" s="26">
        <v>45614</v>
      </c>
      <c r="B101" s="27">
        <v>1.63</v>
      </c>
    </row>
    <row r="102" spans="1:2" ht="15.75" thickBot="1" x14ac:dyDescent="0.3">
      <c r="A102" s="26">
        <v>45702</v>
      </c>
      <c r="B102" s="27">
        <v>1.71</v>
      </c>
    </row>
    <row r="103" spans="1:2" ht="15.75" thickBot="1" x14ac:dyDescent="0.3">
      <c r="A103" s="26">
        <v>45796</v>
      </c>
      <c r="B103" s="27">
        <v>1.71</v>
      </c>
    </row>
    <row r="104" spans="1:2" ht="15.75" thickBot="1" x14ac:dyDescent="0.3">
      <c r="A104" s="26">
        <v>45888</v>
      </c>
      <c r="B104" s="27">
        <v>1.71</v>
      </c>
    </row>
    <row r="105" spans="1:2" ht="15.75" thickBot="1" x14ac:dyDescent="0.3">
      <c r="A105" s="26">
        <v>45979</v>
      </c>
      <c r="B105" s="27">
        <v>1.71</v>
      </c>
    </row>
    <row r="106" spans="1:2" ht="15.75" thickBot="1" x14ac:dyDescent="0.3">
      <c r="A106" s="28"/>
      <c r="B106" s="28"/>
    </row>
    <row r="107" spans="1:2" ht="15.75" thickBot="1" x14ac:dyDescent="0.3">
      <c r="A107" s="28"/>
      <c r="B107" s="28"/>
    </row>
    <row r="108" spans="1:2" ht="15.75" thickBot="1" x14ac:dyDescent="0.3">
      <c r="A108" s="28"/>
      <c r="B108" s="28"/>
    </row>
    <row r="109" spans="1:2" ht="15.75" thickBot="1" x14ac:dyDescent="0.3">
      <c r="A109" s="28"/>
      <c r="B109" s="28"/>
    </row>
    <row r="110" spans="1:2" ht="15.75" thickBot="1" x14ac:dyDescent="0.3">
      <c r="A110" s="28"/>
      <c r="B110" s="28"/>
    </row>
    <row r="111" spans="1:2" ht="15.75" thickBot="1" x14ac:dyDescent="0.3">
      <c r="A111" s="28"/>
      <c r="B111" s="28"/>
    </row>
    <row r="112" spans="1:2" ht="15.75" thickBot="1" x14ac:dyDescent="0.3">
      <c r="A112" s="28"/>
      <c r="B112" s="28"/>
    </row>
    <row r="113" spans="1:2" ht="15.75" thickBot="1" x14ac:dyDescent="0.3">
      <c r="A113" s="28"/>
      <c r="B113" s="28"/>
    </row>
    <row r="114" spans="1:2" ht="15.75" thickBot="1" x14ac:dyDescent="0.3">
      <c r="A114" s="28"/>
      <c r="B114" s="28"/>
    </row>
    <row r="115" spans="1:2" ht="15.75" thickBot="1" x14ac:dyDescent="0.3">
      <c r="A115" s="28"/>
      <c r="B115" s="28"/>
    </row>
    <row r="116" spans="1:2" ht="15.75" thickBot="1" x14ac:dyDescent="0.3">
      <c r="A116" s="28"/>
      <c r="B116" s="28"/>
    </row>
    <row r="117" spans="1:2" ht="15.75" thickBot="1" x14ac:dyDescent="0.3">
      <c r="A117" s="28"/>
      <c r="B117" s="28"/>
    </row>
    <row r="118" spans="1:2" ht="15.75" thickBot="1" x14ac:dyDescent="0.3">
      <c r="A118" s="28"/>
      <c r="B118" s="28"/>
    </row>
    <row r="119" spans="1:2" ht="15.75" thickBot="1" x14ac:dyDescent="0.3">
      <c r="A119" s="28"/>
      <c r="B119" s="28"/>
    </row>
    <row r="120" spans="1:2" ht="15.75" thickBot="1" x14ac:dyDescent="0.3">
      <c r="A120" s="28"/>
      <c r="B120" s="28"/>
    </row>
    <row r="121" spans="1:2" ht="15.75" thickBot="1" x14ac:dyDescent="0.3">
      <c r="A121" s="28"/>
      <c r="B121" s="28"/>
    </row>
    <row r="122" spans="1:2" ht="15.75" thickBot="1" x14ac:dyDescent="0.3">
      <c r="A122" s="28"/>
      <c r="B122" s="28"/>
    </row>
    <row r="123" spans="1:2" ht="15.75" thickBot="1" x14ac:dyDescent="0.3">
      <c r="A123" s="28"/>
      <c r="B123" s="28"/>
    </row>
    <row r="124" spans="1:2" ht="15.75" thickBot="1" x14ac:dyDescent="0.3">
      <c r="A124" s="28"/>
      <c r="B124" s="28"/>
    </row>
    <row r="125" spans="1:2" ht="15.75" thickBot="1" x14ac:dyDescent="0.3">
      <c r="A125" s="28"/>
      <c r="B125" s="28"/>
    </row>
    <row r="126" spans="1:2" ht="15.75" thickBot="1" x14ac:dyDescent="0.3">
      <c r="A126" s="28"/>
      <c r="B126" s="28"/>
    </row>
    <row r="127" spans="1:2" ht="15.75" thickBot="1" x14ac:dyDescent="0.3">
      <c r="A127" s="28"/>
      <c r="B127" s="28"/>
    </row>
    <row r="128" spans="1:2" ht="15.75" thickBot="1" x14ac:dyDescent="0.3">
      <c r="A128" s="28"/>
      <c r="B128" s="28"/>
    </row>
    <row r="129" spans="1:2" ht="15.75" thickBot="1" x14ac:dyDescent="0.3">
      <c r="A129" s="28"/>
      <c r="B129" s="28"/>
    </row>
    <row r="130" spans="1:2" ht="15.75" thickBot="1" x14ac:dyDescent="0.3">
      <c r="A130" s="28"/>
      <c r="B130" s="28"/>
    </row>
    <row r="131" spans="1:2" ht="15.75" thickBot="1" x14ac:dyDescent="0.3">
      <c r="A131" s="28"/>
      <c r="B131" s="28"/>
    </row>
    <row r="132" spans="1:2" ht="15.75" thickBot="1" x14ac:dyDescent="0.3">
      <c r="A132" s="28"/>
      <c r="B132" s="28"/>
    </row>
    <row r="133" spans="1:2" ht="15.75" thickBot="1" x14ac:dyDescent="0.3">
      <c r="A133" s="28"/>
      <c r="B133" s="28"/>
    </row>
    <row r="134" spans="1:2" ht="15.75" thickBot="1" x14ac:dyDescent="0.3">
      <c r="A134" s="28"/>
      <c r="B134" s="28"/>
    </row>
    <row r="135" spans="1:2" ht="15.75" thickBot="1" x14ac:dyDescent="0.3">
      <c r="A135" s="28"/>
      <c r="B135" s="28"/>
    </row>
    <row r="136" spans="1:2" ht="15.75" thickBot="1" x14ac:dyDescent="0.3">
      <c r="A136" s="28"/>
      <c r="B136" s="28"/>
    </row>
    <row r="137" spans="1:2" ht="15.75" thickBot="1" x14ac:dyDescent="0.3">
      <c r="A137" s="28"/>
      <c r="B137" s="28"/>
    </row>
    <row r="138" spans="1:2" ht="15.75" thickBot="1" x14ac:dyDescent="0.3">
      <c r="A138" s="28"/>
      <c r="B138" s="28"/>
    </row>
    <row r="139" spans="1:2" ht="15.75" thickBot="1" x14ac:dyDescent="0.3">
      <c r="A139" s="28"/>
      <c r="B139" s="28"/>
    </row>
    <row r="140" spans="1:2" ht="15.75" thickBot="1" x14ac:dyDescent="0.3">
      <c r="A140" s="28"/>
      <c r="B140" s="28"/>
    </row>
    <row r="141" spans="1:2" ht="15.75" thickBot="1" x14ac:dyDescent="0.3">
      <c r="A141" s="28"/>
      <c r="B141" s="28"/>
    </row>
    <row r="142" spans="1:2" ht="15.75" thickBot="1" x14ac:dyDescent="0.3">
      <c r="A142" s="28"/>
      <c r="B142" s="28"/>
    </row>
    <row r="143" spans="1:2" ht="15.75" thickBot="1" x14ac:dyDescent="0.3">
      <c r="A143" s="28"/>
      <c r="B143" s="28"/>
    </row>
    <row r="144" spans="1:2" ht="15.75" thickBot="1" x14ac:dyDescent="0.3">
      <c r="A144" s="28"/>
      <c r="B144" s="28"/>
    </row>
    <row r="145" spans="1:2" ht="15.75" thickBot="1" x14ac:dyDescent="0.3">
      <c r="A145" s="28"/>
      <c r="B145" s="28"/>
    </row>
    <row r="146" spans="1:2" ht="15.75" thickBot="1" x14ac:dyDescent="0.3">
      <c r="A146" s="28"/>
      <c r="B146" s="28"/>
    </row>
    <row r="147" spans="1:2" ht="15.75" thickBot="1" x14ac:dyDescent="0.3">
      <c r="A147" s="28"/>
      <c r="B147" s="28"/>
    </row>
    <row r="148" spans="1:2" ht="15.75" thickBot="1" x14ac:dyDescent="0.3">
      <c r="A148" s="28"/>
      <c r="B148" s="28"/>
    </row>
    <row r="149" spans="1:2" ht="15.75" thickBot="1" x14ac:dyDescent="0.3">
      <c r="A149" s="28"/>
      <c r="B149" s="28"/>
    </row>
    <row r="150" spans="1:2" ht="15.75" thickBot="1" x14ac:dyDescent="0.3">
      <c r="A150" s="28"/>
      <c r="B150" s="28"/>
    </row>
    <row r="151" spans="1:2" ht="15.75" thickBot="1" x14ac:dyDescent="0.3">
      <c r="A151" s="28"/>
      <c r="B151" s="28"/>
    </row>
    <row r="152" spans="1:2" ht="15.75" thickBot="1" x14ac:dyDescent="0.3">
      <c r="A152" s="28"/>
      <c r="B152" s="28"/>
    </row>
    <row r="153" spans="1:2" ht="15.75" thickBot="1" x14ac:dyDescent="0.3">
      <c r="A153" s="28"/>
      <c r="B153" s="28"/>
    </row>
    <row r="154" spans="1:2" ht="15.75" thickBot="1" x14ac:dyDescent="0.3">
      <c r="A154" s="28"/>
      <c r="B154" s="28"/>
    </row>
    <row r="155" spans="1:2" ht="15.75" thickBot="1" x14ac:dyDescent="0.3">
      <c r="A155" s="28"/>
      <c r="B155" s="28"/>
    </row>
    <row r="156" spans="1:2" ht="15.75" thickBot="1" x14ac:dyDescent="0.3">
      <c r="A156" s="28"/>
      <c r="B156" s="28"/>
    </row>
    <row r="157" spans="1:2" ht="15.75" thickBot="1" x14ac:dyDescent="0.3">
      <c r="A157" s="28"/>
      <c r="B157" s="28"/>
    </row>
    <row r="158" spans="1:2" ht="15.75" thickBot="1" x14ac:dyDescent="0.3">
      <c r="A158" s="28"/>
      <c r="B158" s="28"/>
    </row>
    <row r="159" spans="1:2" ht="15.75" thickBot="1" x14ac:dyDescent="0.3">
      <c r="A159" s="28"/>
      <c r="B159" s="28"/>
    </row>
    <row r="160" spans="1:2" ht="15.75" thickBot="1" x14ac:dyDescent="0.3">
      <c r="A160" s="28"/>
      <c r="B160" s="28"/>
    </row>
    <row r="161" spans="1:2" ht="15.75" thickBot="1" x14ac:dyDescent="0.3">
      <c r="A161" s="28"/>
      <c r="B161" s="28"/>
    </row>
    <row r="162" spans="1:2" ht="15.75" thickBot="1" x14ac:dyDescent="0.3">
      <c r="A162" s="28"/>
      <c r="B162" s="28"/>
    </row>
    <row r="163" spans="1:2" ht="15.75" thickBot="1" x14ac:dyDescent="0.3">
      <c r="A163" s="28"/>
      <c r="B163" s="28"/>
    </row>
    <row r="164" spans="1:2" ht="15.75" thickBot="1" x14ac:dyDescent="0.3">
      <c r="A164" s="28"/>
      <c r="B164" s="28"/>
    </row>
    <row r="165" spans="1:2" ht="15.75" thickBot="1" x14ac:dyDescent="0.3">
      <c r="A165" s="28"/>
      <c r="B165" s="28"/>
    </row>
    <row r="166" spans="1:2" ht="15.75" thickBot="1" x14ac:dyDescent="0.3">
      <c r="A166" s="28"/>
      <c r="B166" s="28"/>
    </row>
    <row r="167" spans="1:2" ht="15.75" thickBot="1" x14ac:dyDescent="0.3">
      <c r="A167" s="28"/>
      <c r="B167" s="28"/>
    </row>
    <row r="168" spans="1:2" ht="15.75" thickBot="1" x14ac:dyDescent="0.3">
      <c r="A168" s="28"/>
      <c r="B168" s="28"/>
    </row>
    <row r="169" spans="1:2" ht="15.75" thickBot="1" x14ac:dyDescent="0.3">
      <c r="A169" s="28"/>
      <c r="B169" s="28"/>
    </row>
    <row r="170" spans="1:2" ht="15.75" thickBot="1" x14ac:dyDescent="0.3">
      <c r="A170" s="28"/>
      <c r="B170" s="28"/>
    </row>
    <row r="171" spans="1:2" ht="15.75" thickBot="1" x14ac:dyDescent="0.3">
      <c r="A171" s="28"/>
      <c r="B171" s="28"/>
    </row>
    <row r="172" spans="1:2" ht="15.75" thickBot="1" x14ac:dyDescent="0.3">
      <c r="A172" s="28"/>
      <c r="B172" s="28"/>
    </row>
    <row r="173" spans="1:2" ht="15.75" thickBot="1" x14ac:dyDescent="0.3">
      <c r="A173" s="28"/>
      <c r="B173" s="28"/>
    </row>
    <row r="174" spans="1:2" ht="15.75" thickBot="1" x14ac:dyDescent="0.3">
      <c r="A174" s="28"/>
      <c r="B174" s="28"/>
    </row>
    <row r="175" spans="1:2" ht="15.75" thickBot="1" x14ac:dyDescent="0.3">
      <c r="A175" s="28"/>
      <c r="B175" s="28"/>
    </row>
    <row r="176" spans="1:2" ht="15.75" thickBot="1" x14ac:dyDescent="0.3">
      <c r="A176" s="28"/>
      <c r="B176" s="28"/>
    </row>
    <row r="177" spans="1:2" ht="15.75" thickBot="1" x14ac:dyDescent="0.3">
      <c r="A177" s="28"/>
      <c r="B177" s="28"/>
    </row>
    <row r="178" spans="1:2" ht="15.75" thickBot="1" x14ac:dyDescent="0.3">
      <c r="A178" s="28"/>
      <c r="B178" s="28"/>
    </row>
    <row r="179" spans="1:2" ht="15.75" thickBot="1" x14ac:dyDescent="0.3">
      <c r="A179" s="28"/>
      <c r="B179" s="28"/>
    </row>
    <row r="180" spans="1:2" ht="15.75" thickBot="1" x14ac:dyDescent="0.3">
      <c r="A180" s="28"/>
      <c r="B180" s="28"/>
    </row>
    <row r="181" spans="1:2" ht="15.75" thickBot="1" x14ac:dyDescent="0.3">
      <c r="A181" s="28"/>
      <c r="B181" s="28"/>
    </row>
    <row r="182" spans="1:2" ht="15.75" thickBot="1" x14ac:dyDescent="0.3">
      <c r="A182" s="28"/>
      <c r="B182" s="28"/>
    </row>
    <row r="183" spans="1:2" ht="15.75" thickBot="1" x14ac:dyDescent="0.3">
      <c r="A183" s="28"/>
      <c r="B183" s="28"/>
    </row>
    <row r="184" spans="1:2" ht="15.75" thickBot="1" x14ac:dyDescent="0.3">
      <c r="A184" s="28"/>
      <c r="B184" s="28"/>
    </row>
    <row r="185" spans="1:2" ht="15.75" thickBot="1" x14ac:dyDescent="0.3">
      <c r="A185" s="28"/>
      <c r="B185" s="28"/>
    </row>
    <row r="186" spans="1:2" ht="15.75" thickBot="1" x14ac:dyDescent="0.3">
      <c r="A186" s="28"/>
      <c r="B186" s="28"/>
    </row>
    <row r="187" spans="1:2" ht="15.75" thickBot="1" x14ac:dyDescent="0.3">
      <c r="A187" s="28"/>
      <c r="B187" s="28"/>
    </row>
    <row r="188" spans="1:2" ht="15.75" thickBot="1" x14ac:dyDescent="0.3">
      <c r="A188" s="28"/>
      <c r="B188" s="28"/>
    </row>
    <row r="189" spans="1:2" ht="15.75" thickBot="1" x14ac:dyDescent="0.3">
      <c r="A189" s="28"/>
      <c r="B189" s="28"/>
    </row>
    <row r="190" spans="1:2" ht="15.75" thickBot="1" x14ac:dyDescent="0.3">
      <c r="A190" s="28"/>
      <c r="B190" s="28"/>
    </row>
    <row r="191" spans="1:2" ht="15.75" thickBot="1" x14ac:dyDescent="0.3">
      <c r="A191" s="28"/>
      <c r="B191" s="28"/>
    </row>
    <row r="192" spans="1:2" ht="15.75" thickBot="1" x14ac:dyDescent="0.3">
      <c r="A192" s="28"/>
      <c r="B192" s="28"/>
    </row>
    <row r="193" spans="1:2" ht="15.75" thickBot="1" x14ac:dyDescent="0.3">
      <c r="A193" s="28"/>
      <c r="B193" s="28"/>
    </row>
    <row r="194" spans="1:2" ht="15.75" thickBot="1" x14ac:dyDescent="0.3">
      <c r="A194" s="28"/>
      <c r="B194" s="28"/>
    </row>
    <row r="195" spans="1:2" ht="15.75" thickBot="1" x14ac:dyDescent="0.3">
      <c r="A195" s="28"/>
      <c r="B195" s="28"/>
    </row>
    <row r="196" spans="1:2" ht="15.75" thickBot="1" x14ac:dyDescent="0.3">
      <c r="A196" s="28"/>
      <c r="B196" s="28"/>
    </row>
    <row r="197" spans="1:2" ht="15.75" thickBot="1" x14ac:dyDescent="0.3">
      <c r="A197" s="28"/>
      <c r="B197" s="28"/>
    </row>
    <row r="198" spans="1:2" ht="15.75" thickBot="1" x14ac:dyDescent="0.3">
      <c r="A198" s="28"/>
      <c r="B198" s="28"/>
    </row>
    <row r="199" spans="1:2" ht="15.75" thickBot="1" x14ac:dyDescent="0.3">
      <c r="A199" s="28"/>
      <c r="B199" s="28"/>
    </row>
    <row r="200" spans="1:2" ht="15.75" thickBot="1" x14ac:dyDescent="0.3">
      <c r="A200" s="28"/>
      <c r="B200" s="28"/>
    </row>
    <row r="201" spans="1:2" ht="15.75" thickBot="1" x14ac:dyDescent="0.3">
      <c r="A201" s="28"/>
      <c r="B201" s="28"/>
    </row>
    <row r="202" spans="1:2" ht="15.75" thickBot="1" x14ac:dyDescent="0.3">
      <c r="A202" s="28"/>
      <c r="B202" s="28"/>
    </row>
    <row r="203" spans="1:2" ht="15.75" thickBot="1" x14ac:dyDescent="0.3">
      <c r="A203" s="28"/>
      <c r="B203" s="28"/>
    </row>
    <row r="204" spans="1:2" ht="15.75" thickBot="1" x14ac:dyDescent="0.3">
      <c r="A204" s="28"/>
      <c r="B204" s="28"/>
    </row>
    <row r="205" spans="1:2" ht="15.75" thickBot="1" x14ac:dyDescent="0.3">
      <c r="A205" s="28"/>
      <c r="B205" s="28"/>
    </row>
    <row r="206" spans="1:2" ht="15.75" thickBot="1" x14ac:dyDescent="0.3">
      <c r="A206" s="28"/>
      <c r="B206" s="28"/>
    </row>
    <row r="207" spans="1:2" ht="15.75" thickBot="1" x14ac:dyDescent="0.3">
      <c r="A207" s="28"/>
      <c r="B207" s="28"/>
    </row>
    <row r="208" spans="1:2" ht="15.75" thickBot="1" x14ac:dyDescent="0.3">
      <c r="A208" s="28"/>
      <c r="B208" s="28"/>
    </row>
    <row r="209" spans="1:2" ht="15.75" thickBot="1" x14ac:dyDescent="0.3">
      <c r="A209" s="28"/>
      <c r="B209" s="28"/>
    </row>
    <row r="210" spans="1:2" ht="15.75" thickBot="1" x14ac:dyDescent="0.3">
      <c r="A210" s="28"/>
      <c r="B210" s="28"/>
    </row>
    <row r="211" spans="1:2" ht="15.75" thickBot="1" x14ac:dyDescent="0.3">
      <c r="A211" s="28"/>
      <c r="B211" s="28"/>
    </row>
    <row r="212" spans="1:2" ht="15.75" thickBot="1" x14ac:dyDescent="0.3">
      <c r="A212" s="28"/>
      <c r="B212" s="28"/>
    </row>
    <row r="213" spans="1:2" ht="15.75" thickBot="1" x14ac:dyDescent="0.3">
      <c r="A213" s="28"/>
      <c r="B213" s="28"/>
    </row>
    <row r="214" spans="1:2" ht="15.75" thickBot="1" x14ac:dyDescent="0.3">
      <c r="A214" s="28"/>
      <c r="B214" s="28"/>
    </row>
    <row r="215" spans="1:2" ht="15.75" thickBot="1" x14ac:dyDescent="0.3">
      <c r="A215" s="28"/>
      <c r="B215" s="28"/>
    </row>
    <row r="216" spans="1:2" ht="15.75" thickBot="1" x14ac:dyDescent="0.3">
      <c r="A216" s="28"/>
      <c r="B216" s="28"/>
    </row>
    <row r="217" spans="1:2" ht="15.75" thickBot="1" x14ac:dyDescent="0.3">
      <c r="A217" s="28"/>
      <c r="B217" s="28"/>
    </row>
    <row r="218" spans="1:2" ht="15.75" thickBot="1" x14ac:dyDescent="0.3">
      <c r="A218" s="28"/>
      <c r="B218" s="28"/>
    </row>
    <row r="219" spans="1:2" ht="15.75" thickBot="1" x14ac:dyDescent="0.3">
      <c r="A219" s="28"/>
      <c r="B219" s="28"/>
    </row>
    <row r="220" spans="1:2" ht="15.75" thickBot="1" x14ac:dyDescent="0.3">
      <c r="A220" s="28"/>
      <c r="B220" s="28"/>
    </row>
    <row r="221" spans="1:2" ht="15.75" thickBot="1" x14ac:dyDescent="0.3">
      <c r="A221" s="28"/>
      <c r="B221" s="28"/>
    </row>
    <row r="222" spans="1:2" ht="15.75" thickBot="1" x14ac:dyDescent="0.3">
      <c r="A222" s="28"/>
      <c r="B222" s="28"/>
    </row>
    <row r="223" spans="1:2" ht="15.75" thickBot="1" x14ac:dyDescent="0.3">
      <c r="A223" s="28"/>
      <c r="B223" s="28"/>
    </row>
    <row r="224" spans="1:2" ht="15.75" thickBot="1" x14ac:dyDescent="0.3">
      <c r="A224" s="28"/>
      <c r="B224" s="28"/>
    </row>
    <row r="225" spans="1:2" ht="15.75" thickBot="1" x14ac:dyDescent="0.3">
      <c r="A225" s="28"/>
      <c r="B225" s="28"/>
    </row>
    <row r="226" spans="1:2" ht="15.75" thickBot="1" x14ac:dyDescent="0.3">
      <c r="A226" s="28"/>
      <c r="B226" s="28"/>
    </row>
    <row r="227" spans="1:2" ht="15.75" thickBot="1" x14ac:dyDescent="0.3">
      <c r="A227" s="28"/>
      <c r="B227" s="28"/>
    </row>
    <row r="228" spans="1:2" ht="15.75" thickBot="1" x14ac:dyDescent="0.3">
      <c r="A228" s="28"/>
      <c r="B228" s="28"/>
    </row>
    <row r="229" spans="1:2" ht="15.75" thickBot="1" x14ac:dyDescent="0.3">
      <c r="A229" s="28"/>
      <c r="B229" s="28"/>
    </row>
    <row r="230" spans="1:2" ht="15.75" thickBot="1" x14ac:dyDescent="0.3">
      <c r="A230" s="28"/>
      <c r="B230" s="28"/>
    </row>
    <row r="231" spans="1:2" ht="15.75" thickBot="1" x14ac:dyDescent="0.3">
      <c r="A231" s="28"/>
      <c r="B231" s="28"/>
    </row>
    <row r="232" spans="1:2" ht="15.75" thickBot="1" x14ac:dyDescent="0.3">
      <c r="A232" s="28"/>
      <c r="B232" s="28"/>
    </row>
    <row r="233" spans="1:2" ht="15.75" thickBot="1" x14ac:dyDescent="0.3">
      <c r="A233" s="28"/>
      <c r="B233" s="28"/>
    </row>
    <row r="234" spans="1:2" ht="15.75" thickBot="1" x14ac:dyDescent="0.3">
      <c r="A234" s="28"/>
      <c r="B234" s="28"/>
    </row>
    <row r="235" spans="1:2" ht="15.75" thickBot="1" x14ac:dyDescent="0.3">
      <c r="A235" s="28"/>
      <c r="B235" s="28"/>
    </row>
    <row r="236" spans="1:2" ht="15.75" thickBot="1" x14ac:dyDescent="0.3">
      <c r="A236" s="28"/>
      <c r="B236" s="28"/>
    </row>
    <row r="237" spans="1:2" ht="15.75" thickBot="1" x14ac:dyDescent="0.3">
      <c r="A237" s="28"/>
      <c r="B237" s="28"/>
    </row>
    <row r="238" spans="1:2" ht="15.75" thickBot="1" x14ac:dyDescent="0.3">
      <c r="A238" s="28"/>
      <c r="B238" s="28"/>
    </row>
    <row r="239" spans="1:2" ht="15.75" thickBot="1" x14ac:dyDescent="0.3">
      <c r="A239" s="28"/>
      <c r="B239" s="28"/>
    </row>
    <row r="240" spans="1:2" ht="15.75" thickBot="1" x14ac:dyDescent="0.3">
      <c r="A240" s="28"/>
      <c r="B240" s="28"/>
    </row>
    <row r="241" spans="1:2" ht="15.75" thickBot="1" x14ac:dyDescent="0.3">
      <c r="A241" s="28"/>
      <c r="B241" s="28"/>
    </row>
    <row r="242" spans="1:2" ht="15.75" thickBot="1" x14ac:dyDescent="0.3">
      <c r="A242" s="28"/>
      <c r="B242" s="28"/>
    </row>
    <row r="243" spans="1:2" ht="15.75" thickBot="1" x14ac:dyDescent="0.3">
      <c r="A243" s="28"/>
      <c r="B243" s="28"/>
    </row>
    <row r="244" spans="1:2" ht="15.75" thickBot="1" x14ac:dyDescent="0.3">
      <c r="A244" s="28"/>
      <c r="B244" s="28"/>
    </row>
    <row r="245" spans="1:2" ht="15.75" thickBot="1" x14ac:dyDescent="0.3">
      <c r="A245" s="28"/>
      <c r="B245" s="28"/>
    </row>
    <row r="246" spans="1:2" ht="15.75" thickBot="1" x14ac:dyDescent="0.3">
      <c r="A246" s="28"/>
      <c r="B246" s="28"/>
    </row>
    <row r="247" spans="1:2" ht="15.75" thickBot="1" x14ac:dyDescent="0.3">
      <c r="A247" s="28"/>
      <c r="B247" s="28"/>
    </row>
    <row r="248" spans="1:2" ht="15.75" thickBot="1" x14ac:dyDescent="0.3">
      <c r="A248" s="28"/>
      <c r="B248" s="28"/>
    </row>
    <row r="249" spans="1:2" ht="15.75" thickBot="1" x14ac:dyDescent="0.3">
      <c r="A249" s="28"/>
      <c r="B249" s="28"/>
    </row>
    <row r="250" spans="1:2" ht="15.75" thickBot="1" x14ac:dyDescent="0.3">
      <c r="A250" s="28"/>
      <c r="B250" s="28"/>
    </row>
    <row r="251" spans="1:2" ht="15.75" thickBot="1" x14ac:dyDescent="0.3">
      <c r="A251" s="28"/>
      <c r="B251" s="28"/>
    </row>
    <row r="252" spans="1:2" ht="15.75" thickBot="1" x14ac:dyDescent="0.3">
      <c r="A252" s="28"/>
      <c r="B252" s="28"/>
    </row>
    <row r="253" spans="1:2" ht="15.75" thickBot="1" x14ac:dyDescent="0.3">
      <c r="A253" s="28"/>
      <c r="B253" s="28"/>
    </row>
    <row r="254" spans="1:2" ht="15.75" thickBot="1" x14ac:dyDescent="0.3">
      <c r="A254" s="28"/>
      <c r="B254" s="28"/>
    </row>
    <row r="255" spans="1:2" ht="15.75" thickBot="1" x14ac:dyDescent="0.3">
      <c r="A255" s="28"/>
      <c r="B255" s="28"/>
    </row>
    <row r="256" spans="1:2" ht="15.75" thickBot="1" x14ac:dyDescent="0.3">
      <c r="A256" s="28"/>
      <c r="B256" s="28"/>
    </row>
    <row r="257" spans="1:2" ht="15.75" thickBot="1" x14ac:dyDescent="0.3">
      <c r="A257" s="28"/>
      <c r="B257" s="28"/>
    </row>
    <row r="258" spans="1:2" ht="15.75" thickBot="1" x14ac:dyDescent="0.3">
      <c r="A258" s="28"/>
      <c r="B258" s="28"/>
    </row>
    <row r="259" spans="1:2" ht="15.75" thickBot="1" x14ac:dyDescent="0.3">
      <c r="A259" s="28"/>
      <c r="B259" s="28"/>
    </row>
    <row r="260" spans="1:2" ht="15.75" thickBot="1" x14ac:dyDescent="0.3">
      <c r="A260" s="28"/>
      <c r="B260" s="28"/>
    </row>
    <row r="261" spans="1:2" ht="15.75" thickBot="1" x14ac:dyDescent="0.3">
      <c r="A261" s="28"/>
      <c r="B261" s="28"/>
    </row>
    <row r="262" spans="1:2" ht="15.75" thickBot="1" x14ac:dyDescent="0.3">
      <c r="A262" s="28"/>
      <c r="B262" s="28"/>
    </row>
    <row r="263" spans="1:2" ht="15.75" thickBot="1" x14ac:dyDescent="0.3">
      <c r="A263" s="28"/>
      <c r="B263" s="28"/>
    </row>
    <row r="264" spans="1:2" ht="15.75" thickBot="1" x14ac:dyDescent="0.3">
      <c r="A264" s="28"/>
      <c r="B264" s="28"/>
    </row>
    <row r="265" spans="1:2" ht="15.75" thickBot="1" x14ac:dyDescent="0.3">
      <c r="A265" s="28"/>
      <c r="B265" s="28"/>
    </row>
    <row r="266" spans="1:2" ht="15.75" thickBot="1" x14ac:dyDescent="0.3">
      <c r="A266" s="28"/>
      <c r="B266" s="28"/>
    </row>
    <row r="267" spans="1:2" ht="15.75" thickBot="1" x14ac:dyDescent="0.3">
      <c r="A267" s="28"/>
      <c r="B267" s="28"/>
    </row>
    <row r="268" spans="1:2" ht="15.75" thickBot="1" x14ac:dyDescent="0.3">
      <c r="A268" s="28"/>
      <c r="B268" s="28"/>
    </row>
    <row r="269" spans="1:2" ht="15.75" thickBot="1" x14ac:dyDescent="0.3">
      <c r="A269" s="28"/>
      <c r="B269" s="28"/>
    </row>
    <row r="270" spans="1:2" ht="15.75" thickBot="1" x14ac:dyDescent="0.3">
      <c r="A270" s="28"/>
      <c r="B270" s="28"/>
    </row>
    <row r="271" spans="1:2" ht="15.75" thickBot="1" x14ac:dyDescent="0.3">
      <c r="A271" s="28"/>
      <c r="B271" s="28"/>
    </row>
    <row r="272" spans="1:2" ht="15.75" thickBot="1" x14ac:dyDescent="0.3">
      <c r="A272" s="28"/>
      <c r="B272" s="28"/>
    </row>
    <row r="273" spans="1:2" ht="15.75" thickBot="1" x14ac:dyDescent="0.3">
      <c r="A273" s="28"/>
      <c r="B273" s="28"/>
    </row>
    <row r="274" spans="1:2" ht="15.75" thickBot="1" x14ac:dyDescent="0.3">
      <c r="A274" s="28"/>
      <c r="B274" s="28"/>
    </row>
    <row r="275" spans="1:2" ht="15.75" thickBot="1" x14ac:dyDescent="0.3">
      <c r="A275" s="28"/>
      <c r="B275" s="28"/>
    </row>
    <row r="276" spans="1:2" ht="15.75" thickBot="1" x14ac:dyDescent="0.3">
      <c r="A276" s="28"/>
      <c r="B276" s="28"/>
    </row>
    <row r="277" spans="1:2" ht="15.75" thickBot="1" x14ac:dyDescent="0.3">
      <c r="A277" s="28"/>
      <c r="B277" s="28"/>
    </row>
    <row r="278" spans="1:2" ht="15.75" thickBot="1" x14ac:dyDescent="0.3">
      <c r="A278" s="28"/>
      <c r="B278" s="28"/>
    </row>
    <row r="279" spans="1:2" ht="15.75" thickBot="1" x14ac:dyDescent="0.3">
      <c r="A279" s="28"/>
      <c r="B279" s="28"/>
    </row>
    <row r="280" spans="1:2" ht="15.75" thickBot="1" x14ac:dyDescent="0.3">
      <c r="A280" s="28"/>
      <c r="B280" s="28"/>
    </row>
    <row r="281" spans="1:2" ht="15.75" thickBot="1" x14ac:dyDescent="0.3">
      <c r="A281" s="28"/>
      <c r="B281" s="28"/>
    </row>
    <row r="282" spans="1:2" ht="15.75" thickBot="1" x14ac:dyDescent="0.3">
      <c r="A282" s="28"/>
      <c r="B282" s="28"/>
    </row>
    <row r="283" spans="1:2" ht="15.75" thickBot="1" x14ac:dyDescent="0.3">
      <c r="A283" s="28"/>
      <c r="B283" s="28"/>
    </row>
    <row r="284" spans="1:2" ht="15.75" thickBot="1" x14ac:dyDescent="0.3">
      <c r="A284" s="28"/>
      <c r="B284" s="28"/>
    </row>
    <row r="285" spans="1:2" ht="15.75" thickBot="1" x14ac:dyDescent="0.3">
      <c r="A285" s="28"/>
      <c r="B285" s="28"/>
    </row>
    <row r="286" spans="1:2" ht="15.75" thickBot="1" x14ac:dyDescent="0.3">
      <c r="A286" s="28"/>
      <c r="B286" s="28"/>
    </row>
    <row r="287" spans="1:2" ht="15.75" thickBot="1" x14ac:dyDescent="0.3">
      <c r="A287" s="28"/>
      <c r="B287" s="28"/>
    </row>
    <row r="288" spans="1:2" ht="15.75" thickBot="1" x14ac:dyDescent="0.3">
      <c r="A288" s="28"/>
      <c r="B288" s="28"/>
    </row>
    <row r="289" spans="1:2" ht="15.75" thickBot="1" x14ac:dyDescent="0.3">
      <c r="A289" s="28"/>
      <c r="B289" s="28"/>
    </row>
    <row r="290" spans="1:2" ht="15.75" thickBot="1" x14ac:dyDescent="0.3">
      <c r="A290" s="28"/>
      <c r="B290" s="28"/>
    </row>
    <row r="291" spans="1:2" ht="15.75" thickBot="1" x14ac:dyDescent="0.3">
      <c r="A291" s="28"/>
      <c r="B291" s="28"/>
    </row>
    <row r="292" spans="1:2" ht="15.75" thickBot="1" x14ac:dyDescent="0.3">
      <c r="A292" s="28"/>
      <c r="B292" s="28"/>
    </row>
    <row r="293" spans="1:2" ht="15.75" thickBot="1" x14ac:dyDescent="0.3">
      <c r="A293" s="28"/>
      <c r="B293" s="28"/>
    </row>
    <row r="294" spans="1:2" ht="15.75" thickBot="1" x14ac:dyDescent="0.3">
      <c r="A294" s="28"/>
      <c r="B294" s="28"/>
    </row>
    <row r="295" spans="1:2" ht="15.75" thickBot="1" x14ac:dyDescent="0.3">
      <c r="A295" s="28"/>
      <c r="B295" s="28"/>
    </row>
    <row r="296" spans="1:2" ht="15.75" thickBot="1" x14ac:dyDescent="0.3">
      <c r="A296" s="28"/>
      <c r="B296" s="28"/>
    </row>
    <row r="297" spans="1:2" ht="15.75" thickBot="1" x14ac:dyDescent="0.3">
      <c r="A297" s="28"/>
      <c r="B297" s="28"/>
    </row>
    <row r="298" spans="1:2" ht="15.75" thickBot="1" x14ac:dyDescent="0.3">
      <c r="A298" s="28"/>
      <c r="B298" s="28"/>
    </row>
    <row r="299" spans="1:2" ht="15.75" thickBot="1" x14ac:dyDescent="0.3">
      <c r="A299" s="28"/>
      <c r="B299" s="28"/>
    </row>
    <row r="300" spans="1:2" ht="15.75" thickBot="1" x14ac:dyDescent="0.3">
      <c r="A300" s="28"/>
      <c r="B300" s="28"/>
    </row>
    <row r="301" spans="1:2" ht="15.75" thickBot="1" x14ac:dyDescent="0.3">
      <c r="A301" s="28"/>
      <c r="B301" s="28"/>
    </row>
    <row r="302" spans="1:2" ht="15.75" thickBot="1" x14ac:dyDescent="0.3">
      <c r="A302" s="28"/>
      <c r="B302" s="28"/>
    </row>
    <row r="303" spans="1:2" ht="15.75" thickBot="1" x14ac:dyDescent="0.3">
      <c r="A303" s="28"/>
      <c r="B303" s="28"/>
    </row>
    <row r="304" spans="1:2" ht="15.75" thickBot="1" x14ac:dyDescent="0.3">
      <c r="A304" s="28"/>
      <c r="B304" s="28"/>
    </row>
    <row r="305" spans="1:2" ht="15.75" thickBot="1" x14ac:dyDescent="0.3">
      <c r="A305" s="28"/>
      <c r="B305" s="28"/>
    </row>
    <row r="306" spans="1:2" ht="15.75" thickBot="1" x14ac:dyDescent="0.3">
      <c r="A306" s="28"/>
      <c r="B306" s="28"/>
    </row>
    <row r="307" spans="1:2" ht="15.75" thickBot="1" x14ac:dyDescent="0.3">
      <c r="A307" s="28"/>
      <c r="B307" s="28"/>
    </row>
    <row r="308" spans="1:2" ht="15.75" thickBot="1" x14ac:dyDescent="0.3">
      <c r="A308" s="28"/>
      <c r="B308" s="28"/>
    </row>
    <row r="309" spans="1:2" ht="15.75" thickBot="1" x14ac:dyDescent="0.3">
      <c r="A309" s="28"/>
      <c r="B309" s="28"/>
    </row>
    <row r="310" spans="1:2" ht="15.75" thickBot="1" x14ac:dyDescent="0.3">
      <c r="A310" s="28"/>
      <c r="B310" s="28"/>
    </row>
    <row r="311" spans="1:2" ht="15.75" thickBot="1" x14ac:dyDescent="0.3">
      <c r="A311" s="28"/>
      <c r="B311" s="28"/>
    </row>
    <row r="312" spans="1:2" ht="15.75" thickBot="1" x14ac:dyDescent="0.3">
      <c r="A312" s="28"/>
      <c r="B312" s="28"/>
    </row>
    <row r="313" spans="1:2" ht="15.75" thickBot="1" x14ac:dyDescent="0.3">
      <c r="A313" s="28"/>
      <c r="B313" s="28"/>
    </row>
    <row r="314" spans="1:2" ht="15.75" thickBot="1" x14ac:dyDescent="0.3">
      <c r="A314" s="28"/>
      <c r="B314" s="28"/>
    </row>
    <row r="315" spans="1:2" ht="15.75" thickBot="1" x14ac:dyDescent="0.3">
      <c r="A315" s="28"/>
      <c r="B315" s="28"/>
    </row>
    <row r="316" spans="1:2" ht="15.75" thickBot="1" x14ac:dyDescent="0.3">
      <c r="A316" s="28"/>
      <c r="B316" s="28"/>
    </row>
    <row r="317" spans="1:2" ht="15.75" thickBot="1" x14ac:dyDescent="0.3">
      <c r="A317" s="28"/>
      <c r="B317" s="28"/>
    </row>
    <row r="318" spans="1:2" ht="15.75" thickBot="1" x14ac:dyDescent="0.3">
      <c r="A318" s="28"/>
      <c r="B318" s="28"/>
    </row>
    <row r="319" spans="1:2" ht="15.75" thickBot="1" x14ac:dyDescent="0.3">
      <c r="A319" s="28"/>
      <c r="B319" s="28"/>
    </row>
    <row r="320" spans="1:2" ht="15.75" thickBot="1" x14ac:dyDescent="0.3">
      <c r="A320" s="28"/>
      <c r="B320" s="28"/>
    </row>
    <row r="321" spans="1:2" ht="15.75" thickBot="1" x14ac:dyDescent="0.3">
      <c r="A321" s="28"/>
      <c r="B321" s="28"/>
    </row>
    <row r="322" spans="1:2" ht="15.75" thickBot="1" x14ac:dyDescent="0.3">
      <c r="A322" s="28"/>
      <c r="B322" s="28"/>
    </row>
    <row r="323" spans="1:2" ht="15.75" thickBot="1" x14ac:dyDescent="0.3">
      <c r="A323" s="28"/>
      <c r="B323" s="28"/>
    </row>
    <row r="324" spans="1:2" ht="15.75" thickBot="1" x14ac:dyDescent="0.3">
      <c r="A324" s="28"/>
      <c r="B324" s="28"/>
    </row>
    <row r="325" spans="1:2" ht="15.75" thickBot="1" x14ac:dyDescent="0.3">
      <c r="A325" s="28"/>
      <c r="B325" s="28"/>
    </row>
    <row r="326" spans="1:2" ht="15.75" thickBot="1" x14ac:dyDescent="0.3">
      <c r="A326" s="28"/>
      <c r="B326" s="28"/>
    </row>
    <row r="327" spans="1:2" ht="15.75" thickBot="1" x14ac:dyDescent="0.3">
      <c r="A327" s="28"/>
      <c r="B327" s="28"/>
    </row>
    <row r="328" spans="1:2" ht="15.75" thickBot="1" x14ac:dyDescent="0.3">
      <c r="A328" s="28"/>
      <c r="B328" s="28"/>
    </row>
    <row r="329" spans="1:2" ht="15.75" thickBot="1" x14ac:dyDescent="0.3">
      <c r="A329" s="28"/>
      <c r="B329" s="28"/>
    </row>
    <row r="330" spans="1:2" ht="15.75" thickBot="1" x14ac:dyDescent="0.3">
      <c r="A330" s="28"/>
      <c r="B330" s="28"/>
    </row>
    <row r="331" spans="1:2" ht="15.75" thickBot="1" x14ac:dyDescent="0.3">
      <c r="A331" s="28"/>
      <c r="B331" s="28"/>
    </row>
    <row r="332" spans="1:2" ht="15.75" thickBot="1" x14ac:dyDescent="0.3">
      <c r="A332" s="28"/>
      <c r="B332" s="28"/>
    </row>
    <row r="333" spans="1:2" ht="15.75" thickBot="1" x14ac:dyDescent="0.3">
      <c r="A333" s="28"/>
      <c r="B333" s="28"/>
    </row>
    <row r="334" spans="1:2" ht="15.75" thickBot="1" x14ac:dyDescent="0.3">
      <c r="A334" s="28"/>
      <c r="B334" s="28"/>
    </row>
    <row r="335" spans="1:2" ht="15.75" thickBot="1" x14ac:dyDescent="0.3">
      <c r="A335" s="28"/>
      <c r="B335" s="28"/>
    </row>
    <row r="336" spans="1:2" ht="15.75" thickBot="1" x14ac:dyDescent="0.3">
      <c r="A336" s="28"/>
      <c r="B336" s="28"/>
    </row>
    <row r="337" spans="1:2" ht="15.75" thickBot="1" x14ac:dyDescent="0.3">
      <c r="A337" s="28"/>
      <c r="B337" s="28"/>
    </row>
    <row r="338" spans="1:2" ht="15.75" thickBot="1" x14ac:dyDescent="0.3">
      <c r="A338" s="28"/>
      <c r="B338" s="28"/>
    </row>
    <row r="339" spans="1:2" ht="15.75" thickBot="1" x14ac:dyDescent="0.3">
      <c r="A339" s="28"/>
      <c r="B339" s="28"/>
    </row>
    <row r="340" spans="1:2" ht="15.75" thickBot="1" x14ac:dyDescent="0.3">
      <c r="A340" s="28"/>
      <c r="B340" s="28"/>
    </row>
    <row r="341" spans="1:2" ht="15.75" thickBot="1" x14ac:dyDescent="0.3">
      <c r="A341" s="28"/>
      <c r="B341" s="28"/>
    </row>
    <row r="342" spans="1:2" ht="15.75" thickBot="1" x14ac:dyDescent="0.3">
      <c r="A342" s="28"/>
      <c r="B342" s="28"/>
    </row>
    <row r="343" spans="1:2" ht="15.75" thickBot="1" x14ac:dyDescent="0.3">
      <c r="A343" s="28"/>
      <c r="B343" s="28"/>
    </row>
    <row r="344" spans="1:2" ht="15.75" thickBot="1" x14ac:dyDescent="0.3">
      <c r="A344" s="28"/>
      <c r="B344" s="28"/>
    </row>
    <row r="345" spans="1:2" ht="15.75" thickBot="1" x14ac:dyDescent="0.3">
      <c r="A345" s="28"/>
      <c r="B345" s="28"/>
    </row>
    <row r="346" spans="1:2" ht="15.75" thickBot="1" x14ac:dyDescent="0.3">
      <c r="A346" s="28"/>
      <c r="B346" s="28"/>
    </row>
    <row r="347" spans="1:2" ht="15.75" thickBot="1" x14ac:dyDescent="0.3">
      <c r="A347" s="28"/>
      <c r="B347" s="28"/>
    </row>
    <row r="348" spans="1:2" ht="15.75" thickBot="1" x14ac:dyDescent="0.3">
      <c r="A348" s="28"/>
      <c r="B348" s="28"/>
    </row>
    <row r="349" spans="1:2" ht="15.75" thickBot="1" x14ac:dyDescent="0.3">
      <c r="A349" s="28"/>
      <c r="B349" s="28"/>
    </row>
    <row r="350" spans="1:2" ht="15.75" thickBot="1" x14ac:dyDescent="0.3">
      <c r="A350" s="28"/>
      <c r="B350" s="28"/>
    </row>
    <row r="351" spans="1:2" ht="15.75" thickBot="1" x14ac:dyDescent="0.3">
      <c r="A351" s="28"/>
      <c r="B351" s="28"/>
    </row>
    <row r="352" spans="1:2" ht="15.75" thickBot="1" x14ac:dyDescent="0.3">
      <c r="A352" s="28"/>
      <c r="B352" s="28"/>
    </row>
    <row r="353" spans="1:2" ht="15.75" thickBot="1" x14ac:dyDescent="0.3">
      <c r="A353" s="28"/>
      <c r="B353" s="28"/>
    </row>
    <row r="354" spans="1:2" ht="15.75" thickBot="1" x14ac:dyDescent="0.3">
      <c r="A354" s="28"/>
      <c r="B354" s="28"/>
    </row>
    <row r="355" spans="1:2" ht="15.75" thickBot="1" x14ac:dyDescent="0.3">
      <c r="A355" s="28"/>
      <c r="B355" s="28"/>
    </row>
    <row r="356" spans="1:2" ht="15.75" thickBot="1" x14ac:dyDescent="0.3">
      <c r="A356" s="28"/>
      <c r="B356" s="28"/>
    </row>
    <row r="357" spans="1:2" ht="15.75" thickBot="1" x14ac:dyDescent="0.3">
      <c r="A357" s="28"/>
      <c r="B357" s="28"/>
    </row>
    <row r="358" spans="1:2" ht="15.75" thickBot="1" x14ac:dyDescent="0.3">
      <c r="A358" s="28"/>
      <c r="B358" s="28"/>
    </row>
    <row r="359" spans="1:2" ht="15.75" thickBot="1" x14ac:dyDescent="0.3">
      <c r="A359" s="28"/>
      <c r="B359" s="28"/>
    </row>
    <row r="360" spans="1:2" ht="15.75" thickBot="1" x14ac:dyDescent="0.3">
      <c r="A360" s="28"/>
      <c r="B360" s="28"/>
    </row>
    <row r="361" spans="1:2" ht="15.75" thickBot="1" x14ac:dyDescent="0.3">
      <c r="A361" s="28"/>
      <c r="B361" s="28"/>
    </row>
    <row r="362" spans="1:2" ht="15.75" thickBot="1" x14ac:dyDescent="0.3">
      <c r="A362" s="28"/>
      <c r="B362" s="28"/>
    </row>
    <row r="363" spans="1:2" ht="15.75" thickBot="1" x14ac:dyDescent="0.3">
      <c r="A363" s="28"/>
      <c r="B363" s="28"/>
    </row>
    <row r="364" spans="1:2" ht="15.75" thickBot="1" x14ac:dyDescent="0.3">
      <c r="A364" s="28"/>
      <c r="B364" s="28"/>
    </row>
    <row r="365" spans="1:2" ht="15.75" thickBot="1" x14ac:dyDescent="0.3">
      <c r="A365" s="28"/>
      <c r="B365" s="28"/>
    </row>
    <row r="366" spans="1:2" ht="15.75" thickBot="1" x14ac:dyDescent="0.3">
      <c r="A366" s="28"/>
      <c r="B366" s="28"/>
    </row>
    <row r="367" spans="1:2" ht="15.75" thickBot="1" x14ac:dyDescent="0.3">
      <c r="A367" s="28"/>
      <c r="B367" s="28"/>
    </row>
    <row r="368" spans="1:2" ht="15.75" thickBot="1" x14ac:dyDescent="0.3">
      <c r="A368" s="28"/>
      <c r="B368" s="28"/>
    </row>
    <row r="369" spans="1:2" ht="15.75" thickBot="1" x14ac:dyDescent="0.3">
      <c r="A369" s="28"/>
      <c r="B369" s="28"/>
    </row>
    <row r="370" spans="1:2" ht="15.75" thickBot="1" x14ac:dyDescent="0.3">
      <c r="A370" s="28"/>
      <c r="B370" s="28"/>
    </row>
    <row r="371" spans="1:2" ht="15.75" thickBot="1" x14ac:dyDescent="0.3">
      <c r="A371" s="28"/>
      <c r="B371" s="28"/>
    </row>
    <row r="372" spans="1:2" ht="15.75" thickBot="1" x14ac:dyDescent="0.3">
      <c r="A372" s="28"/>
      <c r="B372" s="28"/>
    </row>
    <row r="373" spans="1:2" ht="15.75" thickBot="1" x14ac:dyDescent="0.3">
      <c r="A373" s="28"/>
      <c r="B373" s="28"/>
    </row>
    <row r="374" spans="1:2" ht="15.75" thickBot="1" x14ac:dyDescent="0.3">
      <c r="A374" s="28"/>
      <c r="B374" s="28"/>
    </row>
    <row r="375" spans="1:2" ht="15.75" thickBot="1" x14ac:dyDescent="0.3">
      <c r="A375" s="28"/>
      <c r="B375" s="28"/>
    </row>
    <row r="376" spans="1:2" ht="15.75" thickBot="1" x14ac:dyDescent="0.3">
      <c r="A376" s="28"/>
      <c r="B376" s="28"/>
    </row>
    <row r="377" spans="1:2" ht="15.75" thickBot="1" x14ac:dyDescent="0.3">
      <c r="A377" s="28"/>
      <c r="B377" s="28"/>
    </row>
    <row r="378" spans="1:2" ht="15.75" thickBot="1" x14ac:dyDescent="0.3">
      <c r="A378" s="28"/>
      <c r="B378" s="28"/>
    </row>
    <row r="379" spans="1:2" ht="15.75" thickBot="1" x14ac:dyDescent="0.3">
      <c r="A379" s="28"/>
      <c r="B379" s="28"/>
    </row>
    <row r="380" spans="1:2" ht="15.75" thickBot="1" x14ac:dyDescent="0.3">
      <c r="A380" s="28"/>
      <c r="B380" s="28"/>
    </row>
    <row r="381" spans="1:2" ht="15.75" thickBot="1" x14ac:dyDescent="0.3">
      <c r="A381" s="28"/>
      <c r="B381" s="28"/>
    </row>
    <row r="382" spans="1:2" ht="15.75" thickBot="1" x14ac:dyDescent="0.3">
      <c r="A382" s="28"/>
      <c r="B382" s="28"/>
    </row>
    <row r="383" spans="1:2" ht="15.75" thickBot="1" x14ac:dyDescent="0.3">
      <c r="A383" s="28"/>
      <c r="B383" s="28"/>
    </row>
    <row r="384" spans="1:2" ht="15.75" thickBot="1" x14ac:dyDescent="0.3">
      <c r="A384" s="28"/>
      <c r="B384" s="28"/>
    </row>
    <row r="385" spans="1:2" ht="15.75" thickBot="1" x14ac:dyDescent="0.3">
      <c r="A385" s="28"/>
      <c r="B385" s="28"/>
    </row>
    <row r="386" spans="1:2" ht="15.75" thickBot="1" x14ac:dyDescent="0.3">
      <c r="A386" s="28"/>
      <c r="B386" s="28"/>
    </row>
    <row r="387" spans="1:2" ht="15.75" thickBot="1" x14ac:dyDescent="0.3">
      <c r="A387" s="28"/>
      <c r="B387" s="28"/>
    </row>
    <row r="388" spans="1:2" ht="15.75" thickBot="1" x14ac:dyDescent="0.3">
      <c r="A388" s="28"/>
      <c r="B388" s="28"/>
    </row>
    <row r="389" spans="1:2" ht="15.75" thickBot="1" x14ac:dyDescent="0.3">
      <c r="A389" s="28"/>
      <c r="B389" s="28"/>
    </row>
    <row r="390" spans="1:2" ht="15.75" thickBot="1" x14ac:dyDescent="0.3">
      <c r="A390" s="28"/>
      <c r="B390" s="28"/>
    </row>
    <row r="391" spans="1:2" ht="15.75" thickBot="1" x14ac:dyDescent="0.3">
      <c r="A391" s="28"/>
      <c r="B391" s="28"/>
    </row>
    <row r="392" spans="1:2" ht="15.75" thickBot="1" x14ac:dyDescent="0.3">
      <c r="A392" s="28"/>
      <c r="B392" s="28"/>
    </row>
    <row r="393" spans="1:2" ht="15.75" thickBot="1" x14ac:dyDescent="0.3">
      <c r="A393" s="28"/>
      <c r="B393" s="28"/>
    </row>
    <row r="394" spans="1:2" ht="15.75" thickBot="1" x14ac:dyDescent="0.3">
      <c r="A394" s="28"/>
      <c r="B394" s="28"/>
    </row>
    <row r="395" spans="1:2" ht="15.75" thickBot="1" x14ac:dyDescent="0.3">
      <c r="A395" s="28"/>
      <c r="B395" s="28"/>
    </row>
    <row r="396" spans="1:2" ht="15.75" thickBot="1" x14ac:dyDescent="0.3">
      <c r="A396" s="28"/>
      <c r="B396" s="28"/>
    </row>
    <row r="397" spans="1:2" ht="15.75" thickBot="1" x14ac:dyDescent="0.3">
      <c r="A397" s="28"/>
      <c r="B397" s="28"/>
    </row>
    <row r="398" spans="1:2" ht="15.75" thickBot="1" x14ac:dyDescent="0.3">
      <c r="A398" s="28"/>
      <c r="B398" s="28"/>
    </row>
    <row r="399" spans="1:2" ht="15.75" thickBot="1" x14ac:dyDescent="0.3">
      <c r="A399" s="28"/>
      <c r="B399" s="28"/>
    </row>
    <row r="400" spans="1:2" ht="15.75" thickBot="1" x14ac:dyDescent="0.3">
      <c r="A400" s="28"/>
      <c r="B400" s="28"/>
    </row>
    <row r="401" spans="1:2" ht="15.75" thickBot="1" x14ac:dyDescent="0.3">
      <c r="A401" s="28"/>
      <c r="B401" s="28"/>
    </row>
    <row r="402" spans="1:2" ht="15.75" thickBot="1" x14ac:dyDescent="0.3">
      <c r="A402" s="28"/>
      <c r="B402" s="28"/>
    </row>
    <row r="403" spans="1:2" ht="15.75" thickBot="1" x14ac:dyDescent="0.3">
      <c r="A403" s="28"/>
      <c r="B403" s="28"/>
    </row>
    <row r="404" spans="1:2" ht="15.75" thickBot="1" x14ac:dyDescent="0.3">
      <c r="A404" s="28"/>
      <c r="B404" s="28"/>
    </row>
    <row r="405" spans="1:2" ht="15.75" thickBot="1" x14ac:dyDescent="0.3">
      <c r="A405" s="28"/>
      <c r="B405" s="28"/>
    </row>
    <row r="406" spans="1:2" ht="15.75" thickBot="1" x14ac:dyDescent="0.3">
      <c r="A406" s="28"/>
      <c r="B406" s="28"/>
    </row>
    <row r="407" spans="1:2" ht="15.75" thickBot="1" x14ac:dyDescent="0.3">
      <c r="A407" s="28"/>
      <c r="B407" s="28"/>
    </row>
    <row r="408" spans="1:2" ht="15.75" thickBot="1" x14ac:dyDescent="0.3">
      <c r="A408" s="28"/>
      <c r="B408" s="28"/>
    </row>
    <row r="409" spans="1:2" ht="15.75" thickBot="1" x14ac:dyDescent="0.3">
      <c r="A409" s="28"/>
      <c r="B409" s="28"/>
    </row>
    <row r="410" spans="1:2" ht="15.75" thickBot="1" x14ac:dyDescent="0.3">
      <c r="A410" s="28"/>
      <c r="B410" s="28"/>
    </row>
    <row r="411" spans="1:2" ht="15.75" thickBot="1" x14ac:dyDescent="0.3">
      <c r="A411" s="28"/>
      <c r="B411" s="28"/>
    </row>
    <row r="412" spans="1:2" ht="15.75" thickBot="1" x14ac:dyDescent="0.3">
      <c r="A412" s="28"/>
      <c r="B412" s="28"/>
    </row>
    <row r="413" spans="1:2" ht="15.75" thickBot="1" x14ac:dyDescent="0.3">
      <c r="A413" s="28"/>
      <c r="B413" s="28"/>
    </row>
    <row r="414" spans="1:2" ht="15.75" thickBot="1" x14ac:dyDescent="0.3">
      <c r="A414" s="28"/>
      <c r="B414" s="28"/>
    </row>
    <row r="415" spans="1:2" ht="15.75" thickBot="1" x14ac:dyDescent="0.3">
      <c r="A415" s="28"/>
      <c r="B415" s="28"/>
    </row>
    <row r="416" spans="1:2" ht="15.75" thickBot="1" x14ac:dyDescent="0.3">
      <c r="A416" s="28"/>
      <c r="B416" s="28"/>
    </row>
    <row r="417" spans="1:2" ht="15.75" thickBot="1" x14ac:dyDescent="0.3">
      <c r="A417" s="28"/>
      <c r="B417" s="28"/>
    </row>
    <row r="418" spans="1:2" ht="15.75" thickBot="1" x14ac:dyDescent="0.3">
      <c r="A418" s="28"/>
      <c r="B418" s="28"/>
    </row>
    <row r="419" spans="1:2" ht="15.75" thickBot="1" x14ac:dyDescent="0.3">
      <c r="A419" s="28"/>
      <c r="B419" s="28"/>
    </row>
    <row r="420" spans="1:2" ht="15.75" thickBot="1" x14ac:dyDescent="0.3">
      <c r="A420" s="28"/>
      <c r="B420" s="28"/>
    </row>
    <row r="421" spans="1:2" ht="15.75" thickBot="1" x14ac:dyDescent="0.3">
      <c r="A421" s="28"/>
      <c r="B421" s="28"/>
    </row>
    <row r="422" spans="1:2" ht="15.75" thickBot="1" x14ac:dyDescent="0.3">
      <c r="A422" s="28"/>
      <c r="B422" s="28"/>
    </row>
    <row r="423" spans="1:2" ht="15.75" thickBot="1" x14ac:dyDescent="0.3">
      <c r="A423" s="28"/>
      <c r="B423" s="28"/>
    </row>
    <row r="424" spans="1:2" ht="15.75" thickBot="1" x14ac:dyDescent="0.3">
      <c r="A424" s="28"/>
      <c r="B424" s="28"/>
    </row>
    <row r="425" spans="1:2" ht="15.75" thickBot="1" x14ac:dyDescent="0.3">
      <c r="A425" s="28"/>
      <c r="B425" s="28"/>
    </row>
    <row r="426" spans="1:2" ht="15.75" thickBot="1" x14ac:dyDescent="0.3">
      <c r="A426" s="28"/>
      <c r="B426" s="28"/>
    </row>
    <row r="427" spans="1:2" ht="15.75" thickBot="1" x14ac:dyDescent="0.3">
      <c r="A427" s="28"/>
      <c r="B427" s="28"/>
    </row>
    <row r="428" spans="1:2" ht="15.75" thickBot="1" x14ac:dyDescent="0.3">
      <c r="A428" s="28"/>
      <c r="B428" s="28"/>
    </row>
    <row r="429" spans="1:2" ht="15.75" thickBot="1" x14ac:dyDescent="0.3">
      <c r="A429" s="28"/>
      <c r="B429" s="28"/>
    </row>
    <row r="430" spans="1:2" ht="15.75" thickBot="1" x14ac:dyDescent="0.3">
      <c r="A430" s="28"/>
      <c r="B430" s="28"/>
    </row>
    <row r="431" spans="1:2" ht="15.75" thickBot="1" x14ac:dyDescent="0.3">
      <c r="A431" s="28"/>
      <c r="B431" s="28"/>
    </row>
    <row r="432" spans="1:2" ht="15.75" thickBot="1" x14ac:dyDescent="0.3">
      <c r="A432" s="28"/>
      <c r="B432" s="28"/>
    </row>
    <row r="433" spans="1:2" ht="15.75" thickBot="1" x14ac:dyDescent="0.3">
      <c r="A433" s="28"/>
      <c r="B433" s="28"/>
    </row>
    <row r="434" spans="1:2" ht="15.75" thickBot="1" x14ac:dyDescent="0.3">
      <c r="A434" s="28"/>
      <c r="B434" s="28"/>
    </row>
    <row r="435" spans="1:2" ht="15.75" thickBot="1" x14ac:dyDescent="0.3">
      <c r="A435" s="28"/>
      <c r="B435" s="28"/>
    </row>
    <row r="436" spans="1:2" ht="15.75" thickBot="1" x14ac:dyDescent="0.3">
      <c r="A436" s="28"/>
      <c r="B436" s="28"/>
    </row>
    <row r="437" spans="1:2" ht="15.75" thickBot="1" x14ac:dyDescent="0.3">
      <c r="A437" s="28"/>
      <c r="B437" s="28"/>
    </row>
    <row r="438" spans="1:2" ht="15.75" thickBot="1" x14ac:dyDescent="0.3">
      <c r="A438" s="28"/>
      <c r="B438" s="28"/>
    </row>
    <row r="439" spans="1:2" ht="15.75" thickBot="1" x14ac:dyDescent="0.3">
      <c r="A439" s="28"/>
      <c r="B439" s="28"/>
    </row>
    <row r="440" spans="1:2" ht="15.75" thickBot="1" x14ac:dyDescent="0.3">
      <c r="A440" s="28"/>
      <c r="B440" s="28"/>
    </row>
    <row r="441" spans="1:2" ht="15.75" thickBot="1" x14ac:dyDescent="0.3">
      <c r="A441" s="28"/>
      <c r="B441" s="28"/>
    </row>
    <row r="442" spans="1:2" ht="15.75" thickBot="1" x14ac:dyDescent="0.3">
      <c r="A442" s="28"/>
      <c r="B442" s="28"/>
    </row>
    <row r="443" spans="1:2" ht="15.75" thickBot="1" x14ac:dyDescent="0.3">
      <c r="A443" s="28"/>
      <c r="B443" s="28"/>
    </row>
    <row r="444" spans="1:2" ht="15.75" thickBot="1" x14ac:dyDescent="0.3">
      <c r="A444" s="28"/>
      <c r="B444" s="28"/>
    </row>
    <row r="445" spans="1:2" ht="15.75" thickBot="1" x14ac:dyDescent="0.3">
      <c r="A445" s="28"/>
      <c r="B445" s="28"/>
    </row>
    <row r="446" spans="1:2" ht="15.75" thickBot="1" x14ac:dyDescent="0.3">
      <c r="A446" s="28"/>
      <c r="B446" s="28"/>
    </row>
    <row r="447" spans="1:2" ht="15.75" thickBot="1" x14ac:dyDescent="0.3">
      <c r="A447" s="28"/>
      <c r="B447" s="28"/>
    </row>
    <row r="448" spans="1:2" ht="15.75" thickBot="1" x14ac:dyDescent="0.3">
      <c r="A448" s="28"/>
      <c r="B448" s="28"/>
    </row>
    <row r="449" spans="1:2" ht="15.75" thickBot="1" x14ac:dyDescent="0.3">
      <c r="A449" s="28"/>
      <c r="B449" s="28"/>
    </row>
    <row r="450" spans="1:2" ht="15.75" thickBot="1" x14ac:dyDescent="0.3">
      <c r="A450" s="28"/>
      <c r="B450" s="28"/>
    </row>
    <row r="451" spans="1:2" ht="15.75" thickBot="1" x14ac:dyDescent="0.3">
      <c r="A451" s="28"/>
      <c r="B451" s="28"/>
    </row>
    <row r="452" spans="1:2" ht="15.75" thickBot="1" x14ac:dyDescent="0.3">
      <c r="A452" s="28"/>
      <c r="B452" s="28"/>
    </row>
    <row r="453" spans="1:2" ht="15.75" thickBot="1" x14ac:dyDescent="0.3">
      <c r="A453" s="28"/>
      <c r="B453" s="28"/>
    </row>
    <row r="454" spans="1:2" ht="15.75" thickBot="1" x14ac:dyDescent="0.3">
      <c r="A454" s="28"/>
      <c r="B454" s="28"/>
    </row>
    <row r="455" spans="1:2" ht="15.75" thickBot="1" x14ac:dyDescent="0.3">
      <c r="A455" s="28"/>
      <c r="B455" s="28"/>
    </row>
    <row r="456" spans="1:2" ht="15.75" thickBot="1" x14ac:dyDescent="0.3">
      <c r="A456" s="28"/>
      <c r="B456" s="28"/>
    </row>
    <row r="457" spans="1:2" ht="15.75" thickBot="1" x14ac:dyDescent="0.3">
      <c r="A457" s="28"/>
      <c r="B457" s="28"/>
    </row>
    <row r="458" spans="1:2" ht="15.75" thickBot="1" x14ac:dyDescent="0.3">
      <c r="A458" s="28"/>
      <c r="B458" s="28"/>
    </row>
    <row r="459" spans="1:2" ht="15.75" thickBot="1" x14ac:dyDescent="0.3">
      <c r="A459" s="28"/>
      <c r="B459" s="28"/>
    </row>
    <row r="460" spans="1:2" ht="15.75" thickBot="1" x14ac:dyDescent="0.3">
      <c r="A460" s="28"/>
      <c r="B460" s="28"/>
    </row>
    <row r="461" spans="1:2" ht="15.75" thickBot="1" x14ac:dyDescent="0.3">
      <c r="A461" s="28"/>
      <c r="B461" s="28"/>
    </row>
    <row r="462" spans="1:2" ht="15.75" thickBot="1" x14ac:dyDescent="0.3">
      <c r="A462" s="28"/>
      <c r="B462" s="28"/>
    </row>
    <row r="463" spans="1:2" ht="15.75" thickBot="1" x14ac:dyDescent="0.3">
      <c r="A463" s="28"/>
      <c r="B463" s="28"/>
    </row>
    <row r="464" spans="1:2" ht="15.75" thickBot="1" x14ac:dyDescent="0.3">
      <c r="A464" s="28"/>
      <c r="B464" s="28"/>
    </row>
    <row r="465" spans="1:2" ht="15.75" thickBot="1" x14ac:dyDescent="0.3">
      <c r="A465" s="28"/>
      <c r="B465" s="28"/>
    </row>
    <row r="466" spans="1:2" ht="15.75" thickBot="1" x14ac:dyDescent="0.3">
      <c r="A466" s="28"/>
      <c r="B466" s="28"/>
    </row>
    <row r="467" spans="1:2" ht="15.75" thickBot="1" x14ac:dyDescent="0.3">
      <c r="A467" s="28"/>
      <c r="B467" s="28"/>
    </row>
    <row r="468" spans="1:2" ht="15.75" thickBot="1" x14ac:dyDescent="0.3">
      <c r="A468" s="28"/>
      <c r="B468" s="28"/>
    </row>
    <row r="469" spans="1:2" ht="15.75" thickBot="1" x14ac:dyDescent="0.3">
      <c r="A469" s="28"/>
      <c r="B469" s="28"/>
    </row>
    <row r="470" spans="1:2" ht="15.75" thickBot="1" x14ac:dyDescent="0.3">
      <c r="A470" s="28"/>
      <c r="B470" s="28"/>
    </row>
    <row r="471" spans="1:2" ht="15.75" thickBot="1" x14ac:dyDescent="0.3">
      <c r="A471" s="28"/>
      <c r="B471" s="28"/>
    </row>
    <row r="472" spans="1:2" ht="15.75" thickBot="1" x14ac:dyDescent="0.3">
      <c r="A472" s="28"/>
      <c r="B472" s="28"/>
    </row>
    <row r="473" spans="1:2" ht="15.75" thickBot="1" x14ac:dyDescent="0.3">
      <c r="A473" s="28"/>
      <c r="B473" s="28"/>
    </row>
    <row r="474" spans="1:2" ht="15.75" thickBot="1" x14ac:dyDescent="0.3">
      <c r="A474" s="28"/>
      <c r="B474" s="28"/>
    </row>
    <row r="475" spans="1:2" ht="15.75" thickBot="1" x14ac:dyDescent="0.3">
      <c r="A475" s="28"/>
      <c r="B475" s="28"/>
    </row>
    <row r="476" spans="1:2" ht="15.75" thickBot="1" x14ac:dyDescent="0.3">
      <c r="A476" s="28"/>
      <c r="B476" s="28"/>
    </row>
    <row r="477" spans="1:2" ht="15.75" thickBot="1" x14ac:dyDescent="0.3">
      <c r="A477" s="28"/>
      <c r="B477" s="28"/>
    </row>
    <row r="478" spans="1:2" ht="15.75" thickBot="1" x14ac:dyDescent="0.3">
      <c r="A478" s="28"/>
      <c r="B478" s="28"/>
    </row>
    <row r="479" spans="1:2" ht="15.75" thickBot="1" x14ac:dyDescent="0.3">
      <c r="A479" s="28"/>
      <c r="B479" s="28"/>
    </row>
    <row r="480" spans="1:2" ht="15.75" thickBot="1" x14ac:dyDescent="0.3">
      <c r="A480" s="28"/>
      <c r="B480" s="28"/>
    </row>
    <row r="481" spans="1:2" ht="15.75" thickBot="1" x14ac:dyDescent="0.3">
      <c r="A481" s="28"/>
      <c r="B481" s="28"/>
    </row>
    <row r="482" spans="1:2" ht="15.75" thickBot="1" x14ac:dyDescent="0.3">
      <c r="A482" s="28"/>
      <c r="B482" s="28"/>
    </row>
    <row r="483" spans="1:2" ht="15.75" thickBot="1" x14ac:dyDescent="0.3">
      <c r="A483" s="28"/>
      <c r="B483" s="28"/>
    </row>
    <row r="484" spans="1:2" ht="15.75" thickBot="1" x14ac:dyDescent="0.3">
      <c r="A484" s="28"/>
      <c r="B484" s="28"/>
    </row>
    <row r="485" spans="1:2" ht="15.75" thickBot="1" x14ac:dyDescent="0.3">
      <c r="A485" s="28"/>
      <c r="B485" s="28"/>
    </row>
    <row r="486" spans="1:2" ht="15.75" thickBot="1" x14ac:dyDescent="0.3">
      <c r="A486" s="28"/>
      <c r="B486" s="28"/>
    </row>
    <row r="487" spans="1:2" ht="15.75" thickBot="1" x14ac:dyDescent="0.3">
      <c r="A487" s="28"/>
      <c r="B487" s="28"/>
    </row>
    <row r="488" spans="1:2" ht="15.75" thickBot="1" x14ac:dyDescent="0.3">
      <c r="A488" s="28"/>
      <c r="B488" s="28"/>
    </row>
    <row r="489" spans="1:2" ht="15.75" thickBot="1" x14ac:dyDescent="0.3">
      <c r="A489" s="28"/>
      <c r="B489" s="28"/>
    </row>
    <row r="490" spans="1:2" ht="15.75" thickBot="1" x14ac:dyDescent="0.3">
      <c r="A490" s="28"/>
      <c r="B490" s="28"/>
    </row>
    <row r="491" spans="1:2" ht="15.75" thickBot="1" x14ac:dyDescent="0.3">
      <c r="A491" s="28"/>
      <c r="B491" s="28"/>
    </row>
    <row r="492" spans="1:2" ht="15.75" thickBot="1" x14ac:dyDescent="0.3">
      <c r="A492" s="28"/>
      <c r="B492" s="28"/>
    </row>
    <row r="493" spans="1:2" ht="15.75" thickBot="1" x14ac:dyDescent="0.3">
      <c r="A493" s="28"/>
      <c r="B493" s="28"/>
    </row>
    <row r="494" spans="1:2" ht="15.75" thickBot="1" x14ac:dyDescent="0.3">
      <c r="A494" s="28"/>
      <c r="B494" s="28"/>
    </row>
    <row r="495" spans="1:2" ht="15.75" thickBot="1" x14ac:dyDescent="0.3">
      <c r="A495" s="28"/>
      <c r="B495" s="28"/>
    </row>
    <row r="496" spans="1:2" ht="15.75" thickBot="1" x14ac:dyDescent="0.3">
      <c r="A496" s="28"/>
      <c r="B496" s="28"/>
    </row>
    <row r="497" spans="1:2" ht="15.75" thickBot="1" x14ac:dyDescent="0.3">
      <c r="A497" s="28"/>
      <c r="B497" s="28"/>
    </row>
    <row r="498" spans="1:2" ht="15.75" thickBot="1" x14ac:dyDescent="0.3">
      <c r="A498" s="28"/>
      <c r="B498" s="28"/>
    </row>
    <row r="499" spans="1:2" ht="15.75" thickBot="1" x14ac:dyDescent="0.3">
      <c r="A499" s="28"/>
      <c r="B499" s="28"/>
    </row>
    <row r="500" spans="1:2" ht="15.75" thickBot="1" x14ac:dyDescent="0.3">
      <c r="A500" s="28"/>
      <c r="B500" s="28"/>
    </row>
    <row r="501" spans="1:2" ht="15.75" thickBot="1" x14ac:dyDescent="0.3">
      <c r="A501" s="28"/>
      <c r="B501" s="28"/>
    </row>
    <row r="502" spans="1:2" ht="15.75" thickBot="1" x14ac:dyDescent="0.3">
      <c r="A502" s="28"/>
      <c r="B502" s="28"/>
    </row>
    <row r="503" spans="1:2" ht="15.75" thickBot="1" x14ac:dyDescent="0.3">
      <c r="A503" s="28"/>
      <c r="B503" s="28"/>
    </row>
    <row r="504" spans="1:2" ht="15.75" thickBot="1" x14ac:dyDescent="0.3">
      <c r="A504" s="28"/>
      <c r="B504" s="28"/>
    </row>
    <row r="505" spans="1:2" ht="15.75" thickBot="1" x14ac:dyDescent="0.3">
      <c r="A505" s="28"/>
      <c r="B505" s="28"/>
    </row>
    <row r="506" spans="1:2" ht="15.75" thickBot="1" x14ac:dyDescent="0.3">
      <c r="A506" s="28"/>
      <c r="B506" s="28"/>
    </row>
    <row r="507" spans="1:2" ht="15.75" thickBot="1" x14ac:dyDescent="0.3">
      <c r="A507" s="28"/>
      <c r="B507" s="28"/>
    </row>
    <row r="508" spans="1:2" ht="15.75" thickBot="1" x14ac:dyDescent="0.3">
      <c r="A508" s="28"/>
      <c r="B508" s="28"/>
    </row>
    <row r="509" spans="1:2" ht="15.75" thickBot="1" x14ac:dyDescent="0.3">
      <c r="A509" s="28"/>
      <c r="B509" s="28"/>
    </row>
    <row r="510" spans="1:2" ht="15.75" thickBot="1" x14ac:dyDescent="0.3">
      <c r="A510" s="28"/>
      <c r="B510" s="28"/>
    </row>
    <row r="511" spans="1:2" ht="15.75" thickBot="1" x14ac:dyDescent="0.3">
      <c r="A511" s="28"/>
      <c r="B511" s="28"/>
    </row>
    <row r="512" spans="1:2" ht="15.75" thickBot="1" x14ac:dyDescent="0.3">
      <c r="A512" s="28"/>
      <c r="B512" s="28"/>
    </row>
    <row r="513" spans="1:2" ht="15.75" thickBot="1" x14ac:dyDescent="0.3">
      <c r="A513" s="28"/>
      <c r="B513" s="28"/>
    </row>
    <row r="514" spans="1:2" ht="15.75" thickBot="1" x14ac:dyDescent="0.3">
      <c r="A514" s="28"/>
      <c r="B514" s="28"/>
    </row>
    <row r="515" spans="1:2" ht="15.75" thickBot="1" x14ac:dyDescent="0.3">
      <c r="A515" s="28"/>
      <c r="B515" s="28"/>
    </row>
    <row r="516" spans="1:2" ht="15.75" thickBot="1" x14ac:dyDescent="0.3">
      <c r="A516" s="28"/>
      <c r="B516" s="28"/>
    </row>
    <row r="517" spans="1:2" ht="15.75" thickBot="1" x14ac:dyDescent="0.3">
      <c r="A517" s="28"/>
      <c r="B517" s="28"/>
    </row>
    <row r="518" spans="1:2" ht="15.75" thickBot="1" x14ac:dyDescent="0.3">
      <c r="A518" s="28"/>
      <c r="B518" s="28"/>
    </row>
    <row r="519" spans="1:2" ht="15.75" thickBot="1" x14ac:dyDescent="0.3">
      <c r="A519" s="28"/>
      <c r="B519" s="28"/>
    </row>
    <row r="520" spans="1:2" ht="15.75" thickBot="1" x14ac:dyDescent="0.3">
      <c r="A520" s="28"/>
      <c r="B520" s="28"/>
    </row>
    <row r="521" spans="1:2" ht="15.75" thickBot="1" x14ac:dyDescent="0.3">
      <c r="A521" s="28"/>
      <c r="B521" s="28"/>
    </row>
    <row r="522" spans="1:2" ht="15.75" thickBot="1" x14ac:dyDescent="0.3">
      <c r="A522" s="28"/>
      <c r="B522" s="28"/>
    </row>
    <row r="523" spans="1:2" ht="15.75" thickBot="1" x14ac:dyDescent="0.3">
      <c r="A523" s="28"/>
      <c r="B523" s="28"/>
    </row>
    <row r="524" spans="1:2" ht="15.75" thickBot="1" x14ac:dyDescent="0.3">
      <c r="A524" s="28"/>
      <c r="B524" s="28"/>
    </row>
    <row r="525" spans="1:2" ht="15.75" thickBot="1" x14ac:dyDescent="0.3">
      <c r="A525" s="28"/>
      <c r="B525" s="28"/>
    </row>
    <row r="526" spans="1:2" ht="15.75" thickBot="1" x14ac:dyDescent="0.3">
      <c r="A526" s="28"/>
      <c r="B526" s="28"/>
    </row>
    <row r="527" spans="1:2" ht="15.75" thickBot="1" x14ac:dyDescent="0.3">
      <c r="A527" s="28"/>
      <c r="B527" s="28"/>
    </row>
    <row r="528" spans="1:2" ht="15.75" thickBot="1" x14ac:dyDescent="0.3">
      <c r="A528" s="28"/>
      <c r="B528" s="28"/>
    </row>
    <row r="529" spans="1:2" ht="15.75" thickBot="1" x14ac:dyDescent="0.3">
      <c r="A529" s="28"/>
      <c r="B529" s="28"/>
    </row>
    <row r="530" spans="1:2" ht="15.75" thickBot="1" x14ac:dyDescent="0.3">
      <c r="A530" s="28"/>
      <c r="B530" s="28"/>
    </row>
    <row r="531" spans="1:2" ht="15.75" thickBot="1" x14ac:dyDescent="0.3">
      <c r="A531" s="28"/>
      <c r="B531" s="28"/>
    </row>
    <row r="532" spans="1:2" ht="15.75" thickBot="1" x14ac:dyDescent="0.3">
      <c r="A532" s="28"/>
      <c r="B532" s="28"/>
    </row>
    <row r="533" spans="1:2" ht="15.75" thickBot="1" x14ac:dyDescent="0.3">
      <c r="A533" s="28"/>
      <c r="B533" s="28"/>
    </row>
    <row r="534" spans="1:2" ht="15.75" thickBot="1" x14ac:dyDescent="0.3">
      <c r="A534" s="28"/>
      <c r="B534" s="28"/>
    </row>
    <row r="535" spans="1:2" ht="15.75" thickBot="1" x14ac:dyDescent="0.3">
      <c r="A535" s="28"/>
      <c r="B535" s="28"/>
    </row>
    <row r="536" spans="1:2" ht="15.75" thickBot="1" x14ac:dyDescent="0.3">
      <c r="A536" s="28"/>
      <c r="B536" s="28"/>
    </row>
    <row r="537" spans="1:2" ht="15.75" thickBot="1" x14ac:dyDescent="0.3">
      <c r="A537" s="28"/>
      <c r="B537" s="28"/>
    </row>
    <row r="538" spans="1:2" ht="15.75" thickBot="1" x14ac:dyDescent="0.3">
      <c r="A538" s="28"/>
      <c r="B538" s="28"/>
    </row>
    <row r="539" spans="1:2" ht="15.75" thickBot="1" x14ac:dyDescent="0.3">
      <c r="A539" s="28"/>
      <c r="B539" s="28"/>
    </row>
    <row r="540" spans="1:2" ht="15.75" thickBot="1" x14ac:dyDescent="0.3">
      <c r="A540" s="28"/>
      <c r="B540" s="28"/>
    </row>
    <row r="541" spans="1:2" ht="15.75" thickBot="1" x14ac:dyDescent="0.3">
      <c r="A541" s="28"/>
      <c r="B541" s="28"/>
    </row>
    <row r="542" spans="1:2" ht="15.75" thickBot="1" x14ac:dyDescent="0.3">
      <c r="A542" s="28"/>
      <c r="B542" s="28"/>
    </row>
    <row r="543" spans="1:2" ht="15.75" thickBot="1" x14ac:dyDescent="0.3">
      <c r="A543" s="28"/>
      <c r="B543" s="28"/>
    </row>
    <row r="544" spans="1:2" ht="15.75" thickBot="1" x14ac:dyDescent="0.3">
      <c r="A544" s="28"/>
      <c r="B544" s="28"/>
    </row>
    <row r="545" spans="1:2" ht="15.75" thickBot="1" x14ac:dyDescent="0.3">
      <c r="A545" s="28"/>
      <c r="B545" s="28"/>
    </row>
    <row r="546" spans="1:2" ht="15.75" thickBot="1" x14ac:dyDescent="0.3">
      <c r="A546" s="28"/>
      <c r="B546" s="28"/>
    </row>
    <row r="547" spans="1:2" ht="15.75" thickBot="1" x14ac:dyDescent="0.3">
      <c r="A547" s="28"/>
      <c r="B547" s="28"/>
    </row>
    <row r="548" spans="1:2" ht="15.75" thickBot="1" x14ac:dyDescent="0.3">
      <c r="A548" s="28"/>
      <c r="B548" s="28"/>
    </row>
    <row r="549" spans="1:2" ht="15.75" thickBot="1" x14ac:dyDescent="0.3">
      <c r="A549" s="28"/>
      <c r="B549" s="28"/>
    </row>
    <row r="550" spans="1:2" ht="15.75" thickBot="1" x14ac:dyDescent="0.3">
      <c r="A550" s="28"/>
      <c r="B550" s="28"/>
    </row>
    <row r="551" spans="1:2" ht="15.75" thickBot="1" x14ac:dyDescent="0.3">
      <c r="A551" s="28"/>
      <c r="B551" s="28"/>
    </row>
    <row r="552" spans="1:2" ht="15.75" thickBot="1" x14ac:dyDescent="0.3">
      <c r="A552" s="28"/>
      <c r="B552" s="28"/>
    </row>
    <row r="553" spans="1:2" ht="15.75" thickBot="1" x14ac:dyDescent="0.3">
      <c r="A553" s="28"/>
      <c r="B553" s="28"/>
    </row>
    <row r="554" spans="1:2" ht="15.75" thickBot="1" x14ac:dyDescent="0.3">
      <c r="A554" s="28"/>
      <c r="B554" s="28"/>
    </row>
    <row r="555" spans="1:2" ht="15.75" thickBot="1" x14ac:dyDescent="0.3">
      <c r="A555" s="28"/>
      <c r="B555" s="28"/>
    </row>
    <row r="556" spans="1:2" ht="15.75" thickBot="1" x14ac:dyDescent="0.3">
      <c r="A556" s="28"/>
      <c r="B556" s="28"/>
    </row>
    <row r="557" spans="1:2" ht="15.75" thickBot="1" x14ac:dyDescent="0.3">
      <c r="A557" s="28"/>
      <c r="B557" s="28"/>
    </row>
    <row r="558" spans="1:2" ht="15.75" thickBot="1" x14ac:dyDescent="0.3">
      <c r="A558" s="28"/>
      <c r="B558" s="28"/>
    </row>
    <row r="559" spans="1:2" ht="15.75" thickBot="1" x14ac:dyDescent="0.3">
      <c r="A559" s="28"/>
      <c r="B559" s="28"/>
    </row>
    <row r="560" spans="1:2" ht="15.75" thickBot="1" x14ac:dyDescent="0.3">
      <c r="A560" s="28"/>
      <c r="B560" s="28"/>
    </row>
    <row r="561" spans="1:2" ht="15.75" thickBot="1" x14ac:dyDescent="0.3">
      <c r="A561" s="28"/>
      <c r="B561" s="28"/>
    </row>
    <row r="562" spans="1:2" ht="15.75" thickBot="1" x14ac:dyDescent="0.3">
      <c r="A562" s="28"/>
      <c r="B562" s="28"/>
    </row>
    <row r="563" spans="1:2" ht="15.75" thickBot="1" x14ac:dyDescent="0.3">
      <c r="A563" s="28"/>
      <c r="B563" s="28"/>
    </row>
    <row r="564" spans="1:2" ht="15.75" thickBot="1" x14ac:dyDescent="0.3">
      <c r="A564" s="28"/>
      <c r="B564" s="28"/>
    </row>
    <row r="565" spans="1:2" ht="15.75" thickBot="1" x14ac:dyDescent="0.3">
      <c r="A565" s="28"/>
      <c r="B565" s="28"/>
    </row>
    <row r="566" spans="1:2" ht="15.75" thickBot="1" x14ac:dyDescent="0.3">
      <c r="A566" s="28"/>
      <c r="B566" s="28"/>
    </row>
    <row r="567" spans="1:2" ht="15.75" thickBot="1" x14ac:dyDescent="0.3">
      <c r="A567" s="28"/>
      <c r="B567" s="28"/>
    </row>
    <row r="568" spans="1:2" ht="15.75" thickBot="1" x14ac:dyDescent="0.3">
      <c r="A568" s="28"/>
      <c r="B568" s="28"/>
    </row>
    <row r="569" spans="1:2" ht="15.75" thickBot="1" x14ac:dyDescent="0.3">
      <c r="A569" s="28"/>
      <c r="B569" s="28"/>
    </row>
    <row r="570" spans="1:2" ht="15.75" thickBot="1" x14ac:dyDescent="0.3">
      <c r="A570" s="28"/>
      <c r="B570" s="28"/>
    </row>
    <row r="571" spans="1:2" ht="15.75" thickBot="1" x14ac:dyDescent="0.3">
      <c r="A571" s="28"/>
      <c r="B571" s="28"/>
    </row>
    <row r="572" spans="1:2" ht="15.75" thickBot="1" x14ac:dyDescent="0.3">
      <c r="A572" s="28"/>
      <c r="B572" s="28"/>
    </row>
    <row r="573" spans="1:2" ht="15.75" thickBot="1" x14ac:dyDescent="0.3">
      <c r="A573" s="28"/>
      <c r="B573" s="28"/>
    </row>
    <row r="574" spans="1:2" ht="15.75" thickBot="1" x14ac:dyDescent="0.3">
      <c r="A574" s="28"/>
      <c r="B574" s="28"/>
    </row>
    <row r="575" spans="1:2" ht="15.75" thickBot="1" x14ac:dyDescent="0.3">
      <c r="A575" s="28"/>
      <c r="B575" s="28"/>
    </row>
    <row r="576" spans="1:2" ht="15.75" thickBot="1" x14ac:dyDescent="0.3">
      <c r="A576" s="28"/>
      <c r="B576" s="28"/>
    </row>
    <row r="577" spans="1:2" ht="15.75" thickBot="1" x14ac:dyDescent="0.3">
      <c r="A577" s="28"/>
      <c r="B577" s="28"/>
    </row>
    <row r="578" spans="1:2" ht="15.75" thickBot="1" x14ac:dyDescent="0.3">
      <c r="A578" s="28"/>
      <c r="B578" s="28"/>
    </row>
    <row r="579" spans="1:2" ht="15.75" thickBot="1" x14ac:dyDescent="0.3">
      <c r="A579" s="28"/>
      <c r="B579" s="28"/>
    </row>
    <row r="580" spans="1:2" ht="15.75" thickBot="1" x14ac:dyDescent="0.3">
      <c r="A580" s="28"/>
      <c r="B580" s="28"/>
    </row>
    <row r="581" spans="1:2" ht="15.75" thickBot="1" x14ac:dyDescent="0.3">
      <c r="A581" s="28"/>
      <c r="B581" s="28"/>
    </row>
    <row r="582" spans="1:2" ht="15.75" thickBot="1" x14ac:dyDescent="0.3">
      <c r="A582" s="28"/>
      <c r="B582" s="28"/>
    </row>
    <row r="583" spans="1:2" ht="15.75" thickBot="1" x14ac:dyDescent="0.3">
      <c r="A583" s="28"/>
      <c r="B583" s="28"/>
    </row>
    <row r="584" spans="1:2" ht="15.75" thickBot="1" x14ac:dyDescent="0.3">
      <c r="A584" s="28"/>
      <c r="B584" s="28"/>
    </row>
    <row r="585" spans="1:2" ht="15.75" thickBot="1" x14ac:dyDescent="0.3">
      <c r="A585" s="28"/>
      <c r="B585" s="28"/>
    </row>
    <row r="586" spans="1:2" ht="15.75" thickBot="1" x14ac:dyDescent="0.3">
      <c r="A586" s="28"/>
      <c r="B586" s="28"/>
    </row>
    <row r="587" spans="1:2" ht="15.75" thickBot="1" x14ac:dyDescent="0.3">
      <c r="A587" s="28"/>
      <c r="B587" s="28"/>
    </row>
    <row r="588" spans="1:2" ht="15.75" thickBot="1" x14ac:dyDescent="0.3">
      <c r="A588" s="28"/>
      <c r="B588" s="28"/>
    </row>
    <row r="589" spans="1:2" ht="15.75" thickBot="1" x14ac:dyDescent="0.3">
      <c r="A589" s="28"/>
      <c r="B589" s="28"/>
    </row>
    <row r="590" spans="1:2" ht="15.75" thickBot="1" x14ac:dyDescent="0.3">
      <c r="A590" s="28"/>
      <c r="B590" s="28"/>
    </row>
    <row r="591" spans="1:2" ht="15.75" thickBot="1" x14ac:dyDescent="0.3">
      <c r="A591" s="28"/>
      <c r="B591" s="28"/>
    </row>
    <row r="592" spans="1:2" ht="15.75" thickBot="1" x14ac:dyDescent="0.3">
      <c r="A592" s="28"/>
      <c r="B592" s="28"/>
    </row>
    <row r="593" spans="1:2" ht="15.75" thickBot="1" x14ac:dyDescent="0.3">
      <c r="A593" s="28"/>
      <c r="B593" s="28"/>
    </row>
    <row r="594" spans="1:2" ht="15.75" thickBot="1" x14ac:dyDescent="0.3">
      <c r="A594" s="28"/>
      <c r="B594" s="28"/>
    </row>
    <row r="595" spans="1:2" ht="15.75" thickBot="1" x14ac:dyDescent="0.3">
      <c r="A595" s="28"/>
      <c r="B595" s="28"/>
    </row>
    <row r="596" spans="1:2" ht="15.75" thickBot="1" x14ac:dyDescent="0.3">
      <c r="A596" s="28"/>
      <c r="B596" s="28"/>
    </row>
    <row r="597" spans="1:2" ht="15.75" thickBot="1" x14ac:dyDescent="0.3">
      <c r="A597" s="28"/>
      <c r="B597" s="28"/>
    </row>
    <row r="598" spans="1:2" ht="15.75" thickBot="1" x14ac:dyDescent="0.3">
      <c r="A598" s="28"/>
      <c r="B598" s="28"/>
    </row>
    <row r="599" spans="1:2" ht="15.75" thickBot="1" x14ac:dyDescent="0.3">
      <c r="A599" s="28"/>
      <c r="B599" s="28"/>
    </row>
    <row r="600" spans="1:2" ht="15.75" thickBot="1" x14ac:dyDescent="0.3">
      <c r="A600" s="28"/>
      <c r="B600" s="28"/>
    </row>
    <row r="601" spans="1:2" ht="15.75" thickBot="1" x14ac:dyDescent="0.3">
      <c r="A601" s="28"/>
      <c r="B601" s="28"/>
    </row>
    <row r="602" spans="1:2" ht="15.75" thickBot="1" x14ac:dyDescent="0.3">
      <c r="A602" s="28"/>
      <c r="B602" s="28"/>
    </row>
    <row r="603" spans="1:2" ht="15.75" thickBot="1" x14ac:dyDescent="0.3">
      <c r="A603" s="28"/>
      <c r="B603" s="28"/>
    </row>
    <row r="604" spans="1:2" ht="15.75" thickBot="1" x14ac:dyDescent="0.3">
      <c r="A604" s="28"/>
      <c r="B604" s="28"/>
    </row>
    <row r="605" spans="1:2" ht="15.75" thickBot="1" x14ac:dyDescent="0.3">
      <c r="A605" s="28"/>
      <c r="B605" s="28"/>
    </row>
    <row r="606" spans="1:2" ht="15.75" thickBot="1" x14ac:dyDescent="0.3">
      <c r="A606" s="28"/>
      <c r="B606" s="28"/>
    </row>
    <row r="607" spans="1:2" ht="15.75" thickBot="1" x14ac:dyDescent="0.3">
      <c r="A607" s="28"/>
      <c r="B607" s="28"/>
    </row>
    <row r="608" spans="1:2" ht="15.75" thickBot="1" x14ac:dyDescent="0.3">
      <c r="A608" s="28"/>
      <c r="B608" s="28"/>
    </row>
    <row r="609" spans="1:2" ht="15.75" thickBot="1" x14ac:dyDescent="0.3">
      <c r="A609" s="28"/>
      <c r="B609" s="28"/>
    </row>
    <row r="610" spans="1:2" ht="15.75" thickBot="1" x14ac:dyDescent="0.3">
      <c r="A610" s="28"/>
      <c r="B610" s="28"/>
    </row>
    <row r="611" spans="1:2" ht="15.75" thickBot="1" x14ac:dyDescent="0.3">
      <c r="A611" s="28"/>
      <c r="B611" s="28"/>
    </row>
    <row r="612" spans="1:2" ht="15.75" thickBot="1" x14ac:dyDescent="0.3">
      <c r="A612" s="28"/>
      <c r="B612" s="28"/>
    </row>
    <row r="613" spans="1:2" ht="15.75" thickBot="1" x14ac:dyDescent="0.3">
      <c r="A613" s="28"/>
      <c r="B613" s="28"/>
    </row>
    <row r="614" spans="1:2" ht="15.75" thickBot="1" x14ac:dyDescent="0.3">
      <c r="A614" s="28"/>
      <c r="B614" s="28"/>
    </row>
    <row r="615" spans="1:2" ht="15.75" thickBot="1" x14ac:dyDescent="0.3">
      <c r="A615" s="28"/>
      <c r="B615" s="28"/>
    </row>
    <row r="616" spans="1:2" ht="15.75" thickBot="1" x14ac:dyDescent="0.3">
      <c r="A616" s="28"/>
      <c r="B616" s="28"/>
    </row>
    <row r="617" spans="1:2" ht="15.75" thickBot="1" x14ac:dyDescent="0.3">
      <c r="A617" s="28"/>
      <c r="B617" s="28"/>
    </row>
    <row r="618" spans="1:2" ht="15.75" thickBot="1" x14ac:dyDescent="0.3">
      <c r="A618" s="28"/>
      <c r="B618" s="28"/>
    </row>
    <row r="619" spans="1:2" ht="15.75" thickBot="1" x14ac:dyDescent="0.3">
      <c r="A619" s="28"/>
      <c r="B619" s="28"/>
    </row>
    <row r="620" spans="1:2" ht="15.75" thickBot="1" x14ac:dyDescent="0.3">
      <c r="A620" s="28"/>
      <c r="B620" s="28"/>
    </row>
    <row r="621" spans="1:2" ht="15.75" thickBot="1" x14ac:dyDescent="0.3">
      <c r="A621" s="28"/>
      <c r="B621" s="28"/>
    </row>
    <row r="622" spans="1:2" ht="15.75" thickBot="1" x14ac:dyDescent="0.3">
      <c r="A622" s="28"/>
      <c r="B622" s="28"/>
    </row>
    <row r="623" spans="1:2" ht="15.75" thickBot="1" x14ac:dyDescent="0.3">
      <c r="A623" s="28"/>
      <c r="B623" s="28"/>
    </row>
    <row r="624" spans="1:2" ht="15.75" thickBot="1" x14ac:dyDescent="0.3">
      <c r="A624" s="28"/>
      <c r="B624" s="28"/>
    </row>
    <row r="625" spans="1:2" ht="15.75" thickBot="1" x14ac:dyDescent="0.3">
      <c r="A625" s="28"/>
      <c r="B625" s="28"/>
    </row>
    <row r="626" spans="1:2" ht="15.75" thickBot="1" x14ac:dyDescent="0.3">
      <c r="A626" s="28"/>
      <c r="B626" s="28"/>
    </row>
    <row r="627" spans="1:2" ht="15.75" thickBot="1" x14ac:dyDescent="0.3">
      <c r="A627" s="28"/>
      <c r="B627" s="28"/>
    </row>
    <row r="628" spans="1:2" ht="15.75" thickBot="1" x14ac:dyDescent="0.3">
      <c r="A628" s="28"/>
      <c r="B628" s="28"/>
    </row>
    <row r="629" spans="1:2" ht="15.75" thickBot="1" x14ac:dyDescent="0.3">
      <c r="A629" s="28"/>
      <c r="B629" s="28"/>
    </row>
    <row r="630" spans="1:2" ht="15.75" thickBot="1" x14ac:dyDescent="0.3">
      <c r="A630" s="28"/>
      <c r="B630" s="28"/>
    </row>
    <row r="631" spans="1:2" ht="15.75" thickBot="1" x14ac:dyDescent="0.3">
      <c r="A631" s="28"/>
      <c r="B631" s="28"/>
    </row>
    <row r="632" spans="1:2" ht="15.75" thickBot="1" x14ac:dyDescent="0.3">
      <c r="A632" s="28"/>
      <c r="B632" s="28"/>
    </row>
    <row r="633" spans="1:2" ht="15.75" thickBot="1" x14ac:dyDescent="0.3">
      <c r="A633" s="28"/>
      <c r="B633" s="28"/>
    </row>
    <row r="634" spans="1:2" ht="15.75" thickBot="1" x14ac:dyDescent="0.3">
      <c r="A634" s="28"/>
      <c r="B634" s="28"/>
    </row>
    <row r="635" spans="1:2" ht="15.75" thickBot="1" x14ac:dyDescent="0.3">
      <c r="A635" s="28"/>
      <c r="B635" s="28"/>
    </row>
    <row r="636" spans="1:2" ht="15.75" thickBot="1" x14ac:dyDescent="0.3">
      <c r="A636" s="28"/>
      <c r="B636" s="28"/>
    </row>
    <row r="637" spans="1:2" ht="15.75" thickBot="1" x14ac:dyDescent="0.3">
      <c r="A637" s="28"/>
      <c r="B637" s="28"/>
    </row>
    <row r="638" spans="1:2" ht="15.75" thickBot="1" x14ac:dyDescent="0.3">
      <c r="A638" s="28"/>
      <c r="B638" s="28"/>
    </row>
    <row r="639" spans="1:2" ht="15.75" thickBot="1" x14ac:dyDescent="0.3">
      <c r="A639" s="28"/>
      <c r="B639" s="28"/>
    </row>
    <row r="640" spans="1:2" ht="15.75" thickBot="1" x14ac:dyDescent="0.3">
      <c r="A640" s="28"/>
      <c r="B640" s="28"/>
    </row>
    <row r="641" spans="1:2" ht="15.75" thickBot="1" x14ac:dyDescent="0.3">
      <c r="A641" s="28"/>
      <c r="B641" s="28"/>
    </row>
    <row r="642" spans="1:2" ht="15.75" thickBot="1" x14ac:dyDescent="0.3">
      <c r="A642" s="28"/>
      <c r="B642" s="28"/>
    </row>
    <row r="643" spans="1:2" ht="15.75" thickBot="1" x14ac:dyDescent="0.3">
      <c r="A643" s="28"/>
      <c r="B643" s="28"/>
    </row>
    <row r="644" spans="1:2" ht="15.75" thickBot="1" x14ac:dyDescent="0.3">
      <c r="A644" s="28"/>
      <c r="B644" s="28"/>
    </row>
    <row r="645" spans="1:2" ht="15.75" thickBot="1" x14ac:dyDescent="0.3">
      <c r="A645" s="28"/>
      <c r="B645" s="28"/>
    </row>
    <row r="646" spans="1:2" ht="15.75" thickBot="1" x14ac:dyDescent="0.3">
      <c r="A646" s="28"/>
      <c r="B646" s="28"/>
    </row>
    <row r="647" spans="1:2" ht="15.75" thickBot="1" x14ac:dyDescent="0.3">
      <c r="A647" s="28"/>
      <c r="B647" s="28"/>
    </row>
    <row r="648" spans="1:2" ht="15.75" thickBot="1" x14ac:dyDescent="0.3">
      <c r="A648" s="28"/>
      <c r="B648" s="28"/>
    </row>
    <row r="649" spans="1:2" ht="15.75" thickBot="1" x14ac:dyDescent="0.3">
      <c r="A649" s="28"/>
      <c r="B649" s="28"/>
    </row>
    <row r="650" spans="1:2" ht="15.75" thickBot="1" x14ac:dyDescent="0.3">
      <c r="A650" s="28"/>
      <c r="B650" s="28"/>
    </row>
    <row r="651" spans="1:2" ht="15.75" thickBot="1" x14ac:dyDescent="0.3">
      <c r="A651" s="28"/>
      <c r="B651" s="28"/>
    </row>
    <row r="652" spans="1:2" ht="15.75" thickBot="1" x14ac:dyDescent="0.3">
      <c r="A652" s="28"/>
      <c r="B652" s="28"/>
    </row>
    <row r="653" spans="1:2" ht="15.75" thickBot="1" x14ac:dyDescent="0.3">
      <c r="A653" s="28"/>
      <c r="B653" s="28"/>
    </row>
    <row r="654" spans="1:2" ht="15.75" thickBot="1" x14ac:dyDescent="0.3">
      <c r="A654" s="28"/>
      <c r="B654" s="28"/>
    </row>
    <row r="655" spans="1:2" ht="15.75" thickBot="1" x14ac:dyDescent="0.3">
      <c r="A655" s="28"/>
      <c r="B655" s="28"/>
    </row>
    <row r="656" spans="1:2" ht="15.75" thickBot="1" x14ac:dyDescent="0.3">
      <c r="A656" s="28"/>
      <c r="B656" s="28"/>
    </row>
    <row r="657" spans="1:2" ht="15.75" thickBot="1" x14ac:dyDescent="0.3">
      <c r="A657" s="28"/>
      <c r="B657" s="28"/>
    </row>
    <row r="658" spans="1:2" ht="15.75" thickBot="1" x14ac:dyDescent="0.3">
      <c r="A658" s="28"/>
      <c r="B658" s="28"/>
    </row>
    <row r="659" spans="1:2" ht="15.75" thickBot="1" x14ac:dyDescent="0.3">
      <c r="A659" s="28"/>
      <c r="B659" s="28"/>
    </row>
    <row r="660" spans="1:2" ht="15.75" thickBot="1" x14ac:dyDescent="0.3">
      <c r="A660" s="28"/>
      <c r="B660" s="28"/>
    </row>
    <row r="661" spans="1:2" ht="15.75" thickBot="1" x14ac:dyDescent="0.3">
      <c r="A661" s="28"/>
      <c r="B661" s="28"/>
    </row>
    <row r="662" spans="1:2" ht="15.75" thickBot="1" x14ac:dyDescent="0.3">
      <c r="A662" s="28"/>
      <c r="B662" s="28"/>
    </row>
    <row r="663" spans="1:2" ht="15.75" thickBot="1" x14ac:dyDescent="0.3">
      <c r="A663" s="28"/>
      <c r="B663" s="28"/>
    </row>
    <row r="664" spans="1:2" ht="15.75" thickBot="1" x14ac:dyDescent="0.3">
      <c r="A664" s="28"/>
      <c r="B664" s="28"/>
    </row>
    <row r="665" spans="1:2" ht="15.75" thickBot="1" x14ac:dyDescent="0.3">
      <c r="A665" s="28"/>
      <c r="B665" s="28"/>
    </row>
    <row r="666" spans="1:2" ht="15.75" thickBot="1" x14ac:dyDescent="0.3">
      <c r="A666" s="28"/>
      <c r="B666" s="28"/>
    </row>
    <row r="667" spans="1:2" ht="15.75" thickBot="1" x14ac:dyDescent="0.3">
      <c r="A667" s="28"/>
      <c r="B667" s="28"/>
    </row>
    <row r="668" spans="1:2" ht="15.75" thickBot="1" x14ac:dyDescent="0.3">
      <c r="A668" s="28"/>
      <c r="B668" s="28"/>
    </row>
    <row r="669" spans="1:2" ht="15.75" thickBot="1" x14ac:dyDescent="0.3">
      <c r="A669" s="28"/>
      <c r="B669" s="28"/>
    </row>
    <row r="670" spans="1:2" ht="15.75" thickBot="1" x14ac:dyDescent="0.3">
      <c r="A670" s="28"/>
      <c r="B670" s="28"/>
    </row>
    <row r="671" spans="1:2" ht="15.75" thickBot="1" x14ac:dyDescent="0.3">
      <c r="A671" s="28"/>
      <c r="B671" s="28"/>
    </row>
    <row r="672" spans="1:2" ht="15.75" thickBot="1" x14ac:dyDescent="0.3">
      <c r="A672" s="28"/>
      <c r="B672" s="28"/>
    </row>
    <row r="673" spans="1:2" ht="15.75" thickBot="1" x14ac:dyDescent="0.3">
      <c r="A673" s="28"/>
      <c r="B673" s="28"/>
    </row>
    <row r="674" spans="1:2" ht="15.75" thickBot="1" x14ac:dyDescent="0.3">
      <c r="A674" s="28"/>
      <c r="B674" s="28"/>
    </row>
    <row r="675" spans="1:2" ht="15.75" thickBot="1" x14ac:dyDescent="0.3">
      <c r="A675" s="28"/>
      <c r="B675" s="28"/>
    </row>
    <row r="676" spans="1:2" ht="15.75" thickBot="1" x14ac:dyDescent="0.3">
      <c r="A676" s="28"/>
      <c r="B676" s="28"/>
    </row>
    <row r="677" spans="1:2" ht="15.75" thickBot="1" x14ac:dyDescent="0.3">
      <c r="A677" s="28"/>
      <c r="B677" s="28"/>
    </row>
    <row r="678" spans="1:2" ht="15.75" thickBot="1" x14ac:dyDescent="0.3">
      <c r="A678" s="28"/>
      <c r="B678" s="28"/>
    </row>
    <row r="679" spans="1:2" ht="15.75" thickBot="1" x14ac:dyDescent="0.3">
      <c r="A679" s="28"/>
      <c r="B679" s="28"/>
    </row>
    <row r="680" spans="1:2" ht="15.75" thickBot="1" x14ac:dyDescent="0.3">
      <c r="A680" s="28"/>
      <c r="B680" s="28"/>
    </row>
    <row r="681" spans="1:2" ht="15.75" thickBot="1" x14ac:dyDescent="0.3">
      <c r="A681" s="28"/>
      <c r="B681" s="28"/>
    </row>
    <row r="682" spans="1:2" ht="15.75" thickBot="1" x14ac:dyDescent="0.3">
      <c r="A682" s="28"/>
      <c r="B682" s="28"/>
    </row>
    <row r="683" spans="1:2" ht="15.75" thickBot="1" x14ac:dyDescent="0.3">
      <c r="A683" s="28"/>
      <c r="B683" s="28"/>
    </row>
    <row r="684" spans="1:2" ht="15.75" thickBot="1" x14ac:dyDescent="0.3">
      <c r="A684" s="28"/>
      <c r="B684" s="28"/>
    </row>
    <row r="685" spans="1:2" ht="15.75" thickBot="1" x14ac:dyDescent="0.3">
      <c r="A685" s="28"/>
      <c r="B685" s="28"/>
    </row>
    <row r="686" spans="1:2" ht="15.75" thickBot="1" x14ac:dyDescent="0.3">
      <c r="A686" s="28"/>
      <c r="B686" s="28"/>
    </row>
    <row r="687" spans="1:2" ht="15.75" thickBot="1" x14ac:dyDescent="0.3">
      <c r="A687" s="28"/>
      <c r="B687" s="28"/>
    </row>
    <row r="688" spans="1:2" ht="15.75" thickBot="1" x14ac:dyDescent="0.3">
      <c r="A688" s="28"/>
      <c r="B688" s="28"/>
    </row>
    <row r="689" spans="1:2" ht="15.75" thickBot="1" x14ac:dyDescent="0.3">
      <c r="A689" s="28"/>
      <c r="B689" s="28"/>
    </row>
    <row r="690" spans="1:2" ht="15.75" thickBot="1" x14ac:dyDescent="0.3">
      <c r="A690" s="28"/>
      <c r="B690" s="28"/>
    </row>
    <row r="691" spans="1:2" ht="15.75" thickBot="1" x14ac:dyDescent="0.3">
      <c r="A691" s="28"/>
      <c r="B691" s="28"/>
    </row>
    <row r="692" spans="1:2" ht="15.75" thickBot="1" x14ac:dyDescent="0.3">
      <c r="A692" s="28"/>
      <c r="B692" s="28"/>
    </row>
    <row r="693" spans="1:2" ht="15.75" thickBot="1" x14ac:dyDescent="0.3">
      <c r="A693" s="28"/>
      <c r="B693" s="28"/>
    </row>
    <row r="694" spans="1:2" ht="15.75" thickBot="1" x14ac:dyDescent="0.3">
      <c r="A694" s="28"/>
      <c r="B694" s="28"/>
    </row>
    <row r="695" spans="1:2" ht="15.75" thickBot="1" x14ac:dyDescent="0.3">
      <c r="A695" s="28"/>
      <c r="B695" s="28"/>
    </row>
    <row r="696" spans="1:2" ht="15.75" thickBot="1" x14ac:dyDescent="0.3">
      <c r="A696" s="28"/>
      <c r="B696" s="28"/>
    </row>
    <row r="697" spans="1:2" ht="15.75" thickBot="1" x14ac:dyDescent="0.3">
      <c r="A697" s="28"/>
      <c r="B697" s="28"/>
    </row>
    <row r="698" spans="1:2" ht="15.75" thickBot="1" x14ac:dyDescent="0.3">
      <c r="A698" s="28"/>
      <c r="B698" s="28"/>
    </row>
    <row r="699" spans="1:2" ht="15.75" thickBot="1" x14ac:dyDescent="0.3">
      <c r="A699" s="28"/>
      <c r="B699" s="28"/>
    </row>
    <row r="700" spans="1:2" ht="15.75" thickBot="1" x14ac:dyDescent="0.3">
      <c r="A700" s="28"/>
      <c r="B700" s="28"/>
    </row>
    <row r="701" spans="1:2" ht="15.75" thickBot="1" x14ac:dyDescent="0.3">
      <c r="A701" s="28"/>
      <c r="B701" s="28"/>
    </row>
    <row r="702" spans="1:2" ht="15.75" thickBot="1" x14ac:dyDescent="0.3">
      <c r="A702" s="28"/>
      <c r="B702" s="28"/>
    </row>
    <row r="703" spans="1:2" ht="15.75" thickBot="1" x14ac:dyDescent="0.3">
      <c r="A703" s="28"/>
      <c r="B703" s="28"/>
    </row>
    <row r="704" spans="1:2" ht="15.75" thickBot="1" x14ac:dyDescent="0.3">
      <c r="A704" s="28"/>
      <c r="B704" s="28"/>
    </row>
    <row r="705" spans="1:2" ht="15.75" thickBot="1" x14ac:dyDescent="0.3">
      <c r="A705" s="28"/>
      <c r="B705" s="28"/>
    </row>
    <row r="706" spans="1:2" ht="15.75" thickBot="1" x14ac:dyDescent="0.3">
      <c r="A706" s="28"/>
      <c r="B706" s="28"/>
    </row>
    <row r="707" spans="1:2" ht="15.75" thickBot="1" x14ac:dyDescent="0.3">
      <c r="A707" s="28"/>
      <c r="B707" s="28"/>
    </row>
    <row r="708" spans="1:2" ht="15.75" thickBot="1" x14ac:dyDescent="0.3">
      <c r="A708" s="28"/>
      <c r="B708" s="28"/>
    </row>
    <row r="709" spans="1:2" ht="15.75" thickBot="1" x14ac:dyDescent="0.3">
      <c r="A709" s="28"/>
      <c r="B709" s="28"/>
    </row>
    <row r="710" spans="1:2" ht="15.75" thickBot="1" x14ac:dyDescent="0.3">
      <c r="A710" s="28"/>
      <c r="B710" s="28"/>
    </row>
    <row r="711" spans="1:2" ht="15.75" thickBot="1" x14ac:dyDescent="0.3">
      <c r="A711" s="28"/>
      <c r="B711" s="28"/>
    </row>
    <row r="712" spans="1:2" ht="15.75" thickBot="1" x14ac:dyDescent="0.3">
      <c r="A712" s="28"/>
      <c r="B712" s="28"/>
    </row>
    <row r="713" spans="1:2" ht="15.75" thickBot="1" x14ac:dyDescent="0.3">
      <c r="A713" s="28"/>
      <c r="B713" s="28"/>
    </row>
    <row r="714" spans="1:2" ht="15.75" thickBot="1" x14ac:dyDescent="0.3">
      <c r="A714" s="28"/>
      <c r="B714" s="28"/>
    </row>
    <row r="715" spans="1:2" ht="15.75" thickBot="1" x14ac:dyDescent="0.3">
      <c r="A715" s="28"/>
      <c r="B715" s="28"/>
    </row>
    <row r="716" spans="1:2" ht="15.75" thickBot="1" x14ac:dyDescent="0.3">
      <c r="A716" s="28"/>
      <c r="B716" s="28"/>
    </row>
    <row r="717" spans="1:2" ht="15.75" thickBot="1" x14ac:dyDescent="0.3">
      <c r="A717" s="28"/>
      <c r="B717" s="28"/>
    </row>
    <row r="718" spans="1:2" ht="15.75" thickBot="1" x14ac:dyDescent="0.3">
      <c r="A718" s="28"/>
      <c r="B718" s="28"/>
    </row>
    <row r="719" spans="1:2" ht="15.75" thickBot="1" x14ac:dyDescent="0.3">
      <c r="A719" s="28"/>
      <c r="B719" s="28"/>
    </row>
    <row r="720" spans="1:2" ht="15.75" thickBot="1" x14ac:dyDescent="0.3">
      <c r="A720" s="28"/>
      <c r="B720" s="28"/>
    </row>
    <row r="721" spans="1:2" ht="15.75" thickBot="1" x14ac:dyDescent="0.3">
      <c r="A721" s="28"/>
      <c r="B721" s="28"/>
    </row>
    <row r="722" spans="1:2" ht="15.75" thickBot="1" x14ac:dyDescent="0.3">
      <c r="A722" s="28"/>
      <c r="B722" s="28"/>
    </row>
    <row r="723" spans="1:2" ht="15.75" thickBot="1" x14ac:dyDescent="0.3">
      <c r="A723" s="28"/>
      <c r="B723" s="28"/>
    </row>
    <row r="724" spans="1:2" ht="15.75" thickBot="1" x14ac:dyDescent="0.3">
      <c r="A724" s="28"/>
      <c r="B724" s="28"/>
    </row>
    <row r="725" spans="1:2" ht="15.75" thickBot="1" x14ac:dyDescent="0.3">
      <c r="A725" s="28"/>
      <c r="B725" s="28"/>
    </row>
    <row r="726" spans="1:2" ht="15.75" thickBot="1" x14ac:dyDescent="0.3">
      <c r="A726" s="28"/>
      <c r="B726" s="28"/>
    </row>
    <row r="727" spans="1:2" ht="15.75" thickBot="1" x14ac:dyDescent="0.3">
      <c r="A727" s="28"/>
      <c r="B727" s="28"/>
    </row>
    <row r="728" spans="1:2" ht="15.75" thickBot="1" x14ac:dyDescent="0.3">
      <c r="A728" s="28"/>
      <c r="B728" s="28"/>
    </row>
    <row r="729" spans="1:2" ht="15.75" thickBot="1" x14ac:dyDescent="0.3">
      <c r="A729" s="28"/>
      <c r="B729" s="28"/>
    </row>
    <row r="730" spans="1:2" ht="15.75" thickBot="1" x14ac:dyDescent="0.3">
      <c r="A730" s="28"/>
      <c r="B730" s="28"/>
    </row>
    <row r="731" spans="1:2" ht="15.75" thickBot="1" x14ac:dyDescent="0.3">
      <c r="A731" s="28"/>
      <c r="B731" s="28"/>
    </row>
    <row r="732" spans="1:2" ht="15.75" thickBot="1" x14ac:dyDescent="0.3">
      <c r="A732" s="28"/>
      <c r="B732" s="28"/>
    </row>
    <row r="733" spans="1:2" ht="15.75" thickBot="1" x14ac:dyDescent="0.3">
      <c r="A733" s="28"/>
      <c r="B733" s="28"/>
    </row>
    <row r="734" spans="1:2" ht="15.75" thickBot="1" x14ac:dyDescent="0.3">
      <c r="A734" s="28"/>
      <c r="B734" s="28"/>
    </row>
    <row r="735" spans="1:2" ht="15.75" thickBot="1" x14ac:dyDescent="0.3">
      <c r="A735" s="28"/>
      <c r="B735" s="28"/>
    </row>
    <row r="736" spans="1:2" ht="15.75" thickBot="1" x14ac:dyDescent="0.3">
      <c r="A736" s="28"/>
      <c r="B736" s="28"/>
    </row>
    <row r="737" spans="1:2" ht="15.75" thickBot="1" x14ac:dyDescent="0.3">
      <c r="A737" s="28"/>
      <c r="B737" s="28"/>
    </row>
    <row r="738" spans="1:2" ht="15.75" thickBot="1" x14ac:dyDescent="0.3">
      <c r="A738" s="28"/>
      <c r="B738" s="28"/>
    </row>
    <row r="739" spans="1:2" ht="15.75" thickBot="1" x14ac:dyDescent="0.3">
      <c r="A739" s="28"/>
      <c r="B739" s="28"/>
    </row>
    <row r="740" spans="1:2" ht="15.75" thickBot="1" x14ac:dyDescent="0.3">
      <c r="A740" s="28"/>
      <c r="B740" s="28"/>
    </row>
    <row r="741" spans="1:2" ht="15.75" thickBot="1" x14ac:dyDescent="0.3">
      <c r="A741" s="28"/>
      <c r="B741" s="28"/>
    </row>
    <row r="742" spans="1:2" ht="15.75" thickBot="1" x14ac:dyDescent="0.3">
      <c r="A742" s="28"/>
      <c r="B742" s="28"/>
    </row>
    <row r="743" spans="1:2" ht="15.75" thickBot="1" x14ac:dyDescent="0.3">
      <c r="A743" s="28"/>
      <c r="B743" s="28"/>
    </row>
    <row r="744" spans="1:2" ht="15.75" thickBot="1" x14ac:dyDescent="0.3">
      <c r="A744" s="28"/>
      <c r="B744" s="28"/>
    </row>
    <row r="745" spans="1:2" ht="15.75" thickBot="1" x14ac:dyDescent="0.3">
      <c r="A745" s="28"/>
      <c r="B745" s="28"/>
    </row>
    <row r="746" spans="1:2" ht="15.75" thickBot="1" x14ac:dyDescent="0.3">
      <c r="A746" s="28"/>
      <c r="B746" s="28"/>
    </row>
    <row r="747" spans="1:2" ht="15.75" thickBot="1" x14ac:dyDescent="0.3">
      <c r="A747" s="28"/>
      <c r="B747" s="28"/>
    </row>
    <row r="748" spans="1:2" ht="15.75" thickBot="1" x14ac:dyDescent="0.3">
      <c r="A748" s="28"/>
      <c r="B748" s="28"/>
    </row>
    <row r="749" spans="1:2" ht="15.75" thickBot="1" x14ac:dyDescent="0.3">
      <c r="A749" s="28"/>
      <c r="B749" s="28"/>
    </row>
    <row r="750" spans="1:2" ht="15.75" thickBot="1" x14ac:dyDescent="0.3">
      <c r="A750" s="28"/>
      <c r="B750" s="28"/>
    </row>
    <row r="751" spans="1:2" ht="15.75" thickBot="1" x14ac:dyDescent="0.3">
      <c r="A751" s="28"/>
      <c r="B751" s="28"/>
    </row>
    <row r="752" spans="1:2" ht="15.75" thickBot="1" x14ac:dyDescent="0.3">
      <c r="A752" s="28"/>
      <c r="B752" s="28"/>
    </row>
    <row r="753" spans="1:2" ht="15.75" thickBot="1" x14ac:dyDescent="0.3">
      <c r="A753" s="28"/>
      <c r="B753" s="28"/>
    </row>
    <row r="754" spans="1:2" ht="15.75" thickBot="1" x14ac:dyDescent="0.3">
      <c r="A754" s="28"/>
      <c r="B754" s="28"/>
    </row>
    <row r="755" spans="1:2" ht="15.75" thickBot="1" x14ac:dyDescent="0.3">
      <c r="A755" s="28"/>
      <c r="B755" s="28"/>
    </row>
    <row r="756" spans="1:2" ht="15.75" thickBot="1" x14ac:dyDescent="0.3">
      <c r="A756" s="28"/>
      <c r="B756" s="28"/>
    </row>
    <row r="757" spans="1:2" ht="15.75" thickBot="1" x14ac:dyDescent="0.3">
      <c r="A757" s="28"/>
      <c r="B757" s="28"/>
    </row>
    <row r="758" spans="1:2" ht="15.75" thickBot="1" x14ac:dyDescent="0.3">
      <c r="A758" s="28"/>
      <c r="B758" s="28"/>
    </row>
    <row r="759" spans="1:2" ht="15.75" thickBot="1" x14ac:dyDescent="0.3">
      <c r="A759" s="28"/>
      <c r="B759" s="28"/>
    </row>
    <row r="760" spans="1:2" ht="15.75" thickBot="1" x14ac:dyDescent="0.3">
      <c r="A760" s="28"/>
      <c r="B760" s="28"/>
    </row>
    <row r="761" spans="1:2" ht="15.75" thickBot="1" x14ac:dyDescent="0.3">
      <c r="A761" s="28"/>
      <c r="B761" s="28"/>
    </row>
    <row r="762" spans="1:2" ht="15.75" thickBot="1" x14ac:dyDescent="0.3">
      <c r="A762" s="28"/>
      <c r="B762" s="28"/>
    </row>
    <row r="763" spans="1:2" ht="15.75" thickBot="1" x14ac:dyDescent="0.3">
      <c r="A763" s="28"/>
      <c r="B763" s="28"/>
    </row>
    <row r="764" spans="1:2" ht="15.75" thickBot="1" x14ac:dyDescent="0.3">
      <c r="A764" s="28"/>
      <c r="B764" s="28"/>
    </row>
    <row r="765" spans="1:2" ht="15.75" thickBot="1" x14ac:dyDescent="0.3">
      <c r="A765" s="28"/>
      <c r="B765" s="28"/>
    </row>
    <row r="766" spans="1:2" ht="15.75" thickBot="1" x14ac:dyDescent="0.3">
      <c r="A766" s="28"/>
      <c r="B766" s="28"/>
    </row>
    <row r="767" spans="1:2" ht="15.75" thickBot="1" x14ac:dyDescent="0.3">
      <c r="A767" s="28"/>
      <c r="B767" s="28"/>
    </row>
    <row r="768" spans="1:2" ht="15.75" thickBot="1" x14ac:dyDescent="0.3">
      <c r="A768" s="28"/>
      <c r="B768" s="28"/>
    </row>
    <row r="769" spans="1:2" ht="15.75" thickBot="1" x14ac:dyDescent="0.3">
      <c r="A769" s="28"/>
      <c r="B769" s="28"/>
    </row>
    <row r="770" spans="1:2" ht="15.75" thickBot="1" x14ac:dyDescent="0.3">
      <c r="A770" s="28"/>
      <c r="B770" s="28"/>
    </row>
    <row r="771" spans="1:2" ht="15.75" thickBot="1" x14ac:dyDescent="0.3">
      <c r="A771" s="28"/>
      <c r="B771" s="28"/>
    </row>
    <row r="772" spans="1:2" ht="15.75" thickBot="1" x14ac:dyDescent="0.3">
      <c r="A772" s="28"/>
      <c r="B772" s="28"/>
    </row>
    <row r="773" spans="1:2" ht="15.75" thickBot="1" x14ac:dyDescent="0.3">
      <c r="A773" s="28"/>
      <c r="B773" s="28"/>
    </row>
    <row r="774" spans="1:2" ht="15.75" thickBot="1" x14ac:dyDescent="0.3">
      <c r="A774" s="28"/>
      <c r="B774" s="28"/>
    </row>
    <row r="775" spans="1:2" ht="15.75" thickBot="1" x14ac:dyDescent="0.3">
      <c r="A775" s="28"/>
      <c r="B775" s="28"/>
    </row>
    <row r="776" spans="1:2" ht="15.75" thickBot="1" x14ac:dyDescent="0.3">
      <c r="A776" s="28"/>
      <c r="B776" s="28"/>
    </row>
    <row r="777" spans="1:2" ht="15.75" thickBot="1" x14ac:dyDescent="0.3">
      <c r="A777" s="28"/>
      <c r="B777" s="28"/>
    </row>
    <row r="778" spans="1:2" ht="15.75" thickBot="1" x14ac:dyDescent="0.3">
      <c r="A778" s="28"/>
      <c r="B778" s="28"/>
    </row>
    <row r="779" spans="1:2" ht="15.75" thickBot="1" x14ac:dyDescent="0.3">
      <c r="A779" s="28"/>
      <c r="B779" s="28"/>
    </row>
    <row r="780" spans="1:2" ht="15.75" thickBot="1" x14ac:dyDescent="0.3">
      <c r="A780" s="28"/>
      <c r="B780" s="28"/>
    </row>
    <row r="781" spans="1:2" ht="15.75" thickBot="1" x14ac:dyDescent="0.3">
      <c r="A781" s="28"/>
      <c r="B781" s="28"/>
    </row>
    <row r="782" spans="1:2" ht="15.75" thickBot="1" x14ac:dyDescent="0.3">
      <c r="A782" s="28"/>
      <c r="B782" s="28"/>
    </row>
    <row r="783" spans="1:2" ht="15.75" thickBot="1" x14ac:dyDescent="0.3">
      <c r="A783" s="28"/>
      <c r="B783" s="28"/>
    </row>
    <row r="784" spans="1:2" ht="15.75" thickBot="1" x14ac:dyDescent="0.3">
      <c r="A784" s="28"/>
      <c r="B784" s="28"/>
    </row>
    <row r="785" spans="1:2" ht="15.75" thickBot="1" x14ac:dyDescent="0.3">
      <c r="A785" s="28"/>
      <c r="B785" s="28"/>
    </row>
    <row r="786" spans="1:2" ht="15.75" thickBot="1" x14ac:dyDescent="0.3">
      <c r="A786" s="28"/>
      <c r="B786" s="28"/>
    </row>
    <row r="787" spans="1:2" ht="15.75" thickBot="1" x14ac:dyDescent="0.3">
      <c r="A787" s="28"/>
      <c r="B787" s="28"/>
    </row>
    <row r="788" spans="1:2" ht="15.75" thickBot="1" x14ac:dyDescent="0.3">
      <c r="A788" s="28"/>
      <c r="B788" s="28"/>
    </row>
    <row r="789" spans="1:2" ht="15.75" thickBot="1" x14ac:dyDescent="0.3">
      <c r="A789" s="28"/>
      <c r="B789" s="28"/>
    </row>
    <row r="790" spans="1:2" ht="15.75" thickBot="1" x14ac:dyDescent="0.3">
      <c r="A790" s="28"/>
      <c r="B790" s="28"/>
    </row>
    <row r="791" spans="1:2" ht="15.75" thickBot="1" x14ac:dyDescent="0.3">
      <c r="A791" s="28"/>
      <c r="B791" s="28"/>
    </row>
    <row r="792" spans="1:2" ht="15.75" thickBot="1" x14ac:dyDescent="0.3">
      <c r="A792" s="28"/>
      <c r="B792" s="28"/>
    </row>
    <row r="793" spans="1:2" ht="15.75" thickBot="1" x14ac:dyDescent="0.3">
      <c r="A793" s="28"/>
      <c r="B793" s="28"/>
    </row>
    <row r="794" spans="1:2" ht="15.75" thickBot="1" x14ac:dyDescent="0.3">
      <c r="A794" s="28"/>
      <c r="B794" s="28"/>
    </row>
    <row r="795" spans="1:2" ht="15.75" thickBot="1" x14ac:dyDescent="0.3">
      <c r="A795" s="28"/>
      <c r="B795" s="28"/>
    </row>
    <row r="796" spans="1:2" ht="15.75" thickBot="1" x14ac:dyDescent="0.3">
      <c r="A796" s="28"/>
      <c r="B796" s="28"/>
    </row>
    <row r="797" spans="1:2" ht="15.75" thickBot="1" x14ac:dyDescent="0.3">
      <c r="A797" s="28"/>
      <c r="B797" s="28"/>
    </row>
    <row r="798" spans="1:2" ht="15.75" thickBot="1" x14ac:dyDescent="0.3">
      <c r="A798" s="28"/>
      <c r="B798" s="28"/>
    </row>
    <row r="799" spans="1:2" ht="15.75" thickBot="1" x14ac:dyDescent="0.3">
      <c r="A799" s="28"/>
      <c r="B799" s="28"/>
    </row>
    <row r="800" spans="1:2" ht="15.75" thickBot="1" x14ac:dyDescent="0.3">
      <c r="A800" s="28"/>
      <c r="B800" s="28"/>
    </row>
    <row r="801" spans="1:2" ht="15.75" thickBot="1" x14ac:dyDescent="0.3">
      <c r="A801" s="28"/>
      <c r="B801" s="28"/>
    </row>
    <row r="802" spans="1:2" ht="15.75" thickBot="1" x14ac:dyDescent="0.3">
      <c r="A802" s="28"/>
      <c r="B802" s="28"/>
    </row>
    <row r="803" spans="1:2" ht="15.75" thickBot="1" x14ac:dyDescent="0.3">
      <c r="A803" s="28"/>
      <c r="B803" s="28"/>
    </row>
    <row r="804" spans="1:2" ht="15.75" thickBot="1" x14ac:dyDescent="0.3">
      <c r="A804" s="28"/>
      <c r="B804" s="28"/>
    </row>
    <row r="805" spans="1:2" ht="15.75" thickBot="1" x14ac:dyDescent="0.3">
      <c r="A805" s="28"/>
      <c r="B805" s="28"/>
    </row>
    <row r="806" spans="1:2" ht="15.75" thickBot="1" x14ac:dyDescent="0.3">
      <c r="A806" s="28"/>
      <c r="B806" s="28"/>
    </row>
    <row r="807" spans="1:2" ht="15.75" thickBot="1" x14ac:dyDescent="0.3">
      <c r="A807" s="28"/>
      <c r="B807" s="28"/>
    </row>
    <row r="808" spans="1:2" ht="15.75" thickBot="1" x14ac:dyDescent="0.3">
      <c r="A808" s="28"/>
      <c r="B808" s="28"/>
    </row>
    <row r="809" spans="1:2" ht="15.75" thickBot="1" x14ac:dyDescent="0.3">
      <c r="A809" s="28"/>
      <c r="B809" s="28"/>
    </row>
    <row r="810" spans="1:2" ht="15.75" thickBot="1" x14ac:dyDescent="0.3">
      <c r="A810" s="28"/>
      <c r="B810" s="28"/>
    </row>
    <row r="811" spans="1:2" ht="15.75" thickBot="1" x14ac:dyDescent="0.3">
      <c r="A811" s="28"/>
      <c r="B811" s="28"/>
    </row>
    <row r="812" spans="1:2" ht="15.75" thickBot="1" x14ac:dyDescent="0.3">
      <c r="A812" s="28"/>
      <c r="B812" s="28"/>
    </row>
    <row r="813" spans="1:2" ht="15.75" thickBot="1" x14ac:dyDescent="0.3">
      <c r="A813" s="28"/>
      <c r="B813" s="28"/>
    </row>
    <row r="814" spans="1:2" ht="15.75" thickBot="1" x14ac:dyDescent="0.3">
      <c r="A814" s="28"/>
      <c r="B814" s="28"/>
    </row>
    <row r="815" spans="1:2" ht="15.75" thickBot="1" x14ac:dyDescent="0.3">
      <c r="A815" s="28"/>
      <c r="B815" s="28"/>
    </row>
    <row r="816" spans="1:2" ht="15.75" thickBot="1" x14ac:dyDescent="0.3">
      <c r="A816" s="28"/>
      <c r="B816" s="28"/>
    </row>
    <row r="817" spans="1:2" ht="15.75" thickBot="1" x14ac:dyDescent="0.3">
      <c r="A817" s="28"/>
      <c r="B817" s="28"/>
    </row>
    <row r="818" spans="1:2" ht="15.75" thickBot="1" x14ac:dyDescent="0.3">
      <c r="A818" s="28"/>
      <c r="B818" s="28"/>
    </row>
    <row r="819" spans="1:2" ht="15.75" thickBot="1" x14ac:dyDescent="0.3">
      <c r="A819" s="28"/>
      <c r="B819" s="28"/>
    </row>
    <row r="820" spans="1:2" ht="15.75" thickBot="1" x14ac:dyDescent="0.3">
      <c r="A820" s="28"/>
      <c r="B820" s="28"/>
    </row>
    <row r="821" spans="1:2" ht="15.75" thickBot="1" x14ac:dyDescent="0.3">
      <c r="A821" s="28"/>
      <c r="B821" s="28"/>
    </row>
    <row r="822" spans="1:2" ht="15.75" thickBot="1" x14ac:dyDescent="0.3">
      <c r="A822" s="28"/>
      <c r="B822" s="28"/>
    </row>
    <row r="823" spans="1:2" ht="15.75" thickBot="1" x14ac:dyDescent="0.3">
      <c r="A823" s="28"/>
      <c r="B823" s="28"/>
    </row>
    <row r="824" spans="1:2" ht="15.75" thickBot="1" x14ac:dyDescent="0.3">
      <c r="A824" s="28"/>
      <c r="B824" s="28"/>
    </row>
    <row r="825" spans="1:2" ht="15.75" thickBot="1" x14ac:dyDescent="0.3">
      <c r="A825" s="28"/>
      <c r="B825" s="28"/>
    </row>
    <row r="826" spans="1:2" ht="15.75" thickBot="1" x14ac:dyDescent="0.3">
      <c r="A826" s="28"/>
      <c r="B826" s="28"/>
    </row>
    <row r="827" spans="1:2" ht="15.75" thickBot="1" x14ac:dyDescent="0.3">
      <c r="A827" s="28"/>
      <c r="B827" s="28"/>
    </row>
    <row r="828" spans="1:2" ht="15.75" thickBot="1" x14ac:dyDescent="0.3">
      <c r="A828" s="28"/>
      <c r="B828" s="28"/>
    </row>
    <row r="829" spans="1:2" ht="15.75" thickBot="1" x14ac:dyDescent="0.3">
      <c r="A829" s="28"/>
      <c r="B829" s="28"/>
    </row>
    <row r="830" spans="1:2" ht="15.75" thickBot="1" x14ac:dyDescent="0.3">
      <c r="A830" s="28"/>
      <c r="B830" s="28"/>
    </row>
    <row r="831" spans="1:2" ht="15.75" thickBot="1" x14ac:dyDescent="0.3">
      <c r="A831" s="28"/>
      <c r="B831" s="28"/>
    </row>
    <row r="832" spans="1:2" ht="15.75" thickBot="1" x14ac:dyDescent="0.3">
      <c r="A832" s="28"/>
      <c r="B832" s="28"/>
    </row>
    <row r="833" spans="1:2" ht="15.75" thickBot="1" x14ac:dyDescent="0.3">
      <c r="A833" s="28"/>
      <c r="B833" s="28"/>
    </row>
    <row r="834" spans="1:2" ht="15.75" thickBot="1" x14ac:dyDescent="0.3">
      <c r="A834" s="28"/>
      <c r="B834" s="28"/>
    </row>
    <row r="835" spans="1:2" ht="15.75" thickBot="1" x14ac:dyDescent="0.3">
      <c r="A835" s="28"/>
      <c r="B835" s="28"/>
    </row>
    <row r="836" spans="1:2" ht="15.75" thickBot="1" x14ac:dyDescent="0.3">
      <c r="A836" s="28"/>
      <c r="B836" s="28"/>
    </row>
    <row r="837" spans="1:2" ht="15.75" thickBot="1" x14ac:dyDescent="0.3">
      <c r="A837" s="28"/>
      <c r="B837" s="28"/>
    </row>
    <row r="838" spans="1:2" ht="15.75" thickBot="1" x14ac:dyDescent="0.3">
      <c r="A838" s="28"/>
      <c r="B838" s="28"/>
    </row>
    <row r="839" spans="1:2" ht="15.75" thickBot="1" x14ac:dyDescent="0.3">
      <c r="A839" s="28"/>
      <c r="B839" s="28"/>
    </row>
    <row r="840" spans="1:2" ht="15.75" thickBot="1" x14ac:dyDescent="0.3">
      <c r="A840" s="28"/>
      <c r="B840" s="28"/>
    </row>
    <row r="841" spans="1:2" ht="15.75" thickBot="1" x14ac:dyDescent="0.3">
      <c r="A841" s="28"/>
      <c r="B841" s="28"/>
    </row>
    <row r="842" spans="1:2" ht="15.75" thickBot="1" x14ac:dyDescent="0.3">
      <c r="A842" s="28"/>
      <c r="B842" s="28"/>
    </row>
    <row r="843" spans="1:2" ht="15.75" thickBot="1" x14ac:dyDescent="0.3">
      <c r="A843" s="28"/>
      <c r="B843" s="28"/>
    </row>
    <row r="844" spans="1:2" ht="15.75" thickBot="1" x14ac:dyDescent="0.3">
      <c r="A844" s="28"/>
      <c r="B844" s="28"/>
    </row>
    <row r="845" spans="1:2" ht="15.75" thickBot="1" x14ac:dyDescent="0.3">
      <c r="A845" s="28"/>
      <c r="B845" s="28"/>
    </row>
    <row r="846" spans="1:2" ht="15.75" thickBot="1" x14ac:dyDescent="0.3">
      <c r="A846" s="28"/>
      <c r="B846" s="28"/>
    </row>
    <row r="847" spans="1:2" ht="15.75" thickBot="1" x14ac:dyDescent="0.3">
      <c r="A847" s="28"/>
      <c r="B847" s="28"/>
    </row>
    <row r="848" spans="1:2" ht="15.75" thickBot="1" x14ac:dyDescent="0.3">
      <c r="A848" s="28"/>
      <c r="B848" s="28"/>
    </row>
    <row r="849" spans="1:2" ht="15.75" thickBot="1" x14ac:dyDescent="0.3">
      <c r="A849" s="28"/>
      <c r="B849" s="28"/>
    </row>
    <row r="850" spans="1:2" ht="15.75" thickBot="1" x14ac:dyDescent="0.3">
      <c r="A850" s="28"/>
      <c r="B850" s="28"/>
    </row>
    <row r="851" spans="1:2" ht="15.75" thickBot="1" x14ac:dyDescent="0.3">
      <c r="A851" s="28"/>
      <c r="B851" s="28"/>
    </row>
    <row r="852" spans="1:2" ht="15.75" thickBot="1" x14ac:dyDescent="0.3">
      <c r="A852" s="28"/>
      <c r="B852" s="28"/>
    </row>
    <row r="853" spans="1:2" ht="15.75" thickBot="1" x14ac:dyDescent="0.3">
      <c r="A853" s="28"/>
      <c r="B853" s="28"/>
    </row>
    <row r="854" spans="1:2" ht="15.75" thickBot="1" x14ac:dyDescent="0.3">
      <c r="A854" s="28"/>
      <c r="B854" s="28"/>
    </row>
    <row r="855" spans="1:2" ht="15.75" thickBot="1" x14ac:dyDescent="0.3">
      <c r="A855" s="28"/>
      <c r="B855" s="28"/>
    </row>
    <row r="856" spans="1:2" ht="15.75" thickBot="1" x14ac:dyDescent="0.3">
      <c r="A856" s="28"/>
      <c r="B856" s="28"/>
    </row>
    <row r="857" spans="1:2" ht="15.75" thickBot="1" x14ac:dyDescent="0.3">
      <c r="A857" s="28"/>
      <c r="B857" s="28"/>
    </row>
    <row r="858" spans="1:2" ht="15.75" thickBot="1" x14ac:dyDescent="0.3">
      <c r="A858" s="28"/>
      <c r="B858" s="28"/>
    </row>
    <row r="859" spans="1:2" ht="15.75" thickBot="1" x14ac:dyDescent="0.3">
      <c r="A859" s="28"/>
      <c r="B859" s="28"/>
    </row>
    <row r="860" spans="1:2" ht="15.75" thickBot="1" x14ac:dyDescent="0.3">
      <c r="A860" s="28"/>
      <c r="B860" s="28"/>
    </row>
    <row r="861" spans="1:2" ht="15.75" thickBot="1" x14ac:dyDescent="0.3">
      <c r="A861" s="28"/>
      <c r="B861" s="28"/>
    </row>
    <row r="862" spans="1:2" ht="15.75" thickBot="1" x14ac:dyDescent="0.3">
      <c r="A862" s="28"/>
      <c r="B862" s="28"/>
    </row>
    <row r="863" spans="1:2" ht="15.75" thickBot="1" x14ac:dyDescent="0.3">
      <c r="A863" s="28"/>
      <c r="B863" s="28"/>
    </row>
    <row r="864" spans="1:2" ht="15.75" thickBot="1" x14ac:dyDescent="0.3">
      <c r="A864" s="28"/>
      <c r="B864" s="28"/>
    </row>
    <row r="865" spans="1:2" ht="15.75" thickBot="1" x14ac:dyDescent="0.3">
      <c r="A865" s="28"/>
      <c r="B865" s="28"/>
    </row>
    <row r="866" spans="1:2" ht="15.75" thickBot="1" x14ac:dyDescent="0.3">
      <c r="A866" s="28"/>
      <c r="B866" s="28"/>
    </row>
    <row r="867" spans="1:2" ht="15.75" thickBot="1" x14ac:dyDescent="0.3">
      <c r="A867" s="28"/>
      <c r="B867" s="28"/>
    </row>
    <row r="868" spans="1:2" ht="15.75" thickBot="1" x14ac:dyDescent="0.3">
      <c r="A868" s="28"/>
      <c r="B868" s="28"/>
    </row>
    <row r="869" spans="1:2" ht="15.75" thickBot="1" x14ac:dyDescent="0.3">
      <c r="A869" s="28"/>
      <c r="B869" s="28"/>
    </row>
    <row r="870" spans="1:2" ht="15.75" thickBot="1" x14ac:dyDescent="0.3">
      <c r="A870" s="28"/>
      <c r="B870" s="28"/>
    </row>
    <row r="871" spans="1:2" ht="15.75" thickBot="1" x14ac:dyDescent="0.3">
      <c r="A871" s="28"/>
      <c r="B871" s="28"/>
    </row>
    <row r="872" spans="1:2" ht="15.75" thickBot="1" x14ac:dyDescent="0.3">
      <c r="A872" s="28"/>
      <c r="B872" s="28"/>
    </row>
    <row r="873" spans="1:2" ht="15.75" thickBot="1" x14ac:dyDescent="0.3">
      <c r="A873" s="28"/>
      <c r="B873" s="28"/>
    </row>
    <row r="874" spans="1:2" ht="15.75" thickBot="1" x14ac:dyDescent="0.3">
      <c r="A874" s="28"/>
      <c r="B874" s="28"/>
    </row>
    <row r="875" spans="1:2" ht="15.75" thickBot="1" x14ac:dyDescent="0.3">
      <c r="A875" s="28"/>
      <c r="B875" s="28"/>
    </row>
    <row r="876" spans="1:2" ht="15.75" thickBot="1" x14ac:dyDescent="0.3">
      <c r="A876" s="28"/>
      <c r="B876" s="28"/>
    </row>
    <row r="877" spans="1:2" ht="15.75" thickBot="1" x14ac:dyDescent="0.3">
      <c r="A877" s="28"/>
      <c r="B877" s="28"/>
    </row>
    <row r="878" spans="1:2" ht="15.75" thickBot="1" x14ac:dyDescent="0.3">
      <c r="A878" s="28"/>
      <c r="B878" s="28"/>
    </row>
    <row r="879" spans="1:2" ht="15.75" thickBot="1" x14ac:dyDescent="0.3">
      <c r="A879" s="28"/>
      <c r="B879" s="28"/>
    </row>
    <row r="880" spans="1:2" ht="15.75" thickBot="1" x14ac:dyDescent="0.3">
      <c r="A880" s="28"/>
      <c r="B880" s="28"/>
    </row>
    <row r="881" spans="1:2" ht="15.75" thickBot="1" x14ac:dyDescent="0.3">
      <c r="A881" s="28"/>
      <c r="B881" s="28"/>
    </row>
    <row r="882" spans="1:2" ht="15.75" thickBot="1" x14ac:dyDescent="0.3">
      <c r="A882" s="28"/>
      <c r="B882" s="28"/>
    </row>
    <row r="883" spans="1:2" ht="15.75" thickBot="1" x14ac:dyDescent="0.3">
      <c r="A883" s="28"/>
      <c r="B883" s="28"/>
    </row>
    <row r="884" spans="1:2" ht="15.75" thickBot="1" x14ac:dyDescent="0.3">
      <c r="A884" s="28"/>
      <c r="B884" s="28"/>
    </row>
    <row r="885" spans="1:2" ht="15.75" thickBot="1" x14ac:dyDescent="0.3">
      <c r="A885" s="28"/>
      <c r="B885" s="28"/>
    </row>
    <row r="886" spans="1:2" ht="15.75" thickBot="1" x14ac:dyDescent="0.3">
      <c r="A886" s="28"/>
      <c r="B886" s="28"/>
    </row>
    <row r="887" spans="1:2" ht="15.75" thickBot="1" x14ac:dyDescent="0.3">
      <c r="A887" s="28"/>
      <c r="B887" s="28"/>
    </row>
    <row r="888" spans="1:2" ht="15.75" thickBot="1" x14ac:dyDescent="0.3">
      <c r="A888" s="28"/>
      <c r="B888" s="28"/>
    </row>
    <row r="889" spans="1:2" ht="15.75" thickBot="1" x14ac:dyDescent="0.3">
      <c r="A889" s="28"/>
      <c r="B889" s="28"/>
    </row>
    <row r="890" spans="1:2" ht="15.75" thickBot="1" x14ac:dyDescent="0.3">
      <c r="A890" s="28"/>
      <c r="B890" s="28"/>
    </row>
    <row r="891" spans="1:2" ht="15.75" thickBot="1" x14ac:dyDescent="0.3">
      <c r="A891" s="28"/>
      <c r="B891" s="28"/>
    </row>
    <row r="892" spans="1:2" ht="15.75" thickBot="1" x14ac:dyDescent="0.3">
      <c r="A892" s="28"/>
      <c r="B892" s="28"/>
    </row>
    <row r="893" spans="1:2" ht="15.75" thickBot="1" x14ac:dyDescent="0.3">
      <c r="A893" s="28"/>
      <c r="B893" s="28"/>
    </row>
    <row r="894" spans="1:2" ht="15.75" thickBot="1" x14ac:dyDescent="0.3">
      <c r="A894" s="28"/>
      <c r="B894" s="28"/>
    </row>
    <row r="895" spans="1:2" ht="15.75" thickBot="1" x14ac:dyDescent="0.3">
      <c r="A895" s="28"/>
      <c r="B895" s="28"/>
    </row>
    <row r="896" spans="1:2" ht="15.75" thickBot="1" x14ac:dyDescent="0.3">
      <c r="A896" s="28"/>
      <c r="B896" s="28"/>
    </row>
    <row r="897" spans="1:2" ht="15.75" thickBot="1" x14ac:dyDescent="0.3">
      <c r="A897" s="28"/>
      <c r="B897" s="28"/>
    </row>
    <row r="898" spans="1:2" ht="15.75" thickBot="1" x14ac:dyDescent="0.3">
      <c r="A898" s="28"/>
      <c r="B898" s="28"/>
    </row>
    <row r="899" spans="1:2" ht="15.75" thickBot="1" x14ac:dyDescent="0.3">
      <c r="A899" s="28"/>
      <c r="B899" s="28"/>
    </row>
    <row r="900" spans="1:2" ht="15.75" thickBot="1" x14ac:dyDescent="0.3">
      <c r="A900" s="28"/>
      <c r="B900" s="28"/>
    </row>
    <row r="901" spans="1:2" ht="15.75" thickBot="1" x14ac:dyDescent="0.3">
      <c r="A901" s="28"/>
      <c r="B901" s="28"/>
    </row>
    <row r="902" spans="1:2" ht="15.75" thickBot="1" x14ac:dyDescent="0.3">
      <c r="A902" s="28"/>
      <c r="B902" s="28"/>
    </row>
    <row r="903" spans="1:2" ht="15.75" thickBot="1" x14ac:dyDescent="0.3">
      <c r="A903" s="28"/>
      <c r="B903" s="28"/>
    </row>
    <row r="904" spans="1:2" ht="15.75" thickBot="1" x14ac:dyDescent="0.3">
      <c r="A904" s="28"/>
      <c r="B904" s="28"/>
    </row>
    <row r="905" spans="1:2" ht="15.75" thickBot="1" x14ac:dyDescent="0.3">
      <c r="A905" s="28"/>
      <c r="B905" s="28"/>
    </row>
    <row r="906" spans="1:2" ht="15.75" thickBot="1" x14ac:dyDescent="0.3">
      <c r="A906" s="28"/>
      <c r="B906" s="28"/>
    </row>
    <row r="907" spans="1:2" ht="15.75" thickBot="1" x14ac:dyDescent="0.3">
      <c r="A907" s="28"/>
      <c r="B907" s="28"/>
    </row>
    <row r="908" spans="1:2" ht="15.75" thickBot="1" x14ac:dyDescent="0.3">
      <c r="A908" s="28"/>
      <c r="B908" s="28"/>
    </row>
    <row r="909" spans="1:2" ht="15.75" thickBot="1" x14ac:dyDescent="0.3">
      <c r="A909" s="28"/>
      <c r="B909" s="28"/>
    </row>
    <row r="910" spans="1:2" ht="15.75" thickBot="1" x14ac:dyDescent="0.3">
      <c r="A910" s="28"/>
      <c r="B910" s="28"/>
    </row>
    <row r="911" spans="1:2" ht="15.75" thickBot="1" x14ac:dyDescent="0.3">
      <c r="A911" s="28"/>
      <c r="B911" s="28"/>
    </row>
    <row r="912" spans="1:2" ht="15.75" thickBot="1" x14ac:dyDescent="0.3">
      <c r="A912" s="28"/>
      <c r="B912" s="28"/>
    </row>
    <row r="913" spans="1:2" ht="15.75" thickBot="1" x14ac:dyDescent="0.3">
      <c r="A913" s="28"/>
      <c r="B913" s="28"/>
    </row>
    <row r="914" spans="1:2" ht="15.75" thickBot="1" x14ac:dyDescent="0.3">
      <c r="A914" s="28"/>
      <c r="B914" s="28"/>
    </row>
    <row r="915" spans="1:2" ht="15.75" thickBot="1" x14ac:dyDescent="0.3">
      <c r="A915" s="28"/>
      <c r="B915" s="28"/>
    </row>
    <row r="916" spans="1:2" ht="15.75" thickBot="1" x14ac:dyDescent="0.3">
      <c r="A916" s="28"/>
      <c r="B916" s="28"/>
    </row>
    <row r="917" spans="1:2" ht="15.75" thickBot="1" x14ac:dyDescent="0.3">
      <c r="A917" s="28"/>
      <c r="B917" s="28"/>
    </row>
    <row r="918" spans="1:2" ht="15.75" thickBot="1" x14ac:dyDescent="0.3">
      <c r="A918" s="28"/>
      <c r="B918" s="28"/>
    </row>
    <row r="919" spans="1:2" ht="15.75" thickBot="1" x14ac:dyDescent="0.3">
      <c r="A919" s="28"/>
      <c r="B919" s="28"/>
    </row>
    <row r="920" spans="1:2" ht="15.75" thickBot="1" x14ac:dyDescent="0.3">
      <c r="A920" s="28"/>
      <c r="B920" s="28"/>
    </row>
    <row r="921" spans="1:2" ht="15.75" thickBot="1" x14ac:dyDescent="0.3">
      <c r="A921" s="28"/>
      <c r="B921" s="28"/>
    </row>
    <row r="922" spans="1:2" ht="15.75" thickBot="1" x14ac:dyDescent="0.3">
      <c r="A922" s="28"/>
      <c r="B922" s="28"/>
    </row>
    <row r="923" spans="1:2" ht="15.75" thickBot="1" x14ac:dyDescent="0.3">
      <c r="A923" s="28"/>
      <c r="B923" s="28"/>
    </row>
    <row r="924" spans="1:2" ht="15.75" thickBot="1" x14ac:dyDescent="0.3">
      <c r="A924" s="28"/>
      <c r="B924" s="28"/>
    </row>
    <row r="925" spans="1:2" ht="15.75" thickBot="1" x14ac:dyDescent="0.3">
      <c r="A925" s="28"/>
      <c r="B925" s="28"/>
    </row>
    <row r="926" spans="1:2" ht="15.75" thickBot="1" x14ac:dyDescent="0.3">
      <c r="A926" s="28"/>
      <c r="B926" s="28"/>
    </row>
    <row r="927" spans="1:2" ht="15.75" thickBot="1" x14ac:dyDescent="0.3">
      <c r="A927" s="28"/>
      <c r="B927" s="28"/>
    </row>
    <row r="928" spans="1:2" ht="15.75" thickBot="1" x14ac:dyDescent="0.3">
      <c r="A928" s="28"/>
      <c r="B928" s="28"/>
    </row>
    <row r="929" spans="1:2" ht="15.75" thickBot="1" x14ac:dyDescent="0.3">
      <c r="A929" s="28"/>
      <c r="B929" s="28"/>
    </row>
    <row r="930" spans="1:2" ht="15.75" thickBot="1" x14ac:dyDescent="0.3">
      <c r="A930" s="28"/>
      <c r="B930" s="28"/>
    </row>
    <row r="931" spans="1:2" ht="15.75" thickBot="1" x14ac:dyDescent="0.3">
      <c r="A931" s="28"/>
      <c r="B931" s="28"/>
    </row>
    <row r="932" spans="1:2" ht="15.75" thickBot="1" x14ac:dyDescent="0.3">
      <c r="A932" s="28"/>
      <c r="B932" s="28"/>
    </row>
    <row r="933" spans="1:2" ht="15.75" thickBot="1" x14ac:dyDescent="0.3">
      <c r="A933" s="28"/>
      <c r="B933" s="28"/>
    </row>
    <row r="934" spans="1:2" ht="15.75" thickBot="1" x14ac:dyDescent="0.3">
      <c r="A934" s="28"/>
      <c r="B934" s="28"/>
    </row>
    <row r="935" spans="1:2" ht="15.75" thickBot="1" x14ac:dyDescent="0.3">
      <c r="A935" s="28"/>
      <c r="B935" s="28"/>
    </row>
    <row r="936" spans="1:2" ht="15.75" thickBot="1" x14ac:dyDescent="0.3">
      <c r="A936" s="28"/>
      <c r="B936" s="28"/>
    </row>
    <row r="937" spans="1:2" ht="15.75" thickBot="1" x14ac:dyDescent="0.3">
      <c r="A937" s="28"/>
      <c r="B937" s="28"/>
    </row>
    <row r="938" spans="1:2" ht="15.75" thickBot="1" x14ac:dyDescent="0.3">
      <c r="A938" s="28"/>
      <c r="B938" s="28"/>
    </row>
    <row r="939" spans="1:2" ht="15.75" thickBot="1" x14ac:dyDescent="0.3">
      <c r="A939" s="28"/>
      <c r="B939" s="28"/>
    </row>
    <row r="940" spans="1:2" ht="15.75" thickBot="1" x14ac:dyDescent="0.3">
      <c r="A940" s="28"/>
      <c r="B940" s="28"/>
    </row>
    <row r="941" spans="1:2" ht="15.75" thickBot="1" x14ac:dyDescent="0.3">
      <c r="A941" s="28"/>
      <c r="B941" s="28"/>
    </row>
    <row r="942" spans="1:2" ht="15.75" thickBot="1" x14ac:dyDescent="0.3">
      <c r="A942" s="28"/>
      <c r="B942" s="28"/>
    </row>
    <row r="943" spans="1:2" ht="15.75" thickBot="1" x14ac:dyDescent="0.3">
      <c r="A943" s="28"/>
      <c r="B943" s="28"/>
    </row>
    <row r="944" spans="1:2" ht="15.75" thickBot="1" x14ac:dyDescent="0.3">
      <c r="A944" s="28"/>
      <c r="B944" s="28"/>
    </row>
    <row r="945" spans="1:2" ht="15.75" thickBot="1" x14ac:dyDescent="0.3">
      <c r="A945" s="28"/>
      <c r="B945" s="28"/>
    </row>
    <row r="946" spans="1:2" ht="15.75" thickBot="1" x14ac:dyDescent="0.3">
      <c r="A946" s="28"/>
      <c r="B946" s="28"/>
    </row>
    <row r="947" spans="1:2" ht="15.75" thickBot="1" x14ac:dyDescent="0.3">
      <c r="A947" s="28"/>
      <c r="B947" s="28"/>
    </row>
    <row r="948" spans="1:2" ht="15.75" thickBot="1" x14ac:dyDescent="0.3">
      <c r="A948" s="28"/>
      <c r="B948" s="28"/>
    </row>
    <row r="949" spans="1:2" ht="15.75" thickBot="1" x14ac:dyDescent="0.3">
      <c r="A949" s="28"/>
      <c r="B949" s="28"/>
    </row>
    <row r="950" spans="1:2" ht="15.75" thickBot="1" x14ac:dyDescent="0.3">
      <c r="A950" s="28"/>
      <c r="B950" s="28"/>
    </row>
    <row r="951" spans="1:2" ht="15.75" thickBot="1" x14ac:dyDescent="0.3">
      <c r="A951" s="28"/>
      <c r="B951" s="28"/>
    </row>
    <row r="952" spans="1:2" ht="15.75" thickBot="1" x14ac:dyDescent="0.3">
      <c r="A952" s="28"/>
      <c r="B952" s="28"/>
    </row>
    <row r="953" spans="1:2" ht="15.75" thickBot="1" x14ac:dyDescent="0.3">
      <c r="A953" s="28"/>
      <c r="B953" s="28"/>
    </row>
    <row r="954" spans="1:2" ht="15.75" thickBot="1" x14ac:dyDescent="0.3">
      <c r="A954" s="28"/>
      <c r="B954" s="28"/>
    </row>
    <row r="955" spans="1:2" ht="15.75" thickBot="1" x14ac:dyDescent="0.3">
      <c r="A955" s="28"/>
      <c r="B955" s="28"/>
    </row>
    <row r="956" spans="1:2" ht="15.75" thickBot="1" x14ac:dyDescent="0.3">
      <c r="A956" s="28"/>
      <c r="B956" s="28"/>
    </row>
    <row r="957" spans="1:2" ht="15.75" thickBot="1" x14ac:dyDescent="0.3">
      <c r="A957" s="28"/>
      <c r="B957" s="28"/>
    </row>
    <row r="958" spans="1:2" ht="15.75" thickBot="1" x14ac:dyDescent="0.3">
      <c r="A958" s="28"/>
      <c r="B958" s="28"/>
    </row>
    <row r="959" spans="1:2" ht="15.75" thickBot="1" x14ac:dyDescent="0.3">
      <c r="A959" s="28"/>
      <c r="B959" s="28"/>
    </row>
    <row r="960" spans="1:2" ht="15.75" thickBot="1" x14ac:dyDescent="0.3">
      <c r="A960" s="28"/>
      <c r="B960" s="28"/>
    </row>
    <row r="961" spans="1:2" ht="15.75" thickBot="1" x14ac:dyDescent="0.3">
      <c r="A961" s="28"/>
      <c r="B961" s="28"/>
    </row>
    <row r="962" spans="1:2" ht="15.75" thickBot="1" x14ac:dyDescent="0.3">
      <c r="A962" s="28"/>
      <c r="B962" s="28"/>
    </row>
    <row r="963" spans="1:2" ht="15.75" thickBot="1" x14ac:dyDescent="0.3">
      <c r="A963" s="28"/>
      <c r="B963" s="28"/>
    </row>
    <row r="964" spans="1:2" ht="15.75" thickBot="1" x14ac:dyDescent="0.3">
      <c r="A964" s="28"/>
      <c r="B964" s="28"/>
    </row>
    <row r="965" spans="1:2" ht="15.75" thickBot="1" x14ac:dyDescent="0.3">
      <c r="A965" s="28"/>
      <c r="B965" s="28"/>
    </row>
    <row r="966" spans="1:2" ht="15.75" thickBot="1" x14ac:dyDescent="0.3">
      <c r="A966" s="28"/>
      <c r="B966" s="28"/>
    </row>
    <row r="967" spans="1:2" ht="15.75" thickBot="1" x14ac:dyDescent="0.3">
      <c r="A967" s="28"/>
      <c r="B967" s="28"/>
    </row>
    <row r="968" spans="1:2" ht="15.75" thickBot="1" x14ac:dyDescent="0.3">
      <c r="A968" s="28"/>
      <c r="B968" s="28"/>
    </row>
    <row r="969" spans="1:2" ht="15.75" thickBot="1" x14ac:dyDescent="0.3">
      <c r="A969" s="28"/>
      <c r="B969" s="28"/>
    </row>
    <row r="970" spans="1:2" ht="15.75" thickBot="1" x14ac:dyDescent="0.3">
      <c r="A970" s="28"/>
      <c r="B970" s="28"/>
    </row>
    <row r="971" spans="1:2" ht="15.75" thickBot="1" x14ac:dyDescent="0.3">
      <c r="A971" s="28"/>
      <c r="B971" s="28"/>
    </row>
    <row r="972" spans="1:2" ht="15.75" thickBot="1" x14ac:dyDescent="0.3">
      <c r="A972" s="28"/>
      <c r="B972" s="28"/>
    </row>
    <row r="973" spans="1:2" ht="15.75" thickBot="1" x14ac:dyDescent="0.3">
      <c r="A973" s="28"/>
      <c r="B973" s="28"/>
    </row>
    <row r="974" spans="1:2" ht="15.75" thickBot="1" x14ac:dyDescent="0.3">
      <c r="A974" s="28"/>
      <c r="B974" s="28"/>
    </row>
    <row r="975" spans="1:2" ht="15.75" thickBot="1" x14ac:dyDescent="0.3">
      <c r="A975" s="28"/>
      <c r="B975" s="28"/>
    </row>
    <row r="976" spans="1:2" ht="15.75" thickBot="1" x14ac:dyDescent="0.3">
      <c r="A976" s="28"/>
      <c r="B976" s="28"/>
    </row>
    <row r="977" spans="1:2" ht="15.75" thickBot="1" x14ac:dyDescent="0.3">
      <c r="A977" s="28"/>
      <c r="B977" s="28"/>
    </row>
    <row r="978" spans="1:2" ht="15.75" thickBot="1" x14ac:dyDescent="0.3">
      <c r="A978" s="28"/>
      <c r="B978" s="28"/>
    </row>
    <row r="979" spans="1:2" ht="15.75" thickBot="1" x14ac:dyDescent="0.3">
      <c r="A979" s="28"/>
      <c r="B979" s="28"/>
    </row>
    <row r="980" spans="1:2" ht="15.75" thickBot="1" x14ac:dyDescent="0.3">
      <c r="A980" s="28"/>
      <c r="B980" s="28"/>
    </row>
    <row r="981" spans="1:2" ht="15.75" thickBot="1" x14ac:dyDescent="0.3">
      <c r="A981" s="28"/>
      <c r="B981" s="28"/>
    </row>
    <row r="982" spans="1:2" ht="15.75" thickBot="1" x14ac:dyDescent="0.3">
      <c r="A982" s="28"/>
      <c r="B982" s="28"/>
    </row>
    <row r="983" spans="1:2" ht="15.75" thickBot="1" x14ac:dyDescent="0.3">
      <c r="A983" s="28"/>
      <c r="B983" s="28"/>
    </row>
    <row r="984" spans="1:2" ht="15.75" thickBot="1" x14ac:dyDescent="0.3">
      <c r="A984" s="28"/>
      <c r="B984" s="28"/>
    </row>
    <row r="985" spans="1:2" ht="15.75" thickBot="1" x14ac:dyDescent="0.3">
      <c r="A985" s="28"/>
      <c r="B985" s="28"/>
    </row>
    <row r="986" spans="1:2" ht="15.75" thickBot="1" x14ac:dyDescent="0.3">
      <c r="A986" s="28"/>
      <c r="B986" s="28"/>
    </row>
    <row r="987" spans="1:2" ht="15.75" thickBot="1" x14ac:dyDescent="0.3">
      <c r="A987" s="28"/>
      <c r="B987" s="28"/>
    </row>
    <row r="988" spans="1:2" ht="15.75" thickBot="1" x14ac:dyDescent="0.3">
      <c r="A988" s="28"/>
      <c r="B988" s="28"/>
    </row>
    <row r="989" spans="1:2" ht="15.75" thickBot="1" x14ac:dyDescent="0.3">
      <c r="A989" s="28"/>
      <c r="B989" s="28"/>
    </row>
    <row r="990" spans="1:2" ht="15.75" thickBot="1" x14ac:dyDescent="0.3">
      <c r="A990" s="28"/>
      <c r="B990" s="28"/>
    </row>
    <row r="991" spans="1:2" ht="15.75" thickBot="1" x14ac:dyDescent="0.3">
      <c r="A991" s="28"/>
      <c r="B991" s="28"/>
    </row>
    <row r="992" spans="1:2" ht="15.75" thickBot="1" x14ac:dyDescent="0.3">
      <c r="A992" s="28"/>
      <c r="B992" s="28"/>
    </row>
    <row r="993" spans="1:2" ht="15.75" thickBot="1" x14ac:dyDescent="0.3">
      <c r="A993" s="28"/>
      <c r="B993" s="28"/>
    </row>
    <row r="994" spans="1:2" ht="15.75" thickBot="1" x14ac:dyDescent="0.3">
      <c r="A994" s="28"/>
      <c r="B994" s="28"/>
    </row>
    <row r="995" spans="1:2" ht="15.75" thickBot="1" x14ac:dyDescent="0.3">
      <c r="A995" s="28"/>
      <c r="B995" s="28"/>
    </row>
    <row r="996" spans="1:2" ht="15.75" thickBot="1" x14ac:dyDescent="0.3">
      <c r="A996" s="28"/>
      <c r="B996" s="28"/>
    </row>
    <row r="997" spans="1:2" ht="15.75" thickBot="1" x14ac:dyDescent="0.3">
      <c r="A997" s="28"/>
      <c r="B997" s="28"/>
    </row>
    <row r="998" spans="1:2" ht="15.75" thickBot="1" x14ac:dyDescent="0.3">
      <c r="A998" s="28"/>
      <c r="B998" s="28"/>
    </row>
    <row r="999" spans="1:2" ht="15.75" thickBot="1" x14ac:dyDescent="0.3">
      <c r="A999" s="28"/>
      <c r="B999" s="28"/>
    </row>
    <row r="1000" spans="1:2" ht="15.75" thickBot="1" x14ac:dyDescent="0.3">
      <c r="A1000" s="28"/>
      <c r="B1000" s="2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380F720-A55F-4C9A-BC8B-B653E2D6BB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Intro</vt:lpstr>
      <vt:lpstr>Data</vt:lpstr>
      <vt:lpstr>Forecast Average</vt:lpstr>
      <vt:lpstr>Weeky</vt:lpstr>
      <vt:lpstr>Dashboard</vt:lpstr>
      <vt:lpstr>Dividends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Jackson</dc:creator>
  <cp:lastModifiedBy>David Jackson</cp:lastModifiedBy>
  <dcterms:created xsi:type="dcterms:W3CDTF">2026-01-19T03:32:40Z</dcterms:created>
  <dcterms:modified xsi:type="dcterms:W3CDTF">2026-02-05T01:12:43Z</dcterms:modified>
</cp:coreProperties>
</file>