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A90A485F-474D-4C52-ABA5-1D22391DBF2A}" xr6:coauthVersionLast="47" xr6:coauthVersionMax="47" xr10:uidLastSave="{00000000-0000-0000-0000-000000000000}"/>
  <bookViews>
    <workbookView xWindow="-120" yWindow="-120" windowWidth="20730" windowHeight="11040" activeTab="5" xr2:uid="{92AFEA67-FCE1-458C-9A7E-ADF426D7B024}"/>
  </bookViews>
  <sheets>
    <sheet name="Intro" sheetId="10" r:id="rId1"/>
    <sheet name="Data" sheetId="1" r:id="rId2"/>
    <sheet name="Weekly (2)" sheetId="28" r:id="rId3"/>
    <sheet name="Weekly" sheetId="27" r:id="rId4"/>
    <sheet name="Forecast" sheetId="26" r:id="rId5"/>
    <sheet name="Dashboard" sheetId="7" r:id="rId6"/>
    <sheet name="Dividends" sheetId="21" r:id="rId7"/>
  </sheets>
  <definedNames>
    <definedName name="data">Data!$1:$1048576</definedName>
    <definedName name="ExternalData_1" localSheetId="4" hidden="1">Forecast!$A$1:$B$120</definedName>
    <definedName name="ExternalData_1" localSheetId="2" hidden="1">'Weekly (2)'!$A$1:$B$54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6" i="26" l="1"/>
  <c r="D117" i="26"/>
  <c r="D120" i="26"/>
  <c r="D118" i="26"/>
  <c r="D119" i="26"/>
  <c r="D115" i="26"/>
  <c r="D114" i="26"/>
  <c r="D112" i="26"/>
  <c r="D113" i="26"/>
  <c r="D111" i="26"/>
  <c r="D108" i="26"/>
  <c r="D109" i="26"/>
  <c r="D110" i="26"/>
  <c r="D107" i="26"/>
  <c r="B1" i="1" a="1"/>
  <c r="B1" i="1" l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15" i="1"/>
  <c r="A3" i="1" l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6" i="1"/>
  <c r="A82" i="1"/>
  <c r="A114" i="1"/>
  <c r="A138" i="1"/>
  <c r="A162" i="1"/>
  <c r="A186" i="1"/>
  <c r="A218" i="1"/>
  <c r="A250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18" i="1"/>
  <c r="A34" i="1"/>
  <c r="A50" i="1"/>
  <c r="A66" i="1"/>
  <c r="A90" i="1"/>
  <c r="A106" i="1"/>
  <c r="A130" i="1"/>
  <c r="A154" i="1"/>
  <c r="A178" i="1"/>
  <c r="A202" i="1"/>
  <c r="A242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10" i="1"/>
  <c r="A42" i="1"/>
  <c r="A58" i="1"/>
  <c r="A74" i="1"/>
  <c r="A98" i="1"/>
  <c r="A122" i="1"/>
  <c r="A146" i="1"/>
  <c r="A170" i="1"/>
  <c r="A194" i="1"/>
  <c r="A226" i="1"/>
  <c r="A210" i="1"/>
  <c r="A234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N114" i="1"/>
  <c r="AB105" i="1"/>
  <c r="AB241" i="1"/>
  <c r="N34" i="1"/>
  <c r="N108" i="1"/>
  <c r="AB178" i="1"/>
  <c r="N54" i="1"/>
  <c r="N142" i="1"/>
  <c r="N59" i="1"/>
  <c r="N139" i="1"/>
  <c r="N145" i="1"/>
  <c r="AB101" i="1"/>
  <c r="AB115" i="1"/>
  <c r="AB104" i="1"/>
  <c r="AB211" i="1"/>
  <c r="AB217" i="1"/>
  <c r="AB220" i="1"/>
  <c r="N132" i="1"/>
  <c r="N121" i="1"/>
  <c r="N71" i="1"/>
  <c r="N167" i="1"/>
  <c r="N80" i="1"/>
  <c r="N56" i="1"/>
  <c r="K102" i="1"/>
  <c r="AB174" i="1"/>
  <c r="N168" i="1"/>
  <c r="AB145" i="1"/>
  <c r="AB225" i="1"/>
  <c r="N51" i="1"/>
  <c r="N150" i="1"/>
  <c r="K205" i="1"/>
  <c r="N53" i="1"/>
  <c r="N125" i="1"/>
  <c r="AB235" i="1"/>
  <c r="K53" i="1"/>
  <c r="AB135" i="1"/>
  <c r="AB231" i="1"/>
  <c r="N77" i="1"/>
  <c r="K135" i="1"/>
  <c r="N35" i="1"/>
  <c r="AB116" i="1"/>
  <c r="AB215" i="1"/>
  <c r="K86" i="1"/>
  <c r="N129" i="1"/>
  <c r="N126" i="1"/>
  <c r="AB187" i="1"/>
  <c r="AB120" i="1"/>
  <c r="AB197" i="1"/>
  <c r="N55" i="1"/>
  <c r="N5" i="1"/>
  <c r="N143" i="1"/>
  <c r="AB111" i="1"/>
  <c r="AB158" i="1"/>
  <c r="N165" i="1"/>
  <c r="AB216" i="1"/>
  <c r="AB121" i="1"/>
  <c r="AB190" i="1"/>
  <c r="AB125" i="1"/>
  <c r="AB205" i="1"/>
  <c r="AB188" i="1"/>
  <c r="N68" i="1"/>
  <c r="N90" i="1"/>
  <c r="N186" i="1"/>
  <c r="AB119" i="1"/>
  <c r="N175" i="1"/>
  <c r="AB131" i="1"/>
  <c r="AB234" i="1"/>
  <c r="AB207" i="1"/>
  <c r="N243" i="1"/>
  <c r="AB237" i="1"/>
  <c r="N195" i="1"/>
  <c r="N219" i="1"/>
  <c r="J150" i="1"/>
  <c r="AB160" i="1"/>
  <c r="N29" i="1"/>
  <c r="N100" i="1"/>
  <c r="N111" i="1"/>
  <c r="K164" i="1"/>
  <c r="AB132" i="1"/>
  <c r="AB210" i="1"/>
  <c r="AB236" i="1"/>
  <c r="K94" i="1"/>
  <c r="AB230" i="1"/>
  <c r="N224" i="1"/>
  <c r="N74" i="1"/>
  <c r="N217" i="1"/>
  <c r="AB122" i="1"/>
  <c r="N162" i="1"/>
  <c r="AB138" i="1"/>
  <c r="AB136" i="1"/>
  <c r="AB218" i="1"/>
  <c r="AB191" i="1"/>
  <c r="N6" i="1"/>
  <c r="AB223" i="1"/>
  <c r="N102" i="1"/>
  <c r="N182" i="1"/>
  <c r="N87" i="1"/>
  <c r="AB252" i="1"/>
  <c r="K127" i="1"/>
  <c r="N91" i="1"/>
  <c r="AB228" i="1"/>
  <c r="AB206" i="1"/>
  <c r="AB144" i="1"/>
  <c r="N238" i="1"/>
  <c r="AB243" i="1"/>
  <c r="AB232" i="1"/>
  <c r="N203" i="1"/>
  <c r="N17" i="1"/>
  <c r="N88" i="1"/>
  <c r="N220" i="1"/>
  <c r="K32" i="1"/>
  <c r="N169" i="1"/>
  <c r="AB177" i="1"/>
  <c r="N45" i="1"/>
  <c r="N123" i="1"/>
  <c r="AB114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N214" i="1"/>
  <c r="AB107" i="1"/>
  <c r="N221" i="1"/>
  <c r="N78" i="1"/>
  <c r="N75" i="1"/>
  <c r="N229" i="1"/>
  <c r="N163" i="1"/>
  <c r="AB147" i="1"/>
  <c r="AB153" i="1"/>
  <c r="AB227" i="1"/>
  <c r="K214" i="1"/>
  <c r="N7" i="1"/>
  <c r="AB248" i="1"/>
  <c r="N103" i="1"/>
  <c r="N16" i="1"/>
  <c r="N107" i="1"/>
  <c r="N95" i="1"/>
  <c r="K38" i="1"/>
  <c r="AB110" i="1"/>
  <c r="N104" i="1"/>
  <c r="AB239" i="1"/>
  <c r="AB161" i="1"/>
  <c r="N196" i="1"/>
  <c r="AB129" i="1"/>
  <c r="AB157" i="1"/>
  <c r="AB249" i="1"/>
  <c r="AB244" i="1"/>
  <c r="N69" i="1"/>
  <c r="AB212" i="1"/>
  <c r="K175" i="1"/>
  <c r="N152" i="1"/>
  <c r="K129" i="1"/>
  <c r="AB182" i="1"/>
  <c r="K22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AB123" i="1"/>
  <c r="AB133" i="1"/>
  <c r="N234" i="1"/>
  <c r="N222" i="1"/>
  <c r="N79" i="1"/>
  <c r="N33" i="1"/>
  <c r="N200" i="1"/>
  <c r="AB164" i="1"/>
  <c r="AB126" i="1"/>
  <c r="AB141" i="1"/>
  <c r="K222" i="1"/>
  <c r="N26" i="1"/>
  <c r="AB229" i="1"/>
  <c r="N122" i="1"/>
  <c r="N202" i="1"/>
  <c r="N115" i="1"/>
  <c r="AB170" i="1"/>
  <c r="AB143" i="1"/>
  <c r="N209" i="1"/>
  <c r="N117" i="1"/>
  <c r="N134" i="1"/>
  <c r="N230" i="1"/>
  <c r="AB140" i="1"/>
  <c r="N176" i="1"/>
  <c r="K238" i="1"/>
  <c r="K192" i="1"/>
  <c r="N207" i="1"/>
  <c r="K58" i="1"/>
  <c r="K40" i="1"/>
  <c r="AB146" i="1"/>
  <c r="AB148" i="1"/>
  <c r="AB246" i="1"/>
  <c r="K30" i="1"/>
  <c r="AB166" i="1"/>
  <c r="N160" i="1"/>
  <c r="N10" i="1"/>
  <c r="N76" i="1"/>
  <c r="N242" i="1"/>
  <c r="N98" i="1"/>
  <c r="AB154" i="1"/>
  <c r="AB127" i="1"/>
  <c r="N236" i="1"/>
  <c r="N28" i="1"/>
  <c r="N137" i="1"/>
  <c r="AB139" i="1"/>
  <c r="AB242" i="1"/>
  <c r="AB159" i="1"/>
  <c r="N38" i="1"/>
  <c r="N118" i="1"/>
  <c r="K63" i="1"/>
  <c r="N27" i="1"/>
  <c r="N206" i="1"/>
  <c r="AB142" i="1"/>
  <c r="N49" i="1"/>
  <c r="N110" i="1"/>
  <c r="AB179" i="1"/>
  <c r="AB168" i="1"/>
  <c r="N52" i="1"/>
  <c r="AB233" i="1"/>
  <c r="N127" i="1"/>
  <c r="N135" i="1"/>
  <c r="N64" i="1"/>
  <c r="AB150" i="1"/>
  <c r="N144" i="1"/>
  <c r="N93" i="1"/>
  <c r="N184" i="1"/>
  <c r="AB176" i="1"/>
  <c r="K166" i="1"/>
  <c r="N227" i="1"/>
  <c r="K70" i="1"/>
  <c r="N245" i="1"/>
  <c r="K244" i="1"/>
  <c r="K137" i="1"/>
  <c r="N84" i="1"/>
  <c r="AB251" i="1"/>
  <c r="N119" i="1"/>
  <c r="N41" i="1"/>
  <c r="K95" i="1"/>
  <c r="AB203" i="1"/>
  <c r="K221" i="1"/>
  <c r="N180" i="1"/>
  <c r="J214" i="1"/>
  <c r="N85" i="1"/>
  <c r="K223" i="1"/>
  <c r="N92" i="1"/>
  <c r="N73" i="1"/>
  <c r="AB171" i="1"/>
  <c r="K37" i="1"/>
  <c r="K239" i="1"/>
  <c r="J156" i="1"/>
  <c r="J82" i="1"/>
  <c r="K235" i="1"/>
  <c r="N198" i="1"/>
  <c r="K62" i="1"/>
  <c r="K97" i="1"/>
  <c r="N65" i="1"/>
  <c r="J110" i="1"/>
  <c r="K28" i="1"/>
  <c r="K100" i="1"/>
  <c r="N128" i="1"/>
  <c r="N140" i="1"/>
  <c r="K77" i="1"/>
  <c r="N67" i="1"/>
  <c r="K216" i="1"/>
  <c r="N249" i="1"/>
  <c r="AB193" i="1"/>
  <c r="K252" i="1"/>
  <c r="K55" i="1"/>
  <c r="K248" i="1"/>
  <c r="J94" i="1"/>
  <c r="J127" i="1"/>
  <c r="G221" i="1"/>
  <c r="E213" i="1"/>
  <c r="G252" i="1"/>
  <c r="E106" i="1"/>
  <c r="K154" i="1"/>
  <c r="K36" i="1"/>
  <c r="J28" i="1"/>
  <c r="J69" i="1"/>
  <c r="J188" i="1"/>
  <c r="J177" i="1"/>
  <c r="G134" i="1"/>
  <c r="G193" i="1"/>
  <c r="J197" i="1"/>
  <c r="K181" i="1"/>
  <c r="K80" i="1"/>
  <c r="J87" i="1"/>
  <c r="K89" i="1"/>
  <c r="E21" i="1"/>
  <c r="J125" i="1"/>
  <c r="J48" i="1"/>
  <c r="G113" i="1"/>
  <c r="G212" i="1"/>
  <c r="J78" i="1"/>
  <c r="J248" i="1"/>
  <c r="K69" i="1"/>
  <c r="G135" i="1"/>
  <c r="J244" i="1"/>
  <c r="E144" i="1"/>
  <c r="E158" i="1"/>
  <c r="J180" i="1"/>
  <c r="K49" i="1"/>
  <c r="J215" i="1"/>
  <c r="K113" i="1"/>
  <c r="J68" i="1"/>
  <c r="G20" i="1"/>
  <c r="G195" i="1"/>
  <c r="G217" i="1"/>
  <c r="G24" i="1"/>
  <c r="G81" i="1"/>
  <c r="E39" i="1"/>
  <c r="E191" i="1"/>
  <c r="N21" i="1"/>
  <c r="N173" i="1"/>
  <c r="K158" i="1"/>
  <c r="AB165" i="1"/>
  <c r="N138" i="1"/>
  <c r="AB202" i="1"/>
  <c r="N89" i="1"/>
  <c r="N70" i="1"/>
  <c r="K191" i="1"/>
  <c r="N157" i="1"/>
  <c r="N105" i="1"/>
  <c r="K103" i="1"/>
  <c r="N120" i="1"/>
  <c r="N190" i="1"/>
  <c r="N188" i="1"/>
  <c r="K132" i="1"/>
  <c r="N241" i="1"/>
  <c r="K250" i="1"/>
  <c r="K232" i="1"/>
  <c r="K147" i="1"/>
  <c r="J245" i="1"/>
  <c r="N18" i="1"/>
  <c r="N30" i="1"/>
  <c r="AB151" i="1"/>
  <c r="N151" i="1"/>
  <c r="K26" i="1"/>
  <c r="K87" i="1"/>
  <c r="N185" i="1"/>
  <c r="AB214" i="1"/>
  <c r="N179" i="1"/>
  <c r="J22" i="1"/>
  <c r="N251" i="1"/>
  <c r="J137" i="1"/>
  <c r="J238" i="1"/>
  <c r="N66" i="1"/>
  <c r="K106" i="1"/>
  <c r="J103" i="1"/>
  <c r="K42" i="1"/>
  <c r="G9" i="1"/>
  <c r="J161" i="1"/>
  <c r="G59" i="1"/>
  <c r="G225" i="1"/>
  <c r="G203" i="1"/>
  <c r="G167" i="1"/>
  <c r="E16" i="1"/>
  <c r="G125" i="1"/>
  <c r="K130" i="1"/>
  <c r="N164" i="1"/>
  <c r="K211" i="1"/>
  <c r="J122" i="1"/>
  <c r="K184" i="1"/>
  <c r="N147" i="1"/>
  <c r="J40" i="1"/>
  <c r="J231" i="1"/>
  <c r="G162" i="1"/>
  <c r="E182" i="1"/>
  <c r="K186" i="1"/>
  <c r="J199" i="1"/>
  <c r="J95" i="1"/>
  <c r="J105" i="1"/>
  <c r="J221" i="1"/>
  <c r="G90" i="1"/>
  <c r="G5" i="1"/>
  <c r="G72" i="1"/>
  <c r="J57" i="1"/>
  <c r="E53" i="1"/>
  <c r="E84" i="1"/>
  <c r="G126" i="1"/>
  <c r="J146" i="1"/>
  <c r="E201" i="1"/>
  <c r="K200" i="1"/>
  <c r="J168" i="1"/>
  <c r="K195" i="1"/>
  <c r="K116" i="1"/>
  <c r="J93" i="1"/>
  <c r="E4" i="1"/>
  <c r="J106" i="1"/>
  <c r="K201" i="1"/>
  <c r="N86" i="1"/>
  <c r="AB199" i="1"/>
  <c r="N97" i="1"/>
  <c r="AB163" i="1"/>
  <c r="AB184" i="1"/>
  <c r="AB175" i="1"/>
  <c r="AB185" i="1"/>
  <c r="AB103" i="1"/>
  <c r="K218" i="1"/>
  <c r="K45" i="1"/>
  <c r="N187" i="1"/>
  <c r="N148" i="1"/>
  <c r="N194" i="1"/>
  <c r="N36" i="1"/>
  <c r="N136" i="1"/>
  <c r="K57" i="1"/>
  <c r="N181" i="1"/>
  <c r="AB186" i="1"/>
  <c r="N20" i="1"/>
  <c r="K171" i="1"/>
  <c r="J158" i="1"/>
  <c r="N50" i="1"/>
  <c r="K84" i="1"/>
  <c r="N240" i="1"/>
  <c r="K88" i="1"/>
  <c r="J246" i="1"/>
  <c r="N146" i="1"/>
  <c r="N158" i="1"/>
  <c r="K111" i="1"/>
  <c r="N208" i="1"/>
  <c r="K242" i="1"/>
  <c r="AB149" i="1"/>
  <c r="N218" i="1"/>
  <c r="K226" i="1"/>
  <c r="J56" i="1"/>
  <c r="K29" i="1"/>
  <c r="K153" i="1"/>
  <c r="G85" i="1"/>
  <c r="K251" i="1"/>
  <c r="G169" i="1"/>
  <c r="E195" i="1"/>
  <c r="G21" i="1"/>
  <c r="G160" i="1"/>
  <c r="E231" i="1"/>
  <c r="N213" i="1"/>
  <c r="K117" i="1"/>
  <c r="J23" i="1"/>
  <c r="K108" i="1"/>
  <c r="J222" i="1"/>
  <c r="K144" i="1"/>
  <c r="E140" i="1"/>
  <c r="G112" i="1"/>
  <c r="AB167" i="1"/>
  <c r="K119" i="1"/>
  <c r="J138" i="1"/>
  <c r="K68" i="1"/>
  <c r="J184" i="1"/>
  <c r="G208" i="1"/>
  <c r="J116" i="1"/>
  <c r="J54" i="1"/>
  <c r="J203" i="1"/>
  <c r="J234" i="1"/>
  <c r="J205" i="1"/>
  <c r="N24" i="1"/>
  <c r="G182" i="1"/>
  <c r="G43" i="1"/>
  <c r="E61" i="1"/>
  <c r="E156" i="1"/>
  <c r="E249" i="1"/>
  <c r="K61" i="1"/>
  <c r="E116" i="1"/>
  <c r="AB247" i="1"/>
  <c r="K96" i="1"/>
  <c r="K213" i="1"/>
  <c r="J25" i="1"/>
  <c r="J206" i="1"/>
  <c r="K21" i="1"/>
  <c r="J183" i="1"/>
  <c r="G241" i="1"/>
  <c r="E171" i="1"/>
  <c r="N106" i="1"/>
  <c r="AB224" i="1"/>
  <c r="AB106" i="1"/>
  <c r="AB200" i="1"/>
  <c r="N61" i="1"/>
  <c r="N246" i="1"/>
  <c r="N149" i="1"/>
  <c r="AB128" i="1"/>
  <c r="AB192" i="1"/>
  <c r="K139" i="1"/>
  <c r="AB113" i="1"/>
  <c r="N237" i="1"/>
  <c r="N193" i="1"/>
  <c r="N124" i="1"/>
  <c r="K228" i="1"/>
  <c r="N216" i="1"/>
  <c r="K237" i="1"/>
  <c r="J135" i="1"/>
  <c r="K177" i="1"/>
  <c r="N233" i="1"/>
  <c r="K185" i="1"/>
  <c r="N252" i="1"/>
  <c r="N8" i="1"/>
  <c r="N178" i="1"/>
  <c r="N210" i="1"/>
  <c r="K152" i="1"/>
  <c r="J216" i="1"/>
  <c r="N172" i="1"/>
  <c r="K196" i="1"/>
  <c r="N174" i="1"/>
  <c r="K163" i="1"/>
  <c r="K72" i="1"/>
  <c r="J207" i="1"/>
  <c r="J162" i="1"/>
  <c r="J210" i="1"/>
  <c r="E85" i="1"/>
  <c r="G10" i="1"/>
  <c r="E96" i="1"/>
  <c r="E146" i="1"/>
  <c r="E118" i="1"/>
  <c r="E187" i="1"/>
  <c r="AB226" i="1"/>
  <c r="J167" i="1"/>
  <c r="K170" i="1"/>
  <c r="G249" i="1"/>
  <c r="G142" i="1"/>
  <c r="E20" i="1"/>
  <c r="K122" i="1"/>
  <c r="J71" i="1"/>
  <c r="J31" i="1"/>
  <c r="J41" i="1"/>
  <c r="J242" i="1"/>
  <c r="G84" i="1"/>
  <c r="G181" i="1"/>
  <c r="E172" i="1"/>
  <c r="J59" i="1"/>
  <c r="J172" i="1"/>
  <c r="K212" i="1"/>
  <c r="G236" i="1"/>
  <c r="E35" i="1"/>
  <c r="E240" i="1"/>
  <c r="J164" i="1"/>
  <c r="N37" i="1"/>
  <c r="J159" i="1"/>
  <c r="J169" i="1"/>
  <c r="J47" i="1"/>
  <c r="G22" i="1"/>
  <c r="G73" i="1"/>
  <c r="J185" i="1"/>
  <c r="G123" i="1"/>
  <c r="E244" i="1"/>
  <c r="G248" i="1"/>
  <c r="E243" i="1"/>
  <c r="AB213" i="1"/>
  <c r="N99" i="1"/>
  <c r="AB112" i="1"/>
  <c r="N39" i="1"/>
  <c r="N130" i="1"/>
  <c r="AB173" i="1"/>
  <c r="N250" i="1"/>
  <c r="N116" i="1"/>
  <c r="K66" i="1"/>
  <c r="AB238" i="1"/>
  <c r="AB169" i="1"/>
  <c r="K246" i="1"/>
  <c r="N235" i="1"/>
  <c r="K54" i="1"/>
  <c r="K207" i="1"/>
  <c r="N177" i="1"/>
  <c r="N248" i="1"/>
  <c r="N47" i="1"/>
  <c r="K24" i="1"/>
  <c r="J182" i="1"/>
  <c r="K179" i="1"/>
  <c r="J88" i="1"/>
  <c r="K27" i="1"/>
  <c r="N153" i="1"/>
  <c r="K78" i="1"/>
  <c r="K114" i="1"/>
  <c r="AB204" i="1"/>
  <c r="N141" i="1"/>
  <c r="N9" i="1"/>
  <c r="K156" i="1"/>
  <c r="K249" i="1"/>
  <c r="K134" i="1"/>
  <c r="N42" i="1"/>
  <c r="J73" i="1"/>
  <c r="K110" i="1"/>
  <c r="N197" i="1"/>
  <c r="K64" i="1"/>
  <c r="N244" i="1"/>
  <c r="K229" i="1"/>
  <c r="K98" i="1"/>
  <c r="K109" i="1"/>
  <c r="E68" i="1"/>
  <c r="J154" i="1"/>
  <c r="E65" i="1"/>
  <c r="G175" i="1"/>
  <c r="G152" i="1"/>
  <c r="E154" i="1"/>
  <c r="K23" i="1"/>
  <c r="J166" i="1"/>
  <c r="J120" i="1"/>
  <c r="K157" i="1"/>
  <c r="K82" i="1"/>
  <c r="G238" i="1"/>
  <c r="J229" i="1"/>
  <c r="J139" i="1"/>
  <c r="J50" i="1"/>
  <c r="G128" i="1"/>
  <c r="G75" i="1"/>
  <c r="J171" i="1"/>
  <c r="K141" i="1"/>
  <c r="K168" i="1"/>
  <c r="J220" i="1"/>
  <c r="K187" i="1"/>
  <c r="K34" i="1"/>
  <c r="E246" i="1"/>
  <c r="G185" i="1"/>
  <c r="J51" i="1"/>
  <c r="K25" i="1"/>
  <c r="G28" i="1"/>
  <c r="G218" i="1"/>
  <c r="E217" i="1"/>
  <c r="G15" i="1"/>
  <c r="J118" i="1"/>
  <c r="J201" i="1"/>
  <c r="K151" i="1"/>
  <c r="J114" i="1"/>
  <c r="J115" i="1"/>
  <c r="G102" i="1"/>
  <c r="G156" i="1"/>
  <c r="E192" i="1"/>
  <c r="N94" i="1"/>
  <c r="N189" i="1"/>
  <c r="N72" i="1"/>
  <c r="AB118" i="1"/>
  <c r="N58" i="1"/>
  <c r="N48" i="1"/>
  <c r="N19" i="1"/>
  <c r="AB156" i="1"/>
  <c r="N82" i="1"/>
  <c r="N232" i="1"/>
  <c r="AB130" i="1"/>
  <c r="AB109" i="1"/>
  <c r="K159" i="1"/>
  <c r="N43" i="1"/>
  <c r="AB194" i="1"/>
  <c r="K180" i="1"/>
  <c r="N228" i="1"/>
  <c r="N170" i="1"/>
  <c r="K121" i="1"/>
  <c r="N212" i="1"/>
  <c r="K245" i="1"/>
  <c r="J38" i="1"/>
  <c r="AB108" i="1"/>
  <c r="K35" i="1"/>
  <c r="N109" i="1"/>
  <c r="N205" i="1"/>
  <c r="K178" i="1"/>
  <c r="AB240" i="1"/>
  <c r="N32" i="1"/>
  <c r="K126" i="1"/>
  <c r="K161" i="1"/>
  <c r="J174" i="1"/>
  <c r="K85" i="1"/>
  <c r="K190" i="1"/>
  <c r="N4" i="1"/>
  <c r="K92" i="1"/>
  <c r="J181" i="1"/>
  <c r="J155" i="1"/>
  <c r="J84" i="1"/>
  <c r="K123" i="1"/>
  <c r="G41" i="1"/>
  <c r="J80" i="1"/>
  <c r="G233" i="1"/>
  <c r="E174" i="1"/>
  <c r="K71" i="1"/>
  <c r="J144" i="1"/>
  <c r="G211" i="1"/>
  <c r="J250" i="1"/>
  <c r="K209" i="1"/>
  <c r="J108" i="1"/>
  <c r="K247" i="1"/>
  <c r="J134" i="1"/>
  <c r="E67" i="1"/>
  <c r="J157" i="1"/>
  <c r="N215" i="1"/>
  <c r="J198" i="1"/>
  <c r="N57" i="1"/>
  <c r="J35" i="1"/>
  <c r="K210" i="1"/>
  <c r="G104" i="1"/>
  <c r="J45" i="1"/>
  <c r="J235" i="1"/>
  <c r="E228" i="1"/>
  <c r="G23" i="1"/>
  <c r="G230" i="1"/>
  <c r="J123" i="1"/>
  <c r="J236" i="1"/>
  <c r="K136" i="1"/>
  <c r="J109" i="1"/>
  <c r="J119" i="1"/>
  <c r="G157" i="1"/>
  <c r="E149" i="1"/>
  <c r="E236" i="1"/>
  <c r="E73" i="1"/>
  <c r="E22" i="1"/>
  <c r="G194" i="1"/>
  <c r="K160" i="1"/>
  <c r="AB155" i="1"/>
  <c r="K199" i="1"/>
  <c r="AB183" i="1"/>
  <c r="N159" i="1"/>
  <c r="K231" i="1"/>
  <c r="J79" i="1"/>
  <c r="N199" i="1"/>
  <c r="K99" i="1"/>
  <c r="K90" i="1"/>
  <c r="K143" i="1"/>
  <c r="K233" i="1"/>
  <c r="J75" i="1"/>
  <c r="J186" i="1"/>
  <c r="J43" i="1"/>
  <c r="J92" i="1"/>
  <c r="J252" i="1"/>
  <c r="E44" i="1"/>
  <c r="K217" i="1"/>
  <c r="G147" i="1"/>
  <c r="G133" i="1"/>
  <c r="J64" i="1"/>
  <c r="J243" i="1"/>
  <c r="K176" i="1"/>
  <c r="G228" i="1"/>
  <c r="E129" i="1"/>
  <c r="E58" i="1"/>
  <c r="J96" i="1"/>
  <c r="K227" i="1"/>
  <c r="J126" i="1"/>
  <c r="J196" i="1"/>
  <c r="G117" i="1"/>
  <c r="J170" i="1"/>
  <c r="E108" i="1"/>
  <c r="E196" i="1"/>
  <c r="E226" i="1"/>
  <c r="E59" i="1"/>
  <c r="G82" i="1"/>
  <c r="E204" i="1"/>
  <c r="G141" i="1"/>
  <c r="E107" i="1"/>
  <c r="G154" i="1"/>
  <c r="G166" i="1"/>
  <c r="E242" i="1"/>
  <c r="E210" i="1"/>
  <c r="E10" i="1"/>
  <c r="E36" i="1"/>
  <c r="E184" i="1"/>
  <c r="E87" i="1"/>
  <c r="G111" i="1"/>
  <c r="AB208" i="1"/>
  <c r="N171" i="1"/>
  <c r="K206" i="1"/>
  <c r="K224" i="1"/>
  <c r="AB221" i="1"/>
  <c r="K33" i="1"/>
  <c r="N44" i="1"/>
  <c r="K165" i="1"/>
  <c r="AB134" i="1"/>
  <c r="K83" i="1"/>
  <c r="J74" i="1"/>
  <c r="J148" i="1"/>
  <c r="K31" i="1"/>
  <c r="J44" i="1"/>
  <c r="J212" i="1"/>
  <c r="J37" i="1"/>
  <c r="N191" i="1"/>
  <c r="K67" i="1"/>
  <c r="E139" i="1"/>
  <c r="G27" i="1"/>
  <c r="G19" i="1"/>
  <c r="J99" i="1"/>
  <c r="G105" i="1"/>
  <c r="K43" i="1"/>
  <c r="J251" i="1"/>
  <c r="J226" i="1"/>
  <c r="G48" i="1"/>
  <c r="J65" i="1"/>
  <c r="E117" i="1"/>
  <c r="E178" i="1"/>
  <c r="E102" i="1"/>
  <c r="G3" i="1"/>
  <c r="K169" i="1"/>
  <c r="AB189" i="1"/>
  <c r="K208" i="1"/>
  <c r="N12" i="1"/>
  <c r="K230" i="1"/>
  <c r="K183" i="1"/>
  <c r="J124" i="1"/>
  <c r="E229" i="1"/>
  <c r="K173" i="1"/>
  <c r="J98" i="1"/>
  <c r="G237" i="1"/>
  <c r="K59" i="1"/>
  <c r="J241" i="1"/>
  <c r="J86" i="1"/>
  <c r="J21" i="1"/>
  <c r="E132" i="1"/>
  <c r="G16" i="1"/>
  <c r="E13" i="1"/>
  <c r="E91" i="1"/>
  <c r="G14" i="1"/>
  <c r="E14" i="1"/>
  <c r="K65" i="1"/>
  <c r="J30" i="1"/>
  <c r="J153" i="1"/>
  <c r="J230" i="1"/>
  <c r="J63" i="1"/>
  <c r="G93" i="1"/>
  <c r="E3" i="1"/>
  <c r="J149" i="1"/>
  <c r="J72" i="1"/>
  <c r="G7" i="1"/>
  <c r="G88" i="1"/>
  <c r="G188" i="1"/>
  <c r="E225" i="1"/>
  <c r="E27" i="1"/>
  <c r="J217" i="1"/>
  <c r="J200" i="1"/>
  <c r="G122" i="1"/>
  <c r="E234" i="1"/>
  <c r="J239" i="1"/>
  <c r="N101" i="1"/>
  <c r="E209" i="1"/>
  <c r="E241" i="1"/>
  <c r="J218" i="1"/>
  <c r="G40" i="1"/>
  <c r="E162" i="1"/>
  <c r="E64" i="1"/>
  <c r="G192" i="1"/>
  <c r="E142" i="1"/>
  <c r="E230" i="1"/>
  <c r="K105" i="1"/>
  <c r="E165" i="1"/>
  <c r="AB196" i="1"/>
  <c r="N166" i="1"/>
  <c r="K234" i="1"/>
  <c r="AB250" i="1"/>
  <c r="AB162" i="1"/>
  <c r="J117" i="1"/>
  <c r="N3" i="1"/>
  <c r="N204" i="1"/>
  <c r="K189" i="1"/>
  <c r="J208" i="1"/>
  <c r="J70" i="1"/>
  <c r="G213" i="1"/>
  <c r="K47" i="1"/>
  <c r="G183" i="1"/>
  <c r="E89" i="1"/>
  <c r="G144" i="1"/>
  <c r="N223" i="1"/>
  <c r="K167" i="1"/>
  <c r="J163" i="1"/>
  <c r="G145" i="1"/>
  <c r="J133" i="1"/>
  <c r="K197" i="1"/>
  <c r="G74" i="1"/>
  <c r="J81" i="1"/>
  <c r="E120" i="1"/>
  <c r="K107" i="1"/>
  <c r="J24" i="1"/>
  <c r="N46" i="1"/>
  <c r="J90" i="1"/>
  <c r="N15" i="1"/>
  <c r="AB152" i="1"/>
  <c r="N226" i="1"/>
  <c r="AB181" i="1"/>
  <c r="N31" i="1"/>
  <c r="K182" i="1"/>
  <c r="N161" i="1"/>
  <c r="K215" i="1"/>
  <c r="J26" i="1"/>
  <c r="E56" i="1"/>
  <c r="E75" i="1"/>
  <c r="J58" i="1"/>
  <c r="J219" i="1"/>
  <c r="G130" i="1"/>
  <c r="K155" i="1"/>
  <c r="G174" i="1"/>
  <c r="G226" i="1"/>
  <c r="K149" i="1"/>
  <c r="J165" i="1"/>
  <c r="E159" i="1"/>
  <c r="J62" i="1"/>
  <c r="K124" i="1"/>
  <c r="J232" i="1"/>
  <c r="K91" i="1"/>
  <c r="E221" i="1"/>
  <c r="E62" i="1"/>
  <c r="G108" i="1"/>
  <c r="E202" i="1"/>
  <c r="K79" i="1"/>
  <c r="K138" i="1"/>
  <c r="K188" i="1"/>
  <c r="J189" i="1"/>
  <c r="G131" i="1"/>
  <c r="J32" i="1"/>
  <c r="G49" i="1"/>
  <c r="G148" i="1"/>
  <c r="G245" i="1"/>
  <c r="J193" i="1"/>
  <c r="G187" i="1"/>
  <c r="K74" i="1"/>
  <c r="E38" i="1"/>
  <c r="G219" i="1"/>
  <c r="G127" i="1"/>
  <c r="G95" i="1"/>
  <c r="J225" i="1"/>
  <c r="J152" i="1"/>
  <c r="E232" i="1"/>
  <c r="E103" i="1"/>
  <c r="E12" i="1"/>
  <c r="G109" i="1"/>
  <c r="N156" i="1"/>
  <c r="G115" i="1"/>
  <c r="E17" i="1"/>
  <c r="E80" i="1"/>
  <c r="E48" i="1"/>
  <c r="E150" i="1"/>
  <c r="K128" i="1"/>
  <c r="G132" i="1"/>
  <c r="E30" i="1"/>
  <c r="N11" i="1"/>
  <c r="AB222" i="1"/>
  <c r="N154" i="1"/>
  <c r="K118" i="1"/>
  <c r="N131" i="1"/>
  <c r="N83" i="1"/>
  <c r="K50" i="1"/>
  <c r="K101" i="1"/>
  <c r="K140" i="1"/>
  <c r="AB137" i="1"/>
  <c r="K225" i="1"/>
  <c r="G53" i="1"/>
  <c r="G137" i="1"/>
  <c r="J209" i="1"/>
  <c r="K104" i="1"/>
  <c r="J42" i="1"/>
  <c r="J194" i="1"/>
  <c r="J151" i="1"/>
  <c r="G106" i="1"/>
  <c r="G63" i="1"/>
  <c r="G51" i="1"/>
  <c r="N113" i="1"/>
  <c r="K41" i="1"/>
  <c r="J89" i="1"/>
  <c r="J102" i="1"/>
  <c r="G172" i="1"/>
  <c r="G176" i="1"/>
  <c r="G197" i="1"/>
  <c r="G178" i="1"/>
  <c r="E181" i="1"/>
  <c r="E127" i="1"/>
  <c r="N23" i="1"/>
  <c r="K125" i="1"/>
  <c r="J66" i="1"/>
  <c r="E251" i="1"/>
  <c r="G139" i="1"/>
  <c r="E212" i="1"/>
  <c r="E19" i="1"/>
  <c r="N14" i="1"/>
  <c r="AB124" i="1"/>
  <c r="N225" i="1"/>
  <c r="K142" i="1"/>
  <c r="E123" i="1"/>
  <c r="K75" i="1"/>
  <c r="G66" i="1"/>
  <c r="J179" i="1"/>
  <c r="J132" i="1"/>
  <c r="N201" i="1"/>
  <c r="J129" i="1"/>
  <c r="G78" i="1"/>
  <c r="E199" i="1"/>
  <c r="E223" i="1"/>
  <c r="E69" i="1"/>
  <c r="E219" i="1"/>
  <c r="G92" i="1"/>
  <c r="G98" i="1"/>
  <c r="E74" i="1"/>
  <c r="G29" i="1"/>
  <c r="J91" i="1"/>
  <c r="G101" i="1"/>
  <c r="G140" i="1"/>
  <c r="G45" i="1"/>
  <c r="J60" i="1"/>
  <c r="E121" i="1"/>
  <c r="E41" i="1"/>
  <c r="E60" i="1"/>
  <c r="E105" i="1"/>
  <c r="G68" i="1"/>
  <c r="E220" i="1"/>
  <c r="G37" i="1"/>
  <c r="J85" i="1"/>
  <c r="E200" i="1"/>
  <c r="G171" i="1"/>
  <c r="K198" i="1"/>
  <c r="E45" i="1"/>
  <c r="E110" i="1"/>
  <c r="E148" i="1"/>
  <c r="K133" i="1"/>
  <c r="G168" i="1"/>
  <c r="E190" i="1"/>
  <c r="E83" i="1"/>
  <c r="G204" i="1"/>
  <c r="E37" i="1"/>
  <c r="E46" i="1"/>
  <c r="E18" i="1"/>
  <c r="E141" i="1"/>
  <c r="E124" i="1"/>
  <c r="E2" i="1"/>
  <c r="G17" i="1"/>
  <c r="K148" i="1"/>
  <c r="E49" i="1"/>
  <c r="G177" i="1"/>
  <c r="J39" i="1"/>
  <c r="E197" i="1"/>
  <c r="J33" i="1"/>
  <c r="E138" i="1"/>
  <c r="G170" i="1"/>
  <c r="E125" i="1"/>
  <c r="G200" i="1"/>
  <c r="E9" i="1"/>
  <c r="E24" i="1"/>
  <c r="E115" i="1"/>
  <c r="G205" i="1"/>
  <c r="E168" i="1"/>
  <c r="E180" i="1"/>
  <c r="E167" i="1"/>
  <c r="K56" i="1"/>
  <c r="E93" i="1"/>
  <c r="E29" i="1"/>
  <c r="E203" i="1"/>
  <c r="K204" i="1"/>
  <c r="E185" i="1"/>
  <c r="E42" i="1"/>
  <c r="N62" i="1"/>
  <c r="G62" i="1"/>
  <c r="G6" i="1"/>
  <c r="E179" i="1"/>
  <c r="E70" i="1"/>
  <c r="G30" i="1"/>
  <c r="N247" i="1"/>
  <c r="G55" i="1"/>
  <c r="K44" i="1"/>
  <c r="K194" i="1"/>
  <c r="J104" i="1"/>
  <c r="J52" i="1"/>
  <c r="J27" i="1"/>
  <c r="G149" i="1"/>
  <c r="J140" i="1"/>
  <c r="J83" i="1"/>
  <c r="E216" i="1"/>
  <c r="G47" i="1"/>
  <c r="E164" i="1"/>
  <c r="J192" i="1"/>
  <c r="E157" i="1"/>
  <c r="G36" i="1"/>
  <c r="J173" i="1"/>
  <c r="E206" i="1"/>
  <c r="J49" i="1"/>
  <c r="E25" i="1"/>
  <c r="E183" i="1"/>
  <c r="E82" i="1"/>
  <c r="J34" i="1"/>
  <c r="G240" i="1"/>
  <c r="J97" i="1"/>
  <c r="E8" i="1"/>
  <c r="G184" i="1"/>
  <c r="E252" i="1"/>
  <c r="J130" i="1"/>
  <c r="G138" i="1"/>
  <c r="G38" i="1"/>
  <c r="E79" i="1"/>
  <c r="J237" i="1"/>
  <c r="G103" i="1"/>
  <c r="J136" i="1"/>
  <c r="E248" i="1"/>
  <c r="E250" i="1"/>
  <c r="E6" i="1"/>
  <c r="G100" i="1"/>
  <c r="G13" i="1"/>
  <c r="J249" i="1"/>
  <c r="E40" i="1"/>
  <c r="E189" i="1"/>
  <c r="E235" i="1"/>
  <c r="G242" i="1"/>
  <c r="J211" i="1"/>
  <c r="G159" i="1"/>
  <c r="E113" i="1"/>
  <c r="G4" i="1"/>
  <c r="J143" i="1"/>
  <c r="K150" i="1"/>
  <c r="AB209" i="1"/>
  <c r="AB180" i="1"/>
  <c r="AB195" i="1"/>
  <c r="J113" i="1"/>
  <c r="J141" i="1"/>
  <c r="K236" i="1"/>
  <c r="K73" i="1"/>
  <c r="G39" i="1"/>
  <c r="G110" i="1"/>
  <c r="G25" i="1"/>
  <c r="AB117" i="1"/>
  <c r="G215" i="1"/>
  <c r="J142" i="1"/>
  <c r="E131" i="1"/>
  <c r="E137" i="1"/>
  <c r="J121" i="1"/>
  <c r="G206" i="1"/>
  <c r="J247" i="1"/>
  <c r="E95" i="1"/>
  <c r="E166" i="1"/>
  <c r="E76" i="1"/>
  <c r="G70" i="1"/>
  <c r="E109" i="1"/>
  <c r="J160" i="1"/>
  <c r="E98" i="1"/>
  <c r="G96" i="1"/>
  <c r="E239" i="1"/>
  <c r="N231" i="1"/>
  <c r="G83" i="1"/>
  <c r="G231" i="1"/>
  <c r="E194" i="1"/>
  <c r="K120" i="1"/>
  <c r="G94" i="1"/>
  <c r="E160" i="1"/>
  <c r="G150" i="1"/>
  <c r="G143" i="1"/>
  <c r="J204" i="1"/>
  <c r="E81" i="1"/>
  <c r="E55" i="1"/>
  <c r="E133" i="1"/>
  <c r="G18" i="1"/>
  <c r="E147" i="1"/>
  <c r="G239" i="1"/>
  <c r="J224" i="1"/>
  <c r="G120" i="1"/>
  <c r="G246" i="1"/>
  <c r="E50" i="1"/>
  <c r="E7" i="1"/>
  <c r="G60" i="1"/>
  <c r="G151" i="1"/>
  <c r="G89" i="1"/>
  <c r="E238" i="1"/>
  <c r="G223" i="1"/>
  <c r="E173" i="1"/>
  <c r="G32" i="1"/>
  <c r="E26" i="1"/>
  <c r="E222" i="1"/>
  <c r="E122" i="1"/>
  <c r="J55" i="1"/>
  <c r="E101" i="1"/>
  <c r="K48" i="1"/>
  <c r="J112" i="1"/>
  <c r="G179" i="1"/>
  <c r="J76" i="1"/>
  <c r="G173" i="1"/>
  <c r="J187" i="1"/>
  <c r="J111" i="1"/>
  <c r="J178" i="1"/>
  <c r="E78" i="1"/>
  <c r="E193" i="1"/>
  <c r="J46" i="1"/>
  <c r="K81" i="1"/>
  <c r="J29" i="1"/>
  <c r="AB245" i="1"/>
  <c r="N81" i="1"/>
  <c r="J223" i="1"/>
  <c r="K115" i="1"/>
  <c r="K219" i="1"/>
  <c r="J147" i="1"/>
  <c r="E11" i="1"/>
  <c r="G107" i="1"/>
  <c r="E134" i="1"/>
  <c r="E23" i="1"/>
  <c r="J77" i="1"/>
  <c r="K202" i="1"/>
  <c r="E177" i="1"/>
  <c r="G116" i="1"/>
  <c r="G199" i="1"/>
  <c r="G153" i="1"/>
  <c r="E237" i="1"/>
  <c r="G186" i="1"/>
  <c r="G161" i="1"/>
  <c r="E51" i="1"/>
  <c r="E32" i="1"/>
  <c r="G124" i="1"/>
  <c r="E245" i="1"/>
  <c r="G67" i="1"/>
  <c r="G235" i="1"/>
  <c r="E145" i="1"/>
  <c r="K220" i="1"/>
  <c r="G201" i="1"/>
  <c r="N40" i="1"/>
  <c r="K203" i="1"/>
  <c r="N133" i="1"/>
  <c r="N25" i="1"/>
  <c r="G190" i="1"/>
  <c r="J176" i="1"/>
  <c r="K162" i="1"/>
  <c r="K51" i="1"/>
  <c r="J202" i="1"/>
  <c r="G196" i="1"/>
  <c r="G2" i="1"/>
  <c r="G52" i="1"/>
  <c r="J175" i="1"/>
  <c r="G79" i="1"/>
  <c r="K60" i="1"/>
  <c r="N60" i="1"/>
  <c r="G189" i="1"/>
  <c r="E143" i="1"/>
  <c r="G224" i="1"/>
  <c r="K39" i="1"/>
  <c r="G69" i="1"/>
  <c r="K52" i="1"/>
  <c r="N183" i="1"/>
  <c r="G80" i="1"/>
  <c r="E54" i="1"/>
  <c r="E104" i="1"/>
  <c r="J53" i="1"/>
  <c r="N112" i="1"/>
  <c r="G114" i="1"/>
  <c r="E34" i="1"/>
  <c r="E119" i="1"/>
  <c r="G214" i="1"/>
  <c r="N211" i="1"/>
  <c r="G164" i="1"/>
  <c r="E205" i="1"/>
  <c r="G163" i="1"/>
  <c r="G216" i="1"/>
  <c r="E100" i="1"/>
  <c r="E153" i="1"/>
  <c r="E152" i="1"/>
  <c r="E186" i="1"/>
  <c r="J213" i="1"/>
  <c r="E92" i="1"/>
  <c r="E5" i="1"/>
  <c r="K146" i="1"/>
  <c r="E128" i="1"/>
  <c r="E126" i="1"/>
  <c r="G129" i="1"/>
  <c r="E33" i="1"/>
  <c r="J145" i="1"/>
  <c r="K241" i="1"/>
  <c r="G202" i="1"/>
  <c r="J100" i="1"/>
  <c r="E218" i="1"/>
  <c r="E57" i="1"/>
  <c r="K240" i="1"/>
  <c r="G42" i="1"/>
  <c r="G77" i="1"/>
  <c r="E161" i="1"/>
  <c r="G91" i="1"/>
  <c r="N63" i="1"/>
  <c r="G243" i="1"/>
  <c r="E188" i="1"/>
  <c r="E28" i="1"/>
  <c r="E155" i="1"/>
  <c r="E163" i="1"/>
  <c r="G57" i="1"/>
  <c r="E111" i="1"/>
  <c r="N155" i="1"/>
  <c r="AB201" i="1"/>
  <c r="K112" i="1"/>
  <c r="K172" i="1"/>
  <c r="K46" i="1"/>
  <c r="G86" i="1"/>
  <c r="J131" i="1"/>
  <c r="N239" i="1"/>
  <c r="J233" i="1"/>
  <c r="G35" i="1"/>
  <c r="E170" i="1"/>
  <c r="N13" i="1"/>
  <c r="J128" i="1"/>
  <c r="J191" i="1"/>
  <c r="G165" i="1"/>
  <c r="E77" i="1"/>
  <c r="G146" i="1"/>
  <c r="K174" i="1"/>
  <c r="E233" i="1"/>
  <c r="G222" i="1"/>
  <c r="E215" i="1"/>
  <c r="N22" i="1"/>
  <c r="G244" i="1"/>
  <c r="G58" i="1"/>
  <c r="G136" i="1"/>
  <c r="G99" i="1"/>
  <c r="J61" i="1"/>
  <c r="G250" i="1"/>
  <c r="G44" i="1"/>
  <c r="G54" i="1"/>
  <c r="G56" i="1"/>
  <c r="E97" i="1"/>
  <c r="G180" i="1"/>
  <c r="J101" i="1"/>
  <c r="E86" i="1"/>
  <c r="G34" i="1"/>
  <c r="E227" i="1"/>
  <c r="E136" i="1"/>
  <c r="E112" i="1"/>
  <c r="E214" i="1"/>
  <c r="G234" i="1"/>
  <c r="J36" i="1"/>
  <c r="G8" i="1"/>
  <c r="G220" i="1"/>
  <c r="E31" i="1"/>
  <c r="G229" i="1"/>
  <c r="G227" i="1"/>
  <c r="E15" i="1"/>
  <c r="E176" i="1"/>
  <c r="G121" i="1"/>
  <c r="G87" i="1"/>
  <c r="G119" i="1"/>
  <c r="G64" i="1"/>
  <c r="E208" i="1"/>
  <c r="E72" i="1"/>
  <c r="E71" i="1"/>
  <c r="E207" i="1"/>
  <c r="J190" i="1"/>
  <c r="G61" i="1"/>
  <c r="K93" i="1"/>
  <c r="J227" i="1"/>
  <c r="K193" i="1"/>
  <c r="G76" i="1"/>
  <c r="G31" i="1"/>
  <c r="G71" i="1"/>
  <c r="G12" i="1"/>
  <c r="E94" i="1"/>
  <c r="E52" i="1"/>
  <c r="G191" i="1"/>
  <c r="G155" i="1"/>
  <c r="E130" i="1"/>
  <c r="E175" i="1"/>
  <c r="K131" i="1"/>
  <c r="G158" i="1"/>
  <c r="G11" i="1"/>
  <c r="K145" i="1"/>
  <c r="G118" i="1"/>
  <c r="G65" i="1"/>
  <c r="G97" i="1"/>
  <c r="G232" i="1"/>
  <c r="G210" i="1"/>
  <c r="E114" i="1"/>
  <c r="E66" i="1"/>
  <c r="E90" i="1"/>
  <c r="J195" i="1"/>
  <c r="E224" i="1"/>
  <c r="J67" i="1"/>
  <c r="E43" i="1"/>
  <c r="G46" i="1"/>
  <c r="E169" i="1"/>
  <c r="G198" i="1"/>
  <c r="K76" i="1"/>
  <c r="E198" i="1"/>
  <c r="E151" i="1"/>
  <c r="J107" i="1"/>
  <c r="E47" i="1"/>
  <c r="G251" i="1"/>
  <c r="E63" i="1"/>
  <c r="J228" i="1"/>
  <c r="E88" i="1"/>
  <c r="G247" i="1"/>
  <c r="G207" i="1"/>
  <c r="E247" i="1"/>
  <c r="E99" i="1"/>
  <c r="G209" i="1"/>
  <c r="J240" i="1"/>
  <c r="K243" i="1"/>
  <c r="E211" i="1"/>
  <c r="G50" i="1"/>
  <c r="G33" i="1"/>
  <c r="G26" i="1"/>
  <c r="E135" i="1"/>
  <c r="Y28" i="1" l="1"/>
  <c r="Y27" i="1"/>
  <c r="M36" i="1"/>
  <c r="L36" i="1"/>
  <c r="O22" i="1"/>
  <c r="P22" i="1"/>
  <c r="L191" i="1"/>
  <c r="M191" i="1"/>
  <c r="M53" i="1"/>
  <c r="L53" i="1"/>
  <c r="O60" i="1"/>
  <c r="P60" i="1"/>
  <c r="M224" i="1"/>
  <c r="L224" i="1"/>
  <c r="M121" i="1"/>
  <c r="L121" i="1"/>
  <c r="M49" i="1"/>
  <c r="L49" i="1"/>
  <c r="L192" i="1"/>
  <c r="M192" i="1"/>
  <c r="O247" i="1"/>
  <c r="P247" i="1"/>
  <c r="M39" i="1"/>
  <c r="L39" i="1"/>
  <c r="F75" i="1"/>
  <c r="F201" i="1"/>
  <c r="F29" i="1"/>
  <c r="F5" i="1"/>
  <c r="F246" i="1"/>
  <c r="F92" i="1"/>
  <c r="F25" i="1"/>
  <c r="F67" i="1"/>
  <c r="F131" i="1"/>
  <c r="F12" i="1"/>
  <c r="F118" i="1"/>
  <c r="F99" i="1"/>
  <c r="F206" i="1"/>
  <c r="F239" i="1"/>
  <c r="F79" i="1"/>
  <c r="F177" i="1"/>
  <c r="F72" i="1"/>
  <c r="F107" i="1"/>
  <c r="F175" i="1"/>
  <c r="F36" i="1"/>
  <c r="F115" i="1"/>
  <c r="F105" i="1"/>
  <c r="F145" i="1"/>
  <c r="F164" i="1"/>
  <c r="F43" i="1"/>
  <c r="F252" i="1"/>
  <c r="F28" i="1"/>
  <c r="F60" i="1"/>
  <c r="F33" i="1"/>
  <c r="F41" i="1"/>
  <c r="F236" i="1"/>
  <c r="F158" i="1"/>
  <c r="F104" i="1"/>
  <c r="F130" i="1"/>
  <c r="F191" i="1"/>
  <c r="F51" i="1"/>
  <c r="F174" i="1"/>
  <c r="F232" i="1"/>
  <c r="F53" i="1"/>
  <c r="F31" i="1"/>
  <c r="F134" i="1"/>
  <c r="F103" i="1"/>
  <c r="F139" i="1"/>
  <c r="F214" i="1"/>
  <c r="F126" i="1"/>
  <c r="F240" i="1"/>
  <c r="F80" i="1"/>
  <c r="F45" i="1"/>
  <c r="F113" i="1"/>
  <c r="F204" i="1"/>
  <c r="F9" i="1"/>
  <c r="F58" i="1"/>
  <c r="F192" i="1"/>
  <c r="F76" i="1"/>
  <c r="F187" i="1"/>
  <c r="F223" i="1"/>
  <c r="F16" i="1"/>
  <c r="F132" i="1"/>
  <c r="F196" i="1"/>
  <c r="F225" i="1"/>
  <c r="F137" i="1"/>
  <c r="F250" i="1"/>
  <c r="F98" i="1"/>
  <c r="F112" i="1"/>
  <c r="F165" i="1"/>
  <c r="F63" i="1"/>
  <c r="F194" i="1"/>
  <c r="F182" i="1"/>
  <c r="F142" i="1"/>
  <c r="F121" i="1"/>
  <c r="F54" i="1"/>
  <c r="F124" i="1"/>
  <c r="F69" i="1"/>
  <c r="F219" i="1"/>
  <c r="F153" i="1"/>
  <c r="F21" i="1"/>
  <c r="F111" i="1"/>
  <c r="F73" i="1"/>
  <c r="F116" i="1"/>
  <c r="F68" i="1"/>
  <c r="F6" i="1"/>
  <c r="F35" i="1"/>
  <c r="F189" i="1"/>
  <c r="F179" i="1"/>
  <c r="F211" i="1"/>
  <c r="F215" i="1"/>
  <c r="F231" i="1"/>
  <c r="F247" i="1"/>
  <c r="F83" i="1"/>
  <c r="F245" i="1"/>
  <c r="F198" i="1"/>
  <c r="F208" i="1"/>
  <c r="F96" i="1"/>
  <c r="F30" i="1"/>
  <c r="F123" i="1"/>
  <c r="F178" i="1"/>
  <c r="F248" i="1"/>
  <c r="F37" i="1"/>
  <c r="F218" i="1"/>
  <c r="F149" i="1"/>
  <c r="F154" i="1"/>
  <c r="F148" i="1"/>
  <c r="F109" i="1"/>
  <c r="F169" i="1"/>
  <c r="F203" i="1"/>
  <c r="F81" i="1"/>
  <c r="F184" i="1"/>
  <c r="F32" i="1"/>
  <c r="F197" i="1"/>
  <c r="F224" i="1"/>
  <c r="F185" i="1"/>
  <c r="F106" i="1"/>
  <c r="F4" i="1"/>
  <c r="F167" i="1"/>
  <c r="F108" i="1"/>
  <c r="F146" i="1"/>
  <c r="F2" i="1"/>
  <c r="F55" i="1"/>
  <c r="F46" i="1"/>
  <c r="F89" i="1"/>
  <c r="F24" i="1"/>
  <c r="F249" i="1"/>
  <c r="F230" i="1"/>
  <c r="F242" i="1"/>
  <c r="F61" i="1"/>
  <c r="F155" i="1"/>
  <c r="F56" i="1"/>
  <c r="F237" i="1"/>
  <c r="F229" i="1"/>
  <c r="F94" i="1"/>
  <c r="F3" i="1"/>
  <c r="F222" i="1"/>
  <c r="F34" i="1"/>
  <c r="F166" i="1"/>
  <c r="F151" i="1"/>
  <c r="F23" i="1"/>
  <c r="F86" i="1"/>
  <c r="F38" i="1"/>
  <c r="F135" i="1"/>
  <c r="F27" i="1"/>
  <c r="F220" i="1"/>
  <c r="F8" i="1"/>
  <c r="F95" i="1"/>
  <c r="F90" i="1"/>
  <c r="F244" i="1"/>
  <c r="F181" i="1"/>
  <c r="F183" i="1"/>
  <c r="F42" i="1"/>
  <c r="F101" i="1"/>
  <c r="F173" i="1"/>
  <c r="F241" i="1"/>
  <c r="F162" i="1"/>
  <c r="F18" i="1"/>
  <c r="F205" i="1"/>
  <c r="F77" i="1"/>
  <c r="F120" i="1"/>
  <c r="F163" i="1"/>
  <c r="F235" i="1"/>
  <c r="F114" i="1"/>
  <c r="F40" i="1"/>
  <c r="F207" i="1"/>
  <c r="F156" i="1"/>
  <c r="F44" i="1"/>
  <c r="F93" i="1"/>
  <c r="F228" i="1"/>
  <c r="F152" i="1"/>
  <c r="F168" i="1"/>
  <c r="F234" i="1"/>
  <c r="F119" i="1"/>
  <c r="F117" i="1"/>
  <c r="F102" i="1"/>
  <c r="F110" i="1"/>
  <c r="F199" i="1"/>
  <c r="F22" i="1"/>
  <c r="F87" i="1"/>
  <c r="F200" i="1"/>
  <c r="F39" i="1"/>
  <c r="F157" i="1"/>
  <c r="F147" i="1"/>
  <c r="F195" i="1"/>
  <c r="F129" i="1"/>
  <c r="F171" i="1"/>
  <c r="F85" i="1"/>
  <c r="F57" i="1"/>
  <c r="F251" i="1"/>
  <c r="F144" i="1"/>
  <c r="F19" i="1"/>
  <c r="F243" i="1"/>
  <c r="F213" i="1"/>
  <c r="F216" i="1"/>
  <c r="F52" i="1"/>
  <c r="F26" i="1"/>
  <c r="F59" i="1"/>
  <c r="F217" i="1"/>
  <c r="F188" i="1"/>
  <c r="F15" i="1"/>
  <c r="F186" i="1"/>
  <c r="F14" i="1"/>
  <c r="F161" i="1"/>
  <c r="F47" i="1"/>
  <c r="F238" i="1"/>
  <c r="F233" i="1"/>
  <c r="F140" i="1"/>
  <c r="F65" i="1"/>
  <c r="F78" i="1"/>
  <c r="F88" i="1"/>
  <c r="F20" i="1"/>
  <c r="F133" i="1"/>
  <c r="F190" i="1"/>
  <c r="F91" i="1"/>
  <c r="F138" i="1"/>
  <c r="F84" i="1"/>
  <c r="F50" i="1"/>
  <c r="F172" i="1"/>
  <c r="F176" i="1"/>
  <c r="F48" i="1"/>
  <c r="F74" i="1"/>
  <c r="F127" i="1"/>
  <c r="F49" i="1"/>
  <c r="F62" i="1"/>
  <c r="F141" i="1"/>
  <c r="F82" i="1"/>
  <c r="F180" i="1"/>
  <c r="F70" i="1"/>
  <c r="F221" i="1"/>
  <c r="F227" i="1"/>
  <c r="F11" i="1"/>
  <c r="F128" i="1"/>
  <c r="F122" i="1"/>
  <c r="F170" i="1"/>
  <c r="F71" i="1"/>
  <c r="F97" i="1"/>
  <c r="F193" i="1"/>
  <c r="F150" i="1"/>
  <c r="F160" i="1"/>
  <c r="F17" i="1"/>
  <c r="F210" i="1"/>
  <c r="F13" i="1"/>
  <c r="F64" i="1"/>
  <c r="F226" i="1"/>
  <c r="F202" i="1"/>
  <c r="F212" i="1"/>
  <c r="F7" i="1"/>
  <c r="F159" i="1"/>
  <c r="F143" i="1"/>
  <c r="F10" i="1"/>
  <c r="F125" i="1"/>
  <c r="F209" i="1"/>
  <c r="F136" i="1"/>
  <c r="F66" i="1"/>
  <c r="F100" i="1"/>
  <c r="L85" i="1"/>
  <c r="M85" i="1"/>
  <c r="O201" i="1"/>
  <c r="P201" i="1"/>
  <c r="P23" i="1"/>
  <c r="O23" i="1"/>
  <c r="L89" i="1"/>
  <c r="M89" i="1"/>
  <c r="M81" i="1"/>
  <c r="L81" i="1"/>
  <c r="P204" i="1"/>
  <c r="O204" i="1"/>
  <c r="M218" i="1"/>
  <c r="L218" i="1"/>
  <c r="L86" i="1"/>
  <c r="M86" i="1"/>
  <c r="M124" i="1"/>
  <c r="L124" i="1"/>
  <c r="P12" i="1"/>
  <c r="O12" i="1"/>
  <c r="L37" i="1"/>
  <c r="M37" i="1"/>
  <c r="M64" i="1"/>
  <c r="L64" i="1"/>
  <c r="P43" i="1"/>
  <c r="O43" i="1"/>
  <c r="O19" i="1"/>
  <c r="P19" i="1"/>
  <c r="P189" i="1"/>
  <c r="O189" i="1"/>
  <c r="M220" i="1"/>
  <c r="L220" i="1"/>
  <c r="L50" i="1"/>
  <c r="M50" i="1"/>
  <c r="L120" i="1"/>
  <c r="M120" i="1"/>
  <c r="O42" i="1"/>
  <c r="P42" i="1"/>
  <c r="P47" i="1"/>
  <c r="O47" i="1"/>
  <c r="L169" i="1"/>
  <c r="M169" i="1"/>
  <c r="L164" i="1"/>
  <c r="M164" i="1"/>
  <c r="L203" i="1"/>
  <c r="M203" i="1"/>
  <c r="O158" i="1"/>
  <c r="P158" i="1"/>
  <c r="O97" i="1"/>
  <c r="P97" i="1"/>
  <c r="L105" i="1"/>
  <c r="M105" i="1"/>
  <c r="L40" i="1"/>
  <c r="M40" i="1"/>
  <c r="L28" i="1"/>
  <c r="M28" i="1"/>
  <c r="O65" i="1"/>
  <c r="P65" i="1"/>
  <c r="O92" i="1"/>
  <c r="P92" i="1"/>
  <c r="P93" i="1"/>
  <c r="O93" i="1"/>
  <c r="O137" i="1"/>
  <c r="P137" i="1"/>
  <c r="P230" i="1"/>
  <c r="O230" i="1"/>
  <c r="P26" i="1"/>
  <c r="O26" i="1"/>
  <c r="O33" i="1"/>
  <c r="P33" i="1"/>
  <c r="O16" i="1"/>
  <c r="P16" i="1"/>
  <c r="O45" i="1"/>
  <c r="P45" i="1"/>
  <c r="P220" i="1"/>
  <c r="O220" i="1"/>
  <c r="O143" i="1"/>
  <c r="P143" i="1"/>
  <c r="P145" i="1"/>
  <c r="O145" i="1"/>
  <c r="M228" i="1"/>
  <c r="L228" i="1"/>
  <c r="L90" i="1"/>
  <c r="M90" i="1"/>
  <c r="M163" i="1"/>
  <c r="L163" i="1"/>
  <c r="P199" i="1"/>
  <c r="O199" i="1"/>
  <c r="L236" i="1"/>
  <c r="M236" i="1"/>
  <c r="P116" i="1"/>
  <c r="O116" i="1"/>
  <c r="L159" i="1"/>
  <c r="M159" i="1"/>
  <c r="O146" i="1"/>
  <c r="P146" i="1"/>
  <c r="O50" i="1"/>
  <c r="P50" i="1"/>
  <c r="P20" i="1"/>
  <c r="O20" i="1"/>
  <c r="O194" i="1"/>
  <c r="P194" i="1"/>
  <c r="M93" i="1"/>
  <c r="L93" i="1"/>
  <c r="M95" i="1"/>
  <c r="L95" i="1"/>
  <c r="L103" i="1"/>
  <c r="M103" i="1"/>
  <c r="L87" i="1"/>
  <c r="M87" i="1"/>
  <c r="O140" i="1"/>
  <c r="P140" i="1"/>
  <c r="P144" i="1"/>
  <c r="O144" i="1"/>
  <c r="O118" i="1"/>
  <c r="P118" i="1"/>
  <c r="P28" i="1"/>
  <c r="O28" i="1"/>
  <c r="O115" i="1"/>
  <c r="P115" i="1"/>
  <c r="O222" i="1"/>
  <c r="P222" i="1"/>
  <c r="P152" i="1"/>
  <c r="O152" i="1"/>
  <c r="P104" i="1"/>
  <c r="O104" i="1"/>
  <c r="O78" i="1"/>
  <c r="P78" i="1"/>
  <c r="O217" i="1"/>
  <c r="P217" i="1"/>
  <c r="O186" i="1"/>
  <c r="P186" i="1"/>
  <c r="P150" i="1"/>
  <c r="O150" i="1"/>
  <c r="O71" i="1"/>
  <c r="P71" i="1"/>
  <c r="P139" i="1"/>
  <c r="O139" i="1"/>
  <c r="L240" i="1"/>
  <c r="M240" i="1"/>
  <c r="O155" i="1"/>
  <c r="P155" i="1"/>
  <c r="O25" i="1"/>
  <c r="P25" i="1"/>
  <c r="M178" i="1"/>
  <c r="L178" i="1"/>
  <c r="M112" i="1"/>
  <c r="L112" i="1"/>
  <c r="L249" i="1"/>
  <c r="M249" i="1"/>
  <c r="M33" i="1"/>
  <c r="L33" i="1"/>
  <c r="L60" i="1"/>
  <c r="M60" i="1"/>
  <c r="M91" i="1"/>
  <c r="L91" i="1"/>
  <c r="P156" i="1"/>
  <c r="O156" i="1"/>
  <c r="M225" i="1"/>
  <c r="L225" i="1"/>
  <c r="M32" i="1"/>
  <c r="L32" i="1"/>
  <c r="L26" i="1"/>
  <c r="M26" i="1"/>
  <c r="O161" i="1"/>
  <c r="P161" i="1"/>
  <c r="O46" i="1"/>
  <c r="P46" i="1"/>
  <c r="M239" i="1"/>
  <c r="L239" i="1"/>
  <c r="M230" i="1"/>
  <c r="L230" i="1"/>
  <c r="L44" i="1"/>
  <c r="M44" i="1"/>
  <c r="M126" i="1"/>
  <c r="L126" i="1"/>
  <c r="L252" i="1"/>
  <c r="M252" i="1"/>
  <c r="P159" i="1"/>
  <c r="O159" i="1"/>
  <c r="O215" i="1"/>
  <c r="P215" i="1"/>
  <c r="O4" i="1"/>
  <c r="P4" i="1"/>
  <c r="L38" i="1"/>
  <c r="M38" i="1"/>
  <c r="O170" i="1"/>
  <c r="P170" i="1"/>
  <c r="P58" i="1"/>
  <c r="O58" i="1"/>
  <c r="O250" i="1"/>
  <c r="P250" i="1"/>
  <c r="O39" i="1"/>
  <c r="P39" i="1"/>
  <c r="M185" i="1"/>
  <c r="L185" i="1"/>
  <c r="L242" i="1"/>
  <c r="M242" i="1"/>
  <c r="O174" i="1"/>
  <c r="P174" i="1"/>
  <c r="P8" i="1"/>
  <c r="O8" i="1"/>
  <c r="O124" i="1"/>
  <c r="P124" i="1"/>
  <c r="O237" i="1"/>
  <c r="P237" i="1"/>
  <c r="P106" i="1"/>
  <c r="O106" i="1"/>
  <c r="L206" i="1"/>
  <c r="M206" i="1"/>
  <c r="M222" i="1"/>
  <c r="L222" i="1"/>
  <c r="M57" i="1"/>
  <c r="L57" i="1"/>
  <c r="L122" i="1"/>
  <c r="M122" i="1"/>
  <c r="P89" i="1"/>
  <c r="O89" i="1"/>
  <c r="L68" i="1"/>
  <c r="M68" i="1"/>
  <c r="L180" i="1"/>
  <c r="M180" i="1"/>
  <c r="M78" i="1"/>
  <c r="L78" i="1"/>
  <c r="M48" i="1"/>
  <c r="L48" i="1"/>
  <c r="M94" i="1"/>
  <c r="L94" i="1"/>
  <c r="O128" i="1"/>
  <c r="P128" i="1"/>
  <c r="O206" i="1"/>
  <c r="P206" i="1"/>
  <c r="P236" i="1"/>
  <c r="O236" i="1"/>
  <c r="P234" i="1"/>
  <c r="O234" i="1"/>
  <c r="O103" i="1"/>
  <c r="P103" i="1"/>
  <c r="P169" i="1"/>
  <c r="O169" i="1"/>
  <c r="O6" i="1"/>
  <c r="P6" i="1"/>
  <c r="P74" i="1"/>
  <c r="O74" i="1"/>
  <c r="P165" i="1"/>
  <c r="O165" i="1"/>
  <c r="P51" i="1"/>
  <c r="O51" i="1"/>
  <c r="P56" i="1"/>
  <c r="O56" i="1"/>
  <c r="O34" i="1"/>
  <c r="P34" i="1"/>
  <c r="M247" i="1"/>
  <c r="L247" i="1"/>
  <c r="L140" i="1"/>
  <c r="M140" i="1"/>
  <c r="P62" i="1"/>
  <c r="O62" i="1"/>
  <c r="M66" i="1"/>
  <c r="L66" i="1"/>
  <c r="O154" i="1"/>
  <c r="P154" i="1"/>
  <c r="L63" i="1"/>
  <c r="M63" i="1"/>
  <c r="M251" i="1"/>
  <c r="L251" i="1"/>
  <c r="M212" i="1"/>
  <c r="L212" i="1"/>
  <c r="M170" i="1"/>
  <c r="L170" i="1"/>
  <c r="O94" i="1"/>
  <c r="P94" i="1"/>
  <c r="O244" i="1"/>
  <c r="P244" i="1"/>
  <c r="M59" i="1"/>
  <c r="L59" i="1"/>
  <c r="L167" i="1"/>
  <c r="M167" i="1"/>
  <c r="M207" i="1"/>
  <c r="L207" i="1"/>
  <c r="O70" i="1"/>
  <c r="P70" i="1"/>
  <c r="L248" i="1"/>
  <c r="M248" i="1"/>
  <c r="O243" i="1"/>
  <c r="P243" i="1"/>
  <c r="L128" i="1"/>
  <c r="M128" i="1"/>
  <c r="P239" i="1"/>
  <c r="O239" i="1"/>
  <c r="M100" i="1"/>
  <c r="L100" i="1"/>
  <c r="M202" i="1"/>
  <c r="L202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136" i="1"/>
  <c r="M136" i="1"/>
  <c r="L97" i="1"/>
  <c r="M97" i="1"/>
  <c r="M173" i="1"/>
  <c r="L173" i="1"/>
  <c r="M52" i="1"/>
  <c r="L52" i="1"/>
  <c r="M132" i="1"/>
  <c r="L132" i="1"/>
  <c r="P113" i="1"/>
  <c r="O113" i="1"/>
  <c r="L232" i="1"/>
  <c r="M232" i="1"/>
  <c r="O31" i="1"/>
  <c r="P31" i="1"/>
  <c r="M24" i="1"/>
  <c r="L24" i="1"/>
  <c r="P3" i="1"/>
  <c r="O3" i="1"/>
  <c r="L98" i="1"/>
  <c r="M98" i="1"/>
  <c r="L92" i="1"/>
  <c r="M92" i="1"/>
  <c r="L123" i="1"/>
  <c r="M123" i="1"/>
  <c r="L35" i="1"/>
  <c r="M35" i="1"/>
  <c r="M84" i="1"/>
  <c r="L84" i="1"/>
  <c r="O228" i="1"/>
  <c r="P228" i="1"/>
  <c r="L201" i="1"/>
  <c r="M201" i="1"/>
  <c r="M229" i="1"/>
  <c r="L229" i="1"/>
  <c r="L166" i="1"/>
  <c r="M166" i="1"/>
  <c r="O197" i="1"/>
  <c r="P197" i="1"/>
  <c r="M88" i="1"/>
  <c r="L88" i="1"/>
  <c r="O248" i="1"/>
  <c r="P248" i="1"/>
  <c r="P235" i="1"/>
  <c r="O235" i="1"/>
  <c r="L41" i="1"/>
  <c r="M41" i="1"/>
  <c r="P252" i="1"/>
  <c r="O252" i="1"/>
  <c r="P193" i="1"/>
  <c r="O193" i="1"/>
  <c r="L183" i="1"/>
  <c r="M183" i="1"/>
  <c r="M25" i="1"/>
  <c r="L25" i="1"/>
  <c r="O24" i="1"/>
  <c r="P24" i="1"/>
  <c r="M54" i="1"/>
  <c r="L54" i="1"/>
  <c r="L246" i="1"/>
  <c r="M246" i="1"/>
  <c r="P136" i="1"/>
  <c r="O136" i="1"/>
  <c r="P148" i="1"/>
  <c r="O148" i="1"/>
  <c r="P86" i="1"/>
  <c r="O86" i="1"/>
  <c r="L146" i="1"/>
  <c r="M146" i="1"/>
  <c r="P147" i="1"/>
  <c r="O147" i="1"/>
  <c r="P30" i="1"/>
  <c r="O30" i="1"/>
  <c r="P241" i="1"/>
  <c r="O241" i="1"/>
  <c r="O190" i="1"/>
  <c r="P190" i="1"/>
  <c r="M125" i="1"/>
  <c r="L125" i="1"/>
  <c r="M177" i="1"/>
  <c r="L177" i="1"/>
  <c r="P249" i="1"/>
  <c r="O249" i="1"/>
  <c r="P85" i="1"/>
  <c r="O85" i="1"/>
  <c r="O41" i="1"/>
  <c r="P41" i="1"/>
  <c r="P64" i="1"/>
  <c r="O64" i="1"/>
  <c r="P110" i="1"/>
  <c r="O110" i="1"/>
  <c r="P27" i="1"/>
  <c r="O27" i="1"/>
  <c r="P38" i="1"/>
  <c r="O38" i="1"/>
  <c r="O160" i="1"/>
  <c r="P160" i="1"/>
  <c r="P134" i="1"/>
  <c r="O134" i="1"/>
  <c r="P202" i="1"/>
  <c r="O202" i="1"/>
  <c r="P229" i="1"/>
  <c r="O229" i="1"/>
  <c r="O88" i="1"/>
  <c r="P88" i="1"/>
  <c r="P203" i="1"/>
  <c r="O203" i="1"/>
  <c r="O162" i="1"/>
  <c r="P162" i="1"/>
  <c r="M150" i="1"/>
  <c r="L150" i="1"/>
  <c r="O5" i="1"/>
  <c r="P5" i="1"/>
  <c r="O77" i="1"/>
  <c r="P77" i="1"/>
  <c r="P121" i="1"/>
  <c r="O121" i="1"/>
  <c r="O59" i="1"/>
  <c r="P59" i="1"/>
  <c r="P192" i="1"/>
  <c r="O192" i="1"/>
  <c r="P231" i="1"/>
  <c r="O231" i="1"/>
  <c r="L130" i="1"/>
  <c r="M130" i="1"/>
  <c r="L83" i="1"/>
  <c r="M83" i="1"/>
  <c r="L27" i="1"/>
  <c r="M27" i="1"/>
  <c r="L151" i="1"/>
  <c r="M151" i="1"/>
  <c r="P83" i="1"/>
  <c r="O83" i="1"/>
  <c r="O11" i="1"/>
  <c r="P11" i="1"/>
  <c r="L189" i="1"/>
  <c r="M189" i="1"/>
  <c r="M70" i="1"/>
  <c r="L70" i="1"/>
  <c r="M200" i="1"/>
  <c r="L200" i="1"/>
  <c r="L226" i="1"/>
  <c r="M226" i="1"/>
  <c r="P191" i="1"/>
  <c r="O191" i="1"/>
  <c r="L196" i="1"/>
  <c r="M196" i="1"/>
  <c r="L96" i="1"/>
  <c r="M96" i="1"/>
  <c r="M43" i="1"/>
  <c r="L43" i="1"/>
  <c r="M79" i="1"/>
  <c r="L79" i="1"/>
  <c r="L119" i="1"/>
  <c r="M119" i="1"/>
  <c r="L235" i="1"/>
  <c r="M235" i="1"/>
  <c r="P57" i="1"/>
  <c r="O57" i="1"/>
  <c r="L157" i="1"/>
  <c r="M157" i="1"/>
  <c r="L108" i="1"/>
  <c r="M108" i="1"/>
  <c r="O232" i="1"/>
  <c r="P232" i="1"/>
  <c r="P48" i="1"/>
  <c r="O48" i="1"/>
  <c r="M118" i="1"/>
  <c r="L118" i="1"/>
  <c r="M171" i="1"/>
  <c r="L171" i="1"/>
  <c r="L139" i="1"/>
  <c r="M139" i="1"/>
  <c r="P177" i="1"/>
  <c r="O177" i="1"/>
  <c r="M31" i="1"/>
  <c r="L31" i="1"/>
  <c r="P210" i="1"/>
  <c r="O210" i="1"/>
  <c r="L135" i="1"/>
  <c r="M135" i="1"/>
  <c r="O149" i="1"/>
  <c r="P149" i="1"/>
  <c r="M205" i="1"/>
  <c r="L205" i="1"/>
  <c r="L184" i="1"/>
  <c r="M184" i="1"/>
  <c r="L23" i="1"/>
  <c r="M23" i="1"/>
  <c r="O187" i="1"/>
  <c r="P187" i="1"/>
  <c r="M199" i="1"/>
  <c r="L199" i="1"/>
  <c r="L161" i="1"/>
  <c r="M161" i="1"/>
  <c r="P251" i="1"/>
  <c r="O251" i="1"/>
  <c r="P18" i="1"/>
  <c r="O18" i="1"/>
  <c r="P173" i="1"/>
  <c r="O173" i="1"/>
  <c r="L244" i="1"/>
  <c r="M244" i="1"/>
  <c r="M188" i="1"/>
  <c r="L188" i="1"/>
  <c r="M214" i="1"/>
  <c r="L214" i="1"/>
  <c r="O227" i="1"/>
  <c r="P227" i="1"/>
  <c r="P242" i="1"/>
  <c r="O242" i="1"/>
  <c r="P207" i="1"/>
  <c r="O207" i="1"/>
  <c r="P79" i="1"/>
  <c r="O79" i="1"/>
  <c r="O196" i="1"/>
  <c r="P196" i="1"/>
  <c r="O221" i="1"/>
  <c r="P221" i="1"/>
  <c r="P17" i="1"/>
  <c r="O17" i="1"/>
  <c r="P87" i="1"/>
  <c r="O87" i="1"/>
  <c r="P111" i="1"/>
  <c r="O111" i="1"/>
  <c r="O29" i="1"/>
  <c r="P29" i="1"/>
  <c r="O219" i="1"/>
  <c r="P219" i="1"/>
  <c r="P90" i="1"/>
  <c r="O90" i="1"/>
  <c r="O80" i="1"/>
  <c r="P80" i="1"/>
  <c r="P132" i="1"/>
  <c r="O132" i="1"/>
  <c r="P54" i="1"/>
  <c r="O54" i="1"/>
  <c r="M233" i="1"/>
  <c r="L233" i="1"/>
  <c r="L195" i="1"/>
  <c r="M195" i="1"/>
  <c r="M61" i="1"/>
  <c r="L61" i="1"/>
  <c r="O81" i="1"/>
  <c r="P81" i="1"/>
  <c r="L107" i="1"/>
  <c r="M107" i="1"/>
  <c r="L213" i="1"/>
  <c r="M213" i="1"/>
  <c r="M175" i="1"/>
  <c r="L175" i="1"/>
  <c r="M187" i="1"/>
  <c r="L187" i="1"/>
  <c r="M55" i="1"/>
  <c r="L55" i="1"/>
  <c r="L160" i="1"/>
  <c r="M160" i="1"/>
  <c r="L113" i="1"/>
  <c r="M113" i="1"/>
  <c r="M237" i="1"/>
  <c r="L237" i="1"/>
  <c r="L104" i="1"/>
  <c r="M104" i="1"/>
  <c r="L129" i="1"/>
  <c r="M129" i="1"/>
  <c r="M179" i="1"/>
  <c r="L179" i="1"/>
  <c r="P225" i="1"/>
  <c r="O225" i="1"/>
  <c r="L102" i="1"/>
  <c r="M102" i="1"/>
  <c r="M194" i="1"/>
  <c r="L194" i="1"/>
  <c r="M209" i="1"/>
  <c r="L209" i="1"/>
  <c r="L152" i="1"/>
  <c r="M152" i="1"/>
  <c r="M62" i="1"/>
  <c r="L62" i="1"/>
  <c r="L219" i="1"/>
  <c r="M219" i="1"/>
  <c r="O226" i="1"/>
  <c r="P226" i="1"/>
  <c r="L208" i="1"/>
  <c r="M208" i="1"/>
  <c r="L117" i="1"/>
  <c r="M117" i="1"/>
  <c r="L217" i="1"/>
  <c r="M217" i="1"/>
  <c r="M72" i="1"/>
  <c r="L72" i="1"/>
  <c r="L153" i="1"/>
  <c r="M153" i="1"/>
  <c r="M99" i="1"/>
  <c r="L99" i="1"/>
  <c r="M148" i="1"/>
  <c r="L148" i="1"/>
  <c r="P44" i="1"/>
  <c r="O44" i="1"/>
  <c r="L186" i="1"/>
  <c r="M186" i="1"/>
  <c r="L109" i="1"/>
  <c r="M109" i="1"/>
  <c r="M45" i="1"/>
  <c r="L45" i="1"/>
  <c r="M155" i="1"/>
  <c r="L155" i="1"/>
  <c r="P82" i="1"/>
  <c r="O82" i="1"/>
  <c r="M115" i="1"/>
  <c r="L115" i="1"/>
  <c r="L51" i="1"/>
  <c r="M51" i="1"/>
  <c r="P9" i="1"/>
  <c r="O9" i="1"/>
  <c r="M182" i="1"/>
  <c r="L182" i="1"/>
  <c r="P99" i="1"/>
  <c r="O99" i="1"/>
  <c r="P172" i="1"/>
  <c r="O172" i="1"/>
  <c r="P233" i="1"/>
  <c r="O233" i="1"/>
  <c r="O216" i="1"/>
  <c r="P216" i="1"/>
  <c r="P246" i="1"/>
  <c r="O246" i="1"/>
  <c r="L234" i="1"/>
  <c r="M234" i="1"/>
  <c r="P218" i="1"/>
  <c r="O218" i="1"/>
  <c r="M158" i="1"/>
  <c r="L158" i="1"/>
  <c r="P36" i="1"/>
  <c r="O36" i="1"/>
  <c r="M168" i="1"/>
  <c r="L168" i="1"/>
  <c r="O164" i="1"/>
  <c r="P164" i="1"/>
  <c r="P66" i="1"/>
  <c r="O66" i="1"/>
  <c r="M22" i="1"/>
  <c r="L22" i="1"/>
  <c r="O157" i="1"/>
  <c r="P157" i="1"/>
  <c r="P138" i="1"/>
  <c r="O138" i="1"/>
  <c r="L197" i="1"/>
  <c r="M197" i="1"/>
  <c r="L127" i="1"/>
  <c r="M127" i="1"/>
  <c r="O67" i="1"/>
  <c r="P67" i="1"/>
  <c r="P198" i="1"/>
  <c r="O198" i="1"/>
  <c r="O73" i="1"/>
  <c r="P73" i="1"/>
  <c r="O180" i="1"/>
  <c r="P180" i="1"/>
  <c r="O84" i="1"/>
  <c r="P84" i="1"/>
  <c r="O76" i="1"/>
  <c r="P76" i="1"/>
  <c r="P176" i="1"/>
  <c r="O176" i="1"/>
  <c r="O117" i="1"/>
  <c r="P117" i="1"/>
  <c r="P122" i="1"/>
  <c r="O122" i="1"/>
  <c r="O200" i="1"/>
  <c r="P200" i="1"/>
  <c r="O7" i="1"/>
  <c r="P7" i="1"/>
  <c r="P75" i="1"/>
  <c r="O75" i="1"/>
  <c r="P182" i="1"/>
  <c r="O182" i="1"/>
  <c r="O100" i="1"/>
  <c r="P100" i="1"/>
  <c r="O175" i="1"/>
  <c r="P175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P13" i="1"/>
  <c r="O13" i="1"/>
  <c r="P133" i="1"/>
  <c r="O133" i="1"/>
  <c r="L67" i="1"/>
  <c r="M67" i="1"/>
  <c r="L131" i="1"/>
  <c r="M131" i="1"/>
  <c r="O63" i="1"/>
  <c r="P63" i="1"/>
  <c r="P40" i="1"/>
  <c r="O40" i="1"/>
  <c r="L193" i="1"/>
  <c r="M193" i="1"/>
  <c r="M149" i="1"/>
  <c r="L149" i="1"/>
  <c r="L65" i="1"/>
  <c r="M65" i="1"/>
  <c r="M74" i="1"/>
  <c r="L74" i="1"/>
  <c r="M75" i="1"/>
  <c r="L75" i="1"/>
  <c r="M250" i="1"/>
  <c r="L250" i="1"/>
  <c r="M144" i="1"/>
  <c r="L144" i="1"/>
  <c r="M80" i="1"/>
  <c r="L80" i="1"/>
  <c r="P32" i="1"/>
  <c r="O32" i="1"/>
  <c r="P205" i="1"/>
  <c r="O205" i="1"/>
  <c r="O212" i="1"/>
  <c r="P212" i="1"/>
  <c r="P72" i="1"/>
  <c r="O72" i="1"/>
  <c r="M73" i="1"/>
  <c r="L73" i="1"/>
  <c r="P153" i="1"/>
  <c r="O153" i="1"/>
  <c r="P130" i="1"/>
  <c r="O130" i="1"/>
  <c r="O37" i="1"/>
  <c r="P37" i="1"/>
  <c r="L210" i="1"/>
  <c r="M210" i="1"/>
  <c r="M138" i="1"/>
  <c r="L138" i="1"/>
  <c r="P240" i="1"/>
  <c r="O240" i="1"/>
  <c r="P181" i="1"/>
  <c r="O181" i="1"/>
  <c r="M106" i="1"/>
  <c r="L106" i="1"/>
  <c r="L231" i="1"/>
  <c r="M231" i="1"/>
  <c r="L238" i="1"/>
  <c r="M238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L215" i="1"/>
  <c r="M215" i="1"/>
  <c r="M69" i="1"/>
  <c r="L69" i="1"/>
  <c r="M110" i="1"/>
  <c r="L110" i="1"/>
  <c r="P119" i="1"/>
  <c r="O119" i="1"/>
  <c r="P245" i="1"/>
  <c r="O245" i="1"/>
  <c r="P135" i="1"/>
  <c r="O135" i="1"/>
  <c r="O49" i="1"/>
  <c r="P49" i="1"/>
  <c r="P10" i="1"/>
  <c r="O10" i="1"/>
  <c r="O209" i="1"/>
  <c r="P209" i="1"/>
  <c r="P95" i="1"/>
  <c r="O95" i="1"/>
  <c r="P163" i="1"/>
  <c r="O163" i="1"/>
  <c r="O195" i="1"/>
  <c r="P195" i="1"/>
  <c r="O68" i="1"/>
  <c r="P68" i="1"/>
  <c r="P167" i="1"/>
  <c r="O167" i="1"/>
  <c r="O96" i="1"/>
  <c r="P96" i="1"/>
  <c r="L190" i="1"/>
  <c r="M190" i="1"/>
  <c r="M101" i="1"/>
  <c r="L101" i="1"/>
  <c r="P183" i="1"/>
  <c r="O183" i="1"/>
  <c r="M176" i="1"/>
  <c r="L176" i="1"/>
  <c r="L29" i="1"/>
  <c r="M29" i="1"/>
  <c r="M42" i="1"/>
  <c r="L42" i="1"/>
  <c r="M58" i="1"/>
  <c r="L58" i="1"/>
  <c r="P166" i="1"/>
  <c r="O166" i="1"/>
  <c r="P171" i="1"/>
  <c r="O171" i="1"/>
  <c r="W30" i="1"/>
  <c r="M227" i="1"/>
  <c r="L227" i="1"/>
  <c r="M145" i="1"/>
  <c r="L145" i="1"/>
  <c r="P211" i="1"/>
  <c r="O211" i="1"/>
  <c r="P112" i="1"/>
  <c r="O112" i="1"/>
  <c r="L77" i="1"/>
  <c r="M77" i="1"/>
  <c r="M76" i="1"/>
  <c r="L76" i="1"/>
  <c r="L204" i="1"/>
  <c r="M204" i="1"/>
  <c r="M142" i="1"/>
  <c r="L142" i="1"/>
  <c r="M211" i="1"/>
  <c r="L211" i="1"/>
  <c r="L34" i="1"/>
  <c r="M34" i="1"/>
  <c r="P14" i="1"/>
  <c r="O14" i="1"/>
  <c r="P131" i="1"/>
  <c r="O131" i="1"/>
  <c r="L165" i="1"/>
  <c r="M165" i="1"/>
  <c r="O15" i="1"/>
  <c r="P15" i="1"/>
  <c r="M133" i="1"/>
  <c r="L133" i="1"/>
  <c r="P223" i="1"/>
  <c r="O223" i="1"/>
  <c r="O101" i="1"/>
  <c r="P101" i="1"/>
  <c r="L30" i="1"/>
  <c r="M30" i="1"/>
  <c r="L21" i="1"/>
  <c r="M21" i="1"/>
  <c r="L241" i="1"/>
  <c r="M241" i="1"/>
  <c r="L243" i="1"/>
  <c r="M243" i="1"/>
  <c r="M198" i="1"/>
  <c r="L198" i="1"/>
  <c r="L134" i="1"/>
  <c r="M134" i="1"/>
  <c r="L181" i="1"/>
  <c r="M181" i="1"/>
  <c r="M174" i="1"/>
  <c r="L174" i="1"/>
  <c r="O109" i="1"/>
  <c r="P109" i="1"/>
  <c r="L114" i="1"/>
  <c r="M114" i="1"/>
  <c r="L154" i="1"/>
  <c r="M154" i="1"/>
  <c r="O141" i="1"/>
  <c r="P141" i="1"/>
  <c r="L47" i="1"/>
  <c r="M47" i="1"/>
  <c r="M172" i="1"/>
  <c r="L172" i="1"/>
  <c r="M71" i="1"/>
  <c r="L71" i="1"/>
  <c r="L162" i="1"/>
  <c r="M162" i="1"/>
  <c r="L216" i="1"/>
  <c r="M216" i="1"/>
  <c r="P178" i="1"/>
  <c r="O178" i="1"/>
  <c r="O61" i="1"/>
  <c r="P61" i="1"/>
  <c r="M116" i="1"/>
  <c r="L116" i="1"/>
  <c r="P213" i="1"/>
  <c r="O213" i="1"/>
  <c r="M56" i="1"/>
  <c r="L56" i="1"/>
  <c r="P208" i="1"/>
  <c r="O208" i="1"/>
  <c r="M221" i="1"/>
  <c r="L221" i="1"/>
  <c r="L137" i="1"/>
  <c r="M137" i="1"/>
  <c r="P179" i="1"/>
  <c r="O179" i="1"/>
  <c r="O21" i="1"/>
  <c r="P21" i="1"/>
  <c r="M82" i="1"/>
  <c r="L82" i="1"/>
  <c r="L156" i="1"/>
  <c r="M156" i="1"/>
  <c r="P184" i="1"/>
  <c r="O184" i="1"/>
  <c r="P127" i="1"/>
  <c r="O127" i="1"/>
  <c r="P52" i="1"/>
  <c r="O52" i="1"/>
  <c r="P98" i="1"/>
  <c r="O98" i="1"/>
  <c r="O69" i="1"/>
  <c r="P69" i="1"/>
  <c r="P107" i="1"/>
  <c r="O107" i="1"/>
  <c r="O214" i="1"/>
  <c r="P214" i="1"/>
  <c r="P123" i="1"/>
  <c r="O123" i="1"/>
  <c r="O238" i="1"/>
  <c r="P238" i="1"/>
  <c r="P91" i="1"/>
  <c r="O91" i="1"/>
  <c r="P102" i="1"/>
  <c r="O102" i="1"/>
  <c r="P224" i="1"/>
  <c r="O224" i="1"/>
  <c r="P55" i="1"/>
  <c r="O55" i="1"/>
  <c r="P129" i="1"/>
  <c r="O129" i="1"/>
  <c r="O53" i="1"/>
  <c r="P53" i="1"/>
  <c r="P114" i="1"/>
  <c r="O114" i="1"/>
  <c r="H171" i="1" l="1"/>
  <c r="I171" i="1"/>
  <c r="R15" i="1"/>
  <c r="H143" i="1"/>
  <c r="I14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1" i="1"/>
  <c r="H251" i="1"/>
  <c r="H39" i="1"/>
  <c r="I39" i="1"/>
  <c r="H110" i="1"/>
  <c r="I110" i="1"/>
  <c r="H234" i="1"/>
  <c r="I234" i="1"/>
  <c r="H205" i="1"/>
  <c r="I205" i="1"/>
  <c r="H8" i="1"/>
  <c r="I8" i="1"/>
  <c r="H135" i="1"/>
  <c r="I135" i="1"/>
  <c r="I3" i="1"/>
  <c r="H3" i="1"/>
  <c r="H55" i="1"/>
  <c r="I55" i="1"/>
  <c r="I224" i="1"/>
  <c r="H224" i="1"/>
  <c r="H81" i="1"/>
  <c r="I81" i="1"/>
  <c r="I6" i="1"/>
  <c r="H6" i="1"/>
  <c r="H73" i="1"/>
  <c r="I73" i="1"/>
  <c r="H69" i="1"/>
  <c r="I69" i="1"/>
  <c r="H121" i="1"/>
  <c r="I121" i="1"/>
  <c r="I223" i="1"/>
  <c r="H223" i="1"/>
  <c r="H58" i="1"/>
  <c r="I58" i="1"/>
  <c r="H53" i="1"/>
  <c r="I53" i="1"/>
  <c r="I130" i="1"/>
  <c r="H130" i="1"/>
  <c r="H41" i="1"/>
  <c r="I41" i="1"/>
  <c r="I43" i="1"/>
  <c r="H43" i="1"/>
  <c r="I115" i="1"/>
  <c r="H115" i="1"/>
  <c r="H246" i="1"/>
  <c r="I246" i="1"/>
  <c r="H201" i="1"/>
  <c r="I201" i="1"/>
  <c r="H160" i="1"/>
  <c r="I160" i="1"/>
  <c r="I221" i="1"/>
  <c r="H221" i="1"/>
  <c r="H172" i="1"/>
  <c r="I172" i="1"/>
  <c r="H133" i="1"/>
  <c r="I133" i="1"/>
  <c r="H217" i="1"/>
  <c r="I217" i="1"/>
  <c r="I57" i="1"/>
  <c r="H57" i="1"/>
  <c r="I168" i="1"/>
  <c r="H168" i="1"/>
  <c r="H18" i="1"/>
  <c r="I18" i="1"/>
  <c r="I183" i="1"/>
  <c r="H183" i="1"/>
  <c r="H38" i="1"/>
  <c r="I38" i="1"/>
  <c r="I166" i="1"/>
  <c r="H166" i="1"/>
  <c r="H155" i="1"/>
  <c r="I155" i="1"/>
  <c r="H2" i="1"/>
  <c r="I2" i="1"/>
  <c r="I106" i="1"/>
  <c r="H106" i="1"/>
  <c r="I203" i="1"/>
  <c r="H203" i="1"/>
  <c r="H148" i="1"/>
  <c r="I148" i="1"/>
  <c r="I37" i="1"/>
  <c r="H37" i="1"/>
  <c r="H96" i="1"/>
  <c r="I96" i="1"/>
  <c r="I111" i="1"/>
  <c r="H111" i="1"/>
  <c r="H142" i="1"/>
  <c r="I142" i="1"/>
  <c r="H63" i="1"/>
  <c r="I63" i="1"/>
  <c r="H250" i="1"/>
  <c r="I250" i="1"/>
  <c r="I187" i="1"/>
  <c r="H187" i="1"/>
  <c r="I9" i="1"/>
  <c r="H9" i="1"/>
  <c r="I104" i="1"/>
  <c r="H104" i="1"/>
  <c r="H33" i="1"/>
  <c r="I33" i="1"/>
  <c r="H164" i="1"/>
  <c r="I164" i="1"/>
  <c r="H36" i="1"/>
  <c r="I36" i="1"/>
  <c r="H79" i="1"/>
  <c r="I79" i="1"/>
  <c r="H118" i="1"/>
  <c r="I118" i="1"/>
  <c r="I75" i="1"/>
  <c r="H75" i="1"/>
  <c r="H100" i="1"/>
  <c r="I100" i="1"/>
  <c r="H125" i="1"/>
  <c r="I125" i="1"/>
  <c r="H159" i="1"/>
  <c r="I159" i="1"/>
  <c r="I150" i="1"/>
  <c r="H150" i="1"/>
  <c r="I128" i="1"/>
  <c r="H128" i="1"/>
  <c r="I49" i="1"/>
  <c r="H49" i="1"/>
  <c r="I50" i="1"/>
  <c r="H50" i="1"/>
  <c r="H78" i="1"/>
  <c r="I78" i="1"/>
  <c r="I47" i="1"/>
  <c r="H47" i="1"/>
  <c r="H59" i="1"/>
  <c r="I59" i="1"/>
  <c r="H213" i="1"/>
  <c r="I213" i="1"/>
  <c r="H200" i="1"/>
  <c r="I200" i="1"/>
  <c r="H102" i="1"/>
  <c r="I102" i="1"/>
  <c r="I152" i="1"/>
  <c r="H152" i="1"/>
  <c r="I93" i="1"/>
  <c r="H93" i="1"/>
  <c r="H114" i="1"/>
  <c r="I114" i="1"/>
  <c r="H162" i="1"/>
  <c r="I162" i="1"/>
  <c r="H94" i="1"/>
  <c r="I94" i="1"/>
  <c r="I61" i="1"/>
  <c r="H61" i="1"/>
  <c r="H108" i="1"/>
  <c r="I108" i="1"/>
  <c r="H154" i="1"/>
  <c r="I154" i="1"/>
  <c r="H248" i="1"/>
  <c r="I248" i="1"/>
  <c r="H83" i="1"/>
  <c r="I83" i="1"/>
  <c r="I211" i="1"/>
  <c r="H211" i="1"/>
  <c r="H68" i="1"/>
  <c r="I68" i="1"/>
  <c r="H182" i="1"/>
  <c r="I182" i="1"/>
  <c r="H165" i="1"/>
  <c r="I165" i="1"/>
  <c r="I137" i="1"/>
  <c r="H137" i="1"/>
  <c r="H204" i="1"/>
  <c r="I204" i="1"/>
  <c r="I214" i="1"/>
  <c r="H214" i="1"/>
  <c r="H232" i="1"/>
  <c r="I232" i="1"/>
  <c r="H60" i="1"/>
  <c r="I60" i="1"/>
  <c r="H239" i="1"/>
  <c r="I239" i="1"/>
  <c r="H12" i="1"/>
  <c r="I12" i="1"/>
  <c r="H5" i="1"/>
  <c r="I5" i="1"/>
  <c r="H195" i="1"/>
  <c r="I195" i="1"/>
  <c r="I66" i="1"/>
  <c r="H66" i="1"/>
  <c r="I7" i="1"/>
  <c r="H7" i="1"/>
  <c r="H226" i="1"/>
  <c r="I226" i="1"/>
  <c r="H193" i="1"/>
  <c r="I193" i="1"/>
  <c r="H70" i="1"/>
  <c r="I70" i="1"/>
  <c r="H127" i="1"/>
  <c r="I127" i="1"/>
  <c r="H84" i="1"/>
  <c r="I84" i="1"/>
  <c r="H65" i="1"/>
  <c r="I65" i="1"/>
  <c r="H26" i="1"/>
  <c r="I26" i="1"/>
  <c r="H243" i="1"/>
  <c r="I243" i="1"/>
  <c r="I85" i="1"/>
  <c r="H85" i="1"/>
  <c r="H235" i="1"/>
  <c r="I235" i="1"/>
  <c r="I173" i="1"/>
  <c r="H173" i="1"/>
  <c r="H181" i="1"/>
  <c r="I181" i="1"/>
  <c r="I220" i="1"/>
  <c r="H220" i="1"/>
  <c r="H86" i="1"/>
  <c r="I86" i="1"/>
  <c r="H242" i="1"/>
  <c r="I242" i="1"/>
  <c r="H197" i="1"/>
  <c r="I197" i="1"/>
  <c r="I178" i="1"/>
  <c r="H178" i="1"/>
  <c r="H208" i="1"/>
  <c r="I208" i="1"/>
  <c r="H179" i="1"/>
  <c r="I179" i="1"/>
  <c r="I21" i="1"/>
  <c r="H21" i="1"/>
  <c r="H225" i="1"/>
  <c r="I225" i="1"/>
  <c r="H113" i="1"/>
  <c r="I113" i="1"/>
  <c r="I80" i="1"/>
  <c r="H80" i="1"/>
  <c r="H139" i="1"/>
  <c r="I139" i="1"/>
  <c r="H174" i="1"/>
  <c r="I174" i="1"/>
  <c r="H158" i="1"/>
  <c r="I158" i="1"/>
  <c r="I28" i="1"/>
  <c r="H28" i="1"/>
  <c r="H175" i="1"/>
  <c r="I175" i="1"/>
  <c r="H163" i="1"/>
  <c r="I163" i="1"/>
  <c r="H101" i="1"/>
  <c r="I101" i="1"/>
  <c r="H244" i="1"/>
  <c r="I244" i="1"/>
  <c r="H23" i="1"/>
  <c r="I23" i="1"/>
  <c r="H34" i="1"/>
  <c r="I34" i="1"/>
  <c r="I229" i="1"/>
  <c r="H229" i="1"/>
  <c r="H24" i="1"/>
  <c r="I24" i="1"/>
  <c r="H146" i="1"/>
  <c r="I146" i="1"/>
  <c r="I32" i="1"/>
  <c r="H32" i="1"/>
  <c r="H169" i="1"/>
  <c r="I169" i="1"/>
  <c r="H247" i="1"/>
  <c r="I247" i="1"/>
  <c r="I189" i="1"/>
  <c r="H189" i="1"/>
  <c r="H116" i="1"/>
  <c r="I116" i="1"/>
  <c r="I153" i="1"/>
  <c r="H153" i="1"/>
  <c r="H112" i="1"/>
  <c r="I112" i="1"/>
  <c r="I196" i="1"/>
  <c r="H196" i="1"/>
  <c r="I240" i="1"/>
  <c r="H240" i="1"/>
  <c r="I103" i="1"/>
  <c r="H103" i="1"/>
  <c r="I51" i="1"/>
  <c r="H51" i="1"/>
  <c r="H107" i="1"/>
  <c r="I107" i="1"/>
  <c r="H206" i="1"/>
  <c r="I206" i="1"/>
  <c r="H131" i="1"/>
  <c r="I131" i="1"/>
  <c r="H180" i="1"/>
  <c r="I180" i="1"/>
  <c r="I138" i="1"/>
  <c r="H138" i="1"/>
  <c r="H20" i="1"/>
  <c r="I20" i="1"/>
  <c r="I136" i="1"/>
  <c r="H136" i="1"/>
  <c r="I212" i="1"/>
  <c r="H212" i="1"/>
  <c r="H13" i="1"/>
  <c r="I13" i="1"/>
  <c r="I71" i="1"/>
  <c r="H71" i="1"/>
  <c r="I82" i="1"/>
  <c r="H82" i="1"/>
  <c r="H161" i="1"/>
  <c r="I161" i="1"/>
  <c r="H15" i="1"/>
  <c r="I15" i="1"/>
  <c r="H52" i="1"/>
  <c r="I52" i="1"/>
  <c r="H22" i="1"/>
  <c r="I22" i="1"/>
  <c r="I117" i="1"/>
  <c r="H117" i="1"/>
  <c r="H44" i="1"/>
  <c r="I44" i="1"/>
  <c r="H120" i="1"/>
  <c r="I120" i="1"/>
  <c r="H241" i="1"/>
  <c r="I241" i="1"/>
  <c r="H27" i="1"/>
  <c r="I27" i="1"/>
  <c r="H222" i="1"/>
  <c r="I222" i="1"/>
  <c r="H89" i="1"/>
  <c r="I89" i="1"/>
  <c r="I167" i="1"/>
  <c r="H167" i="1"/>
  <c r="I185" i="1"/>
  <c r="H185" i="1"/>
  <c r="H109" i="1"/>
  <c r="I109" i="1"/>
  <c r="H231" i="1"/>
  <c r="I231" i="1"/>
  <c r="H219" i="1"/>
  <c r="I219" i="1"/>
  <c r="H194" i="1"/>
  <c r="I194" i="1"/>
  <c r="H98" i="1"/>
  <c r="I98" i="1"/>
  <c r="H76" i="1"/>
  <c r="I76" i="1"/>
  <c r="I126" i="1"/>
  <c r="H126" i="1"/>
  <c r="I134" i="1"/>
  <c r="H134" i="1"/>
  <c r="I145" i="1"/>
  <c r="H145" i="1"/>
  <c r="I72" i="1"/>
  <c r="H72" i="1"/>
  <c r="H67" i="1"/>
  <c r="I67" i="1"/>
  <c r="H64" i="1"/>
  <c r="I64" i="1"/>
  <c r="I97" i="1"/>
  <c r="H97" i="1"/>
  <c r="H140" i="1"/>
  <c r="I140" i="1"/>
  <c r="H87" i="1"/>
  <c r="I87" i="1"/>
  <c r="Y29" i="1"/>
  <c r="W31" i="1"/>
  <c r="H209" i="1"/>
  <c r="I209" i="1"/>
  <c r="H10" i="1"/>
  <c r="I10" i="1"/>
  <c r="I202" i="1"/>
  <c r="H202" i="1"/>
  <c r="I170" i="1"/>
  <c r="H170" i="1"/>
  <c r="H141" i="1"/>
  <c r="I141" i="1"/>
  <c r="I74" i="1"/>
  <c r="H74" i="1"/>
  <c r="I91" i="1"/>
  <c r="H91" i="1"/>
  <c r="H233" i="1"/>
  <c r="I233" i="1"/>
  <c r="H19" i="1"/>
  <c r="I19" i="1"/>
  <c r="I147" i="1"/>
  <c r="H147" i="1"/>
  <c r="H157" i="1"/>
  <c r="I157" i="1"/>
  <c r="H119" i="1"/>
  <c r="I119" i="1"/>
  <c r="H156" i="1"/>
  <c r="I156" i="1"/>
  <c r="I40" i="1"/>
  <c r="H40" i="1"/>
  <c r="H42" i="1"/>
  <c r="I42" i="1"/>
  <c r="H90" i="1"/>
  <c r="I90" i="1"/>
  <c r="H237" i="1"/>
  <c r="I237" i="1"/>
  <c r="I230" i="1"/>
  <c r="H230" i="1"/>
  <c r="H46" i="1"/>
  <c r="I46" i="1"/>
  <c r="I4" i="1"/>
  <c r="H4" i="1"/>
  <c r="H149" i="1"/>
  <c r="I149" i="1"/>
  <c r="H123" i="1"/>
  <c r="I123" i="1"/>
  <c r="H198" i="1"/>
  <c r="I198" i="1"/>
  <c r="I124" i="1"/>
  <c r="H124" i="1"/>
  <c r="I132" i="1"/>
  <c r="H132" i="1"/>
  <c r="H192" i="1"/>
  <c r="I192" i="1"/>
  <c r="H45" i="1"/>
  <c r="I45" i="1"/>
  <c r="H31" i="1"/>
  <c r="I31" i="1"/>
  <c r="H252" i="1"/>
  <c r="I252" i="1"/>
  <c r="I99" i="1"/>
  <c r="H99" i="1"/>
  <c r="H25" i="1"/>
  <c r="I25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H210" i="1"/>
  <c r="I210" i="1"/>
  <c r="H11" i="1"/>
  <c r="I11" i="1"/>
  <c r="I48" i="1"/>
  <c r="H48" i="1"/>
  <c r="I14" i="1"/>
  <c r="H14" i="1"/>
  <c r="H188" i="1"/>
  <c r="I188" i="1"/>
  <c r="I216" i="1"/>
  <c r="H216" i="1"/>
  <c r="I144" i="1"/>
  <c r="H144" i="1"/>
  <c r="I129" i="1"/>
  <c r="H129" i="1"/>
  <c r="H199" i="1"/>
  <c r="I199" i="1"/>
  <c r="H228" i="1"/>
  <c r="I228" i="1"/>
  <c r="H207" i="1"/>
  <c r="I207" i="1"/>
  <c r="I77" i="1"/>
  <c r="H77" i="1"/>
  <c r="I95" i="1"/>
  <c r="H95" i="1"/>
  <c r="H151" i="1"/>
  <c r="I151" i="1"/>
  <c r="I56" i="1"/>
  <c r="H56" i="1"/>
  <c r="I249" i="1"/>
  <c r="H249" i="1"/>
  <c r="H184" i="1"/>
  <c r="I184" i="1"/>
  <c r="H218" i="1"/>
  <c r="I218" i="1"/>
  <c r="I30" i="1"/>
  <c r="H30" i="1"/>
  <c r="I245" i="1"/>
  <c r="H245" i="1"/>
  <c r="I215" i="1"/>
  <c r="H215" i="1"/>
  <c r="H35" i="1"/>
  <c r="I35" i="1"/>
  <c r="H54" i="1"/>
  <c r="I54" i="1"/>
  <c r="H16" i="1"/>
  <c r="I16" i="1"/>
  <c r="H191" i="1"/>
  <c r="I191" i="1"/>
  <c r="H236" i="1"/>
  <c r="I236" i="1"/>
  <c r="I105" i="1"/>
  <c r="H105" i="1"/>
  <c r="I177" i="1"/>
  <c r="H177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W157" i="1"/>
  <c r="R141" i="1"/>
  <c r="S140" i="1"/>
  <c r="T140" i="1" s="1"/>
  <c r="Z155" i="1" l="1"/>
  <c r="AA155" i="1" s="1"/>
  <c r="S141" i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W235" i="1"/>
  <c r="R219" i="1"/>
  <c r="S218" i="1"/>
  <c r="T218" i="1" s="1"/>
  <c r="Z233" i="1" l="1"/>
  <c r="AA233" i="1" s="1"/>
  <c r="R220" i="1"/>
  <c r="S219" i="1"/>
  <c r="T219" i="1" s="1"/>
  <c r="Y234" i="1"/>
  <c r="W236" i="1"/>
  <c r="Z234" i="1" l="1"/>
  <c r="AA234" i="1" s="1"/>
  <c r="Y235" i="1"/>
  <c r="W237" i="1"/>
  <c r="R221" i="1"/>
  <c r="S220" i="1"/>
  <c r="T220" i="1" s="1"/>
  <c r="Z235" i="1" l="1"/>
  <c r="AA235" i="1" s="1"/>
  <c r="Y236" i="1"/>
  <c r="W238" i="1"/>
  <c r="R222" i="1"/>
  <c r="S221" i="1"/>
  <c r="T221" i="1" s="1"/>
  <c r="Z236" i="1" l="1"/>
  <c r="AA236" i="1" s="1"/>
  <c r="R223" i="1"/>
  <c r="S222" i="1"/>
  <c r="T222" i="1" s="1"/>
  <c r="Y237" i="1"/>
  <c r="W239" i="1"/>
  <c r="Z237" i="1" l="1"/>
  <c r="AA237" i="1" s="1"/>
  <c r="Y238" i="1"/>
  <c r="W240" i="1"/>
  <c r="R224" i="1"/>
  <c r="S223" i="1"/>
  <c r="T223" i="1" s="1"/>
  <c r="Z238" i="1" l="1"/>
  <c r="AA238" i="1" s="1"/>
  <c r="S224" i="1"/>
  <c r="T224" i="1" s="1"/>
  <c r="R225" i="1"/>
  <c r="Y239" i="1"/>
  <c r="W241" i="1"/>
  <c r="Z239" i="1" l="1"/>
  <c r="AA239" i="1" s="1"/>
  <c r="Y240" i="1"/>
  <c r="W242" i="1"/>
  <c r="R226" i="1"/>
  <c r="S225" i="1"/>
  <c r="T225" i="1" s="1"/>
  <c r="Z240" i="1" l="1"/>
  <c r="AA240" i="1" s="1"/>
  <c r="R227" i="1"/>
  <c r="S226" i="1"/>
  <c r="T226" i="1" s="1"/>
  <c r="Y241" i="1"/>
  <c r="W243" i="1"/>
  <c r="Z241" i="1" l="1"/>
  <c r="AA241" i="1" s="1"/>
  <c r="Y242" i="1"/>
  <c r="W244" i="1"/>
  <c r="R228" i="1"/>
  <c r="S227" i="1"/>
  <c r="T227" i="1" s="1"/>
  <c r="Z242" i="1" l="1"/>
  <c r="AA242" i="1" s="1"/>
  <c r="R229" i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W252" i="1"/>
  <c r="R236" i="1"/>
  <c r="S235" i="1"/>
  <c r="T235" i="1" s="1"/>
  <c r="R237" i="1" l="1"/>
  <c r="S236" i="1"/>
  <c r="T236" i="1" s="1"/>
  <c r="Y251" i="1"/>
  <c r="Z251" i="1" s="1"/>
  <c r="AA251" i="1" l="1"/>
  <c r="Z252" i="1"/>
  <c r="AA252" i="1" s="1"/>
  <c r="R238" i="1"/>
  <c r="S237" i="1"/>
  <c r="T237" i="1" s="1"/>
  <c r="R239" i="1" l="1"/>
  <c r="S238" i="1"/>
  <c r="T238" i="1" s="1"/>
  <c r="R240" i="1" l="1"/>
  <c r="S239" i="1"/>
  <c r="T239" i="1" s="1"/>
  <c r="R241" i="1" l="1"/>
  <c r="S240" i="1"/>
  <c r="T240" i="1" s="1"/>
  <c r="R242" i="1" l="1"/>
  <c r="S241" i="1"/>
  <c r="T241" i="1" s="1"/>
  <c r="R243" i="1" l="1"/>
  <c r="S242" i="1"/>
  <c r="T242" i="1" s="1"/>
  <c r="R244" i="1" l="1"/>
  <c r="S243" i="1"/>
  <c r="T243" i="1" s="1"/>
  <c r="R245" i="1" l="1"/>
  <c r="S244" i="1"/>
  <c r="T244" i="1" s="1"/>
  <c r="R246" i="1" l="1"/>
  <c r="S245" i="1"/>
  <c r="T245" i="1" s="1"/>
  <c r="R247" i="1" l="1"/>
  <c r="S246" i="1"/>
  <c r="T246" i="1" s="1"/>
  <c r="R248" i="1" l="1"/>
  <c r="S247" i="1"/>
  <c r="T247" i="1" s="1"/>
  <c r="R249" i="1" l="1"/>
  <c r="S248" i="1"/>
  <c r="T248" i="1" s="1"/>
  <c r="R250" i="1" l="1"/>
  <c r="S249" i="1"/>
  <c r="T249" i="1" s="1"/>
  <c r="R251" i="1" l="1"/>
  <c r="S250" i="1"/>
  <c r="T250" i="1" s="1"/>
  <c r="R252" i="1" l="1"/>
  <c r="S251" i="1"/>
  <c r="T251" i="1" s="1"/>
  <c r="S252" i="1" l="1"/>
  <c r="T25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C78D8C-5CBB-4691-91E4-66B227680AA5}" keepAlive="1" name="Query - Forecast" description="Connection to the 'Forecast' query in the workbook." type="5" refreshedVersion="8" background="1" saveData="1">
    <dbPr connection="Provider=Microsoft.Mashup.OleDb.1;Data Source=$Workbook$;Location=Forecast;Extended Properties=&quot;&quot;" command="SELECT * FROM [Forecast]"/>
  </connection>
  <connection id="2" xr16:uid="{1C201564-E446-4C87-B74A-58E4F2723320}" keepAlive="1" name="Query - Weekly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9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</futureMetadata>
  <cellMetadata count="1">
    <bk>
      <rc t="1" v="0"/>
    </bk>
  </cellMetadata>
  <valueMetadata count="69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</valueMetadata>
</metadata>
</file>

<file path=xl/sharedStrings.xml><?xml version="1.0" encoding="utf-8"?>
<sst xmlns="http://schemas.openxmlformats.org/spreadsheetml/2006/main" count="62" uniqueCount="53">
  <si>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</si>
  <si>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</si>
  <si>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</si>
  <si>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</si>
  <si>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</si>
  <si>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</si>
  <si>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</si>
  <si>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</si>
  <si>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</si>
  <si>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</si>
  <si>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</si>
  <si>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</si>
  <si>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</si>
  <si>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</si>
  <si>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</si>
  <si>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</si>
  <si>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</si>
  <si>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</si>
  <si>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</si>
  <si>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</si>
  <si>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</si>
  <si>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</si>
  <si>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</si>
  <si>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</si>
  <si>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</si>
  <si>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</si>
  <si>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</si>
  <si>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</si>
  <si>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</si>
  <si>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</si>
  <si>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</si>
  <si>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</si>
  <si>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</si>
  <si>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</si>
  <si>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</si>
  <si>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</si>
  <si>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</si>
  <si>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</si>
  <si>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</si>
  <si>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</si>
  <si>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</si>
  <si>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</si>
  <si>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</si>
  <si>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</si>
  <si>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</si>
  <si>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</si>
  <si>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Average</t>
  </si>
  <si>
    <t>XL Forecast</t>
  </si>
  <si>
    <t>Calc Forecast</t>
  </si>
  <si>
    <t>Date</t>
  </si>
  <si>
    <t>Dividends</t>
  </si>
  <si>
    <t>Jan-26</t>
  </si>
  <si>
    <t>GS Simple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</si>
</sst>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AF2D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8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14" fontId="0" fillId="0" borderId="0" xfId="0" applyNumberForma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7" fontId="0" fillId="0" borderId="0" xfId="0" applyNumberFormat="1"/>
    <xf numFmtId="0" fontId="6" fillId="0" borderId="1" xfId="0" applyFont="1" applyBorder="1" applyAlignment="1">
      <alignment horizontal="right" wrapText="1"/>
    </xf>
    <xf numFmtId="0" fontId="6" fillId="11" borderId="1" xfId="0" applyFont="1" applyFill="1" applyBorder="1" applyAlignment="1">
      <alignment horizontal="right" wrapText="1"/>
    </xf>
  </cellXfs>
  <cellStyles count="2">
    <cellStyle name="Comma" xfId="1" builtinId="3"/>
    <cellStyle name="Normal" xfId="0" builtinId="0"/>
  </cellStyles>
  <dxfs count="3">
    <dxf>
      <numFmt numFmtId="164" formatCode="yyyy\-mm\-dd;@"/>
    </dxf>
    <dxf>
      <numFmt numFmtId="19" formatCode="m/d/yyyy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Array" Target="richData/rdarray.xml"/><Relationship Id="rId10" Type="http://schemas.openxmlformats.org/officeDocument/2006/relationships/styles" Target="styles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yyyy\-mm\-dd;@</c:formatCode>
                <c:ptCount val="105"/>
                <c:pt idx="0">
                  <c:v>36553</c:v>
                </c:pt>
                <c:pt idx="1">
                  <c:v>36644</c:v>
                </c:pt>
                <c:pt idx="2">
                  <c:v>36731</c:v>
                </c:pt>
                <c:pt idx="3">
                  <c:v>36829</c:v>
                </c:pt>
                <c:pt idx="4">
                  <c:v>36917</c:v>
                </c:pt>
                <c:pt idx="5">
                  <c:v>37011</c:v>
                </c:pt>
                <c:pt idx="6">
                  <c:v>37104</c:v>
                </c:pt>
                <c:pt idx="7">
                  <c:v>37195</c:v>
                </c:pt>
                <c:pt idx="8">
                  <c:v>37284</c:v>
                </c:pt>
                <c:pt idx="9">
                  <c:v>37377</c:v>
                </c:pt>
                <c:pt idx="10">
                  <c:v>37468</c:v>
                </c:pt>
                <c:pt idx="11">
                  <c:v>37559</c:v>
                </c:pt>
                <c:pt idx="12">
                  <c:v>37650</c:v>
                </c:pt>
                <c:pt idx="13">
                  <c:v>37741</c:v>
                </c:pt>
                <c:pt idx="14">
                  <c:v>37832</c:v>
                </c:pt>
                <c:pt idx="15">
                  <c:v>37923</c:v>
                </c:pt>
                <c:pt idx="16">
                  <c:v>38014</c:v>
                </c:pt>
                <c:pt idx="17">
                  <c:v>38105</c:v>
                </c:pt>
                <c:pt idx="18">
                  <c:v>38196</c:v>
                </c:pt>
                <c:pt idx="19">
                  <c:v>38288</c:v>
                </c:pt>
                <c:pt idx="20">
                  <c:v>38378</c:v>
                </c:pt>
                <c:pt idx="21">
                  <c:v>38470</c:v>
                </c:pt>
                <c:pt idx="22">
                  <c:v>38562</c:v>
                </c:pt>
                <c:pt idx="23">
                  <c:v>38653</c:v>
                </c:pt>
                <c:pt idx="24">
                  <c:v>38743</c:v>
                </c:pt>
                <c:pt idx="25">
                  <c:v>38835</c:v>
                </c:pt>
                <c:pt idx="26">
                  <c:v>38929</c:v>
                </c:pt>
                <c:pt idx="27">
                  <c:v>40935</c:v>
                </c:pt>
                <c:pt idx="28">
                  <c:v>41029</c:v>
                </c:pt>
                <c:pt idx="29">
                  <c:v>41122</c:v>
                </c:pt>
                <c:pt idx="30">
                  <c:v>41213</c:v>
                </c:pt>
                <c:pt idx="31">
                  <c:v>41302</c:v>
                </c:pt>
                <c:pt idx="32">
                  <c:v>41395</c:v>
                </c:pt>
                <c:pt idx="33">
                  <c:v>41486</c:v>
                </c:pt>
                <c:pt idx="34">
                  <c:v>41577</c:v>
                </c:pt>
                <c:pt idx="35">
                  <c:v>41668</c:v>
                </c:pt>
                <c:pt idx="36">
                  <c:v>41759</c:v>
                </c:pt>
                <c:pt idx="37">
                  <c:v>41850</c:v>
                </c:pt>
                <c:pt idx="38">
                  <c:v>41941</c:v>
                </c:pt>
                <c:pt idx="39">
                  <c:v>42032</c:v>
                </c:pt>
                <c:pt idx="40">
                  <c:v>42123</c:v>
                </c:pt>
                <c:pt idx="41">
                  <c:v>42214</c:v>
                </c:pt>
                <c:pt idx="42">
                  <c:v>42305</c:v>
                </c:pt>
                <c:pt idx="43">
                  <c:v>42396</c:v>
                </c:pt>
                <c:pt idx="44">
                  <c:v>42487</c:v>
                </c:pt>
                <c:pt idx="45">
                  <c:v>42577</c:v>
                </c:pt>
                <c:pt idx="46">
                  <c:v>42668</c:v>
                </c:pt>
                <c:pt idx="47">
                  <c:v>42753</c:v>
                </c:pt>
                <c:pt idx="48">
                  <c:v>42843</c:v>
                </c:pt>
                <c:pt idx="49">
                  <c:v>42936</c:v>
                </c:pt>
                <c:pt idx="50">
                  <c:v>43028</c:v>
                </c:pt>
                <c:pt idx="51">
                  <c:v>43129</c:v>
                </c:pt>
                <c:pt idx="52">
                  <c:v>43209</c:v>
                </c:pt>
                <c:pt idx="53">
                  <c:v>43301</c:v>
                </c:pt>
                <c:pt idx="54">
                  <c:v>43395</c:v>
                </c:pt>
                <c:pt idx="55">
                  <c:v>43495</c:v>
                </c:pt>
                <c:pt idx="56">
                  <c:v>43578</c:v>
                </c:pt>
                <c:pt idx="57">
                  <c:v>43668</c:v>
                </c:pt>
                <c:pt idx="58">
                  <c:v>43759</c:v>
                </c:pt>
                <c:pt idx="59">
                  <c:v>43859</c:v>
                </c:pt>
                <c:pt idx="60">
                  <c:v>44518</c:v>
                </c:pt>
                <c:pt idx="61">
                  <c:v>44589</c:v>
                </c:pt>
                <c:pt idx="62">
                  <c:v>44676</c:v>
                </c:pt>
                <c:pt idx="63">
                  <c:v>44783</c:v>
                </c:pt>
                <c:pt idx="64">
                  <c:v>44879</c:v>
                </c:pt>
                <c:pt idx="65">
                  <c:v>44967</c:v>
                </c:pt>
                <c:pt idx="66">
                  <c:v>45041</c:v>
                </c:pt>
                <c:pt idx="67">
                  <c:v>45131</c:v>
                </c:pt>
                <c:pt idx="68">
                  <c:v>45230</c:v>
                </c:pt>
                <c:pt idx="69">
                  <c:v>45337</c:v>
                </c:pt>
                <c:pt idx="70">
                  <c:v>45419</c:v>
                </c:pt>
                <c:pt idx="71">
                  <c:v>45511</c:v>
                </c:pt>
                <c:pt idx="72">
                  <c:v>45603</c:v>
                </c:pt>
                <c:pt idx="73">
                  <c:v>45706</c:v>
                </c:pt>
                <c:pt idx="74">
                  <c:v>45789</c:v>
                </c:pt>
                <c:pt idx="75">
                  <c:v>45880</c:v>
                </c:pt>
                <c:pt idx="76">
                  <c:v>45968</c:v>
                </c:pt>
              </c:numCache>
            </c:numRef>
          </c:cat>
          <c:val>
            <c:numRef>
              <c:f>Dividends!$B$2:$B$106</c:f>
              <c:numCache>
                <c:formatCode>General</c:formatCode>
                <c:ptCount val="105"/>
                <c:pt idx="0">
                  <c:v>0.27477200000000002</c:v>
                </c:pt>
                <c:pt idx="1">
                  <c:v>0.27477200000000002</c:v>
                </c:pt>
                <c:pt idx="2">
                  <c:v>0.28601300000000002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0.15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0.125</c:v>
                </c:pt>
                <c:pt idx="36">
                  <c:v>0.125</c:v>
                </c:pt>
                <c:pt idx="37">
                  <c:v>0.125</c:v>
                </c:pt>
                <c:pt idx="38">
                  <c:v>0.125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  <c:pt idx="43">
                  <c:v>0.4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0.2</c:v>
                </c:pt>
                <c:pt idx="48">
                  <c:v>0.15</c:v>
                </c:pt>
                <c:pt idx="49">
                  <c:v>0.15</c:v>
                </c:pt>
                <c:pt idx="50">
                  <c:v>0.15</c:v>
                </c:pt>
                <c:pt idx="51">
                  <c:v>0.28000000000000003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0.15</c:v>
                </c:pt>
                <c:pt idx="56">
                  <c:v>0.15</c:v>
                </c:pt>
                <c:pt idx="57">
                  <c:v>0.15</c:v>
                </c:pt>
                <c:pt idx="58">
                  <c:v>0.15</c:v>
                </c:pt>
                <c:pt idx="59">
                  <c:v>0.15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0.15</c:v>
                </c:pt>
                <c:pt idx="64">
                  <c:v>0.15</c:v>
                </c:pt>
                <c:pt idx="65">
                  <c:v>0.8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0.33</c:v>
                </c:pt>
                <c:pt idx="70">
                  <c:v>0.15</c:v>
                </c:pt>
                <c:pt idx="71">
                  <c:v>0.15</c:v>
                </c:pt>
                <c:pt idx="72">
                  <c:v>0.15</c:v>
                </c:pt>
                <c:pt idx="73">
                  <c:v>0.3</c:v>
                </c:pt>
                <c:pt idx="74">
                  <c:v>0.15</c:v>
                </c:pt>
                <c:pt idx="75">
                  <c:v>0.15</c:v>
                </c:pt>
                <c:pt idx="76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3-40BA-AF8D-BB82AAC87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377743"/>
        <c:axId val="1851383023"/>
      </c:barChart>
      <c:dateAx>
        <c:axId val="1851377743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83023"/>
        <c:crosses val="autoZero"/>
        <c:auto val="1"/>
        <c:lblOffset val="100"/>
        <c:baseTimeUnit val="months"/>
      </c:dateAx>
      <c:valAx>
        <c:axId val="1851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7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45702</c:v>
                </c:pt>
                <c:pt idx="1">
                  <c:v>45706</c:v>
                </c:pt>
                <c:pt idx="2">
                  <c:v>45707</c:v>
                </c:pt>
                <c:pt idx="3">
                  <c:v>45708</c:v>
                </c:pt>
                <c:pt idx="4">
                  <c:v>45709</c:v>
                </c:pt>
                <c:pt idx="5">
                  <c:v>45712</c:v>
                </c:pt>
                <c:pt idx="6">
                  <c:v>45713</c:v>
                </c:pt>
                <c:pt idx="7">
                  <c:v>45714</c:v>
                </c:pt>
                <c:pt idx="8">
                  <c:v>45715</c:v>
                </c:pt>
                <c:pt idx="9">
                  <c:v>45716</c:v>
                </c:pt>
                <c:pt idx="10">
                  <c:v>45719</c:v>
                </c:pt>
                <c:pt idx="11">
                  <c:v>45720</c:v>
                </c:pt>
                <c:pt idx="12">
                  <c:v>45721</c:v>
                </c:pt>
                <c:pt idx="13">
                  <c:v>45722</c:v>
                </c:pt>
                <c:pt idx="14">
                  <c:v>45723</c:v>
                </c:pt>
                <c:pt idx="15">
                  <c:v>45726</c:v>
                </c:pt>
                <c:pt idx="16">
                  <c:v>45727</c:v>
                </c:pt>
                <c:pt idx="17">
                  <c:v>45728</c:v>
                </c:pt>
                <c:pt idx="18">
                  <c:v>45729</c:v>
                </c:pt>
                <c:pt idx="19">
                  <c:v>45730</c:v>
                </c:pt>
                <c:pt idx="20">
                  <c:v>45733</c:v>
                </c:pt>
                <c:pt idx="21">
                  <c:v>45734</c:v>
                </c:pt>
                <c:pt idx="22">
                  <c:v>45735</c:v>
                </c:pt>
                <c:pt idx="23">
                  <c:v>45736</c:v>
                </c:pt>
                <c:pt idx="24">
                  <c:v>45737</c:v>
                </c:pt>
                <c:pt idx="25">
                  <c:v>45740</c:v>
                </c:pt>
                <c:pt idx="26">
                  <c:v>45741</c:v>
                </c:pt>
                <c:pt idx="27">
                  <c:v>45742</c:v>
                </c:pt>
                <c:pt idx="28">
                  <c:v>45743</c:v>
                </c:pt>
                <c:pt idx="29">
                  <c:v>45744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45754</c:v>
                </c:pt>
                <c:pt idx="36">
                  <c:v>45755</c:v>
                </c:pt>
                <c:pt idx="37">
                  <c:v>45756</c:v>
                </c:pt>
                <c:pt idx="38">
                  <c:v>45757</c:v>
                </c:pt>
                <c:pt idx="39">
                  <c:v>45758</c:v>
                </c:pt>
                <c:pt idx="40">
                  <c:v>45761</c:v>
                </c:pt>
                <c:pt idx="41">
                  <c:v>45762</c:v>
                </c:pt>
                <c:pt idx="42">
                  <c:v>45763</c:v>
                </c:pt>
                <c:pt idx="43">
                  <c:v>45764</c:v>
                </c:pt>
                <c:pt idx="44">
                  <c:v>45768</c:v>
                </c:pt>
                <c:pt idx="45">
                  <c:v>45769</c:v>
                </c:pt>
                <c:pt idx="46">
                  <c:v>45770</c:v>
                </c:pt>
                <c:pt idx="47">
                  <c:v>45771</c:v>
                </c:pt>
                <c:pt idx="48">
                  <c:v>45772</c:v>
                </c:pt>
                <c:pt idx="49">
                  <c:v>45775</c:v>
                </c:pt>
                <c:pt idx="50">
                  <c:v>45776</c:v>
                </c:pt>
                <c:pt idx="51">
                  <c:v>45777</c:v>
                </c:pt>
                <c:pt idx="52">
                  <c:v>45778</c:v>
                </c:pt>
                <c:pt idx="53">
                  <c:v>45779</c:v>
                </c:pt>
                <c:pt idx="54">
                  <c:v>45782</c:v>
                </c:pt>
                <c:pt idx="55">
                  <c:v>45783</c:v>
                </c:pt>
                <c:pt idx="56">
                  <c:v>45784</c:v>
                </c:pt>
                <c:pt idx="57">
                  <c:v>45785</c:v>
                </c:pt>
                <c:pt idx="58">
                  <c:v>45786</c:v>
                </c:pt>
                <c:pt idx="59">
                  <c:v>45789</c:v>
                </c:pt>
                <c:pt idx="60">
                  <c:v>45790</c:v>
                </c:pt>
                <c:pt idx="61">
                  <c:v>45791</c:v>
                </c:pt>
                <c:pt idx="62">
                  <c:v>45792</c:v>
                </c:pt>
                <c:pt idx="63">
                  <c:v>45793</c:v>
                </c:pt>
                <c:pt idx="64">
                  <c:v>45796</c:v>
                </c:pt>
                <c:pt idx="65">
                  <c:v>45797</c:v>
                </c:pt>
                <c:pt idx="66">
                  <c:v>45798</c:v>
                </c:pt>
                <c:pt idx="67">
                  <c:v>45799</c:v>
                </c:pt>
                <c:pt idx="68">
                  <c:v>45800</c:v>
                </c:pt>
                <c:pt idx="69">
                  <c:v>45804</c:v>
                </c:pt>
                <c:pt idx="70">
                  <c:v>45805</c:v>
                </c:pt>
                <c:pt idx="71">
                  <c:v>45806</c:v>
                </c:pt>
                <c:pt idx="72">
                  <c:v>45807</c:v>
                </c:pt>
                <c:pt idx="73">
                  <c:v>45810</c:v>
                </c:pt>
                <c:pt idx="74">
                  <c:v>45811</c:v>
                </c:pt>
                <c:pt idx="75">
                  <c:v>45812</c:v>
                </c:pt>
                <c:pt idx="76">
                  <c:v>45813</c:v>
                </c:pt>
                <c:pt idx="77">
                  <c:v>45814</c:v>
                </c:pt>
                <c:pt idx="78">
                  <c:v>45817</c:v>
                </c:pt>
                <c:pt idx="79">
                  <c:v>45818</c:v>
                </c:pt>
                <c:pt idx="80">
                  <c:v>45819</c:v>
                </c:pt>
                <c:pt idx="81">
                  <c:v>45820</c:v>
                </c:pt>
                <c:pt idx="82">
                  <c:v>45821</c:v>
                </c:pt>
                <c:pt idx="83">
                  <c:v>45824</c:v>
                </c:pt>
                <c:pt idx="84">
                  <c:v>45825</c:v>
                </c:pt>
                <c:pt idx="85">
                  <c:v>45826</c:v>
                </c:pt>
                <c:pt idx="86">
                  <c:v>45828</c:v>
                </c:pt>
                <c:pt idx="87">
                  <c:v>45831</c:v>
                </c:pt>
                <c:pt idx="88">
                  <c:v>45832</c:v>
                </c:pt>
                <c:pt idx="89">
                  <c:v>45833</c:v>
                </c:pt>
                <c:pt idx="90">
                  <c:v>45834</c:v>
                </c:pt>
                <c:pt idx="91">
                  <c:v>45835</c:v>
                </c:pt>
                <c:pt idx="92">
                  <c:v>45838</c:v>
                </c:pt>
                <c:pt idx="93">
                  <c:v>45839</c:v>
                </c:pt>
                <c:pt idx="94">
                  <c:v>45840</c:v>
                </c:pt>
                <c:pt idx="95">
                  <c:v>45841</c:v>
                </c:pt>
                <c:pt idx="96">
                  <c:v>45845</c:v>
                </c:pt>
                <c:pt idx="97">
                  <c:v>45846</c:v>
                </c:pt>
                <c:pt idx="98">
                  <c:v>45847</c:v>
                </c:pt>
                <c:pt idx="99">
                  <c:v>45848</c:v>
                </c:pt>
                <c:pt idx="100">
                  <c:v>45849</c:v>
                </c:pt>
                <c:pt idx="101">
                  <c:v>45852</c:v>
                </c:pt>
                <c:pt idx="102">
                  <c:v>45853</c:v>
                </c:pt>
                <c:pt idx="103">
                  <c:v>45854</c:v>
                </c:pt>
                <c:pt idx="104">
                  <c:v>45855</c:v>
                </c:pt>
                <c:pt idx="105">
                  <c:v>45856</c:v>
                </c:pt>
                <c:pt idx="106">
                  <c:v>45859</c:v>
                </c:pt>
                <c:pt idx="107">
                  <c:v>45860</c:v>
                </c:pt>
                <c:pt idx="108">
                  <c:v>45861</c:v>
                </c:pt>
                <c:pt idx="109">
                  <c:v>45862</c:v>
                </c:pt>
                <c:pt idx="110">
                  <c:v>45863</c:v>
                </c:pt>
                <c:pt idx="111">
                  <c:v>45866</c:v>
                </c:pt>
                <c:pt idx="112">
                  <c:v>45867</c:v>
                </c:pt>
                <c:pt idx="113">
                  <c:v>45868</c:v>
                </c:pt>
                <c:pt idx="114">
                  <c:v>45869</c:v>
                </c:pt>
                <c:pt idx="115">
                  <c:v>45870</c:v>
                </c:pt>
                <c:pt idx="116">
                  <c:v>45873</c:v>
                </c:pt>
                <c:pt idx="117">
                  <c:v>45874</c:v>
                </c:pt>
                <c:pt idx="118">
                  <c:v>45875</c:v>
                </c:pt>
                <c:pt idx="119">
                  <c:v>45876</c:v>
                </c:pt>
                <c:pt idx="120">
                  <c:v>45877</c:v>
                </c:pt>
                <c:pt idx="121">
                  <c:v>45880</c:v>
                </c:pt>
                <c:pt idx="122">
                  <c:v>45881</c:v>
                </c:pt>
                <c:pt idx="123">
                  <c:v>45882</c:v>
                </c:pt>
                <c:pt idx="124">
                  <c:v>45883</c:v>
                </c:pt>
                <c:pt idx="125">
                  <c:v>45884</c:v>
                </c:pt>
                <c:pt idx="126">
                  <c:v>45887</c:v>
                </c:pt>
                <c:pt idx="127">
                  <c:v>45888</c:v>
                </c:pt>
                <c:pt idx="128">
                  <c:v>45889</c:v>
                </c:pt>
                <c:pt idx="129">
                  <c:v>45890</c:v>
                </c:pt>
                <c:pt idx="130">
                  <c:v>45891</c:v>
                </c:pt>
                <c:pt idx="131">
                  <c:v>45894</c:v>
                </c:pt>
                <c:pt idx="132">
                  <c:v>45895</c:v>
                </c:pt>
                <c:pt idx="133">
                  <c:v>45896</c:v>
                </c:pt>
                <c:pt idx="134">
                  <c:v>45897</c:v>
                </c:pt>
                <c:pt idx="135">
                  <c:v>45898</c:v>
                </c:pt>
                <c:pt idx="136">
                  <c:v>45902</c:v>
                </c:pt>
                <c:pt idx="137">
                  <c:v>45903</c:v>
                </c:pt>
                <c:pt idx="138">
                  <c:v>45904</c:v>
                </c:pt>
                <c:pt idx="139">
                  <c:v>45905</c:v>
                </c:pt>
                <c:pt idx="140">
                  <c:v>45908</c:v>
                </c:pt>
                <c:pt idx="141">
                  <c:v>45909</c:v>
                </c:pt>
                <c:pt idx="142">
                  <c:v>45910</c:v>
                </c:pt>
                <c:pt idx="143">
                  <c:v>45911</c:v>
                </c:pt>
                <c:pt idx="144">
                  <c:v>45912</c:v>
                </c:pt>
                <c:pt idx="145">
                  <c:v>45915</c:v>
                </c:pt>
                <c:pt idx="146">
                  <c:v>45916</c:v>
                </c:pt>
                <c:pt idx="147">
                  <c:v>45917</c:v>
                </c:pt>
                <c:pt idx="148">
                  <c:v>45918</c:v>
                </c:pt>
                <c:pt idx="149">
                  <c:v>45919</c:v>
                </c:pt>
                <c:pt idx="150">
                  <c:v>45922</c:v>
                </c:pt>
                <c:pt idx="151">
                  <c:v>45923</c:v>
                </c:pt>
                <c:pt idx="152">
                  <c:v>45924</c:v>
                </c:pt>
                <c:pt idx="153">
                  <c:v>45925</c:v>
                </c:pt>
                <c:pt idx="154">
                  <c:v>45926</c:v>
                </c:pt>
                <c:pt idx="155">
                  <c:v>45929</c:v>
                </c:pt>
                <c:pt idx="156">
                  <c:v>45930</c:v>
                </c:pt>
                <c:pt idx="157">
                  <c:v>45931</c:v>
                </c:pt>
                <c:pt idx="158">
                  <c:v>45932</c:v>
                </c:pt>
                <c:pt idx="159">
                  <c:v>45933</c:v>
                </c:pt>
                <c:pt idx="160">
                  <c:v>45936</c:v>
                </c:pt>
                <c:pt idx="161">
                  <c:v>45937</c:v>
                </c:pt>
                <c:pt idx="162">
                  <c:v>45938</c:v>
                </c:pt>
                <c:pt idx="163">
                  <c:v>45939</c:v>
                </c:pt>
                <c:pt idx="164">
                  <c:v>45940</c:v>
                </c:pt>
                <c:pt idx="165">
                  <c:v>45943</c:v>
                </c:pt>
                <c:pt idx="166">
                  <c:v>45944</c:v>
                </c:pt>
                <c:pt idx="167">
                  <c:v>45945</c:v>
                </c:pt>
                <c:pt idx="168">
                  <c:v>45946</c:v>
                </c:pt>
                <c:pt idx="169">
                  <c:v>45947</c:v>
                </c:pt>
                <c:pt idx="170">
                  <c:v>45950</c:v>
                </c:pt>
                <c:pt idx="171">
                  <c:v>45951</c:v>
                </c:pt>
                <c:pt idx="172">
                  <c:v>45952</c:v>
                </c:pt>
                <c:pt idx="173">
                  <c:v>45953</c:v>
                </c:pt>
                <c:pt idx="174">
                  <c:v>45954</c:v>
                </c:pt>
                <c:pt idx="175">
                  <c:v>45957</c:v>
                </c:pt>
                <c:pt idx="176">
                  <c:v>45958</c:v>
                </c:pt>
                <c:pt idx="177">
                  <c:v>45959</c:v>
                </c:pt>
                <c:pt idx="178">
                  <c:v>45960</c:v>
                </c:pt>
                <c:pt idx="179">
                  <c:v>45961</c:v>
                </c:pt>
                <c:pt idx="180">
                  <c:v>45964</c:v>
                </c:pt>
                <c:pt idx="181">
                  <c:v>45965</c:v>
                </c:pt>
                <c:pt idx="182">
                  <c:v>45966</c:v>
                </c:pt>
                <c:pt idx="183">
                  <c:v>45967</c:v>
                </c:pt>
                <c:pt idx="184">
                  <c:v>45968</c:v>
                </c:pt>
                <c:pt idx="185">
                  <c:v>45971</c:v>
                </c:pt>
                <c:pt idx="186">
                  <c:v>45972</c:v>
                </c:pt>
                <c:pt idx="187">
                  <c:v>45973</c:v>
                </c:pt>
                <c:pt idx="188">
                  <c:v>45974</c:v>
                </c:pt>
                <c:pt idx="189">
                  <c:v>45975</c:v>
                </c:pt>
                <c:pt idx="190">
                  <c:v>45978</c:v>
                </c:pt>
                <c:pt idx="191">
                  <c:v>45979</c:v>
                </c:pt>
                <c:pt idx="192">
                  <c:v>45980</c:v>
                </c:pt>
                <c:pt idx="193">
                  <c:v>45981</c:v>
                </c:pt>
                <c:pt idx="194">
                  <c:v>45982</c:v>
                </c:pt>
                <c:pt idx="195">
                  <c:v>45985</c:v>
                </c:pt>
                <c:pt idx="196">
                  <c:v>45986</c:v>
                </c:pt>
                <c:pt idx="197">
                  <c:v>45987</c:v>
                </c:pt>
                <c:pt idx="198">
                  <c:v>45989</c:v>
                </c:pt>
                <c:pt idx="199">
                  <c:v>45992</c:v>
                </c:pt>
                <c:pt idx="200">
                  <c:v>45993</c:v>
                </c:pt>
                <c:pt idx="201">
                  <c:v>45994</c:v>
                </c:pt>
                <c:pt idx="202">
                  <c:v>45995</c:v>
                </c:pt>
                <c:pt idx="203">
                  <c:v>45996</c:v>
                </c:pt>
                <c:pt idx="204">
                  <c:v>45999</c:v>
                </c:pt>
                <c:pt idx="205">
                  <c:v>46000</c:v>
                </c:pt>
                <c:pt idx="206">
                  <c:v>46001</c:v>
                </c:pt>
                <c:pt idx="207">
                  <c:v>46002</c:v>
                </c:pt>
                <c:pt idx="208">
                  <c:v>46003</c:v>
                </c:pt>
                <c:pt idx="209">
                  <c:v>46006</c:v>
                </c:pt>
                <c:pt idx="210">
                  <c:v>46007</c:v>
                </c:pt>
                <c:pt idx="211">
                  <c:v>46008</c:v>
                </c:pt>
                <c:pt idx="212">
                  <c:v>46009</c:v>
                </c:pt>
                <c:pt idx="213">
                  <c:v>46010</c:v>
                </c:pt>
                <c:pt idx="214">
                  <c:v>46013</c:v>
                </c:pt>
                <c:pt idx="215">
                  <c:v>46014</c:v>
                </c:pt>
                <c:pt idx="216">
                  <c:v>46015</c:v>
                </c:pt>
                <c:pt idx="217">
                  <c:v>46017</c:v>
                </c:pt>
                <c:pt idx="218">
                  <c:v>46020</c:v>
                </c:pt>
                <c:pt idx="219">
                  <c:v>46021</c:v>
                </c:pt>
                <c:pt idx="220">
                  <c:v>46022</c:v>
                </c:pt>
                <c:pt idx="221">
                  <c:v>46024</c:v>
                </c:pt>
                <c:pt idx="222">
                  <c:v>46027</c:v>
                </c:pt>
                <c:pt idx="223">
                  <c:v>46028</c:v>
                </c:pt>
                <c:pt idx="224">
                  <c:v>46029</c:v>
                </c:pt>
                <c:pt idx="225">
                  <c:v>46030</c:v>
                </c:pt>
                <c:pt idx="226">
                  <c:v>46031</c:v>
                </c:pt>
                <c:pt idx="227">
                  <c:v>46034</c:v>
                </c:pt>
                <c:pt idx="228">
                  <c:v>46035</c:v>
                </c:pt>
                <c:pt idx="229">
                  <c:v>46036</c:v>
                </c:pt>
                <c:pt idx="230">
                  <c:v>46037</c:v>
                </c:pt>
                <c:pt idx="231">
                  <c:v>46038</c:v>
                </c:pt>
                <c:pt idx="232">
                  <c:v>46042</c:v>
                </c:pt>
                <c:pt idx="233">
                  <c:v>46043</c:v>
                </c:pt>
                <c:pt idx="234">
                  <c:v>46044</c:v>
                </c:pt>
                <c:pt idx="235">
                  <c:v>46045</c:v>
                </c:pt>
                <c:pt idx="236">
                  <c:v>46048</c:v>
                </c:pt>
                <c:pt idx="237">
                  <c:v>46049</c:v>
                </c:pt>
                <c:pt idx="238">
                  <c:v>46050</c:v>
                </c:pt>
                <c:pt idx="239">
                  <c:v>46051</c:v>
                </c:pt>
                <c:pt idx="240">
                  <c:v>46052</c:v>
                </c:pt>
                <c:pt idx="241">
                  <c:v>46055</c:v>
                </c:pt>
                <c:pt idx="242">
                  <c:v>46056</c:v>
                </c:pt>
                <c:pt idx="243">
                  <c:v>46057</c:v>
                </c:pt>
                <c:pt idx="244">
                  <c:v>46058</c:v>
                </c:pt>
                <c:pt idx="245">
                  <c:v>46059</c:v>
                </c:pt>
                <c:pt idx="246">
                  <c:v>46062</c:v>
                </c:pt>
                <c:pt idx="247">
                  <c:v>46063</c:v>
                </c:pt>
                <c:pt idx="248">
                  <c:v>46064</c:v>
                </c:pt>
                <c:pt idx="249">
                  <c:v>46065</c:v>
                </c:pt>
                <c:pt idx="250">
                  <c:v>46066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9.33</c:v>
                </c:pt>
                <c:pt idx="1">
                  <c:v>9.2899999999999991</c:v>
                </c:pt>
                <c:pt idx="2">
                  <c:v>9.34</c:v>
                </c:pt>
                <c:pt idx="3">
                  <c:v>9.39</c:v>
                </c:pt>
                <c:pt idx="4">
                  <c:v>9.2799999999999994</c:v>
                </c:pt>
                <c:pt idx="5">
                  <c:v>9.35</c:v>
                </c:pt>
                <c:pt idx="6">
                  <c:v>9.42</c:v>
                </c:pt>
                <c:pt idx="7">
                  <c:v>9.4700000000000006</c:v>
                </c:pt>
                <c:pt idx="8">
                  <c:v>9.2899999999999991</c:v>
                </c:pt>
                <c:pt idx="9">
                  <c:v>9.5500000000000007</c:v>
                </c:pt>
                <c:pt idx="10">
                  <c:v>9.39</c:v>
                </c:pt>
                <c:pt idx="11">
                  <c:v>9.1199999999999992</c:v>
                </c:pt>
                <c:pt idx="12">
                  <c:v>9.65</c:v>
                </c:pt>
                <c:pt idx="13">
                  <c:v>9.61</c:v>
                </c:pt>
                <c:pt idx="14">
                  <c:v>9.9</c:v>
                </c:pt>
                <c:pt idx="15">
                  <c:v>9.9600000000000009</c:v>
                </c:pt>
                <c:pt idx="16">
                  <c:v>9.69</c:v>
                </c:pt>
                <c:pt idx="17">
                  <c:v>9.59</c:v>
                </c:pt>
                <c:pt idx="18">
                  <c:v>9.5299999999999994</c:v>
                </c:pt>
                <c:pt idx="19">
                  <c:v>9.73</c:v>
                </c:pt>
                <c:pt idx="20">
                  <c:v>9.92</c:v>
                </c:pt>
                <c:pt idx="21">
                  <c:v>9.9499999999999993</c:v>
                </c:pt>
                <c:pt idx="22">
                  <c:v>10.17</c:v>
                </c:pt>
                <c:pt idx="23">
                  <c:v>10.01</c:v>
                </c:pt>
                <c:pt idx="24">
                  <c:v>10</c:v>
                </c:pt>
                <c:pt idx="25">
                  <c:v>10.25</c:v>
                </c:pt>
                <c:pt idx="26">
                  <c:v>10.29</c:v>
                </c:pt>
                <c:pt idx="27">
                  <c:v>10.3</c:v>
                </c:pt>
                <c:pt idx="28">
                  <c:v>9.9</c:v>
                </c:pt>
                <c:pt idx="29">
                  <c:v>9.7200000000000006</c:v>
                </c:pt>
                <c:pt idx="30">
                  <c:v>10.029999999999999</c:v>
                </c:pt>
                <c:pt idx="31">
                  <c:v>9.94</c:v>
                </c:pt>
                <c:pt idx="32">
                  <c:v>10.15</c:v>
                </c:pt>
                <c:pt idx="33">
                  <c:v>9.5399999999999991</c:v>
                </c:pt>
                <c:pt idx="34">
                  <c:v>9.58</c:v>
                </c:pt>
                <c:pt idx="35">
                  <c:v>9.24</c:v>
                </c:pt>
                <c:pt idx="36">
                  <c:v>8.69</c:v>
                </c:pt>
                <c:pt idx="37">
                  <c:v>9.5</c:v>
                </c:pt>
                <c:pt idx="38">
                  <c:v>9.14</c:v>
                </c:pt>
                <c:pt idx="39">
                  <c:v>9.33</c:v>
                </c:pt>
                <c:pt idx="40">
                  <c:v>9.7100000000000009</c:v>
                </c:pt>
                <c:pt idx="41">
                  <c:v>9.4499999999999993</c:v>
                </c:pt>
                <c:pt idx="42">
                  <c:v>9.4</c:v>
                </c:pt>
                <c:pt idx="43">
                  <c:v>9.6300000000000008</c:v>
                </c:pt>
                <c:pt idx="44">
                  <c:v>9.4700000000000006</c:v>
                </c:pt>
                <c:pt idx="45">
                  <c:v>9.65</c:v>
                </c:pt>
                <c:pt idx="46">
                  <c:v>9.7799999999999994</c:v>
                </c:pt>
                <c:pt idx="47">
                  <c:v>10.06</c:v>
                </c:pt>
                <c:pt idx="48">
                  <c:v>10.039999999999999</c:v>
                </c:pt>
                <c:pt idx="49">
                  <c:v>10.02</c:v>
                </c:pt>
                <c:pt idx="50">
                  <c:v>10.15</c:v>
                </c:pt>
                <c:pt idx="51">
                  <c:v>10.01</c:v>
                </c:pt>
                <c:pt idx="52">
                  <c:v>10.18</c:v>
                </c:pt>
                <c:pt idx="53">
                  <c:v>10.28</c:v>
                </c:pt>
                <c:pt idx="54">
                  <c:v>10.17</c:v>
                </c:pt>
                <c:pt idx="55">
                  <c:v>10.44</c:v>
                </c:pt>
                <c:pt idx="56">
                  <c:v>10.28</c:v>
                </c:pt>
                <c:pt idx="57">
                  <c:v>10.28</c:v>
                </c:pt>
                <c:pt idx="58">
                  <c:v>10.43</c:v>
                </c:pt>
                <c:pt idx="59">
                  <c:v>10.55</c:v>
                </c:pt>
                <c:pt idx="60">
                  <c:v>10.6</c:v>
                </c:pt>
                <c:pt idx="61">
                  <c:v>10.65</c:v>
                </c:pt>
                <c:pt idx="62">
                  <c:v>10.75</c:v>
                </c:pt>
                <c:pt idx="63">
                  <c:v>10.8</c:v>
                </c:pt>
                <c:pt idx="64">
                  <c:v>10.75</c:v>
                </c:pt>
                <c:pt idx="65">
                  <c:v>10.72</c:v>
                </c:pt>
                <c:pt idx="66">
                  <c:v>10.48</c:v>
                </c:pt>
                <c:pt idx="67">
                  <c:v>10.44</c:v>
                </c:pt>
                <c:pt idx="68">
                  <c:v>10.36</c:v>
                </c:pt>
                <c:pt idx="69">
                  <c:v>10.31</c:v>
                </c:pt>
                <c:pt idx="70">
                  <c:v>10.17</c:v>
                </c:pt>
                <c:pt idx="71">
                  <c:v>10.220000000000001</c:v>
                </c:pt>
                <c:pt idx="72">
                  <c:v>10.38</c:v>
                </c:pt>
                <c:pt idx="73">
                  <c:v>9.98</c:v>
                </c:pt>
                <c:pt idx="74">
                  <c:v>10.19</c:v>
                </c:pt>
                <c:pt idx="75">
                  <c:v>10.24</c:v>
                </c:pt>
                <c:pt idx="76">
                  <c:v>10.1</c:v>
                </c:pt>
                <c:pt idx="77">
                  <c:v>10.26</c:v>
                </c:pt>
                <c:pt idx="78">
                  <c:v>10.34</c:v>
                </c:pt>
                <c:pt idx="79">
                  <c:v>10.6</c:v>
                </c:pt>
                <c:pt idx="80">
                  <c:v>10.66</c:v>
                </c:pt>
                <c:pt idx="81">
                  <c:v>10.53</c:v>
                </c:pt>
                <c:pt idx="82">
                  <c:v>10.43</c:v>
                </c:pt>
                <c:pt idx="83">
                  <c:v>10.62</c:v>
                </c:pt>
                <c:pt idx="84">
                  <c:v>10.42</c:v>
                </c:pt>
                <c:pt idx="85">
                  <c:v>10.43</c:v>
                </c:pt>
                <c:pt idx="86">
                  <c:v>10.59</c:v>
                </c:pt>
                <c:pt idx="87">
                  <c:v>10.75</c:v>
                </c:pt>
                <c:pt idx="88">
                  <c:v>10.73</c:v>
                </c:pt>
                <c:pt idx="89">
                  <c:v>10.48</c:v>
                </c:pt>
                <c:pt idx="90">
                  <c:v>10.63</c:v>
                </c:pt>
                <c:pt idx="91">
                  <c:v>10.8</c:v>
                </c:pt>
                <c:pt idx="92">
                  <c:v>10.85</c:v>
                </c:pt>
                <c:pt idx="93">
                  <c:v>11.35</c:v>
                </c:pt>
                <c:pt idx="94">
                  <c:v>11.77</c:v>
                </c:pt>
                <c:pt idx="95">
                  <c:v>11.81</c:v>
                </c:pt>
                <c:pt idx="96">
                  <c:v>11.59</c:v>
                </c:pt>
                <c:pt idx="97">
                  <c:v>11.68</c:v>
                </c:pt>
                <c:pt idx="98">
                  <c:v>11.83</c:v>
                </c:pt>
                <c:pt idx="99">
                  <c:v>11.91</c:v>
                </c:pt>
                <c:pt idx="100">
                  <c:v>11.78</c:v>
                </c:pt>
                <c:pt idx="101">
                  <c:v>11.88</c:v>
                </c:pt>
                <c:pt idx="102">
                  <c:v>11.57</c:v>
                </c:pt>
                <c:pt idx="103">
                  <c:v>11.24</c:v>
                </c:pt>
                <c:pt idx="104">
                  <c:v>11.15</c:v>
                </c:pt>
                <c:pt idx="105">
                  <c:v>11.16</c:v>
                </c:pt>
                <c:pt idx="106">
                  <c:v>11.31</c:v>
                </c:pt>
                <c:pt idx="107">
                  <c:v>11.19</c:v>
                </c:pt>
                <c:pt idx="108">
                  <c:v>11.38</c:v>
                </c:pt>
                <c:pt idx="109">
                  <c:v>11.26</c:v>
                </c:pt>
                <c:pt idx="110">
                  <c:v>11.47</c:v>
                </c:pt>
                <c:pt idx="111">
                  <c:v>11.28</c:v>
                </c:pt>
                <c:pt idx="112">
                  <c:v>11.08</c:v>
                </c:pt>
                <c:pt idx="113">
                  <c:v>10.87</c:v>
                </c:pt>
                <c:pt idx="114">
                  <c:v>11.07</c:v>
                </c:pt>
                <c:pt idx="115">
                  <c:v>10.82</c:v>
                </c:pt>
                <c:pt idx="116">
                  <c:v>10.95</c:v>
                </c:pt>
                <c:pt idx="117">
                  <c:v>11.06</c:v>
                </c:pt>
                <c:pt idx="118">
                  <c:v>11.21</c:v>
                </c:pt>
                <c:pt idx="119">
                  <c:v>11.28</c:v>
                </c:pt>
                <c:pt idx="120">
                  <c:v>11.32</c:v>
                </c:pt>
                <c:pt idx="121">
                  <c:v>11.14</c:v>
                </c:pt>
                <c:pt idx="122">
                  <c:v>11.25</c:v>
                </c:pt>
                <c:pt idx="123">
                  <c:v>11.44</c:v>
                </c:pt>
                <c:pt idx="124">
                  <c:v>11.44</c:v>
                </c:pt>
                <c:pt idx="125">
                  <c:v>11.44</c:v>
                </c:pt>
                <c:pt idx="126">
                  <c:v>11.46</c:v>
                </c:pt>
                <c:pt idx="127">
                  <c:v>11.58</c:v>
                </c:pt>
                <c:pt idx="128">
                  <c:v>11.49</c:v>
                </c:pt>
                <c:pt idx="129">
                  <c:v>11.33</c:v>
                </c:pt>
                <c:pt idx="130">
                  <c:v>11.74</c:v>
                </c:pt>
                <c:pt idx="131">
                  <c:v>11.82</c:v>
                </c:pt>
                <c:pt idx="132">
                  <c:v>11.84</c:v>
                </c:pt>
                <c:pt idx="133">
                  <c:v>11.91</c:v>
                </c:pt>
                <c:pt idx="134">
                  <c:v>11.71</c:v>
                </c:pt>
                <c:pt idx="135">
                  <c:v>11.77</c:v>
                </c:pt>
                <c:pt idx="136">
                  <c:v>11.72</c:v>
                </c:pt>
                <c:pt idx="137">
                  <c:v>11.62</c:v>
                </c:pt>
                <c:pt idx="138">
                  <c:v>11.68</c:v>
                </c:pt>
                <c:pt idx="139">
                  <c:v>11.74</c:v>
                </c:pt>
                <c:pt idx="140">
                  <c:v>11.69</c:v>
                </c:pt>
                <c:pt idx="141">
                  <c:v>11.49</c:v>
                </c:pt>
                <c:pt idx="142">
                  <c:v>11.42</c:v>
                </c:pt>
                <c:pt idx="143">
                  <c:v>11.76</c:v>
                </c:pt>
                <c:pt idx="144">
                  <c:v>11.68</c:v>
                </c:pt>
                <c:pt idx="145">
                  <c:v>11.68</c:v>
                </c:pt>
                <c:pt idx="146">
                  <c:v>11.61</c:v>
                </c:pt>
                <c:pt idx="147">
                  <c:v>11.66</c:v>
                </c:pt>
                <c:pt idx="148">
                  <c:v>11.74</c:v>
                </c:pt>
                <c:pt idx="149">
                  <c:v>11.62</c:v>
                </c:pt>
                <c:pt idx="150">
                  <c:v>11.66</c:v>
                </c:pt>
                <c:pt idx="151">
                  <c:v>11.73</c:v>
                </c:pt>
                <c:pt idx="152">
                  <c:v>11.63</c:v>
                </c:pt>
                <c:pt idx="153">
                  <c:v>11.62</c:v>
                </c:pt>
                <c:pt idx="154">
                  <c:v>12.01</c:v>
                </c:pt>
                <c:pt idx="155">
                  <c:v>12.09</c:v>
                </c:pt>
                <c:pt idx="156">
                  <c:v>11.96</c:v>
                </c:pt>
                <c:pt idx="157">
                  <c:v>12.27</c:v>
                </c:pt>
                <c:pt idx="158">
                  <c:v>12.22</c:v>
                </c:pt>
                <c:pt idx="159">
                  <c:v>12.67</c:v>
                </c:pt>
                <c:pt idx="160">
                  <c:v>12.7</c:v>
                </c:pt>
                <c:pt idx="161">
                  <c:v>11.92</c:v>
                </c:pt>
                <c:pt idx="162">
                  <c:v>11.74</c:v>
                </c:pt>
                <c:pt idx="163">
                  <c:v>11.5</c:v>
                </c:pt>
                <c:pt idx="164">
                  <c:v>11.41</c:v>
                </c:pt>
                <c:pt idx="165">
                  <c:v>11.54</c:v>
                </c:pt>
                <c:pt idx="166">
                  <c:v>11.65</c:v>
                </c:pt>
                <c:pt idx="167">
                  <c:v>11.76</c:v>
                </c:pt>
                <c:pt idx="168">
                  <c:v>11.74</c:v>
                </c:pt>
                <c:pt idx="169">
                  <c:v>11.92</c:v>
                </c:pt>
                <c:pt idx="170">
                  <c:v>11.99</c:v>
                </c:pt>
                <c:pt idx="171">
                  <c:v>12.56</c:v>
                </c:pt>
                <c:pt idx="172">
                  <c:v>12.43</c:v>
                </c:pt>
                <c:pt idx="173">
                  <c:v>12.34</c:v>
                </c:pt>
                <c:pt idx="174">
                  <c:v>13.84</c:v>
                </c:pt>
                <c:pt idx="175">
                  <c:v>13.26</c:v>
                </c:pt>
                <c:pt idx="176">
                  <c:v>13.13</c:v>
                </c:pt>
                <c:pt idx="177">
                  <c:v>13.24</c:v>
                </c:pt>
                <c:pt idx="178">
                  <c:v>13.06</c:v>
                </c:pt>
                <c:pt idx="179">
                  <c:v>13.13</c:v>
                </c:pt>
                <c:pt idx="180">
                  <c:v>13.01</c:v>
                </c:pt>
                <c:pt idx="181">
                  <c:v>12.79</c:v>
                </c:pt>
                <c:pt idx="182">
                  <c:v>13.11</c:v>
                </c:pt>
                <c:pt idx="183">
                  <c:v>13.12</c:v>
                </c:pt>
                <c:pt idx="184">
                  <c:v>13.21</c:v>
                </c:pt>
                <c:pt idx="185">
                  <c:v>13.16</c:v>
                </c:pt>
                <c:pt idx="186">
                  <c:v>13.3</c:v>
                </c:pt>
                <c:pt idx="187">
                  <c:v>13.45</c:v>
                </c:pt>
                <c:pt idx="188">
                  <c:v>13.28</c:v>
                </c:pt>
                <c:pt idx="189">
                  <c:v>13.19</c:v>
                </c:pt>
                <c:pt idx="190">
                  <c:v>12.88</c:v>
                </c:pt>
                <c:pt idx="191">
                  <c:v>13.02</c:v>
                </c:pt>
                <c:pt idx="192">
                  <c:v>12.9</c:v>
                </c:pt>
                <c:pt idx="193">
                  <c:v>12.41</c:v>
                </c:pt>
                <c:pt idx="194">
                  <c:v>12.83</c:v>
                </c:pt>
                <c:pt idx="195">
                  <c:v>12.96</c:v>
                </c:pt>
                <c:pt idx="196">
                  <c:v>13.17</c:v>
                </c:pt>
                <c:pt idx="197">
                  <c:v>13.19</c:v>
                </c:pt>
                <c:pt idx="198">
                  <c:v>13.28</c:v>
                </c:pt>
                <c:pt idx="199">
                  <c:v>13.16</c:v>
                </c:pt>
                <c:pt idx="200">
                  <c:v>12.96</c:v>
                </c:pt>
                <c:pt idx="201">
                  <c:v>13.09</c:v>
                </c:pt>
                <c:pt idx="202">
                  <c:v>13.14</c:v>
                </c:pt>
                <c:pt idx="203">
                  <c:v>13.03</c:v>
                </c:pt>
                <c:pt idx="204">
                  <c:v>13.14</c:v>
                </c:pt>
                <c:pt idx="205">
                  <c:v>13.08</c:v>
                </c:pt>
                <c:pt idx="206">
                  <c:v>13.41</c:v>
                </c:pt>
                <c:pt idx="207">
                  <c:v>13.63</c:v>
                </c:pt>
                <c:pt idx="208">
                  <c:v>13.76</c:v>
                </c:pt>
                <c:pt idx="209">
                  <c:v>13.65</c:v>
                </c:pt>
                <c:pt idx="210">
                  <c:v>13.67</c:v>
                </c:pt>
                <c:pt idx="211">
                  <c:v>13.31</c:v>
                </c:pt>
                <c:pt idx="212">
                  <c:v>13.32</c:v>
                </c:pt>
                <c:pt idx="213">
                  <c:v>13.47</c:v>
                </c:pt>
                <c:pt idx="214">
                  <c:v>13.46</c:v>
                </c:pt>
                <c:pt idx="215">
                  <c:v>13.29</c:v>
                </c:pt>
                <c:pt idx="216">
                  <c:v>13.36</c:v>
                </c:pt>
                <c:pt idx="217">
                  <c:v>13.31</c:v>
                </c:pt>
                <c:pt idx="218">
                  <c:v>13.28</c:v>
                </c:pt>
                <c:pt idx="219">
                  <c:v>13.23</c:v>
                </c:pt>
                <c:pt idx="220">
                  <c:v>13.12</c:v>
                </c:pt>
                <c:pt idx="221">
                  <c:v>13.34</c:v>
                </c:pt>
                <c:pt idx="222">
                  <c:v>13.47</c:v>
                </c:pt>
                <c:pt idx="223">
                  <c:v>13.8</c:v>
                </c:pt>
                <c:pt idx="224">
                  <c:v>13.74</c:v>
                </c:pt>
                <c:pt idx="225">
                  <c:v>14.4</c:v>
                </c:pt>
                <c:pt idx="226">
                  <c:v>14.2</c:v>
                </c:pt>
                <c:pt idx="227">
                  <c:v>14.03</c:v>
                </c:pt>
                <c:pt idx="228">
                  <c:v>13.98</c:v>
                </c:pt>
                <c:pt idx="229">
                  <c:v>13.84</c:v>
                </c:pt>
                <c:pt idx="230">
                  <c:v>13.81</c:v>
                </c:pt>
                <c:pt idx="231">
                  <c:v>13.6</c:v>
                </c:pt>
                <c:pt idx="232">
                  <c:v>13.28</c:v>
                </c:pt>
                <c:pt idx="233">
                  <c:v>13.77</c:v>
                </c:pt>
                <c:pt idx="234">
                  <c:v>13.71</c:v>
                </c:pt>
                <c:pt idx="235">
                  <c:v>13.56</c:v>
                </c:pt>
                <c:pt idx="236">
                  <c:v>13.44</c:v>
                </c:pt>
                <c:pt idx="237">
                  <c:v>13.93</c:v>
                </c:pt>
                <c:pt idx="238">
                  <c:v>13.82</c:v>
                </c:pt>
                <c:pt idx="239">
                  <c:v>14</c:v>
                </c:pt>
                <c:pt idx="240">
                  <c:v>13.88</c:v>
                </c:pt>
                <c:pt idx="241">
                  <c:v>13.81</c:v>
                </c:pt>
                <c:pt idx="242">
                  <c:v>13.73</c:v>
                </c:pt>
                <c:pt idx="243">
                  <c:v>13.82</c:v>
                </c:pt>
                <c:pt idx="244">
                  <c:v>13.72</c:v>
                </c:pt>
                <c:pt idx="245">
                  <c:v>13.8</c:v>
                </c:pt>
                <c:pt idx="246">
                  <c:v>13.59</c:v>
                </c:pt>
                <c:pt idx="247">
                  <c:v>13.57</c:v>
                </c:pt>
                <c:pt idx="248">
                  <c:v>13.85</c:v>
                </c:pt>
                <c:pt idx="249">
                  <c:v>14</c:v>
                </c:pt>
                <c:pt idx="250">
                  <c:v>14.12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5-4C94-8C7D-A0FD9D3A4470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45702</c:v>
                </c:pt>
                <c:pt idx="1">
                  <c:v>45706</c:v>
                </c:pt>
                <c:pt idx="2">
                  <c:v>45707</c:v>
                </c:pt>
                <c:pt idx="3">
                  <c:v>45708</c:v>
                </c:pt>
                <c:pt idx="4">
                  <c:v>45709</c:v>
                </c:pt>
                <c:pt idx="5">
                  <c:v>45712</c:v>
                </c:pt>
                <c:pt idx="6">
                  <c:v>45713</c:v>
                </c:pt>
                <c:pt idx="7">
                  <c:v>45714</c:v>
                </c:pt>
                <c:pt idx="8">
                  <c:v>45715</c:v>
                </c:pt>
                <c:pt idx="9">
                  <c:v>45716</c:v>
                </c:pt>
                <c:pt idx="10">
                  <c:v>45719</c:v>
                </c:pt>
                <c:pt idx="11">
                  <c:v>45720</c:v>
                </c:pt>
                <c:pt idx="12">
                  <c:v>45721</c:v>
                </c:pt>
                <c:pt idx="13">
                  <c:v>45722</c:v>
                </c:pt>
                <c:pt idx="14">
                  <c:v>45723</c:v>
                </c:pt>
                <c:pt idx="15">
                  <c:v>45726</c:v>
                </c:pt>
                <c:pt idx="16">
                  <c:v>45727</c:v>
                </c:pt>
                <c:pt idx="17">
                  <c:v>45728</c:v>
                </c:pt>
                <c:pt idx="18">
                  <c:v>45729</c:v>
                </c:pt>
                <c:pt idx="19">
                  <c:v>45730</c:v>
                </c:pt>
                <c:pt idx="20">
                  <c:v>45733</c:v>
                </c:pt>
                <c:pt idx="21">
                  <c:v>45734</c:v>
                </c:pt>
                <c:pt idx="22">
                  <c:v>45735</c:v>
                </c:pt>
                <c:pt idx="23">
                  <c:v>45736</c:v>
                </c:pt>
                <c:pt idx="24">
                  <c:v>45737</c:v>
                </c:pt>
                <c:pt idx="25">
                  <c:v>45740</c:v>
                </c:pt>
                <c:pt idx="26">
                  <c:v>45741</c:v>
                </c:pt>
                <c:pt idx="27">
                  <c:v>45742</c:v>
                </c:pt>
                <c:pt idx="28">
                  <c:v>45743</c:v>
                </c:pt>
                <c:pt idx="29">
                  <c:v>45744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45754</c:v>
                </c:pt>
                <c:pt idx="36">
                  <c:v>45755</c:v>
                </c:pt>
                <c:pt idx="37">
                  <c:v>45756</c:v>
                </c:pt>
                <c:pt idx="38">
                  <c:v>45757</c:v>
                </c:pt>
                <c:pt idx="39">
                  <c:v>45758</c:v>
                </c:pt>
                <c:pt idx="40">
                  <c:v>45761</c:v>
                </c:pt>
                <c:pt idx="41">
                  <c:v>45762</c:v>
                </c:pt>
                <c:pt idx="42">
                  <c:v>45763</c:v>
                </c:pt>
                <c:pt idx="43">
                  <c:v>45764</c:v>
                </c:pt>
                <c:pt idx="44">
                  <c:v>45768</c:v>
                </c:pt>
                <c:pt idx="45">
                  <c:v>45769</c:v>
                </c:pt>
                <c:pt idx="46">
                  <c:v>45770</c:v>
                </c:pt>
                <c:pt idx="47">
                  <c:v>45771</c:v>
                </c:pt>
                <c:pt idx="48">
                  <c:v>45772</c:v>
                </c:pt>
                <c:pt idx="49">
                  <c:v>45775</c:v>
                </c:pt>
                <c:pt idx="50">
                  <c:v>45776</c:v>
                </c:pt>
                <c:pt idx="51">
                  <c:v>45777</c:v>
                </c:pt>
                <c:pt idx="52">
                  <c:v>45778</c:v>
                </c:pt>
                <c:pt idx="53">
                  <c:v>45779</c:v>
                </c:pt>
                <c:pt idx="54">
                  <c:v>45782</c:v>
                </c:pt>
                <c:pt idx="55">
                  <c:v>45783</c:v>
                </c:pt>
                <c:pt idx="56">
                  <c:v>45784</c:v>
                </c:pt>
                <c:pt idx="57">
                  <c:v>45785</c:v>
                </c:pt>
                <c:pt idx="58">
                  <c:v>45786</c:v>
                </c:pt>
                <c:pt idx="59">
                  <c:v>45789</c:v>
                </c:pt>
                <c:pt idx="60">
                  <c:v>45790</c:v>
                </c:pt>
                <c:pt idx="61">
                  <c:v>45791</c:v>
                </c:pt>
                <c:pt idx="62">
                  <c:v>45792</c:v>
                </c:pt>
                <c:pt idx="63">
                  <c:v>45793</c:v>
                </c:pt>
                <c:pt idx="64">
                  <c:v>45796</c:v>
                </c:pt>
                <c:pt idx="65">
                  <c:v>45797</c:v>
                </c:pt>
                <c:pt idx="66">
                  <c:v>45798</c:v>
                </c:pt>
                <c:pt idx="67">
                  <c:v>45799</c:v>
                </c:pt>
                <c:pt idx="68">
                  <c:v>45800</c:v>
                </c:pt>
                <c:pt idx="69">
                  <c:v>45804</c:v>
                </c:pt>
                <c:pt idx="70">
                  <c:v>45805</c:v>
                </c:pt>
                <c:pt idx="71">
                  <c:v>45806</c:v>
                </c:pt>
                <c:pt idx="72">
                  <c:v>45807</c:v>
                </c:pt>
                <c:pt idx="73">
                  <c:v>45810</c:v>
                </c:pt>
                <c:pt idx="74">
                  <c:v>45811</c:v>
                </c:pt>
                <c:pt idx="75">
                  <c:v>45812</c:v>
                </c:pt>
                <c:pt idx="76">
                  <c:v>45813</c:v>
                </c:pt>
                <c:pt idx="77">
                  <c:v>45814</c:v>
                </c:pt>
                <c:pt idx="78">
                  <c:v>45817</c:v>
                </c:pt>
                <c:pt idx="79">
                  <c:v>45818</c:v>
                </c:pt>
                <c:pt idx="80">
                  <c:v>45819</c:v>
                </c:pt>
                <c:pt idx="81">
                  <c:v>45820</c:v>
                </c:pt>
                <c:pt idx="82">
                  <c:v>45821</c:v>
                </c:pt>
                <c:pt idx="83">
                  <c:v>45824</c:v>
                </c:pt>
                <c:pt idx="84">
                  <c:v>45825</c:v>
                </c:pt>
                <c:pt idx="85">
                  <c:v>45826</c:v>
                </c:pt>
                <c:pt idx="86">
                  <c:v>45828</c:v>
                </c:pt>
                <c:pt idx="87">
                  <c:v>45831</c:v>
                </c:pt>
                <c:pt idx="88">
                  <c:v>45832</c:v>
                </c:pt>
                <c:pt idx="89">
                  <c:v>45833</c:v>
                </c:pt>
                <c:pt idx="90">
                  <c:v>45834</c:v>
                </c:pt>
                <c:pt idx="91">
                  <c:v>45835</c:v>
                </c:pt>
                <c:pt idx="92">
                  <c:v>45838</c:v>
                </c:pt>
                <c:pt idx="93">
                  <c:v>45839</c:v>
                </c:pt>
                <c:pt idx="94">
                  <c:v>45840</c:v>
                </c:pt>
                <c:pt idx="95">
                  <c:v>45841</c:v>
                </c:pt>
                <c:pt idx="96">
                  <c:v>45845</c:v>
                </c:pt>
                <c:pt idx="97">
                  <c:v>45846</c:v>
                </c:pt>
                <c:pt idx="98">
                  <c:v>45847</c:v>
                </c:pt>
                <c:pt idx="99">
                  <c:v>45848</c:v>
                </c:pt>
                <c:pt idx="100">
                  <c:v>45849</c:v>
                </c:pt>
                <c:pt idx="101">
                  <c:v>45852</c:v>
                </c:pt>
                <c:pt idx="102">
                  <c:v>45853</c:v>
                </c:pt>
                <c:pt idx="103">
                  <c:v>45854</c:v>
                </c:pt>
                <c:pt idx="104">
                  <c:v>45855</c:v>
                </c:pt>
                <c:pt idx="105">
                  <c:v>45856</c:v>
                </c:pt>
                <c:pt idx="106">
                  <c:v>45859</c:v>
                </c:pt>
                <c:pt idx="107">
                  <c:v>45860</c:v>
                </c:pt>
                <c:pt idx="108">
                  <c:v>45861</c:v>
                </c:pt>
                <c:pt idx="109">
                  <c:v>45862</c:v>
                </c:pt>
                <c:pt idx="110">
                  <c:v>45863</c:v>
                </c:pt>
                <c:pt idx="111">
                  <c:v>45866</c:v>
                </c:pt>
                <c:pt idx="112">
                  <c:v>45867</c:v>
                </c:pt>
                <c:pt idx="113">
                  <c:v>45868</c:v>
                </c:pt>
                <c:pt idx="114">
                  <c:v>45869</c:v>
                </c:pt>
                <c:pt idx="115">
                  <c:v>45870</c:v>
                </c:pt>
                <c:pt idx="116">
                  <c:v>45873</c:v>
                </c:pt>
                <c:pt idx="117">
                  <c:v>45874</c:v>
                </c:pt>
                <c:pt idx="118">
                  <c:v>45875</c:v>
                </c:pt>
                <c:pt idx="119">
                  <c:v>45876</c:v>
                </c:pt>
                <c:pt idx="120">
                  <c:v>45877</c:v>
                </c:pt>
                <c:pt idx="121">
                  <c:v>45880</c:v>
                </c:pt>
                <c:pt idx="122">
                  <c:v>45881</c:v>
                </c:pt>
                <c:pt idx="123">
                  <c:v>45882</c:v>
                </c:pt>
                <c:pt idx="124">
                  <c:v>45883</c:v>
                </c:pt>
                <c:pt idx="125">
                  <c:v>45884</c:v>
                </c:pt>
                <c:pt idx="126">
                  <c:v>45887</c:v>
                </c:pt>
                <c:pt idx="127">
                  <c:v>45888</c:v>
                </c:pt>
                <c:pt idx="128">
                  <c:v>45889</c:v>
                </c:pt>
                <c:pt idx="129">
                  <c:v>45890</c:v>
                </c:pt>
                <c:pt idx="130">
                  <c:v>45891</c:v>
                </c:pt>
                <c:pt idx="131">
                  <c:v>45894</c:v>
                </c:pt>
                <c:pt idx="132">
                  <c:v>45895</c:v>
                </c:pt>
                <c:pt idx="133">
                  <c:v>45896</c:v>
                </c:pt>
                <c:pt idx="134">
                  <c:v>45897</c:v>
                </c:pt>
                <c:pt idx="135">
                  <c:v>45898</c:v>
                </c:pt>
                <c:pt idx="136">
                  <c:v>45902</c:v>
                </c:pt>
                <c:pt idx="137">
                  <c:v>45903</c:v>
                </c:pt>
                <c:pt idx="138">
                  <c:v>45904</c:v>
                </c:pt>
                <c:pt idx="139">
                  <c:v>45905</c:v>
                </c:pt>
                <c:pt idx="140">
                  <c:v>45908</c:v>
                </c:pt>
                <c:pt idx="141">
                  <c:v>45909</c:v>
                </c:pt>
                <c:pt idx="142">
                  <c:v>45910</c:v>
                </c:pt>
                <c:pt idx="143">
                  <c:v>45911</c:v>
                </c:pt>
                <c:pt idx="144">
                  <c:v>45912</c:v>
                </c:pt>
                <c:pt idx="145">
                  <c:v>45915</c:v>
                </c:pt>
                <c:pt idx="146">
                  <c:v>45916</c:v>
                </c:pt>
                <c:pt idx="147">
                  <c:v>45917</c:v>
                </c:pt>
                <c:pt idx="148">
                  <c:v>45918</c:v>
                </c:pt>
                <c:pt idx="149">
                  <c:v>45919</c:v>
                </c:pt>
                <c:pt idx="150">
                  <c:v>45922</c:v>
                </c:pt>
                <c:pt idx="151">
                  <c:v>45923</c:v>
                </c:pt>
                <c:pt idx="152">
                  <c:v>45924</c:v>
                </c:pt>
                <c:pt idx="153">
                  <c:v>45925</c:v>
                </c:pt>
                <c:pt idx="154">
                  <c:v>45926</c:v>
                </c:pt>
                <c:pt idx="155">
                  <c:v>45929</c:v>
                </c:pt>
                <c:pt idx="156">
                  <c:v>45930</c:v>
                </c:pt>
                <c:pt idx="157">
                  <c:v>45931</c:v>
                </c:pt>
                <c:pt idx="158">
                  <c:v>45932</c:v>
                </c:pt>
                <c:pt idx="159">
                  <c:v>45933</c:v>
                </c:pt>
                <c:pt idx="160">
                  <c:v>45936</c:v>
                </c:pt>
                <c:pt idx="161">
                  <c:v>45937</c:v>
                </c:pt>
                <c:pt idx="162">
                  <c:v>45938</c:v>
                </c:pt>
                <c:pt idx="163">
                  <c:v>45939</c:v>
                </c:pt>
                <c:pt idx="164">
                  <c:v>45940</c:v>
                </c:pt>
                <c:pt idx="165">
                  <c:v>45943</c:v>
                </c:pt>
                <c:pt idx="166">
                  <c:v>45944</c:v>
                </c:pt>
                <c:pt idx="167">
                  <c:v>45945</c:v>
                </c:pt>
                <c:pt idx="168">
                  <c:v>45946</c:v>
                </c:pt>
                <c:pt idx="169">
                  <c:v>45947</c:v>
                </c:pt>
                <c:pt idx="170">
                  <c:v>45950</c:v>
                </c:pt>
                <c:pt idx="171">
                  <c:v>45951</c:v>
                </c:pt>
                <c:pt idx="172">
                  <c:v>45952</c:v>
                </c:pt>
                <c:pt idx="173">
                  <c:v>45953</c:v>
                </c:pt>
                <c:pt idx="174">
                  <c:v>45954</c:v>
                </c:pt>
                <c:pt idx="175">
                  <c:v>45957</c:v>
                </c:pt>
                <c:pt idx="176">
                  <c:v>45958</c:v>
                </c:pt>
                <c:pt idx="177">
                  <c:v>45959</c:v>
                </c:pt>
                <c:pt idx="178">
                  <c:v>45960</c:v>
                </c:pt>
                <c:pt idx="179">
                  <c:v>45961</c:v>
                </c:pt>
                <c:pt idx="180">
                  <c:v>45964</c:v>
                </c:pt>
                <c:pt idx="181">
                  <c:v>45965</c:v>
                </c:pt>
                <c:pt idx="182">
                  <c:v>45966</c:v>
                </c:pt>
                <c:pt idx="183">
                  <c:v>45967</c:v>
                </c:pt>
                <c:pt idx="184">
                  <c:v>45968</c:v>
                </c:pt>
                <c:pt idx="185">
                  <c:v>45971</c:v>
                </c:pt>
                <c:pt idx="186">
                  <c:v>45972</c:v>
                </c:pt>
                <c:pt idx="187">
                  <c:v>45973</c:v>
                </c:pt>
                <c:pt idx="188">
                  <c:v>45974</c:v>
                </c:pt>
                <c:pt idx="189">
                  <c:v>45975</c:v>
                </c:pt>
                <c:pt idx="190">
                  <c:v>45978</c:v>
                </c:pt>
                <c:pt idx="191">
                  <c:v>45979</c:v>
                </c:pt>
                <c:pt idx="192">
                  <c:v>45980</c:v>
                </c:pt>
                <c:pt idx="193">
                  <c:v>45981</c:v>
                </c:pt>
                <c:pt idx="194">
                  <c:v>45982</c:v>
                </c:pt>
                <c:pt idx="195">
                  <c:v>45985</c:v>
                </c:pt>
                <c:pt idx="196">
                  <c:v>45986</c:v>
                </c:pt>
                <c:pt idx="197">
                  <c:v>45987</c:v>
                </c:pt>
                <c:pt idx="198">
                  <c:v>45989</c:v>
                </c:pt>
                <c:pt idx="199">
                  <c:v>45992</c:v>
                </c:pt>
                <c:pt idx="200">
                  <c:v>45993</c:v>
                </c:pt>
                <c:pt idx="201">
                  <c:v>45994</c:v>
                </c:pt>
                <c:pt idx="202">
                  <c:v>45995</c:v>
                </c:pt>
                <c:pt idx="203">
                  <c:v>45996</c:v>
                </c:pt>
                <c:pt idx="204">
                  <c:v>45999</c:v>
                </c:pt>
                <c:pt idx="205">
                  <c:v>46000</c:v>
                </c:pt>
                <c:pt idx="206">
                  <c:v>46001</c:v>
                </c:pt>
                <c:pt idx="207">
                  <c:v>46002</c:v>
                </c:pt>
                <c:pt idx="208">
                  <c:v>46003</c:v>
                </c:pt>
                <c:pt idx="209">
                  <c:v>46006</c:v>
                </c:pt>
                <c:pt idx="210">
                  <c:v>46007</c:v>
                </c:pt>
                <c:pt idx="211">
                  <c:v>46008</c:v>
                </c:pt>
                <c:pt idx="212">
                  <c:v>46009</c:v>
                </c:pt>
                <c:pt idx="213">
                  <c:v>46010</c:v>
                </c:pt>
                <c:pt idx="214">
                  <c:v>46013</c:v>
                </c:pt>
                <c:pt idx="215">
                  <c:v>46014</c:v>
                </c:pt>
                <c:pt idx="216">
                  <c:v>46015</c:v>
                </c:pt>
                <c:pt idx="217">
                  <c:v>46017</c:v>
                </c:pt>
                <c:pt idx="218">
                  <c:v>46020</c:v>
                </c:pt>
                <c:pt idx="219">
                  <c:v>46021</c:v>
                </c:pt>
                <c:pt idx="220">
                  <c:v>46022</c:v>
                </c:pt>
                <c:pt idx="221">
                  <c:v>46024</c:v>
                </c:pt>
                <c:pt idx="222">
                  <c:v>46027</c:v>
                </c:pt>
                <c:pt idx="223">
                  <c:v>46028</c:v>
                </c:pt>
                <c:pt idx="224">
                  <c:v>46029</c:v>
                </c:pt>
                <c:pt idx="225">
                  <c:v>46030</c:v>
                </c:pt>
                <c:pt idx="226">
                  <c:v>46031</c:v>
                </c:pt>
                <c:pt idx="227">
                  <c:v>46034</c:v>
                </c:pt>
                <c:pt idx="228">
                  <c:v>46035</c:v>
                </c:pt>
                <c:pt idx="229">
                  <c:v>46036</c:v>
                </c:pt>
                <c:pt idx="230">
                  <c:v>46037</c:v>
                </c:pt>
                <c:pt idx="231">
                  <c:v>46038</c:v>
                </c:pt>
                <c:pt idx="232">
                  <c:v>46042</c:v>
                </c:pt>
                <c:pt idx="233">
                  <c:v>46043</c:v>
                </c:pt>
                <c:pt idx="234">
                  <c:v>46044</c:v>
                </c:pt>
                <c:pt idx="235">
                  <c:v>46045</c:v>
                </c:pt>
                <c:pt idx="236">
                  <c:v>46048</c:v>
                </c:pt>
                <c:pt idx="237">
                  <c:v>46049</c:v>
                </c:pt>
                <c:pt idx="238">
                  <c:v>46050</c:v>
                </c:pt>
                <c:pt idx="239">
                  <c:v>46051</c:v>
                </c:pt>
                <c:pt idx="240">
                  <c:v>46052</c:v>
                </c:pt>
                <c:pt idx="241">
                  <c:v>46055</c:v>
                </c:pt>
                <c:pt idx="242">
                  <c:v>46056</c:v>
                </c:pt>
                <c:pt idx="243">
                  <c:v>46057</c:v>
                </c:pt>
                <c:pt idx="244">
                  <c:v>46058</c:v>
                </c:pt>
                <c:pt idx="245">
                  <c:v>46059</c:v>
                </c:pt>
                <c:pt idx="246">
                  <c:v>46062</c:v>
                </c:pt>
                <c:pt idx="247">
                  <c:v>46063</c:v>
                </c:pt>
                <c:pt idx="248">
                  <c:v>46064</c:v>
                </c:pt>
                <c:pt idx="249">
                  <c:v>46065</c:v>
                </c:pt>
                <c:pt idx="250">
                  <c:v>46066</c:v>
                </c:pt>
              </c:numCache>
            </c:numRef>
          </c:cat>
          <c:val>
            <c:numRef>
              <c:f>Data!$J$2:$J$252</c:f>
              <c:numCache>
                <c:formatCode>General</c:formatCode>
                <c:ptCount val="251"/>
                <c:pt idx="19">
                  <c:v>9.4940000000000015</c:v>
                </c:pt>
                <c:pt idx="20">
                  <c:v>9.5235000000000003</c:v>
                </c:pt>
                <c:pt idx="21">
                  <c:v>9.556499999999998</c:v>
                </c:pt>
                <c:pt idx="22">
                  <c:v>9.597999999999999</c:v>
                </c:pt>
                <c:pt idx="23">
                  <c:v>9.6289999999999978</c:v>
                </c:pt>
                <c:pt idx="24">
                  <c:v>9.6649999999999974</c:v>
                </c:pt>
                <c:pt idx="25">
                  <c:v>9.7099999999999973</c:v>
                </c:pt>
                <c:pt idx="26">
                  <c:v>9.7534999999999989</c:v>
                </c:pt>
                <c:pt idx="27">
                  <c:v>9.7949999999999982</c:v>
                </c:pt>
                <c:pt idx="28">
                  <c:v>9.8255000000000017</c:v>
                </c:pt>
                <c:pt idx="29">
                  <c:v>9.8339999999999996</c:v>
                </c:pt>
                <c:pt idx="30">
                  <c:v>9.8660000000000014</c:v>
                </c:pt>
                <c:pt idx="31">
                  <c:v>9.907</c:v>
                </c:pt>
                <c:pt idx="32">
                  <c:v>9.9320000000000004</c:v>
                </c:pt>
                <c:pt idx="33">
                  <c:v>9.9285000000000014</c:v>
                </c:pt>
                <c:pt idx="34">
                  <c:v>9.9125000000000014</c:v>
                </c:pt>
                <c:pt idx="35">
                  <c:v>9.8765000000000018</c:v>
                </c:pt>
                <c:pt idx="36">
                  <c:v>9.8265000000000011</c:v>
                </c:pt>
                <c:pt idx="37">
                  <c:v>9.8219999999999992</c:v>
                </c:pt>
                <c:pt idx="38">
                  <c:v>9.8025000000000002</c:v>
                </c:pt>
                <c:pt idx="39">
                  <c:v>9.7825000000000006</c:v>
                </c:pt>
                <c:pt idx="40">
                  <c:v>9.772000000000002</c:v>
                </c:pt>
                <c:pt idx="41">
                  <c:v>9.7470000000000034</c:v>
                </c:pt>
                <c:pt idx="42">
                  <c:v>9.708499999999999</c:v>
                </c:pt>
                <c:pt idx="43">
                  <c:v>9.6894999999999989</c:v>
                </c:pt>
                <c:pt idx="44">
                  <c:v>9.6630000000000003</c:v>
                </c:pt>
                <c:pt idx="45">
                  <c:v>9.6329999999999991</c:v>
                </c:pt>
                <c:pt idx="46">
                  <c:v>9.6074999999999982</c:v>
                </c:pt>
                <c:pt idx="47">
                  <c:v>9.5954999999999995</c:v>
                </c:pt>
                <c:pt idx="48">
                  <c:v>9.6024999999999991</c:v>
                </c:pt>
                <c:pt idx="49">
                  <c:v>9.6175000000000015</c:v>
                </c:pt>
                <c:pt idx="50">
                  <c:v>9.6235000000000017</c:v>
                </c:pt>
                <c:pt idx="51">
                  <c:v>9.6269999999999989</c:v>
                </c:pt>
                <c:pt idx="52">
                  <c:v>9.6284999999999989</c:v>
                </c:pt>
                <c:pt idx="53">
                  <c:v>9.6654999999999998</c:v>
                </c:pt>
                <c:pt idx="54">
                  <c:v>9.6950000000000003</c:v>
                </c:pt>
                <c:pt idx="55">
                  <c:v>9.754999999999999</c:v>
                </c:pt>
                <c:pt idx="56">
                  <c:v>9.8344999999999985</c:v>
                </c:pt>
                <c:pt idx="57">
                  <c:v>9.8734999999999999</c:v>
                </c:pt>
                <c:pt idx="58">
                  <c:v>9.9380000000000006</c:v>
                </c:pt>
                <c:pt idx="59">
                  <c:v>9.9990000000000006</c:v>
                </c:pt>
                <c:pt idx="60">
                  <c:v>10.0435</c:v>
                </c:pt>
                <c:pt idx="61">
                  <c:v>10.1035</c:v>
                </c:pt>
                <c:pt idx="62">
                  <c:v>10.171000000000003</c:v>
                </c:pt>
                <c:pt idx="63">
                  <c:v>10.229500000000002</c:v>
                </c:pt>
                <c:pt idx="64">
                  <c:v>10.2935</c:v>
                </c:pt>
                <c:pt idx="65">
                  <c:v>10.347000000000001</c:v>
                </c:pt>
                <c:pt idx="66">
                  <c:v>10.382000000000001</c:v>
                </c:pt>
                <c:pt idx="67">
                  <c:v>10.401</c:v>
                </c:pt>
                <c:pt idx="68">
                  <c:v>10.416999999999998</c:v>
                </c:pt>
                <c:pt idx="69">
                  <c:v>10.4315</c:v>
                </c:pt>
                <c:pt idx="70">
                  <c:v>10.432499999999997</c:v>
                </c:pt>
                <c:pt idx="71">
                  <c:v>10.442999999999998</c:v>
                </c:pt>
                <c:pt idx="72">
                  <c:v>10.452999999999999</c:v>
                </c:pt>
                <c:pt idx="73">
                  <c:v>10.437999999999999</c:v>
                </c:pt>
                <c:pt idx="74">
                  <c:v>10.439</c:v>
                </c:pt>
                <c:pt idx="75">
                  <c:v>10.428999999999998</c:v>
                </c:pt>
                <c:pt idx="76">
                  <c:v>10.419999999999998</c:v>
                </c:pt>
                <c:pt idx="77">
                  <c:v>10.418999999999999</c:v>
                </c:pt>
                <c:pt idx="78">
                  <c:v>10.4145</c:v>
                </c:pt>
                <c:pt idx="79">
                  <c:v>10.416999999999998</c:v>
                </c:pt>
                <c:pt idx="80">
                  <c:v>10.419999999999998</c:v>
                </c:pt>
                <c:pt idx="81">
                  <c:v>10.414</c:v>
                </c:pt>
                <c:pt idx="82">
                  <c:v>10.398</c:v>
                </c:pt>
                <c:pt idx="83">
                  <c:v>10.388999999999999</c:v>
                </c:pt>
                <c:pt idx="84">
                  <c:v>10.372499999999999</c:v>
                </c:pt>
                <c:pt idx="85">
                  <c:v>10.358000000000001</c:v>
                </c:pt>
                <c:pt idx="86">
                  <c:v>10.3635</c:v>
                </c:pt>
                <c:pt idx="87">
                  <c:v>10.379000000000001</c:v>
                </c:pt>
                <c:pt idx="88">
                  <c:v>10.397499999999999</c:v>
                </c:pt>
                <c:pt idx="89">
                  <c:v>10.405999999999999</c:v>
                </c:pt>
                <c:pt idx="90">
                  <c:v>10.428999999999998</c:v>
                </c:pt>
                <c:pt idx="91">
                  <c:v>10.457999999999998</c:v>
                </c:pt>
                <c:pt idx="92">
                  <c:v>10.481499999999999</c:v>
                </c:pt>
                <c:pt idx="93">
                  <c:v>10.549999999999999</c:v>
                </c:pt>
                <c:pt idx="94">
                  <c:v>10.629</c:v>
                </c:pt>
                <c:pt idx="95">
                  <c:v>10.7075</c:v>
                </c:pt>
                <c:pt idx="96">
                  <c:v>10.782</c:v>
                </c:pt>
                <c:pt idx="97">
                  <c:v>10.853000000000002</c:v>
                </c:pt>
                <c:pt idx="98">
                  <c:v>10.927500000000002</c:v>
                </c:pt>
                <c:pt idx="99">
                  <c:v>10.993</c:v>
                </c:pt>
                <c:pt idx="100">
                  <c:v>11.049000000000001</c:v>
                </c:pt>
                <c:pt idx="101">
                  <c:v>11.1165</c:v>
                </c:pt>
                <c:pt idx="102">
                  <c:v>11.173500000000001</c:v>
                </c:pt>
                <c:pt idx="103">
                  <c:v>11.204499999999999</c:v>
                </c:pt>
                <c:pt idx="104">
                  <c:v>11.241000000000001</c:v>
                </c:pt>
                <c:pt idx="105">
                  <c:v>11.2775</c:v>
                </c:pt>
                <c:pt idx="106">
                  <c:v>11.313500000000001</c:v>
                </c:pt>
                <c:pt idx="107">
                  <c:v>11.3355</c:v>
                </c:pt>
                <c:pt idx="108">
                  <c:v>11.367999999999999</c:v>
                </c:pt>
                <c:pt idx="109">
                  <c:v>11.407</c:v>
                </c:pt>
                <c:pt idx="110">
                  <c:v>11.449</c:v>
                </c:pt>
                <c:pt idx="111">
                  <c:v>11.473000000000001</c:v>
                </c:pt>
                <c:pt idx="112">
                  <c:v>11.484500000000001</c:v>
                </c:pt>
                <c:pt idx="113">
                  <c:v>11.4605</c:v>
                </c:pt>
                <c:pt idx="114">
                  <c:v>11.425499999999998</c:v>
                </c:pt>
                <c:pt idx="115">
                  <c:v>11.376000000000001</c:v>
                </c:pt>
                <c:pt idx="116">
                  <c:v>11.343999999999999</c:v>
                </c:pt>
                <c:pt idx="117">
                  <c:v>11.312999999999999</c:v>
                </c:pt>
                <c:pt idx="118">
                  <c:v>11.282</c:v>
                </c:pt>
                <c:pt idx="119">
                  <c:v>11.250499999999999</c:v>
                </c:pt>
                <c:pt idx="120">
                  <c:v>11.227499999999999</c:v>
                </c:pt>
                <c:pt idx="121">
                  <c:v>11.1905</c:v>
                </c:pt>
                <c:pt idx="122">
                  <c:v>11.1745</c:v>
                </c:pt>
                <c:pt idx="123">
                  <c:v>11.1845</c:v>
                </c:pt>
                <c:pt idx="124">
                  <c:v>11.198999999999998</c:v>
                </c:pt>
                <c:pt idx="125">
                  <c:v>11.212999999999999</c:v>
                </c:pt>
                <c:pt idx="126">
                  <c:v>11.220499999999999</c:v>
                </c:pt>
                <c:pt idx="127">
                  <c:v>11.24</c:v>
                </c:pt>
                <c:pt idx="128">
                  <c:v>11.245500000000002</c:v>
                </c:pt>
                <c:pt idx="129">
                  <c:v>11.249000000000002</c:v>
                </c:pt>
                <c:pt idx="130">
                  <c:v>11.262500000000001</c:v>
                </c:pt>
                <c:pt idx="131">
                  <c:v>11.289500000000002</c:v>
                </c:pt>
                <c:pt idx="132">
                  <c:v>11.327500000000002</c:v>
                </c:pt>
                <c:pt idx="133">
                  <c:v>11.379500000000004</c:v>
                </c:pt>
                <c:pt idx="134">
                  <c:v>11.411500000000002</c:v>
                </c:pt>
                <c:pt idx="135">
                  <c:v>11.459000000000003</c:v>
                </c:pt>
                <c:pt idx="136">
                  <c:v>11.4975</c:v>
                </c:pt>
                <c:pt idx="137">
                  <c:v>11.525500000000001</c:v>
                </c:pt>
                <c:pt idx="138">
                  <c:v>11.549000000000001</c:v>
                </c:pt>
                <c:pt idx="139">
                  <c:v>11.572000000000001</c:v>
                </c:pt>
                <c:pt idx="140">
                  <c:v>11.5905</c:v>
                </c:pt>
                <c:pt idx="141">
                  <c:v>11.608000000000001</c:v>
                </c:pt>
                <c:pt idx="142">
                  <c:v>11.6165</c:v>
                </c:pt>
                <c:pt idx="143">
                  <c:v>11.632500000000002</c:v>
                </c:pt>
                <c:pt idx="144">
                  <c:v>11.644500000000001</c:v>
                </c:pt>
                <c:pt idx="145">
                  <c:v>11.656500000000001</c:v>
                </c:pt>
                <c:pt idx="146">
                  <c:v>11.663999999999998</c:v>
                </c:pt>
                <c:pt idx="147">
                  <c:v>11.667999999999999</c:v>
                </c:pt>
                <c:pt idx="148">
                  <c:v>11.680499999999999</c:v>
                </c:pt>
                <c:pt idx="149">
                  <c:v>11.695</c:v>
                </c:pt>
                <c:pt idx="150">
                  <c:v>11.690999999999999</c:v>
                </c:pt>
                <c:pt idx="151">
                  <c:v>11.686499999999999</c:v>
                </c:pt>
                <c:pt idx="152">
                  <c:v>11.676</c:v>
                </c:pt>
                <c:pt idx="153">
                  <c:v>11.6615</c:v>
                </c:pt>
                <c:pt idx="154">
                  <c:v>11.676500000000001</c:v>
                </c:pt>
                <c:pt idx="155">
                  <c:v>11.692500000000001</c:v>
                </c:pt>
                <c:pt idx="156">
                  <c:v>11.704500000000001</c:v>
                </c:pt>
                <c:pt idx="157">
                  <c:v>11.737</c:v>
                </c:pt>
                <c:pt idx="158">
                  <c:v>11.763999999999999</c:v>
                </c:pt>
                <c:pt idx="159">
                  <c:v>11.810499999999999</c:v>
                </c:pt>
                <c:pt idx="160">
                  <c:v>11.860999999999999</c:v>
                </c:pt>
                <c:pt idx="161">
                  <c:v>11.882499999999999</c:v>
                </c:pt>
                <c:pt idx="162">
                  <c:v>11.898499999999999</c:v>
                </c:pt>
                <c:pt idx="163">
                  <c:v>11.885499999999999</c:v>
                </c:pt>
                <c:pt idx="164">
                  <c:v>11.872</c:v>
                </c:pt>
                <c:pt idx="165">
                  <c:v>11.864999999999998</c:v>
                </c:pt>
                <c:pt idx="166">
                  <c:v>11.866999999999999</c:v>
                </c:pt>
                <c:pt idx="167">
                  <c:v>11.871999999999998</c:v>
                </c:pt>
                <c:pt idx="168">
                  <c:v>11.872</c:v>
                </c:pt>
                <c:pt idx="169">
                  <c:v>11.886999999999997</c:v>
                </c:pt>
                <c:pt idx="170">
                  <c:v>11.903499999999999</c:v>
                </c:pt>
                <c:pt idx="171">
                  <c:v>11.945</c:v>
                </c:pt>
                <c:pt idx="172">
                  <c:v>11.984999999999999</c:v>
                </c:pt>
                <c:pt idx="173">
                  <c:v>12.021000000000001</c:v>
                </c:pt>
                <c:pt idx="174">
                  <c:v>12.112500000000001</c:v>
                </c:pt>
                <c:pt idx="175">
                  <c:v>12.171000000000001</c:v>
                </c:pt>
                <c:pt idx="176">
                  <c:v>12.2295</c:v>
                </c:pt>
                <c:pt idx="177">
                  <c:v>12.278</c:v>
                </c:pt>
                <c:pt idx="178">
                  <c:v>12.32</c:v>
                </c:pt>
                <c:pt idx="179">
                  <c:v>12.343</c:v>
                </c:pt>
                <c:pt idx="180">
                  <c:v>12.358499999999999</c:v>
                </c:pt>
                <c:pt idx="181">
                  <c:v>12.401999999999999</c:v>
                </c:pt>
                <c:pt idx="182">
                  <c:v>12.470499999999998</c:v>
                </c:pt>
                <c:pt idx="183">
                  <c:v>12.551499999999999</c:v>
                </c:pt>
                <c:pt idx="184">
                  <c:v>12.641500000000001</c:v>
                </c:pt>
                <c:pt idx="185">
                  <c:v>12.722500000000002</c:v>
                </c:pt>
                <c:pt idx="186">
                  <c:v>12.805000000000001</c:v>
                </c:pt>
                <c:pt idx="187">
                  <c:v>12.889499999999998</c:v>
                </c:pt>
                <c:pt idx="188">
                  <c:v>12.9665</c:v>
                </c:pt>
                <c:pt idx="189">
                  <c:v>13.030000000000001</c:v>
                </c:pt>
                <c:pt idx="190">
                  <c:v>13.0745</c:v>
                </c:pt>
                <c:pt idx="191">
                  <c:v>13.0975</c:v>
                </c:pt>
                <c:pt idx="192">
                  <c:v>13.121</c:v>
                </c:pt>
                <c:pt idx="193">
                  <c:v>13.124500000000001</c:v>
                </c:pt>
                <c:pt idx="194">
                  <c:v>13.074000000000002</c:v>
                </c:pt>
                <c:pt idx="195">
                  <c:v>13.059000000000001</c:v>
                </c:pt>
                <c:pt idx="196">
                  <c:v>13.061000000000002</c:v>
                </c:pt>
                <c:pt idx="197">
                  <c:v>13.0585</c:v>
                </c:pt>
                <c:pt idx="198">
                  <c:v>13.0695</c:v>
                </c:pt>
                <c:pt idx="199">
                  <c:v>13.071000000000002</c:v>
                </c:pt>
                <c:pt idx="200">
                  <c:v>13.0685</c:v>
                </c:pt>
                <c:pt idx="201">
                  <c:v>13.083500000000001</c:v>
                </c:pt>
                <c:pt idx="202">
                  <c:v>13.084999999999999</c:v>
                </c:pt>
                <c:pt idx="203">
                  <c:v>13.080500000000001</c:v>
                </c:pt>
                <c:pt idx="204">
                  <c:v>13.077000000000002</c:v>
                </c:pt>
                <c:pt idx="205">
                  <c:v>13.072999999999999</c:v>
                </c:pt>
                <c:pt idx="206">
                  <c:v>13.0785</c:v>
                </c:pt>
                <c:pt idx="207">
                  <c:v>13.087500000000002</c:v>
                </c:pt>
                <c:pt idx="208">
                  <c:v>13.111500000000001</c:v>
                </c:pt>
                <c:pt idx="209">
                  <c:v>13.134499999999999</c:v>
                </c:pt>
                <c:pt idx="210">
                  <c:v>13.174000000000001</c:v>
                </c:pt>
                <c:pt idx="211">
                  <c:v>13.188499999999999</c:v>
                </c:pt>
                <c:pt idx="212">
                  <c:v>13.2095</c:v>
                </c:pt>
                <c:pt idx="213">
                  <c:v>13.262499999999999</c:v>
                </c:pt>
                <c:pt idx="214">
                  <c:v>13.294</c:v>
                </c:pt>
                <c:pt idx="215">
                  <c:v>13.310499999999999</c:v>
                </c:pt>
                <c:pt idx="216">
                  <c:v>13.319999999999999</c:v>
                </c:pt>
                <c:pt idx="217">
                  <c:v>13.325999999999999</c:v>
                </c:pt>
                <c:pt idx="218">
                  <c:v>13.325999999999997</c:v>
                </c:pt>
                <c:pt idx="219">
                  <c:v>13.329499999999999</c:v>
                </c:pt>
                <c:pt idx="220">
                  <c:v>13.3375</c:v>
                </c:pt>
                <c:pt idx="221">
                  <c:v>13.349999999999998</c:v>
                </c:pt>
                <c:pt idx="222">
                  <c:v>13.366499999999998</c:v>
                </c:pt>
                <c:pt idx="223">
                  <c:v>13.405000000000001</c:v>
                </c:pt>
                <c:pt idx="224">
                  <c:v>13.435000000000002</c:v>
                </c:pt>
                <c:pt idx="225">
                  <c:v>13.500999999999999</c:v>
                </c:pt>
                <c:pt idx="226">
                  <c:v>13.5405</c:v>
                </c:pt>
                <c:pt idx="227">
                  <c:v>13.560499999999999</c:v>
                </c:pt>
                <c:pt idx="228">
                  <c:v>13.5715</c:v>
                </c:pt>
                <c:pt idx="229">
                  <c:v>13.581</c:v>
                </c:pt>
                <c:pt idx="230">
                  <c:v>13.587999999999999</c:v>
                </c:pt>
                <c:pt idx="231">
                  <c:v>13.602500000000001</c:v>
                </c:pt>
                <c:pt idx="232">
                  <c:v>13.6005</c:v>
                </c:pt>
                <c:pt idx="233">
                  <c:v>13.615500000000001</c:v>
                </c:pt>
                <c:pt idx="234">
                  <c:v>13.627999999999997</c:v>
                </c:pt>
                <c:pt idx="235">
                  <c:v>13.641499999999999</c:v>
                </c:pt>
                <c:pt idx="236">
                  <c:v>13.645499999999998</c:v>
                </c:pt>
                <c:pt idx="237">
                  <c:v>13.676500000000001</c:v>
                </c:pt>
                <c:pt idx="238">
                  <c:v>13.7035</c:v>
                </c:pt>
                <c:pt idx="239">
                  <c:v>13.742000000000001</c:v>
                </c:pt>
                <c:pt idx="240">
                  <c:v>13.780000000000001</c:v>
                </c:pt>
                <c:pt idx="241">
                  <c:v>13.803500000000003</c:v>
                </c:pt>
                <c:pt idx="242">
                  <c:v>13.816500000000001</c:v>
                </c:pt>
                <c:pt idx="243">
                  <c:v>13.817500000000001</c:v>
                </c:pt>
                <c:pt idx="244">
                  <c:v>13.816500000000001</c:v>
                </c:pt>
                <c:pt idx="245">
                  <c:v>13.7865</c:v>
                </c:pt>
                <c:pt idx="246">
                  <c:v>13.755999999999997</c:v>
                </c:pt>
                <c:pt idx="247">
                  <c:v>13.732999999999999</c:v>
                </c:pt>
                <c:pt idx="248">
                  <c:v>13.726500000000001</c:v>
                </c:pt>
                <c:pt idx="249">
                  <c:v>13.734500000000001</c:v>
                </c:pt>
                <c:pt idx="250">
                  <c:v>13.75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65-4C94-8C7D-A0FD9D3A4470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45702</c:v>
                </c:pt>
                <c:pt idx="1">
                  <c:v>45706</c:v>
                </c:pt>
                <c:pt idx="2">
                  <c:v>45707</c:v>
                </c:pt>
                <c:pt idx="3">
                  <c:v>45708</c:v>
                </c:pt>
                <c:pt idx="4">
                  <c:v>45709</c:v>
                </c:pt>
                <c:pt idx="5">
                  <c:v>45712</c:v>
                </c:pt>
                <c:pt idx="6">
                  <c:v>45713</c:v>
                </c:pt>
                <c:pt idx="7">
                  <c:v>45714</c:v>
                </c:pt>
                <c:pt idx="8">
                  <c:v>45715</c:v>
                </c:pt>
                <c:pt idx="9">
                  <c:v>45716</c:v>
                </c:pt>
                <c:pt idx="10">
                  <c:v>45719</c:v>
                </c:pt>
                <c:pt idx="11">
                  <c:v>45720</c:v>
                </c:pt>
                <c:pt idx="12">
                  <c:v>45721</c:v>
                </c:pt>
                <c:pt idx="13">
                  <c:v>45722</c:v>
                </c:pt>
                <c:pt idx="14">
                  <c:v>45723</c:v>
                </c:pt>
                <c:pt idx="15">
                  <c:v>45726</c:v>
                </c:pt>
                <c:pt idx="16">
                  <c:v>45727</c:v>
                </c:pt>
                <c:pt idx="17">
                  <c:v>45728</c:v>
                </c:pt>
                <c:pt idx="18">
                  <c:v>45729</c:v>
                </c:pt>
                <c:pt idx="19">
                  <c:v>45730</c:v>
                </c:pt>
                <c:pt idx="20">
                  <c:v>45733</c:v>
                </c:pt>
                <c:pt idx="21">
                  <c:v>45734</c:v>
                </c:pt>
                <c:pt idx="22">
                  <c:v>45735</c:v>
                </c:pt>
                <c:pt idx="23">
                  <c:v>45736</c:v>
                </c:pt>
                <c:pt idx="24">
                  <c:v>45737</c:v>
                </c:pt>
                <c:pt idx="25">
                  <c:v>45740</c:v>
                </c:pt>
                <c:pt idx="26">
                  <c:v>45741</c:v>
                </c:pt>
                <c:pt idx="27">
                  <c:v>45742</c:v>
                </c:pt>
                <c:pt idx="28">
                  <c:v>45743</c:v>
                </c:pt>
                <c:pt idx="29">
                  <c:v>45744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45754</c:v>
                </c:pt>
                <c:pt idx="36">
                  <c:v>45755</c:v>
                </c:pt>
                <c:pt idx="37">
                  <c:v>45756</c:v>
                </c:pt>
                <c:pt idx="38">
                  <c:v>45757</c:v>
                </c:pt>
                <c:pt idx="39">
                  <c:v>45758</c:v>
                </c:pt>
                <c:pt idx="40">
                  <c:v>45761</c:v>
                </c:pt>
                <c:pt idx="41">
                  <c:v>45762</c:v>
                </c:pt>
                <c:pt idx="42">
                  <c:v>45763</c:v>
                </c:pt>
                <c:pt idx="43">
                  <c:v>45764</c:v>
                </c:pt>
                <c:pt idx="44">
                  <c:v>45768</c:v>
                </c:pt>
                <c:pt idx="45">
                  <c:v>45769</c:v>
                </c:pt>
                <c:pt idx="46">
                  <c:v>45770</c:v>
                </c:pt>
                <c:pt idx="47">
                  <c:v>45771</c:v>
                </c:pt>
                <c:pt idx="48">
                  <c:v>45772</c:v>
                </c:pt>
                <c:pt idx="49">
                  <c:v>45775</c:v>
                </c:pt>
                <c:pt idx="50">
                  <c:v>45776</c:v>
                </c:pt>
                <c:pt idx="51">
                  <c:v>45777</c:v>
                </c:pt>
                <c:pt idx="52">
                  <c:v>45778</c:v>
                </c:pt>
                <c:pt idx="53">
                  <c:v>45779</c:v>
                </c:pt>
                <c:pt idx="54">
                  <c:v>45782</c:v>
                </c:pt>
                <c:pt idx="55">
                  <c:v>45783</c:v>
                </c:pt>
                <c:pt idx="56">
                  <c:v>45784</c:v>
                </c:pt>
                <c:pt idx="57">
                  <c:v>45785</c:v>
                </c:pt>
                <c:pt idx="58">
                  <c:v>45786</c:v>
                </c:pt>
                <c:pt idx="59">
                  <c:v>45789</c:v>
                </c:pt>
                <c:pt idx="60">
                  <c:v>45790</c:v>
                </c:pt>
                <c:pt idx="61">
                  <c:v>45791</c:v>
                </c:pt>
                <c:pt idx="62">
                  <c:v>45792</c:v>
                </c:pt>
                <c:pt idx="63">
                  <c:v>45793</c:v>
                </c:pt>
                <c:pt idx="64">
                  <c:v>45796</c:v>
                </c:pt>
                <c:pt idx="65">
                  <c:v>45797</c:v>
                </c:pt>
                <c:pt idx="66">
                  <c:v>45798</c:v>
                </c:pt>
                <c:pt idx="67">
                  <c:v>45799</c:v>
                </c:pt>
                <c:pt idx="68">
                  <c:v>45800</c:v>
                </c:pt>
                <c:pt idx="69">
                  <c:v>45804</c:v>
                </c:pt>
                <c:pt idx="70">
                  <c:v>45805</c:v>
                </c:pt>
                <c:pt idx="71">
                  <c:v>45806</c:v>
                </c:pt>
                <c:pt idx="72">
                  <c:v>45807</c:v>
                </c:pt>
                <c:pt idx="73">
                  <c:v>45810</c:v>
                </c:pt>
                <c:pt idx="74">
                  <c:v>45811</c:v>
                </c:pt>
                <c:pt idx="75">
                  <c:v>45812</c:v>
                </c:pt>
                <c:pt idx="76">
                  <c:v>45813</c:v>
                </c:pt>
                <c:pt idx="77">
                  <c:v>45814</c:v>
                </c:pt>
                <c:pt idx="78">
                  <c:v>45817</c:v>
                </c:pt>
                <c:pt idx="79">
                  <c:v>45818</c:v>
                </c:pt>
                <c:pt idx="80">
                  <c:v>45819</c:v>
                </c:pt>
                <c:pt idx="81">
                  <c:v>45820</c:v>
                </c:pt>
                <c:pt idx="82">
                  <c:v>45821</c:v>
                </c:pt>
                <c:pt idx="83">
                  <c:v>45824</c:v>
                </c:pt>
                <c:pt idx="84">
                  <c:v>45825</c:v>
                </c:pt>
                <c:pt idx="85">
                  <c:v>45826</c:v>
                </c:pt>
                <c:pt idx="86">
                  <c:v>45828</c:v>
                </c:pt>
                <c:pt idx="87">
                  <c:v>45831</c:v>
                </c:pt>
                <c:pt idx="88">
                  <c:v>45832</c:v>
                </c:pt>
                <c:pt idx="89">
                  <c:v>45833</c:v>
                </c:pt>
                <c:pt idx="90">
                  <c:v>45834</c:v>
                </c:pt>
                <c:pt idx="91">
                  <c:v>45835</c:v>
                </c:pt>
                <c:pt idx="92">
                  <c:v>45838</c:v>
                </c:pt>
                <c:pt idx="93">
                  <c:v>45839</c:v>
                </c:pt>
                <c:pt idx="94">
                  <c:v>45840</c:v>
                </c:pt>
                <c:pt idx="95">
                  <c:v>45841</c:v>
                </c:pt>
                <c:pt idx="96">
                  <c:v>45845</c:v>
                </c:pt>
                <c:pt idx="97">
                  <c:v>45846</c:v>
                </c:pt>
                <c:pt idx="98">
                  <c:v>45847</c:v>
                </c:pt>
                <c:pt idx="99">
                  <c:v>45848</c:v>
                </c:pt>
                <c:pt idx="100">
                  <c:v>45849</c:v>
                </c:pt>
                <c:pt idx="101">
                  <c:v>45852</c:v>
                </c:pt>
                <c:pt idx="102">
                  <c:v>45853</c:v>
                </c:pt>
                <c:pt idx="103">
                  <c:v>45854</c:v>
                </c:pt>
                <c:pt idx="104">
                  <c:v>45855</c:v>
                </c:pt>
                <c:pt idx="105">
                  <c:v>45856</c:v>
                </c:pt>
                <c:pt idx="106">
                  <c:v>45859</c:v>
                </c:pt>
                <c:pt idx="107">
                  <c:v>45860</c:v>
                </c:pt>
                <c:pt idx="108">
                  <c:v>45861</c:v>
                </c:pt>
                <c:pt idx="109">
                  <c:v>45862</c:v>
                </c:pt>
                <c:pt idx="110">
                  <c:v>45863</c:v>
                </c:pt>
                <c:pt idx="111">
                  <c:v>45866</c:v>
                </c:pt>
                <c:pt idx="112">
                  <c:v>45867</c:v>
                </c:pt>
                <c:pt idx="113">
                  <c:v>45868</c:v>
                </c:pt>
                <c:pt idx="114">
                  <c:v>45869</c:v>
                </c:pt>
                <c:pt idx="115">
                  <c:v>45870</c:v>
                </c:pt>
                <c:pt idx="116">
                  <c:v>45873</c:v>
                </c:pt>
                <c:pt idx="117">
                  <c:v>45874</c:v>
                </c:pt>
                <c:pt idx="118">
                  <c:v>45875</c:v>
                </c:pt>
                <c:pt idx="119">
                  <c:v>45876</c:v>
                </c:pt>
                <c:pt idx="120">
                  <c:v>45877</c:v>
                </c:pt>
                <c:pt idx="121">
                  <c:v>45880</c:v>
                </c:pt>
                <c:pt idx="122">
                  <c:v>45881</c:v>
                </c:pt>
                <c:pt idx="123">
                  <c:v>45882</c:v>
                </c:pt>
                <c:pt idx="124">
                  <c:v>45883</c:v>
                </c:pt>
                <c:pt idx="125">
                  <c:v>45884</c:v>
                </c:pt>
                <c:pt idx="126">
                  <c:v>45887</c:v>
                </c:pt>
                <c:pt idx="127">
                  <c:v>45888</c:v>
                </c:pt>
                <c:pt idx="128">
                  <c:v>45889</c:v>
                </c:pt>
                <c:pt idx="129">
                  <c:v>45890</c:v>
                </c:pt>
                <c:pt idx="130">
                  <c:v>45891</c:v>
                </c:pt>
                <c:pt idx="131">
                  <c:v>45894</c:v>
                </c:pt>
                <c:pt idx="132">
                  <c:v>45895</c:v>
                </c:pt>
                <c:pt idx="133">
                  <c:v>45896</c:v>
                </c:pt>
                <c:pt idx="134">
                  <c:v>45897</c:v>
                </c:pt>
                <c:pt idx="135">
                  <c:v>45898</c:v>
                </c:pt>
                <c:pt idx="136">
                  <c:v>45902</c:v>
                </c:pt>
                <c:pt idx="137">
                  <c:v>45903</c:v>
                </c:pt>
                <c:pt idx="138">
                  <c:v>45904</c:v>
                </c:pt>
                <c:pt idx="139">
                  <c:v>45905</c:v>
                </c:pt>
                <c:pt idx="140">
                  <c:v>45908</c:v>
                </c:pt>
                <c:pt idx="141">
                  <c:v>45909</c:v>
                </c:pt>
                <c:pt idx="142">
                  <c:v>45910</c:v>
                </c:pt>
                <c:pt idx="143">
                  <c:v>45911</c:v>
                </c:pt>
                <c:pt idx="144">
                  <c:v>45912</c:v>
                </c:pt>
                <c:pt idx="145">
                  <c:v>45915</c:v>
                </c:pt>
                <c:pt idx="146">
                  <c:v>45916</c:v>
                </c:pt>
                <c:pt idx="147">
                  <c:v>45917</c:v>
                </c:pt>
                <c:pt idx="148">
                  <c:v>45918</c:v>
                </c:pt>
                <c:pt idx="149">
                  <c:v>45919</c:v>
                </c:pt>
                <c:pt idx="150">
                  <c:v>45922</c:v>
                </c:pt>
                <c:pt idx="151">
                  <c:v>45923</c:v>
                </c:pt>
                <c:pt idx="152">
                  <c:v>45924</c:v>
                </c:pt>
                <c:pt idx="153">
                  <c:v>45925</c:v>
                </c:pt>
                <c:pt idx="154">
                  <c:v>45926</c:v>
                </c:pt>
                <c:pt idx="155">
                  <c:v>45929</c:v>
                </c:pt>
                <c:pt idx="156">
                  <c:v>45930</c:v>
                </c:pt>
                <c:pt idx="157">
                  <c:v>45931</c:v>
                </c:pt>
                <c:pt idx="158">
                  <c:v>45932</c:v>
                </c:pt>
                <c:pt idx="159">
                  <c:v>45933</c:v>
                </c:pt>
                <c:pt idx="160">
                  <c:v>45936</c:v>
                </c:pt>
                <c:pt idx="161">
                  <c:v>45937</c:v>
                </c:pt>
                <c:pt idx="162">
                  <c:v>45938</c:v>
                </c:pt>
                <c:pt idx="163">
                  <c:v>45939</c:v>
                </c:pt>
                <c:pt idx="164">
                  <c:v>45940</c:v>
                </c:pt>
                <c:pt idx="165">
                  <c:v>45943</c:v>
                </c:pt>
                <c:pt idx="166">
                  <c:v>45944</c:v>
                </c:pt>
                <c:pt idx="167">
                  <c:v>45945</c:v>
                </c:pt>
                <c:pt idx="168">
                  <c:v>45946</c:v>
                </c:pt>
                <c:pt idx="169">
                  <c:v>45947</c:v>
                </c:pt>
                <c:pt idx="170">
                  <c:v>45950</c:v>
                </c:pt>
                <c:pt idx="171">
                  <c:v>45951</c:v>
                </c:pt>
                <c:pt idx="172">
                  <c:v>45952</c:v>
                </c:pt>
                <c:pt idx="173">
                  <c:v>45953</c:v>
                </c:pt>
                <c:pt idx="174">
                  <c:v>45954</c:v>
                </c:pt>
                <c:pt idx="175">
                  <c:v>45957</c:v>
                </c:pt>
                <c:pt idx="176">
                  <c:v>45958</c:v>
                </c:pt>
                <c:pt idx="177">
                  <c:v>45959</c:v>
                </c:pt>
                <c:pt idx="178">
                  <c:v>45960</c:v>
                </c:pt>
                <c:pt idx="179">
                  <c:v>45961</c:v>
                </c:pt>
                <c:pt idx="180">
                  <c:v>45964</c:v>
                </c:pt>
                <c:pt idx="181">
                  <c:v>45965</c:v>
                </c:pt>
                <c:pt idx="182">
                  <c:v>45966</c:v>
                </c:pt>
                <c:pt idx="183">
                  <c:v>45967</c:v>
                </c:pt>
                <c:pt idx="184">
                  <c:v>45968</c:v>
                </c:pt>
                <c:pt idx="185">
                  <c:v>45971</c:v>
                </c:pt>
                <c:pt idx="186">
                  <c:v>45972</c:v>
                </c:pt>
                <c:pt idx="187">
                  <c:v>45973</c:v>
                </c:pt>
                <c:pt idx="188">
                  <c:v>45974</c:v>
                </c:pt>
                <c:pt idx="189">
                  <c:v>45975</c:v>
                </c:pt>
                <c:pt idx="190">
                  <c:v>45978</c:v>
                </c:pt>
                <c:pt idx="191">
                  <c:v>45979</c:v>
                </c:pt>
                <c:pt idx="192">
                  <c:v>45980</c:v>
                </c:pt>
                <c:pt idx="193">
                  <c:v>45981</c:v>
                </c:pt>
                <c:pt idx="194">
                  <c:v>45982</c:v>
                </c:pt>
                <c:pt idx="195">
                  <c:v>45985</c:v>
                </c:pt>
                <c:pt idx="196">
                  <c:v>45986</c:v>
                </c:pt>
                <c:pt idx="197">
                  <c:v>45987</c:v>
                </c:pt>
                <c:pt idx="198">
                  <c:v>45989</c:v>
                </c:pt>
                <c:pt idx="199">
                  <c:v>45992</c:v>
                </c:pt>
                <c:pt idx="200">
                  <c:v>45993</c:v>
                </c:pt>
                <c:pt idx="201">
                  <c:v>45994</c:v>
                </c:pt>
                <c:pt idx="202">
                  <c:v>45995</c:v>
                </c:pt>
                <c:pt idx="203">
                  <c:v>45996</c:v>
                </c:pt>
                <c:pt idx="204">
                  <c:v>45999</c:v>
                </c:pt>
                <c:pt idx="205">
                  <c:v>46000</c:v>
                </c:pt>
                <c:pt idx="206">
                  <c:v>46001</c:v>
                </c:pt>
                <c:pt idx="207">
                  <c:v>46002</c:v>
                </c:pt>
                <c:pt idx="208">
                  <c:v>46003</c:v>
                </c:pt>
                <c:pt idx="209">
                  <c:v>46006</c:v>
                </c:pt>
                <c:pt idx="210">
                  <c:v>46007</c:v>
                </c:pt>
                <c:pt idx="211">
                  <c:v>46008</c:v>
                </c:pt>
                <c:pt idx="212">
                  <c:v>46009</c:v>
                </c:pt>
                <c:pt idx="213">
                  <c:v>46010</c:v>
                </c:pt>
                <c:pt idx="214">
                  <c:v>46013</c:v>
                </c:pt>
                <c:pt idx="215">
                  <c:v>46014</c:v>
                </c:pt>
                <c:pt idx="216">
                  <c:v>46015</c:v>
                </c:pt>
                <c:pt idx="217">
                  <c:v>46017</c:v>
                </c:pt>
                <c:pt idx="218">
                  <c:v>46020</c:v>
                </c:pt>
                <c:pt idx="219">
                  <c:v>46021</c:v>
                </c:pt>
                <c:pt idx="220">
                  <c:v>46022</c:v>
                </c:pt>
                <c:pt idx="221">
                  <c:v>46024</c:v>
                </c:pt>
                <c:pt idx="222">
                  <c:v>46027</c:v>
                </c:pt>
                <c:pt idx="223">
                  <c:v>46028</c:v>
                </c:pt>
                <c:pt idx="224">
                  <c:v>46029</c:v>
                </c:pt>
                <c:pt idx="225">
                  <c:v>46030</c:v>
                </c:pt>
                <c:pt idx="226">
                  <c:v>46031</c:v>
                </c:pt>
                <c:pt idx="227">
                  <c:v>46034</c:v>
                </c:pt>
                <c:pt idx="228">
                  <c:v>46035</c:v>
                </c:pt>
                <c:pt idx="229">
                  <c:v>46036</c:v>
                </c:pt>
                <c:pt idx="230">
                  <c:v>46037</c:v>
                </c:pt>
                <c:pt idx="231">
                  <c:v>46038</c:v>
                </c:pt>
                <c:pt idx="232">
                  <c:v>46042</c:v>
                </c:pt>
                <c:pt idx="233">
                  <c:v>46043</c:v>
                </c:pt>
                <c:pt idx="234">
                  <c:v>46044</c:v>
                </c:pt>
                <c:pt idx="235">
                  <c:v>46045</c:v>
                </c:pt>
                <c:pt idx="236">
                  <c:v>46048</c:v>
                </c:pt>
                <c:pt idx="237">
                  <c:v>46049</c:v>
                </c:pt>
                <c:pt idx="238">
                  <c:v>46050</c:v>
                </c:pt>
                <c:pt idx="239">
                  <c:v>46051</c:v>
                </c:pt>
                <c:pt idx="240">
                  <c:v>46052</c:v>
                </c:pt>
                <c:pt idx="241">
                  <c:v>46055</c:v>
                </c:pt>
                <c:pt idx="242">
                  <c:v>46056</c:v>
                </c:pt>
                <c:pt idx="243">
                  <c:v>46057</c:v>
                </c:pt>
                <c:pt idx="244">
                  <c:v>46058</c:v>
                </c:pt>
                <c:pt idx="245">
                  <c:v>46059</c:v>
                </c:pt>
                <c:pt idx="246">
                  <c:v>46062</c:v>
                </c:pt>
                <c:pt idx="247">
                  <c:v>46063</c:v>
                </c:pt>
                <c:pt idx="248">
                  <c:v>46064</c:v>
                </c:pt>
                <c:pt idx="249">
                  <c:v>46065</c:v>
                </c:pt>
                <c:pt idx="250">
                  <c:v>46066</c:v>
                </c:pt>
              </c:numCache>
            </c:numRef>
          </c:cat>
          <c:val>
            <c:numRef>
              <c:f>Data!$AB$2:$AB$252</c:f>
              <c:numCache>
                <c:formatCode>General</c:formatCode>
                <c:ptCount val="251"/>
                <c:pt idx="99">
                  <c:v>10.137099999999997</c:v>
                </c:pt>
                <c:pt idx="100">
                  <c:v>10.161599999999995</c:v>
                </c:pt>
                <c:pt idx="101">
                  <c:v>10.187499999999995</c:v>
                </c:pt>
                <c:pt idx="102">
                  <c:v>10.209799999999996</c:v>
                </c:pt>
                <c:pt idx="103">
                  <c:v>10.228299999999996</c:v>
                </c:pt>
                <c:pt idx="104">
                  <c:v>10.246999999999996</c:v>
                </c:pt>
                <c:pt idx="105">
                  <c:v>10.265099999999997</c:v>
                </c:pt>
                <c:pt idx="106">
                  <c:v>10.283999999999997</c:v>
                </c:pt>
                <c:pt idx="107">
                  <c:v>10.301199999999996</c:v>
                </c:pt>
                <c:pt idx="108">
                  <c:v>10.322099999999999</c:v>
                </c:pt>
                <c:pt idx="109">
                  <c:v>10.339199999999998</c:v>
                </c:pt>
                <c:pt idx="110">
                  <c:v>10.359999999999998</c:v>
                </c:pt>
                <c:pt idx="111">
                  <c:v>10.381599999999997</c:v>
                </c:pt>
                <c:pt idx="112">
                  <c:v>10.395899999999997</c:v>
                </c:pt>
                <c:pt idx="113">
                  <c:v>10.408499999999997</c:v>
                </c:pt>
                <c:pt idx="114">
                  <c:v>10.420199999999998</c:v>
                </c:pt>
                <c:pt idx="115">
                  <c:v>10.428799999999999</c:v>
                </c:pt>
                <c:pt idx="116">
                  <c:v>10.441399999999998</c:v>
                </c:pt>
                <c:pt idx="117">
                  <c:v>10.456099999999999</c:v>
                </c:pt>
                <c:pt idx="118">
                  <c:v>10.472899999999999</c:v>
                </c:pt>
                <c:pt idx="119">
                  <c:v>10.488400000000002</c:v>
                </c:pt>
                <c:pt idx="120">
                  <c:v>10.5024</c:v>
                </c:pt>
                <c:pt idx="121">
                  <c:v>10.514300000000002</c:v>
                </c:pt>
                <c:pt idx="122">
                  <c:v>10.525100000000002</c:v>
                </c:pt>
                <c:pt idx="123">
                  <c:v>10.539400000000002</c:v>
                </c:pt>
                <c:pt idx="124">
                  <c:v>10.553800000000001</c:v>
                </c:pt>
                <c:pt idx="125">
                  <c:v>10.565700000000001</c:v>
                </c:pt>
                <c:pt idx="126">
                  <c:v>10.577400000000003</c:v>
                </c:pt>
                <c:pt idx="127">
                  <c:v>10.590200000000003</c:v>
                </c:pt>
                <c:pt idx="128">
                  <c:v>10.606100000000001</c:v>
                </c:pt>
                <c:pt idx="129">
                  <c:v>10.622199999999999</c:v>
                </c:pt>
                <c:pt idx="130">
                  <c:v>10.639300000000002</c:v>
                </c:pt>
                <c:pt idx="131">
                  <c:v>10.658100000000001</c:v>
                </c:pt>
                <c:pt idx="132">
                  <c:v>10.675000000000002</c:v>
                </c:pt>
                <c:pt idx="133">
                  <c:v>10.698700000000004</c:v>
                </c:pt>
                <c:pt idx="134">
                  <c:v>10.720000000000004</c:v>
                </c:pt>
                <c:pt idx="135">
                  <c:v>10.745300000000007</c:v>
                </c:pt>
                <c:pt idx="136">
                  <c:v>10.775600000000006</c:v>
                </c:pt>
                <c:pt idx="137">
                  <c:v>10.796800000000005</c:v>
                </c:pt>
                <c:pt idx="138">
                  <c:v>10.822200000000004</c:v>
                </c:pt>
                <c:pt idx="139">
                  <c:v>10.846300000000006</c:v>
                </c:pt>
                <c:pt idx="140">
                  <c:v>10.866100000000008</c:v>
                </c:pt>
                <c:pt idx="141">
                  <c:v>10.886500000000005</c:v>
                </c:pt>
                <c:pt idx="142">
                  <c:v>10.906700000000008</c:v>
                </c:pt>
                <c:pt idx="143">
                  <c:v>10.928000000000008</c:v>
                </c:pt>
                <c:pt idx="144">
                  <c:v>10.95010000000001</c:v>
                </c:pt>
                <c:pt idx="145">
                  <c:v>10.970400000000009</c:v>
                </c:pt>
                <c:pt idx="146">
                  <c:v>10.988700000000005</c:v>
                </c:pt>
                <c:pt idx="147">
                  <c:v>11.004700000000007</c:v>
                </c:pt>
                <c:pt idx="148">
                  <c:v>11.021700000000008</c:v>
                </c:pt>
                <c:pt idx="149">
                  <c:v>11.037700000000006</c:v>
                </c:pt>
                <c:pt idx="150">
                  <c:v>11.052800000000005</c:v>
                </c:pt>
                <c:pt idx="151">
                  <c:v>11.070000000000007</c:v>
                </c:pt>
                <c:pt idx="152">
                  <c:v>11.084500000000007</c:v>
                </c:pt>
                <c:pt idx="153">
                  <c:v>11.097900000000005</c:v>
                </c:pt>
                <c:pt idx="154">
                  <c:v>11.116300000000006</c:v>
                </c:pt>
                <c:pt idx="155">
                  <c:v>11.132800000000001</c:v>
                </c:pt>
                <c:pt idx="156">
                  <c:v>11.149600000000005</c:v>
                </c:pt>
                <c:pt idx="157">
                  <c:v>11.169500000000003</c:v>
                </c:pt>
                <c:pt idx="158">
                  <c:v>11.187400000000004</c:v>
                </c:pt>
                <c:pt idx="159">
                  <c:v>11.208600000000004</c:v>
                </c:pt>
                <c:pt idx="160">
                  <c:v>11.229600000000005</c:v>
                </c:pt>
                <c:pt idx="161">
                  <c:v>11.242300000000006</c:v>
                </c:pt>
                <c:pt idx="162">
                  <c:v>11.252200000000007</c:v>
                </c:pt>
                <c:pt idx="163">
                  <c:v>11.259200000000007</c:v>
                </c:pt>
                <c:pt idx="164">
                  <c:v>11.265800000000006</c:v>
                </c:pt>
                <c:pt idx="165">
                  <c:v>11.274000000000008</c:v>
                </c:pt>
                <c:pt idx="166">
                  <c:v>11.285700000000006</c:v>
                </c:pt>
                <c:pt idx="167">
                  <c:v>11.298900000000005</c:v>
                </c:pt>
                <c:pt idx="168">
                  <c:v>11.312700000000007</c:v>
                </c:pt>
                <c:pt idx="169">
                  <c:v>11.328800000000006</c:v>
                </c:pt>
                <c:pt idx="170">
                  <c:v>11.347000000000005</c:v>
                </c:pt>
                <c:pt idx="171">
                  <c:v>11.370400000000004</c:v>
                </c:pt>
                <c:pt idx="172">
                  <c:v>11.390900000000004</c:v>
                </c:pt>
                <c:pt idx="173">
                  <c:v>11.414500000000002</c:v>
                </c:pt>
                <c:pt idx="174">
                  <c:v>11.451000000000001</c:v>
                </c:pt>
                <c:pt idx="175">
                  <c:v>11.481200000000001</c:v>
                </c:pt>
                <c:pt idx="176">
                  <c:v>11.511500000000002</c:v>
                </c:pt>
                <c:pt idx="177">
                  <c:v>11.541300000000001</c:v>
                </c:pt>
                <c:pt idx="178">
                  <c:v>11.568499999999998</c:v>
                </c:pt>
                <c:pt idx="179">
                  <c:v>11.593799999999998</c:v>
                </c:pt>
                <c:pt idx="180">
                  <c:v>11.617299999999998</c:v>
                </c:pt>
                <c:pt idx="181">
                  <c:v>11.639899999999997</c:v>
                </c:pt>
                <c:pt idx="182">
                  <c:v>11.666699999999997</c:v>
                </c:pt>
                <c:pt idx="183">
                  <c:v>11.691699999999994</c:v>
                </c:pt>
                <c:pt idx="184">
                  <c:v>11.719599999999993</c:v>
                </c:pt>
                <c:pt idx="185">
                  <c:v>11.746899999999997</c:v>
                </c:pt>
                <c:pt idx="186">
                  <c:v>11.773999999999996</c:v>
                </c:pt>
                <c:pt idx="187">
                  <c:v>11.800999999999995</c:v>
                </c:pt>
                <c:pt idx="188">
                  <c:v>11.826499999999994</c:v>
                </c:pt>
                <c:pt idx="189">
                  <c:v>11.853599999999995</c:v>
                </c:pt>
                <c:pt idx="190">
                  <c:v>11.876099999999997</c:v>
                </c:pt>
                <c:pt idx="191">
                  <c:v>11.898299999999995</c:v>
                </c:pt>
                <c:pt idx="192">
                  <c:v>11.918799999999997</c:v>
                </c:pt>
                <c:pt idx="193">
                  <c:v>11.929399999999998</c:v>
                </c:pt>
                <c:pt idx="194">
                  <c:v>11.939999999999996</c:v>
                </c:pt>
                <c:pt idx="195">
                  <c:v>11.951499999999999</c:v>
                </c:pt>
                <c:pt idx="196">
                  <c:v>11.9673</c:v>
                </c:pt>
                <c:pt idx="197">
                  <c:v>11.9824</c:v>
                </c:pt>
                <c:pt idx="198">
                  <c:v>11.9969</c:v>
                </c:pt>
                <c:pt idx="199">
                  <c:v>12.009400000000001</c:v>
                </c:pt>
                <c:pt idx="200">
                  <c:v>12.0212</c:v>
                </c:pt>
                <c:pt idx="201">
                  <c:v>12.033300000000002</c:v>
                </c:pt>
                <c:pt idx="202">
                  <c:v>12.049000000000003</c:v>
                </c:pt>
                <c:pt idx="203">
                  <c:v>12.066900000000002</c:v>
                </c:pt>
                <c:pt idx="204">
                  <c:v>12.086800000000004</c:v>
                </c:pt>
                <c:pt idx="205">
                  <c:v>12.106000000000003</c:v>
                </c:pt>
                <c:pt idx="206">
                  <c:v>12.127000000000002</c:v>
                </c:pt>
                <c:pt idx="207">
                  <c:v>12.151400000000002</c:v>
                </c:pt>
                <c:pt idx="208">
                  <c:v>12.175200000000004</c:v>
                </c:pt>
                <c:pt idx="209">
                  <c:v>12.199100000000005</c:v>
                </c:pt>
                <c:pt idx="210">
                  <c:v>12.221100000000005</c:v>
                </c:pt>
                <c:pt idx="211">
                  <c:v>12.241400000000004</c:v>
                </c:pt>
                <c:pt idx="212">
                  <c:v>12.263800000000003</c:v>
                </c:pt>
                <c:pt idx="213">
                  <c:v>12.289800000000003</c:v>
                </c:pt>
                <c:pt idx="214">
                  <c:v>12.313700000000004</c:v>
                </c:pt>
                <c:pt idx="215">
                  <c:v>12.338400000000002</c:v>
                </c:pt>
                <c:pt idx="216">
                  <c:v>12.362500000000001</c:v>
                </c:pt>
                <c:pt idx="217">
                  <c:v>12.385</c:v>
                </c:pt>
                <c:pt idx="218">
                  <c:v>12.4057</c:v>
                </c:pt>
                <c:pt idx="219">
                  <c:v>12.4252</c:v>
                </c:pt>
                <c:pt idx="220">
                  <c:v>12.443199999999999</c:v>
                </c:pt>
                <c:pt idx="221">
                  <c:v>12.465199999999998</c:v>
                </c:pt>
                <c:pt idx="222">
                  <c:v>12.487399999999997</c:v>
                </c:pt>
                <c:pt idx="223">
                  <c:v>12.510999999999997</c:v>
                </c:pt>
                <c:pt idx="224">
                  <c:v>12.533999999999997</c:v>
                </c:pt>
                <c:pt idx="225">
                  <c:v>12.563599999999999</c:v>
                </c:pt>
                <c:pt idx="226">
                  <c:v>12.590999999999998</c:v>
                </c:pt>
                <c:pt idx="227">
                  <c:v>12.615499999999995</c:v>
                </c:pt>
                <c:pt idx="228">
                  <c:v>12.640399999999998</c:v>
                </c:pt>
                <c:pt idx="229">
                  <c:v>12.665499999999994</c:v>
                </c:pt>
                <c:pt idx="230">
                  <c:v>12.686199999999994</c:v>
                </c:pt>
                <c:pt idx="231">
                  <c:v>12.703999999999994</c:v>
                </c:pt>
                <c:pt idx="232">
                  <c:v>12.718399999999995</c:v>
                </c:pt>
                <c:pt idx="233">
                  <c:v>12.736999999999993</c:v>
                </c:pt>
                <c:pt idx="234">
                  <c:v>12.756999999999994</c:v>
                </c:pt>
                <c:pt idx="235">
                  <c:v>12.774899999999995</c:v>
                </c:pt>
                <c:pt idx="236">
                  <c:v>12.792099999999998</c:v>
                </c:pt>
                <c:pt idx="237">
                  <c:v>12.815199999999995</c:v>
                </c:pt>
                <c:pt idx="238">
                  <c:v>12.836599999999997</c:v>
                </c:pt>
                <c:pt idx="239">
                  <c:v>12.859199999999996</c:v>
                </c:pt>
                <c:pt idx="240">
                  <c:v>12.881099999999998</c:v>
                </c:pt>
                <c:pt idx="241">
                  <c:v>12.904299999999999</c:v>
                </c:pt>
                <c:pt idx="242">
                  <c:v>12.9274</c:v>
                </c:pt>
                <c:pt idx="243">
                  <c:v>12.947999999999997</c:v>
                </c:pt>
                <c:pt idx="244">
                  <c:v>12.968399999999999</c:v>
                </c:pt>
                <c:pt idx="245">
                  <c:v>12.989599999999996</c:v>
                </c:pt>
                <c:pt idx="246">
                  <c:v>13.009399999999996</c:v>
                </c:pt>
                <c:pt idx="247">
                  <c:v>13.028499999999994</c:v>
                </c:pt>
                <c:pt idx="248">
                  <c:v>13.049599999999993</c:v>
                </c:pt>
                <c:pt idx="249">
                  <c:v>13.073399999999994</c:v>
                </c:pt>
                <c:pt idx="250">
                  <c:v>13.097999999999995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65-4C94-8C7D-A0FD9D3A4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520416"/>
        <c:axId val="670520896"/>
      </c:lineChart>
      <c:dateAx>
        <c:axId val="670520416"/>
        <c:scaling>
          <c:orientation val="minMax"/>
          <c:min val="4593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520896"/>
        <c:crosses val="autoZero"/>
        <c:auto val="1"/>
        <c:lblOffset val="100"/>
        <c:baseTimeUnit val="days"/>
      </c:dateAx>
      <c:valAx>
        <c:axId val="670520896"/>
        <c:scaling>
          <c:orientation val="minMax"/>
          <c:min val="1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52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45702</c:v>
                </c:pt>
                <c:pt idx="1">
                  <c:v>45706</c:v>
                </c:pt>
                <c:pt idx="2">
                  <c:v>45707</c:v>
                </c:pt>
                <c:pt idx="3">
                  <c:v>45708</c:v>
                </c:pt>
                <c:pt idx="4">
                  <c:v>45709</c:v>
                </c:pt>
                <c:pt idx="5">
                  <c:v>45712</c:v>
                </c:pt>
                <c:pt idx="6">
                  <c:v>45713</c:v>
                </c:pt>
                <c:pt idx="7">
                  <c:v>45714</c:v>
                </c:pt>
                <c:pt idx="8">
                  <c:v>45715</c:v>
                </c:pt>
                <c:pt idx="9">
                  <c:v>45716</c:v>
                </c:pt>
                <c:pt idx="10">
                  <c:v>45719</c:v>
                </c:pt>
                <c:pt idx="11">
                  <c:v>45720</c:v>
                </c:pt>
                <c:pt idx="12">
                  <c:v>45721</c:v>
                </c:pt>
                <c:pt idx="13">
                  <c:v>45722</c:v>
                </c:pt>
                <c:pt idx="14">
                  <c:v>45723</c:v>
                </c:pt>
                <c:pt idx="15">
                  <c:v>45726</c:v>
                </c:pt>
                <c:pt idx="16">
                  <c:v>45727</c:v>
                </c:pt>
                <c:pt idx="17">
                  <c:v>45728</c:v>
                </c:pt>
                <c:pt idx="18">
                  <c:v>45729</c:v>
                </c:pt>
                <c:pt idx="19">
                  <c:v>45730</c:v>
                </c:pt>
                <c:pt idx="20">
                  <c:v>45733</c:v>
                </c:pt>
                <c:pt idx="21">
                  <c:v>45734</c:v>
                </c:pt>
                <c:pt idx="22">
                  <c:v>45735</c:v>
                </c:pt>
                <c:pt idx="23">
                  <c:v>45736</c:v>
                </c:pt>
                <c:pt idx="24">
                  <c:v>45737</c:v>
                </c:pt>
                <c:pt idx="25">
                  <c:v>45740</c:v>
                </c:pt>
                <c:pt idx="26">
                  <c:v>45741</c:v>
                </c:pt>
                <c:pt idx="27">
                  <c:v>45742</c:v>
                </c:pt>
                <c:pt idx="28">
                  <c:v>45743</c:v>
                </c:pt>
                <c:pt idx="29">
                  <c:v>45744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45754</c:v>
                </c:pt>
                <c:pt idx="36">
                  <c:v>45755</c:v>
                </c:pt>
                <c:pt idx="37">
                  <c:v>45756</c:v>
                </c:pt>
                <c:pt idx="38">
                  <c:v>45757</c:v>
                </c:pt>
                <c:pt idx="39">
                  <c:v>45758</c:v>
                </c:pt>
                <c:pt idx="40">
                  <c:v>45761</c:v>
                </c:pt>
                <c:pt idx="41">
                  <c:v>45762</c:v>
                </c:pt>
                <c:pt idx="42">
                  <c:v>45763</c:v>
                </c:pt>
                <c:pt idx="43">
                  <c:v>45764</c:v>
                </c:pt>
                <c:pt idx="44">
                  <c:v>45768</c:v>
                </c:pt>
                <c:pt idx="45">
                  <c:v>45769</c:v>
                </c:pt>
                <c:pt idx="46">
                  <c:v>45770</c:v>
                </c:pt>
                <c:pt idx="47">
                  <c:v>45771</c:v>
                </c:pt>
                <c:pt idx="48">
                  <c:v>45772</c:v>
                </c:pt>
                <c:pt idx="49">
                  <c:v>45775</c:v>
                </c:pt>
                <c:pt idx="50">
                  <c:v>45776</c:v>
                </c:pt>
                <c:pt idx="51">
                  <c:v>45777</c:v>
                </c:pt>
                <c:pt idx="52">
                  <c:v>45778</c:v>
                </c:pt>
                <c:pt idx="53">
                  <c:v>45779</c:v>
                </c:pt>
                <c:pt idx="54">
                  <c:v>45782</c:v>
                </c:pt>
                <c:pt idx="55">
                  <c:v>45783</c:v>
                </c:pt>
                <c:pt idx="56">
                  <c:v>45784</c:v>
                </c:pt>
                <c:pt idx="57">
                  <c:v>45785</c:v>
                </c:pt>
                <c:pt idx="58">
                  <c:v>45786</c:v>
                </c:pt>
                <c:pt idx="59">
                  <c:v>45789</c:v>
                </c:pt>
                <c:pt idx="60">
                  <c:v>45790</c:v>
                </c:pt>
                <c:pt idx="61">
                  <c:v>45791</c:v>
                </c:pt>
                <c:pt idx="62">
                  <c:v>45792</c:v>
                </c:pt>
                <c:pt idx="63">
                  <c:v>45793</c:v>
                </c:pt>
                <c:pt idx="64">
                  <c:v>45796</c:v>
                </c:pt>
                <c:pt idx="65">
                  <c:v>45797</c:v>
                </c:pt>
                <c:pt idx="66">
                  <c:v>45798</c:v>
                </c:pt>
                <c:pt idx="67">
                  <c:v>45799</c:v>
                </c:pt>
                <c:pt idx="68">
                  <c:v>45800</c:v>
                </c:pt>
                <c:pt idx="69">
                  <c:v>45804</c:v>
                </c:pt>
                <c:pt idx="70">
                  <c:v>45805</c:v>
                </c:pt>
                <c:pt idx="71">
                  <c:v>45806</c:v>
                </c:pt>
                <c:pt idx="72">
                  <c:v>45807</c:v>
                </c:pt>
                <c:pt idx="73">
                  <c:v>45810</c:v>
                </c:pt>
                <c:pt idx="74">
                  <c:v>45811</c:v>
                </c:pt>
                <c:pt idx="75">
                  <c:v>45812</c:v>
                </c:pt>
                <c:pt idx="76">
                  <c:v>45813</c:v>
                </c:pt>
                <c:pt idx="77">
                  <c:v>45814</c:v>
                </c:pt>
                <c:pt idx="78">
                  <c:v>45817</c:v>
                </c:pt>
                <c:pt idx="79">
                  <c:v>45818</c:v>
                </c:pt>
                <c:pt idx="80">
                  <c:v>45819</c:v>
                </c:pt>
                <c:pt idx="81">
                  <c:v>45820</c:v>
                </c:pt>
                <c:pt idx="82">
                  <c:v>45821</c:v>
                </c:pt>
                <c:pt idx="83">
                  <c:v>45824</c:v>
                </c:pt>
                <c:pt idx="84">
                  <c:v>45825</c:v>
                </c:pt>
                <c:pt idx="85">
                  <c:v>45826</c:v>
                </c:pt>
                <c:pt idx="86">
                  <c:v>45828</c:v>
                </c:pt>
                <c:pt idx="87">
                  <c:v>45831</c:v>
                </c:pt>
                <c:pt idx="88">
                  <c:v>45832</c:v>
                </c:pt>
                <c:pt idx="89">
                  <c:v>45833</c:v>
                </c:pt>
                <c:pt idx="90">
                  <c:v>45834</c:v>
                </c:pt>
                <c:pt idx="91">
                  <c:v>45835</c:v>
                </c:pt>
                <c:pt idx="92">
                  <c:v>45838</c:v>
                </c:pt>
                <c:pt idx="93">
                  <c:v>45839</c:v>
                </c:pt>
                <c:pt idx="94">
                  <c:v>45840</c:v>
                </c:pt>
                <c:pt idx="95">
                  <c:v>45841</c:v>
                </c:pt>
                <c:pt idx="96">
                  <c:v>45845</c:v>
                </c:pt>
                <c:pt idx="97">
                  <c:v>45846</c:v>
                </c:pt>
                <c:pt idx="98">
                  <c:v>45847</c:v>
                </c:pt>
                <c:pt idx="99">
                  <c:v>45848</c:v>
                </c:pt>
                <c:pt idx="100">
                  <c:v>45849</c:v>
                </c:pt>
                <c:pt idx="101">
                  <c:v>45852</c:v>
                </c:pt>
                <c:pt idx="102">
                  <c:v>45853</c:v>
                </c:pt>
                <c:pt idx="103">
                  <c:v>45854</c:v>
                </c:pt>
                <c:pt idx="104">
                  <c:v>45855</c:v>
                </c:pt>
                <c:pt idx="105">
                  <c:v>45856</c:v>
                </c:pt>
                <c:pt idx="106">
                  <c:v>45859</c:v>
                </c:pt>
                <c:pt idx="107">
                  <c:v>45860</c:v>
                </c:pt>
                <c:pt idx="108">
                  <c:v>45861</c:v>
                </c:pt>
                <c:pt idx="109">
                  <c:v>45862</c:v>
                </c:pt>
                <c:pt idx="110">
                  <c:v>45863</c:v>
                </c:pt>
                <c:pt idx="111">
                  <c:v>45866</c:v>
                </c:pt>
                <c:pt idx="112">
                  <c:v>45867</c:v>
                </c:pt>
                <c:pt idx="113">
                  <c:v>45868</c:v>
                </c:pt>
                <c:pt idx="114">
                  <c:v>45869</c:v>
                </c:pt>
                <c:pt idx="115">
                  <c:v>45870</c:v>
                </c:pt>
                <c:pt idx="116">
                  <c:v>45873</c:v>
                </c:pt>
                <c:pt idx="117">
                  <c:v>45874</c:v>
                </c:pt>
                <c:pt idx="118">
                  <c:v>45875</c:v>
                </c:pt>
                <c:pt idx="119">
                  <c:v>45876</c:v>
                </c:pt>
                <c:pt idx="120">
                  <c:v>45877</c:v>
                </c:pt>
                <c:pt idx="121">
                  <c:v>45880</c:v>
                </c:pt>
                <c:pt idx="122">
                  <c:v>45881</c:v>
                </c:pt>
                <c:pt idx="123">
                  <c:v>45882</c:v>
                </c:pt>
                <c:pt idx="124">
                  <c:v>45883</c:v>
                </c:pt>
                <c:pt idx="125">
                  <c:v>45884</c:v>
                </c:pt>
                <c:pt idx="126">
                  <c:v>45887</c:v>
                </c:pt>
                <c:pt idx="127">
                  <c:v>45888</c:v>
                </c:pt>
                <c:pt idx="128">
                  <c:v>45889</c:v>
                </c:pt>
                <c:pt idx="129">
                  <c:v>45890</c:v>
                </c:pt>
                <c:pt idx="130">
                  <c:v>45891</c:v>
                </c:pt>
                <c:pt idx="131">
                  <c:v>45894</c:v>
                </c:pt>
                <c:pt idx="132">
                  <c:v>45895</c:v>
                </c:pt>
                <c:pt idx="133">
                  <c:v>45896</c:v>
                </c:pt>
                <c:pt idx="134">
                  <c:v>45897</c:v>
                </c:pt>
                <c:pt idx="135">
                  <c:v>45898</c:v>
                </c:pt>
                <c:pt idx="136">
                  <c:v>45902</c:v>
                </c:pt>
                <c:pt idx="137">
                  <c:v>45903</c:v>
                </c:pt>
                <c:pt idx="138">
                  <c:v>45904</c:v>
                </c:pt>
                <c:pt idx="139">
                  <c:v>45905</c:v>
                </c:pt>
                <c:pt idx="140">
                  <c:v>45908</c:v>
                </c:pt>
                <c:pt idx="141">
                  <c:v>45909</c:v>
                </c:pt>
                <c:pt idx="142">
                  <c:v>45910</c:v>
                </c:pt>
                <c:pt idx="143">
                  <c:v>45911</c:v>
                </c:pt>
                <c:pt idx="144">
                  <c:v>45912</c:v>
                </c:pt>
                <c:pt idx="145">
                  <c:v>45915</c:v>
                </c:pt>
                <c:pt idx="146">
                  <c:v>45916</c:v>
                </c:pt>
                <c:pt idx="147">
                  <c:v>45917</c:v>
                </c:pt>
                <c:pt idx="148">
                  <c:v>45918</c:v>
                </c:pt>
                <c:pt idx="149">
                  <c:v>45919</c:v>
                </c:pt>
                <c:pt idx="150">
                  <c:v>45922</c:v>
                </c:pt>
                <c:pt idx="151">
                  <c:v>45923</c:v>
                </c:pt>
                <c:pt idx="152">
                  <c:v>45924</c:v>
                </c:pt>
                <c:pt idx="153">
                  <c:v>45925</c:v>
                </c:pt>
                <c:pt idx="154">
                  <c:v>45926</c:v>
                </c:pt>
                <c:pt idx="155">
                  <c:v>45929</c:v>
                </c:pt>
                <c:pt idx="156">
                  <c:v>45930</c:v>
                </c:pt>
                <c:pt idx="157">
                  <c:v>45931</c:v>
                </c:pt>
                <c:pt idx="158">
                  <c:v>45932</c:v>
                </c:pt>
                <c:pt idx="159">
                  <c:v>45933</c:v>
                </c:pt>
                <c:pt idx="160">
                  <c:v>45936</c:v>
                </c:pt>
                <c:pt idx="161">
                  <c:v>45937</c:v>
                </c:pt>
                <c:pt idx="162">
                  <c:v>45938</c:v>
                </c:pt>
                <c:pt idx="163">
                  <c:v>45939</c:v>
                </c:pt>
                <c:pt idx="164">
                  <c:v>45940</c:v>
                </c:pt>
                <c:pt idx="165">
                  <c:v>45943</c:v>
                </c:pt>
                <c:pt idx="166">
                  <c:v>45944</c:v>
                </c:pt>
                <c:pt idx="167">
                  <c:v>45945</c:v>
                </c:pt>
                <c:pt idx="168">
                  <c:v>45946</c:v>
                </c:pt>
                <c:pt idx="169">
                  <c:v>45947</c:v>
                </c:pt>
                <c:pt idx="170">
                  <c:v>45950</c:v>
                </c:pt>
                <c:pt idx="171">
                  <c:v>45951</c:v>
                </c:pt>
                <c:pt idx="172">
                  <c:v>45952</c:v>
                </c:pt>
                <c:pt idx="173">
                  <c:v>45953</c:v>
                </c:pt>
                <c:pt idx="174">
                  <c:v>45954</c:v>
                </c:pt>
                <c:pt idx="175">
                  <c:v>45957</c:v>
                </c:pt>
                <c:pt idx="176">
                  <c:v>45958</c:v>
                </c:pt>
                <c:pt idx="177">
                  <c:v>45959</c:v>
                </c:pt>
                <c:pt idx="178">
                  <c:v>45960</c:v>
                </c:pt>
                <c:pt idx="179">
                  <c:v>45961</c:v>
                </c:pt>
                <c:pt idx="180">
                  <c:v>45964</c:v>
                </c:pt>
                <c:pt idx="181">
                  <c:v>45965</c:v>
                </c:pt>
                <c:pt idx="182">
                  <c:v>45966</c:v>
                </c:pt>
                <c:pt idx="183">
                  <c:v>45967</c:v>
                </c:pt>
                <c:pt idx="184">
                  <c:v>45968</c:v>
                </c:pt>
                <c:pt idx="185">
                  <c:v>45971</c:v>
                </c:pt>
                <c:pt idx="186">
                  <c:v>45972</c:v>
                </c:pt>
                <c:pt idx="187">
                  <c:v>45973</c:v>
                </c:pt>
                <c:pt idx="188">
                  <c:v>45974</c:v>
                </c:pt>
                <c:pt idx="189">
                  <c:v>45975</c:v>
                </c:pt>
                <c:pt idx="190">
                  <c:v>45978</c:v>
                </c:pt>
                <c:pt idx="191">
                  <c:v>45979</c:v>
                </c:pt>
                <c:pt idx="192">
                  <c:v>45980</c:v>
                </c:pt>
                <c:pt idx="193">
                  <c:v>45981</c:v>
                </c:pt>
                <c:pt idx="194">
                  <c:v>45982</c:v>
                </c:pt>
                <c:pt idx="195">
                  <c:v>45985</c:v>
                </c:pt>
                <c:pt idx="196">
                  <c:v>45986</c:v>
                </c:pt>
                <c:pt idx="197">
                  <c:v>45987</c:v>
                </c:pt>
                <c:pt idx="198">
                  <c:v>45989</c:v>
                </c:pt>
                <c:pt idx="199">
                  <c:v>45992</c:v>
                </c:pt>
                <c:pt idx="200">
                  <c:v>45993</c:v>
                </c:pt>
                <c:pt idx="201">
                  <c:v>45994</c:v>
                </c:pt>
                <c:pt idx="202">
                  <c:v>45995</c:v>
                </c:pt>
                <c:pt idx="203">
                  <c:v>45996</c:v>
                </c:pt>
                <c:pt idx="204">
                  <c:v>45999</c:v>
                </c:pt>
                <c:pt idx="205">
                  <c:v>46000</c:v>
                </c:pt>
                <c:pt idx="206">
                  <c:v>46001</c:v>
                </c:pt>
                <c:pt idx="207">
                  <c:v>46002</c:v>
                </c:pt>
                <c:pt idx="208">
                  <c:v>46003</c:v>
                </c:pt>
                <c:pt idx="209">
                  <c:v>46006</c:v>
                </c:pt>
                <c:pt idx="210">
                  <c:v>46007</c:v>
                </c:pt>
                <c:pt idx="211">
                  <c:v>46008</c:v>
                </c:pt>
                <c:pt idx="212">
                  <c:v>46009</c:v>
                </c:pt>
                <c:pt idx="213">
                  <c:v>46010</c:v>
                </c:pt>
                <c:pt idx="214">
                  <c:v>46013</c:v>
                </c:pt>
                <c:pt idx="215">
                  <c:v>46014</c:v>
                </c:pt>
                <c:pt idx="216">
                  <c:v>46015</c:v>
                </c:pt>
                <c:pt idx="217">
                  <c:v>46017</c:v>
                </c:pt>
                <c:pt idx="218">
                  <c:v>46020</c:v>
                </c:pt>
                <c:pt idx="219">
                  <c:v>46021</c:v>
                </c:pt>
                <c:pt idx="220">
                  <c:v>46022</c:v>
                </c:pt>
                <c:pt idx="221">
                  <c:v>46024</c:v>
                </c:pt>
                <c:pt idx="222">
                  <c:v>46027</c:v>
                </c:pt>
                <c:pt idx="223">
                  <c:v>46028</c:v>
                </c:pt>
                <c:pt idx="224">
                  <c:v>46029</c:v>
                </c:pt>
                <c:pt idx="225">
                  <c:v>46030</c:v>
                </c:pt>
                <c:pt idx="226">
                  <c:v>46031</c:v>
                </c:pt>
                <c:pt idx="227">
                  <c:v>46034</c:v>
                </c:pt>
                <c:pt idx="228">
                  <c:v>46035</c:v>
                </c:pt>
                <c:pt idx="229">
                  <c:v>46036</c:v>
                </c:pt>
                <c:pt idx="230">
                  <c:v>46037</c:v>
                </c:pt>
                <c:pt idx="231">
                  <c:v>46038</c:v>
                </c:pt>
                <c:pt idx="232">
                  <c:v>46042</c:v>
                </c:pt>
                <c:pt idx="233">
                  <c:v>46043</c:v>
                </c:pt>
                <c:pt idx="234">
                  <c:v>46044</c:v>
                </c:pt>
                <c:pt idx="235">
                  <c:v>46045</c:v>
                </c:pt>
                <c:pt idx="236">
                  <c:v>46048</c:v>
                </c:pt>
                <c:pt idx="237">
                  <c:v>46049</c:v>
                </c:pt>
                <c:pt idx="238">
                  <c:v>46050</c:v>
                </c:pt>
                <c:pt idx="239">
                  <c:v>46051</c:v>
                </c:pt>
                <c:pt idx="240">
                  <c:v>46052</c:v>
                </c:pt>
                <c:pt idx="241">
                  <c:v>46055</c:v>
                </c:pt>
                <c:pt idx="242">
                  <c:v>46056</c:v>
                </c:pt>
                <c:pt idx="243">
                  <c:v>46057</c:v>
                </c:pt>
                <c:pt idx="244">
                  <c:v>46058</c:v>
                </c:pt>
                <c:pt idx="245">
                  <c:v>46059</c:v>
                </c:pt>
                <c:pt idx="246">
                  <c:v>46062</c:v>
                </c:pt>
                <c:pt idx="247">
                  <c:v>46063</c:v>
                </c:pt>
                <c:pt idx="248">
                  <c:v>46064</c:v>
                </c:pt>
                <c:pt idx="249">
                  <c:v>46065</c:v>
                </c:pt>
                <c:pt idx="250">
                  <c:v>46066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9.33</c:v>
                </c:pt>
                <c:pt idx="1">
                  <c:v>9.2899999999999991</c:v>
                </c:pt>
                <c:pt idx="2">
                  <c:v>9.34</c:v>
                </c:pt>
                <c:pt idx="3">
                  <c:v>9.39</c:v>
                </c:pt>
                <c:pt idx="4">
                  <c:v>9.2799999999999994</c:v>
                </c:pt>
                <c:pt idx="5">
                  <c:v>9.35</c:v>
                </c:pt>
                <c:pt idx="6">
                  <c:v>9.42</c:v>
                </c:pt>
                <c:pt idx="7">
                  <c:v>9.4700000000000006</c:v>
                </c:pt>
                <c:pt idx="8">
                  <c:v>9.2899999999999991</c:v>
                </c:pt>
                <c:pt idx="9">
                  <c:v>9.5500000000000007</c:v>
                </c:pt>
                <c:pt idx="10">
                  <c:v>9.39</c:v>
                </c:pt>
                <c:pt idx="11">
                  <c:v>9.1199999999999992</c:v>
                </c:pt>
                <c:pt idx="12">
                  <c:v>9.65</c:v>
                </c:pt>
                <c:pt idx="13">
                  <c:v>9.61</c:v>
                </c:pt>
                <c:pt idx="14">
                  <c:v>9.9</c:v>
                </c:pt>
                <c:pt idx="15">
                  <c:v>9.9600000000000009</c:v>
                </c:pt>
                <c:pt idx="16">
                  <c:v>9.69</c:v>
                </c:pt>
                <c:pt idx="17">
                  <c:v>9.59</c:v>
                </c:pt>
                <c:pt idx="18">
                  <c:v>9.5299999999999994</c:v>
                </c:pt>
                <c:pt idx="19">
                  <c:v>9.73</c:v>
                </c:pt>
                <c:pt idx="20">
                  <c:v>9.92</c:v>
                </c:pt>
                <c:pt idx="21">
                  <c:v>9.9499999999999993</c:v>
                </c:pt>
                <c:pt idx="22">
                  <c:v>10.17</c:v>
                </c:pt>
                <c:pt idx="23">
                  <c:v>10.01</c:v>
                </c:pt>
                <c:pt idx="24">
                  <c:v>10</c:v>
                </c:pt>
                <c:pt idx="25">
                  <c:v>10.25</c:v>
                </c:pt>
                <c:pt idx="26">
                  <c:v>10.29</c:v>
                </c:pt>
                <c:pt idx="27">
                  <c:v>10.3</c:v>
                </c:pt>
                <c:pt idx="28">
                  <c:v>9.9</c:v>
                </c:pt>
                <c:pt idx="29">
                  <c:v>9.7200000000000006</c:v>
                </c:pt>
                <c:pt idx="30">
                  <c:v>10.029999999999999</c:v>
                </c:pt>
                <c:pt idx="31">
                  <c:v>9.94</c:v>
                </c:pt>
                <c:pt idx="32">
                  <c:v>10.15</c:v>
                </c:pt>
                <c:pt idx="33">
                  <c:v>9.5399999999999991</c:v>
                </c:pt>
                <c:pt idx="34">
                  <c:v>9.58</c:v>
                </c:pt>
                <c:pt idx="35">
                  <c:v>9.24</c:v>
                </c:pt>
                <c:pt idx="36">
                  <c:v>8.69</c:v>
                </c:pt>
                <c:pt idx="37">
                  <c:v>9.5</c:v>
                </c:pt>
                <c:pt idx="38">
                  <c:v>9.14</c:v>
                </c:pt>
                <c:pt idx="39">
                  <c:v>9.33</c:v>
                </c:pt>
                <c:pt idx="40">
                  <c:v>9.7100000000000009</c:v>
                </c:pt>
                <c:pt idx="41">
                  <c:v>9.4499999999999993</c:v>
                </c:pt>
                <c:pt idx="42">
                  <c:v>9.4</c:v>
                </c:pt>
                <c:pt idx="43">
                  <c:v>9.6300000000000008</c:v>
                </c:pt>
                <c:pt idx="44">
                  <c:v>9.4700000000000006</c:v>
                </c:pt>
                <c:pt idx="45">
                  <c:v>9.65</c:v>
                </c:pt>
                <c:pt idx="46">
                  <c:v>9.7799999999999994</c:v>
                </c:pt>
                <c:pt idx="47">
                  <c:v>10.06</c:v>
                </c:pt>
                <c:pt idx="48">
                  <c:v>10.039999999999999</c:v>
                </c:pt>
                <c:pt idx="49">
                  <c:v>10.02</c:v>
                </c:pt>
                <c:pt idx="50">
                  <c:v>10.15</c:v>
                </c:pt>
                <c:pt idx="51">
                  <c:v>10.01</c:v>
                </c:pt>
                <c:pt idx="52">
                  <c:v>10.18</c:v>
                </c:pt>
                <c:pt idx="53">
                  <c:v>10.28</c:v>
                </c:pt>
                <c:pt idx="54">
                  <c:v>10.17</c:v>
                </c:pt>
                <c:pt idx="55">
                  <c:v>10.44</c:v>
                </c:pt>
                <c:pt idx="56">
                  <c:v>10.28</c:v>
                </c:pt>
                <c:pt idx="57">
                  <c:v>10.28</c:v>
                </c:pt>
                <c:pt idx="58">
                  <c:v>10.43</c:v>
                </c:pt>
                <c:pt idx="59">
                  <c:v>10.55</c:v>
                </c:pt>
                <c:pt idx="60">
                  <c:v>10.6</c:v>
                </c:pt>
                <c:pt idx="61">
                  <c:v>10.65</c:v>
                </c:pt>
                <c:pt idx="62">
                  <c:v>10.75</c:v>
                </c:pt>
                <c:pt idx="63">
                  <c:v>10.8</c:v>
                </c:pt>
                <c:pt idx="64">
                  <c:v>10.75</c:v>
                </c:pt>
                <c:pt idx="65">
                  <c:v>10.72</c:v>
                </c:pt>
                <c:pt idx="66">
                  <c:v>10.48</c:v>
                </c:pt>
                <c:pt idx="67">
                  <c:v>10.44</c:v>
                </c:pt>
                <c:pt idx="68">
                  <c:v>10.36</c:v>
                </c:pt>
                <c:pt idx="69">
                  <c:v>10.31</c:v>
                </c:pt>
                <c:pt idx="70">
                  <c:v>10.17</c:v>
                </c:pt>
                <c:pt idx="71">
                  <c:v>10.220000000000001</c:v>
                </c:pt>
                <c:pt idx="72">
                  <c:v>10.38</c:v>
                </c:pt>
                <c:pt idx="73">
                  <c:v>9.98</c:v>
                </c:pt>
                <c:pt idx="74">
                  <c:v>10.19</c:v>
                </c:pt>
                <c:pt idx="75">
                  <c:v>10.24</c:v>
                </c:pt>
                <c:pt idx="76">
                  <c:v>10.1</c:v>
                </c:pt>
                <c:pt idx="77">
                  <c:v>10.26</c:v>
                </c:pt>
                <c:pt idx="78">
                  <c:v>10.34</c:v>
                </c:pt>
                <c:pt idx="79">
                  <c:v>10.6</c:v>
                </c:pt>
                <c:pt idx="80">
                  <c:v>10.66</c:v>
                </c:pt>
                <c:pt idx="81">
                  <c:v>10.53</c:v>
                </c:pt>
                <c:pt idx="82">
                  <c:v>10.43</c:v>
                </c:pt>
                <c:pt idx="83">
                  <c:v>10.62</c:v>
                </c:pt>
                <c:pt idx="84">
                  <c:v>10.42</c:v>
                </c:pt>
                <c:pt idx="85">
                  <c:v>10.43</c:v>
                </c:pt>
                <c:pt idx="86">
                  <c:v>10.59</c:v>
                </c:pt>
                <c:pt idx="87">
                  <c:v>10.75</c:v>
                </c:pt>
                <c:pt idx="88">
                  <c:v>10.73</c:v>
                </c:pt>
                <c:pt idx="89">
                  <c:v>10.48</c:v>
                </c:pt>
                <c:pt idx="90">
                  <c:v>10.63</c:v>
                </c:pt>
                <c:pt idx="91">
                  <c:v>10.8</c:v>
                </c:pt>
                <c:pt idx="92">
                  <c:v>10.85</c:v>
                </c:pt>
                <c:pt idx="93">
                  <c:v>11.35</c:v>
                </c:pt>
                <c:pt idx="94">
                  <c:v>11.77</c:v>
                </c:pt>
                <c:pt idx="95">
                  <c:v>11.81</c:v>
                </c:pt>
                <c:pt idx="96">
                  <c:v>11.59</c:v>
                </c:pt>
                <c:pt idx="97">
                  <c:v>11.68</c:v>
                </c:pt>
                <c:pt idx="98">
                  <c:v>11.83</c:v>
                </c:pt>
                <c:pt idx="99">
                  <c:v>11.91</c:v>
                </c:pt>
                <c:pt idx="100">
                  <c:v>11.78</c:v>
                </c:pt>
                <c:pt idx="101">
                  <c:v>11.88</c:v>
                </c:pt>
                <c:pt idx="102">
                  <c:v>11.57</c:v>
                </c:pt>
                <c:pt idx="103">
                  <c:v>11.24</c:v>
                </c:pt>
                <c:pt idx="104">
                  <c:v>11.15</c:v>
                </c:pt>
                <c:pt idx="105">
                  <c:v>11.16</c:v>
                </c:pt>
                <c:pt idx="106">
                  <c:v>11.31</c:v>
                </c:pt>
                <c:pt idx="107">
                  <c:v>11.19</c:v>
                </c:pt>
                <c:pt idx="108">
                  <c:v>11.38</c:v>
                </c:pt>
                <c:pt idx="109">
                  <c:v>11.26</c:v>
                </c:pt>
                <c:pt idx="110">
                  <c:v>11.47</c:v>
                </c:pt>
                <c:pt idx="111">
                  <c:v>11.28</c:v>
                </c:pt>
                <c:pt idx="112">
                  <c:v>11.08</c:v>
                </c:pt>
                <c:pt idx="113">
                  <c:v>10.87</c:v>
                </c:pt>
                <c:pt idx="114">
                  <c:v>11.07</c:v>
                </c:pt>
                <c:pt idx="115">
                  <c:v>10.82</c:v>
                </c:pt>
                <c:pt idx="116">
                  <c:v>10.95</c:v>
                </c:pt>
                <c:pt idx="117">
                  <c:v>11.06</c:v>
                </c:pt>
                <c:pt idx="118">
                  <c:v>11.21</c:v>
                </c:pt>
                <c:pt idx="119">
                  <c:v>11.28</c:v>
                </c:pt>
                <c:pt idx="120">
                  <c:v>11.32</c:v>
                </c:pt>
                <c:pt idx="121">
                  <c:v>11.14</c:v>
                </c:pt>
                <c:pt idx="122">
                  <c:v>11.25</c:v>
                </c:pt>
                <c:pt idx="123">
                  <c:v>11.44</c:v>
                </c:pt>
                <c:pt idx="124">
                  <c:v>11.44</c:v>
                </c:pt>
                <c:pt idx="125">
                  <c:v>11.44</c:v>
                </c:pt>
                <c:pt idx="126">
                  <c:v>11.46</c:v>
                </c:pt>
                <c:pt idx="127">
                  <c:v>11.58</c:v>
                </c:pt>
                <c:pt idx="128">
                  <c:v>11.49</c:v>
                </c:pt>
                <c:pt idx="129">
                  <c:v>11.33</c:v>
                </c:pt>
                <c:pt idx="130">
                  <c:v>11.74</c:v>
                </c:pt>
                <c:pt idx="131">
                  <c:v>11.82</c:v>
                </c:pt>
                <c:pt idx="132">
                  <c:v>11.84</c:v>
                </c:pt>
                <c:pt idx="133">
                  <c:v>11.91</c:v>
                </c:pt>
                <c:pt idx="134">
                  <c:v>11.71</c:v>
                </c:pt>
                <c:pt idx="135">
                  <c:v>11.77</c:v>
                </c:pt>
                <c:pt idx="136">
                  <c:v>11.72</c:v>
                </c:pt>
                <c:pt idx="137">
                  <c:v>11.62</c:v>
                </c:pt>
                <c:pt idx="138">
                  <c:v>11.68</c:v>
                </c:pt>
                <c:pt idx="139">
                  <c:v>11.74</c:v>
                </c:pt>
                <c:pt idx="140">
                  <c:v>11.69</c:v>
                </c:pt>
                <c:pt idx="141">
                  <c:v>11.49</c:v>
                </c:pt>
                <c:pt idx="142">
                  <c:v>11.42</c:v>
                </c:pt>
                <c:pt idx="143">
                  <c:v>11.76</c:v>
                </c:pt>
                <c:pt idx="144">
                  <c:v>11.68</c:v>
                </c:pt>
                <c:pt idx="145">
                  <c:v>11.68</c:v>
                </c:pt>
                <c:pt idx="146">
                  <c:v>11.61</c:v>
                </c:pt>
                <c:pt idx="147">
                  <c:v>11.66</c:v>
                </c:pt>
                <c:pt idx="148">
                  <c:v>11.74</c:v>
                </c:pt>
                <c:pt idx="149">
                  <c:v>11.62</c:v>
                </c:pt>
                <c:pt idx="150">
                  <c:v>11.66</c:v>
                </c:pt>
                <c:pt idx="151">
                  <c:v>11.73</c:v>
                </c:pt>
                <c:pt idx="152">
                  <c:v>11.63</c:v>
                </c:pt>
                <c:pt idx="153">
                  <c:v>11.62</c:v>
                </c:pt>
                <c:pt idx="154">
                  <c:v>12.01</c:v>
                </c:pt>
                <c:pt idx="155">
                  <c:v>12.09</c:v>
                </c:pt>
                <c:pt idx="156">
                  <c:v>11.96</c:v>
                </c:pt>
                <c:pt idx="157">
                  <c:v>12.27</c:v>
                </c:pt>
                <c:pt idx="158">
                  <c:v>12.22</c:v>
                </c:pt>
                <c:pt idx="159">
                  <c:v>12.67</c:v>
                </c:pt>
                <c:pt idx="160">
                  <c:v>12.7</c:v>
                </c:pt>
                <c:pt idx="161">
                  <c:v>11.92</c:v>
                </c:pt>
                <c:pt idx="162">
                  <c:v>11.74</c:v>
                </c:pt>
                <c:pt idx="163">
                  <c:v>11.5</c:v>
                </c:pt>
                <c:pt idx="164">
                  <c:v>11.41</c:v>
                </c:pt>
                <c:pt idx="165">
                  <c:v>11.54</c:v>
                </c:pt>
                <c:pt idx="166">
                  <c:v>11.65</c:v>
                </c:pt>
                <c:pt idx="167">
                  <c:v>11.76</c:v>
                </c:pt>
                <c:pt idx="168">
                  <c:v>11.74</c:v>
                </c:pt>
                <c:pt idx="169">
                  <c:v>11.92</c:v>
                </c:pt>
                <c:pt idx="170">
                  <c:v>11.99</c:v>
                </c:pt>
                <c:pt idx="171">
                  <c:v>12.56</c:v>
                </c:pt>
                <c:pt idx="172">
                  <c:v>12.43</c:v>
                </c:pt>
                <c:pt idx="173">
                  <c:v>12.34</c:v>
                </c:pt>
                <c:pt idx="174">
                  <c:v>13.84</c:v>
                </c:pt>
                <c:pt idx="175">
                  <c:v>13.26</c:v>
                </c:pt>
                <c:pt idx="176">
                  <c:v>13.13</c:v>
                </c:pt>
                <c:pt idx="177">
                  <c:v>13.24</c:v>
                </c:pt>
                <c:pt idx="178">
                  <c:v>13.06</c:v>
                </c:pt>
                <c:pt idx="179">
                  <c:v>13.13</c:v>
                </c:pt>
                <c:pt idx="180">
                  <c:v>13.01</c:v>
                </c:pt>
                <c:pt idx="181">
                  <c:v>12.79</c:v>
                </c:pt>
                <c:pt idx="182">
                  <c:v>13.11</c:v>
                </c:pt>
                <c:pt idx="183">
                  <c:v>13.12</c:v>
                </c:pt>
                <c:pt idx="184">
                  <c:v>13.21</c:v>
                </c:pt>
                <c:pt idx="185">
                  <c:v>13.16</c:v>
                </c:pt>
                <c:pt idx="186">
                  <c:v>13.3</c:v>
                </c:pt>
                <c:pt idx="187">
                  <c:v>13.45</c:v>
                </c:pt>
                <c:pt idx="188">
                  <c:v>13.28</c:v>
                </c:pt>
                <c:pt idx="189">
                  <c:v>13.19</c:v>
                </c:pt>
                <c:pt idx="190">
                  <c:v>12.88</c:v>
                </c:pt>
                <c:pt idx="191">
                  <c:v>13.02</c:v>
                </c:pt>
                <c:pt idx="192">
                  <c:v>12.9</c:v>
                </c:pt>
                <c:pt idx="193">
                  <c:v>12.41</c:v>
                </c:pt>
                <c:pt idx="194">
                  <c:v>12.83</c:v>
                </c:pt>
                <c:pt idx="195">
                  <c:v>12.96</c:v>
                </c:pt>
                <c:pt idx="196">
                  <c:v>13.17</c:v>
                </c:pt>
                <c:pt idx="197">
                  <c:v>13.19</c:v>
                </c:pt>
                <c:pt idx="198">
                  <c:v>13.28</c:v>
                </c:pt>
                <c:pt idx="199">
                  <c:v>13.16</c:v>
                </c:pt>
                <c:pt idx="200">
                  <c:v>12.96</c:v>
                </c:pt>
                <c:pt idx="201">
                  <c:v>13.09</c:v>
                </c:pt>
                <c:pt idx="202">
                  <c:v>13.14</c:v>
                </c:pt>
                <c:pt idx="203">
                  <c:v>13.03</c:v>
                </c:pt>
                <c:pt idx="204">
                  <c:v>13.14</c:v>
                </c:pt>
                <c:pt idx="205">
                  <c:v>13.08</c:v>
                </c:pt>
                <c:pt idx="206">
                  <c:v>13.41</c:v>
                </c:pt>
                <c:pt idx="207">
                  <c:v>13.63</c:v>
                </c:pt>
                <c:pt idx="208">
                  <c:v>13.76</c:v>
                </c:pt>
                <c:pt idx="209">
                  <c:v>13.65</c:v>
                </c:pt>
                <c:pt idx="210">
                  <c:v>13.67</c:v>
                </c:pt>
                <c:pt idx="211">
                  <c:v>13.31</c:v>
                </c:pt>
                <c:pt idx="212">
                  <c:v>13.32</c:v>
                </c:pt>
                <c:pt idx="213">
                  <c:v>13.47</c:v>
                </c:pt>
                <c:pt idx="214">
                  <c:v>13.46</c:v>
                </c:pt>
                <c:pt idx="215">
                  <c:v>13.29</c:v>
                </c:pt>
                <c:pt idx="216">
                  <c:v>13.36</c:v>
                </c:pt>
                <c:pt idx="217">
                  <c:v>13.31</c:v>
                </c:pt>
                <c:pt idx="218">
                  <c:v>13.28</c:v>
                </c:pt>
                <c:pt idx="219">
                  <c:v>13.23</c:v>
                </c:pt>
                <c:pt idx="220">
                  <c:v>13.12</c:v>
                </c:pt>
                <c:pt idx="221">
                  <c:v>13.34</c:v>
                </c:pt>
                <c:pt idx="222">
                  <c:v>13.47</c:v>
                </c:pt>
                <c:pt idx="223">
                  <c:v>13.8</c:v>
                </c:pt>
                <c:pt idx="224">
                  <c:v>13.74</c:v>
                </c:pt>
                <c:pt idx="225">
                  <c:v>14.4</c:v>
                </c:pt>
                <c:pt idx="226">
                  <c:v>14.2</c:v>
                </c:pt>
                <c:pt idx="227">
                  <c:v>14.03</c:v>
                </c:pt>
                <c:pt idx="228">
                  <c:v>13.98</c:v>
                </c:pt>
                <c:pt idx="229">
                  <c:v>13.84</c:v>
                </c:pt>
                <c:pt idx="230">
                  <c:v>13.81</c:v>
                </c:pt>
                <c:pt idx="231">
                  <c:v>13.6</c:v>
                </c:pt>
                <c:pt idx="232">
                  <c:v>13.28</c:v>
                </c:pt>
                <c:pt idx="233">
                  <c:v>13.77</c:v>
                </c:pt>
                <c:pt idx="234">
                  <c:v>13.71</c:v>
                </c:pt>
                <c:pt idx="235">
                  <c:v>13.56</c:v>
                </c:pt>
                <c:pt idx="236">
                  <c:v>13.44</c:v>
                </c:pt>
                <c:pt idx="237">
                  <c:v>13.93</c:v>
                </c:pt>
                <c:pt idx="238">
                  <c:v>13.82</c:v>
                </c:pt>
                <c:pt idx="239">
                  <c:v>14</c:v>
                </c:pt>
                <c:pt idx="240">
                  <c:v>13.88</c:v>
                </c:pt>
                <c:pt idx="241">
                  <c:v>13.81</c:v>
                </c:pt>
                <c:pt idx="242">
                  <c:v>13.73</c:v>
                </c:pt>
                <c:pt idx="243">
                  <c:v>13.82</c:v>
                </c:pt>
                <c:pt idx="244">
                  <c:v>13.72</c:v>
                </c:pt>
                <c:pt idx="245">
                  <c:v>13.8</c:v>
                </c:pt>
                <c:pt idx="246">
                  <c:v>13.59</c:v>
                </c:pt>
                <c:pt idx="247">
                  <c:v>13.57</c:v>
                </c:pt>
                <c:pt idx="248">
                  <c:v>13.85</c:v>
                </c:pt>
                <c:pt idx="249">
                  <c:v>14</c:v>
                </c:pt>
                <c:pt idx="250">
                  <c:v>14.12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A-475A-949F-F2E3AF9290EE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45702</c:v>
                </c:pt>
                <c:pt idx="1">
                  <c:v>45706</c:v>
                </c:pt>
                <c:pt idx="2">
                  <c:v>45707</c:v>
                </c:pt>
                <c:pt idx="3">
                  <c:v>45708</c:v>
                </c:pt>
                <c:pt idx="4">
                  <c:v>45709</c:v>
                </c:pt>
                <c:pt idx="5">
                  <c:v>45712</c:v>
                </c:pt>
                <c:pt idx="6">
                  <c:v>45713</c:v>
                </c:pt>
                <c:pt idx="7">
                  <c:v>45714</c:v>
                </c:pt>
                <c:pt idx="8">
                  <c:v>45715</c:v>
                </c:pt>
                <c:pt idx="9">
                  <c:v>45716</c:v>
                </c:pt>
                <c:pt idx="10">
                  <c:v>45719</c:v>
                </c:pt>
                <c:pt idx="11">
                  <c:v>45720</c:v>
                </c:pt>
                <c:pt idx="12">
                  <c:v>45721</c:v>
                </c:pt>
                <c:pt idx="13">
                  <c:v>45722</c:v>
                </c:pt>
                <c:pt idx="14">
                  <c:v>45723</c:v>
                </c:pt>
                <c:pt idx="15">
                  <c:v>45726</c:v>
                </c:pt>
                <c:pt idx="16">
                  <c:v>45727</c:v>
                </c:pt>
                <c:pt idx="17">
                  <c:v>45728</c:v>
                </c:pt>
                <c:pt idx="18">
                  <c:v>45729</c:v>
                </c:pt>
                <c:pt idx="19">
                  <c:v>45730</c:v>
                </c:pt>
                <c:pt idx="20">
                  <c:v>45733</c:v>
                </c:pt>
                <c:pt idx="21">
                  <c:v>45734</c:v>
                </c:pt>
                <c:pt idx="22">
                  <c:v>45735</c:v>
                </c:pt>
                <c:pt idx="23">
                  <c:v>45736</c:v>
                </c:pt>
                <c:pt idx="24">
                  <c:v>45737</c:v>
                </c:pt>
                <c:pt idx="25">
                  <c:v>45740</c:v>
                </c:pt>
                <c:pt idx="26">
                  <c:v>45741</c:v>
                </c:pt>
                <c:pt idx="27">
                  <c:v>45742</c:v>
                </c:pt>
                <c:pt idx="28">
                  <c:v>45743</c:v>
                </c:pt>
                <c:pt idx="29">
                  <c:v>45744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45754</c:v>
                </c:pt>
                <c:pt idx="36">
                  <c:v>45755</c:v>
                </c:pt>
                <c:pt idx="37">
                  <c:v>45756</c:v>
                </c:pt>
                <c:pt idx="38">
                  <c:v>45757</c:v>
                </c:pt>
                <c:pt idx="39">
                  <c:v>45758</c:v>
                </c:pt>
                <c:pt idx="40">
                  <c:v>45761</c:v>
                </c:pt>
                <c:pt idx="41">
                  <c:v>45762</c:v>
                </c:pt>
                <c:pt idx="42">
                  <c:v>45763</c:v>
                </c:pt>
                <c:pt idx="43">
                  <c:v>45764</c:v>
                </c:pt>
                <c:pt idx="44">
                  <c:v>45768</c:v>
                </c:pt>
                <c:pt idx="45">
                  <c:v>45769</c:v>
                </c:pt>
                <c:pt idx="46">
                  <c:v>45770</c:v>
                </c:pt>
                <c:pt idx="47">
                  <c:v>45771</c:v>
                </c:pt>
                <c:pt idx="48">
                  <c:v>45772</c:v>
                </c:pt>
                <c:pt idx="49">
                  <c:v>45775</c:v>
                </c:pt>
                <c:pt idx="50">
                  <c:v>45776</c:v>
                </c:pt>
                <c:pt idx="51">
                  <c:v>45777</c:v>
                </c:pt>
                <c:pt idx="52">
                  <c:v>45778</c:v>
                </c:pt>
                <c:pt idx="53">
                  <c:v>45779</c:v>
                </c:pt>
                <c:pt idx="54">
                  <c:v>45782</c:v>
                </c:pt>
                <c:pt idx="55">
                  <c:v>45783</c:v>
                </c:pt>
                <c:pt idx="56">
                  <c:v>45784</c:v>
                </c:pt>
                <c:pt idx="57">
                  <c:v>45785</c:v>
                </c:pt>
                <c:pt idx="58">
                  <c:v>45786</c:v>
                </c:pt>
                <c:pt idx="59">
                  <c:v>45789</c:v>
                </c:pt>
                <c:pt idx="60">
                  <c:v>45790</c:v>
                </c:pt>
                <c:pt idx="61">
                  <c:v>45791</c:v>
                </c:pt>
                <c:pt idx="62">
                  <c:v>45792</c:v>
                </c:pt>
                <c:pt idx="63">
                  <c:v>45793</c:v>
                </c:pt>
                <c:pt idx="64">
                  <c:v>45796</c:v>
                </c:pt>
                <c:pt idx="65">
                  <c:v>45797</c:v>
                </c:pt>
                <c:pt idx="66">
                  <c:v>45798</c:v>
                </c:pt>
                <c:pt idx="67">
                  <c:v>45799</c:v>
                </c:pt>
                <c:pt idx="68">
                  <c:v>45800</c:v>
                </c:pt>
                <c:pt idx="69">
                  <c:v>45804</c:v>
                </c:pt>
                <c:pt idx="70">
                  <c:v>45805</c:v>
                </c:pt>
                <c:pt idx="71">
                  <c:v>45806</c:v>
                </c:pt>
                <c:pt idx="72">
                  <c:v>45807</c:v>
                </c:pt>
                <c:pt idx="73">
                  <c:v>45810</c:v>
                </c:pt>
                <c:pt idx="74">
                  <c:v>45811</c:v>
                </c:pt>
                <c:pt idx="75">
                  <c:v>45812</c:v>
                </c:pt>
                <c:pt idx="76">
                  <c:v>45813</c:v>
                </c:pt>
                <c:pt idx="77">
                  <c:v>45814</c:v>
                </c:pt>
                <c:pt idx="78">
                  <c:v>45817</c:v>
                </c:pt>
                <c:pt idx="79">
                  <c:v>45818</c:v>
                </c:pt>
                <c:pt idx="80">
                  <c:v>45819</c:v>
                </c:pt>
                <c:pt idx="81">
                  <c:v>45820</c:v>
                </c:pt>
                <c:pt idx="82">
                  <c:v>45821</c:v>
                </c:pt>
                <c:pt idx="83">
                  <c:v>45824</c:v>
                </c:pt>
                <c:pt idx="84">
                  <c:v>45825</c:v>
                </c:pt>
                <c:pt idx="85">
                  <c:v>45826</c:v>
                </c:pt>
                <c:pt idx="86">
                  <c:v>45828</c:v>
                </c:pt>
                <c:pt idx="87">
                  <c:v>45831</c:v>
                </c:pt>
                <c:pt idx="88">
                  <c:v>45832</c:v>
                </c:pt>
                <c:pt idx="89">
                  <c:v>45833</c:v>
                </c:pt>
                <c:pt idx="90">
                  <c:v>45834</c:v>
                </c:pt>
                <c:pt idx="91">
                  <c:v>45835</c:v>
                </c:pt>
                <c:pt idx="92">
                  <c:v>45838</c:v>
                </c:pt>
                <c:pt idx="93">
                  <c:v>45839</c:v>
                </c:pt>
                <c:pt idx="94">
                  <c:v>45840</c:v>
                </c:pt>
                <c:pt idx="95">
                  <c:v>45841</c:v>
                </c:pt>
                <c:pt idx="96">
                  <c:v>45845</c:v>
                </c:pt>
                <c:pt idx="97">
                  <c:v>45846</c:v>
                </c:pt>
                <c:pt idx="98">
                  <c:v>45847</c:v>
                </c:pt>
                <c:pt idx="99">
                  <c:v>45848</c:v>
                </c:pt>
                <c:pt idx="100">
                  <c:v>45849</c:v>
                </c:pt>
                <c:pt idx="101">
                  <c:v>45852</c:v>
                </c:pt>
                <c:pt idx="102">
                  <c:v>45853</c:v>
                </c:pt>
                <c:pt idx="103">
                  <c:v>45854</c:v>
                </c:pt>
                <c:pt idx="104">
                  <c:v>45855</c:v>
                </c:pt>
                <c:pt idx="105">
                  <c:v>45856</c:v>
                </c:pt>
                <c:pt idx="106">
                  <c:v>45859</c:v>
                </c:pt>
                <c:pt idx="107">
                  <c:v>45860</c:v>
                </c:pt>
                <c:pt idx="108">
                  <c:v>45861</c:v>
                </c:pt>
                <c:pt idx="109">
                  <c:v>45862</c:v>
                </c:pt>
                <c:pt idx="110">
                  <c:v>45863</c:v>
                </c:pt>
                <c:pt idx="111">
                  <c:v>45866</c:v>
                </c:pt>
                <c:pt idx="112">
                  <c:v>45867</c:v>
                </c:pt>
                <c:pt idx="113">
                  <c:v>45868</c:v>
                </c:pt>
                <c:pt idx="114">
                  <c:v>45869</c:v>
                </c:pt>
                <c:pt idx="115">
                  <c:v>45870</c:v>
                </c:pt>
                <c:pt idx="116">
                  <c:v>45873</c:v>
                </c:pt>
                <c:pt idx="117">
                  <c:v>45874</c:v>
                </c:pt>
                <c:pt idx="118">
                  <c:v>45875</c:v>
                </c:pt>
                <c:pt idx="119">
                  <c:v>45876</c:v>
                </c:pt>
                <c:pt idx="120">
                  <c:v>45877</c:v>
                </c:pt>
                <c:pt idx="121">
                  <c:v>45880</c:v>
                </c:pt>
                <c:pt idx="122">
                  <c:v>45881</c:v>
                </c:pt>
                <c:pt idx="123">
                  <c:v>45882</c:v>
                </c:pt>
                <c:pt idx="124">
                  <c:v>45883</c:v>
                </c:pt>
                <c:pt idx="125">
                  <c:v>45884</c:v>
                </c:pt>
                <c:pt idx="126">
                  <c:v>45887</c:v>
                </c:pt>
                <c:pt idx="127">
                  <c:v>45888</c:v>
                </c:pt>
                <c:pt idx="128">
                  <c:v>45889</c:v>
                </c:pt>
                <c:pt idx="129">
                  <c:v>45890</c:v>
                </c:pt>
                <c:pt idx="130">
                  <c:v>45891</c:v>
                </c:pt>
                <c:pt idx="131">
                  <c:v>45894</c:v>
                </c:pt>
                <c:pt idx="132">
                  <c:v>45895</c:v>
                </c:pt>
                <c:pt idx="133">
                  <c:v>45896</c:v>
                </c:pt>
                <c:pt idx="134">
                  <c:v>45897</c:v>
                </c:pt>
                <c:pt idx="135">
                  <c:v>45898</c:v>
                </c:pt>
                <c:pt idx="136">
                  <c:v>45902</c:v>
                </c:pt>
                <c:pt idx="137">
                  <c:v>45903</c:v>
                </c:pt>
                <c:pt idx="138">
                  <c:v>45904</c:v>
                </c:pt>
                <c:pt idx="139">
                  <c:v>45905</c:v>
                </c:pt>
                <c:pt idx="140">
                  <c:v>45908</c:v>
                </c:pt>
                <c:pt idx="141">
                  <c:v>45909</c:v>
                </c:pt>
                <c:pt idx="142">
                  <c:v>45910</c:v>
                </c:pt>
                <c:pt idx="143">
                  <c:v>45911</c:v>
                </c:pt>
                <c:pt idx="144">
                  <c:v>45912</c:v>
                </c:pt>
                <c:pt idx="145">
                  <c:v>45915</c:v>
                </c:pt>
                <c:pt idx="146">
                  <c:v>45916</c:v>
                </c:pt>
                <c:pt idx="147">
                  <c:v>45917</c:v>
                </c:pt>
                <c:pt idx="148">
                  <c:v>45918</c:v>
                </c:pt>
                <c:pt idx="149">
                  <c:v>45919</c:v>
                </c:pt>
                <c:pt idx="150">
                  <c:v>45922</c:v>
                </c:pt>
                <c:pt idx="151">
                  <c:v>45923</c:v>
                </c:pt>
                <c:pt idx="152">
                  <c:v>45924</c:v>
                </c:pt>
                <c:pt idx="153">
                  <c:v>45925</c:v>
                </c:pt>
                <c:pt idx="154">
                  <c:v>45926</c:v>
                </c:pt>
                <c:pt idx="155">
                  <c:v>45929</c:v>
                </c:pt>
                <c:pt idx="156">
                  <c:v>45930</c:v>
                </c:pt>
                <c:pt idx="157">
                  <c:v>45931</c:v>
                </c:pt>
                <c:pt idx="158">
                  <c:v>45932</c:v>
                </c:pt>
                <c:pt idx="159">
                  <c:v>45933</c:v>
                </c:pt>
                <c:pt idx="160">
                  <c:v>45936</c:v>
                </c:pt>
                <c:pt idx="161">
                  <c:v>45937</c:v>
                </c:pt>
                <c:pt idx="162">
                  <c:v>45938</c:v>
                </c:pt>
                <c:pt idx="163">
                  <c:v>45939</c:v>
                </c:pt>
                <c:pt idx="164">
                  <c:v>45940</c:v>
                </c:pt>
                <c:pt idx="165">
                  <c:v>45943</c:v>
                </c:pt>
                <c:pt idx="166">
                  <c:v>45944</c:v>
                </c:pt>
                <c:pt idx="167">
                  <c:v>45945</c:v>
                </c:pt>
                <c:pt idx="168">
                  <c:v>45946</c:v>
                </c:pt>
                <c:pt idx="169">
                  <c:v>45947</c:v>
                </c:pt>
                <c:pt idx="170">
                  <c:v>45950</c:v>
                </c:pt>
                <c:pt idx="171">
                  <c:v>45951</c:v>
                </c:pt>
                <c:pt idx="172">
                  <c:v>45952</c:v>
                </c:pt>
                <c:pt idx="173">
                  <c:v>45953</c:v>
                </c:pt>
                <c:pt idx="174">
                  <c:v>45954</c:v>
                </c:pt>
                <c:pt idx="175">
                  <c:v>45957</c:v>
                </c:pt>
                <c:pt idx="176">
                  <c:v>45958</c:v>
                </c:pt>
                <c:pt idx="177">
                  <c:v>45959</c:v>
                </c:pt>
                <c:pt idx="178">
                  <c:v>45960</c:v>
                </c:pt>
                <c:pt idx="179">
                  <c:v>45961</c:v>
                </c:pt>
                <c:pt idx="180">
                  <c:v>45964</c:v>
                </c:pt>
                <c:pt idx="181">
                  <c:v>45965</c:v>
                </c:pt>
                <c:pt idx="182">
                  <c:v>45966</c:v>
                </c:pt>
                <c:pt idx="183">
                  <c:v>45967</c:v>
                </c:pt>
                <c:pt idx="184">
                  <c:v>45968</c:v>
                </c:pt>
                <c:pt idx="185">
                  <c:v>45971</c:v>
                </c:pt>
                <c:pt idx="186">
                  <c:v>45972</c:v>
                </c:pt>
                <c:pt idx="187">
                  <c:v>45973</c:v>
                </c:pt>
                <c:pt idx="188">
                  <c:v>45974</c:v>
                </c:pt>
                <c:pt idx="189">
                  <c:v>45975</c:v>
                </c:pt>
                <c:pt idx="190">
                  <c:v>45978</c:v>
                </c:pt>
                <c:pt idx="191">
                  <c:v>45979</c:v>
                </c:pt>
                <c:pt idx="192">
                  <c:v>45980</c:v>
                </c:pt>
                <c:pt idx="193">
                  <c:v>45981</c:v>
                </c:pt>
                <c:pt idx="194">
                  <c:v>45982</c:v>
                </c:pt>
                <c:pt idx="195">
                  <c:v>45985</c:v>
                </c:pt>
                <c:pt idx="196">
                  <c:v>45986</c:v>
                </c:pt>
                <c:pt idx="197">
                  <c:v>45987</c:v>
                </c:pt>
                <c:pt idx="198">
                  <c:v>45989</c:v>
                </c:pt>
                <c:pt idx="199">
                  <c:v>45992</c:v>
                </c:pt>
                <c:pt idx="200">
                  <c:v>45993</c:v>
                </c:pt>
                <c:pt idx="201">
                  <c:v>45994</c:v>
                </c:pt>
                <c:pt idx="202">
                  <c:v>45995</c:v>
                </c:pt>
                <c:pt idx="203">
                  <c:v>45996</c:v>
                </c:pt>
                <c:pt idx="204">
                  <c:v>45999</c:v>
                </c:pt>
                <c:pt idx="205">
                  <c:v>46000</c:v>
                </c:pt>
                <c:pt idx="206">
                  <c:v>46001</c:v>
                </c:pt>
                <c:pt idx="207">
                  <c:v>46002</c:v>
                </c:pt>
                <c:pt idx="208">
                  <c:v>46003</c:v>
                </c:pt>
                <c:pt idx="209">
                  <c:v>46006</c:v>
                </c:pt>
                <c:pt idx="210">
                  <c:v>46007</c:v>
                </c:pt>
                <c:pt idx="211">
                  <c:v>46008</c:v>
                </c:pt>
                <c:pt idx="212">
                  <c:v>46009</c:v>
                </c:pt>
                <c:pt idx="213">
                  <c:v>46010</c:v>
                </c:pt>
                <c:pt idx="214">
                  <c:v>46013</c:v>
                </c:pt>
                <c:pt idx="215">
                  <c:v>46014</c:v>
                </c:pt>
                <c:pt idx="216">
                  <c:v>46015</c:v>
                </c:pt>
                <c:pt idx="217">
                  <c:v>46017</c:v>
                </c:pt>
                <c:pt idx="218">
                  <c:v>46020</c:v>
                </c:pt>
                <c:pt idx="219">
                  <c:v>46021</c:v>
                </c:pt>
                <c:pt idx="220">
                  <c:v>46022</c:v>
                </c:pt>
                <c:pt idx="221">
                  <c:v>46024</c:v>
                </c:pt>
                <c:pt idx="222">
                  <c:v>46027</c:v>
                </c:pt>
                <c:pt idx="223">
                  <c:v>46028</c:v>
                </c:pt>
                <c:pt idx="224">
                  <c:v>46029</c:v>
                </c:pt>
                <c:pt idx="225">
                  <c:v>46030</c:v>
                </c:pt>
                <c:pt idx="226">
                  <c:v>46031</c:v>
                </c:pt>
                <c:pt idx="227">
                  <c:v>46034</c:v>
                </c:pt>
                <c:pt idx="228">
                  <c:v>46035</c:v>
                </c:pt>
                <c:pt idx="229">
                  <c:v>46036</c:v>
                </c:pt>
                <c:pt idx="230">
                  <c:v>46037</c:v>
                </c:pt>
                <c:pt idx="231">
                  <c:v>46038</c:v>
                </c:pt>
                <c:pt idx="232">
                  <c:v>46042</c:v>
                </c:pt>
                <c:pt idx="233">
                  <c:v>46043</c:v>
                </c:pt>
                <c:pt idx="234">
                  <c:v>46044</c:v>
                </c:pt>
                <c:pt idx="235">
                  <c:v>46045</c:v>
                </c:pt>
                <c:pt idx="236">
                  <c:v>46048</c:v>
                </c:pt>
                <c:pt idx="237">
                  <c:v>46049</c:v>
                </c:pt>
                <c:pt idx="238">
                  <c:v>46050</c:v>
                </c:pt>
                <c:pt idx="239">
                  <c:v>46051</c:v>
                </c:pt>
                <c:pt idx="240">
                  <c:v>46052</c:v>
                </c:pt>
                <c:pt idx="241">
                  <c:v>46055</c:v>
                </c:pt>
                <c:pt idx="242">
                  <c:v>46056</c:v>
                </c:pt>
                <c:pt idx="243">
                  <c:v>46057</c:v>
                </c:pt>
                <c:pt idx="244">
                  <c:v>46058</c:v>
                </c:pt>
                <c:pt idx="245">
                  <c:v>46059</c:v>
                </c:pt>
                <c:pt idx="246">
                  <c:v>46062</c:v>
                </c:pt>
                <c:pt idx="247">
                  <c:v>46063</c:v>
                </c:pt>
                <c:pt idx="248">
                  <c:v>46064</c:v>
                </c:pt>
                <c:pt idx="249">
                  <c:v>46065</c:v>
                </c:pt>
                <c:pt idx="250">
                  <c:v>46066</c:v>
                </c:pt>
              </c:numCache>
            </c:numRef>
          </c:cat>
          <c:val>
            <c:numRef>
              <c:f>Data!$F$2:$F$252</c:f>
              <c:numCache>
                <c:formatCode>General</c:formatCode>
                <c:ptCount val="251"/>
                <c:pt idx="0">
                  <c:v>9.33</c:v>
                </c:pt>
                <c:pt idx="1">
                  <c:v>9.3087103107865214</c:v>
                </c:pt>
                <c:pt idx="2">
                  <c:v>9.3181138251896627</c:v>
                </c:pt>
                <c:pt idx="3">
                  <c:v>9.3319446710973804</c:v>
                </c:pt>
                <c:pt idx="4">
                  <c:v>9.320500039687337</c:v>
                </c:pt>
                <c:pt idx="5">
                  <c:v>9.3268369410456931</c:v>
                </c:pt>
                <c:pt idx="6">
                  <c:v>9.3462428902270052</c:v>
                </c:pt>
                <c:pt idx="7">
                  <c:v>9.367392731503239</c:v>
                </c:pt>
                <c:pt idx="8">
                  <c:v>9.3580656984049924</c:v>
                </c:pt>
                <c:pt idx="9">
                  <c:v>9.394691671226802</c:v>
                </c:pt>
                <c:pt idx="10">
                  <c:v>9.3938660253268207</c:v>
                </c:pt>
                <c:pt idx="11">
                  <c:v>9.3499718111925745</c:v>
                </c:pt>
                <c:pt idx="12">
                  <c:v>9.3893259293730367</c:v>
                </c:pt>
                <c:pt idx="13">
                  <c:v>9.4118427704603036</c:v>
                </c:pt>
                <c:pt idx="14">
                  <c:v>9.4611917306904818</c:v>
                </c:pt>
                <c:pt idx="15">
                  <c:v>9.5115084559760277</c:v>
                </c:pt>
                <c:pt idx="16">
                  <c:v>9.5315921261098406</c:v>
                </c:pt>
                <c:pt idx="17">
                  <c:v>9.5353932763242675</c:v>
                </c:pt>
                <c:pt idx="18">
                  <c:v>9.5350453451276582</c:v>
                </c:pt>
                <c:pt idx="19">
                  <c:v>9.5430407371999451</c:v>
                </c:pt>
                <c:pt idx="20">
                  <c:v>9.5590234767455069</c:v>
                </c:pt>
                <c:pt idx="21">
                  <c:v>9.5755670658162408</c:v>
                </c:pt>
                <c:pt idx="22">
                  <c:v>9.6046063613782593</c:v>
                </c:pt>
                <c:pt idx="23">
                  <c:v>9.6212238398531476</c:v>
                </c:pt>
                <c:pt idx="24">
                  <c:v>9.6526294297254811</c:v>
                </c:pt>
                <c:pt idx="25">
                  <c:v>9.6730737058121292</c:v>
                </c:pt>
                <c:pt idx="26">
                  <c:v>9.6897860188064779</c:v>
                </c:pt>
                <c:pt idx="27">
                  <c:v>9.7164209685284177</c:v>
                </c:pt>
                <c:pt idx="28">
                  <c:v>9.7285770042205773</c:v>
                </c:pt>
                <c:pt idx="29">
                  <c:v>9.7282505243956052</c:v>
                </c:pt>
                <c:pt idx="30">
                  <c:v>9.7395552492822564</c:v>
                </c:pt>
                <c:pt idx="31">
                  <c:v>9.7465657730057451</c:v>
                </c:pt>
                <c:pt idx="32">
                  <c:v>9.7603468134101181</c:v>
                </c:pt>
                <c:pt idx="33">
                  <c:v>9.7488677219834674</c:v>
                </c:pt>
                <c:pt idx="34">
                  <c:v>9.7420655158124791</c:v>
                </c:pt>
                <c:pt idx="35">
                  <c:v>9.7125742741604473</c:v>
                </c:pt>
                <c:pt idx="36">
                  <c:v>9.6708141004080357</c:v>
                </c:pt>
                <c:pt idx="37">
                  <c:v>9.6640998921112988</c:v>
                </c:pt>
                <c:pt idx="38">
                  <c:v>9.6477529016970625</c:v>
                </c:pt>
                <c:pt idx="39">
                  <c:v>9.6391402003722906</c:v>
                </c:pt>
                <c:pt idx="40">
                  <c:v>9.6415527945857846</c:v>
                </c:pt>
                <c:pt idx="41">
                  <c:v>9.6373397117890818</c:v>
                </c:pt>
                <c:pt idx="42">
                  <c:v>9.6319003426464302</c:v>
                </c:pt>
                <c:pt idx="43">
                  <c:v>9.6318591983584856</c:v>
                </c:pt>
                <c:pt idx="44">
                  <c:v>9.6293455258930631</c:v>
                </c:pt>
                <c:pt idx="45">
                  <c:v>9.6297510139028901</c:v>
                </c:pt>
                <c:pt idx="46">
                  <c:v>9.6335106954715464</c:v>
                </c:pt>
                <c:pt idx="47">
                  <c:v>9.6392843215540616</c:v>
                </c:pt>
                <c:pt idx="48">
                  <c:v>9.644736754748898</c:v>
                </c:pt>
                <c:pt idx="49">
                  <c:v>9.6491213498095583</c:v>
                </c:pt>
                <c:pt idx="50">
                  <c:v>9.659677895431809</c:v>
                </c:pt>
                <c:pt idx="51">
                  <c:v>9.6666306504472477</c:v>
                </c:pt>
                <c:pt idx="52">
                  <c:v>9.6759110018997916</c:v>
                </c:pt>
                <c:pt idx="53">
                  <c:v>9.6829253013365086</c:v>
                </c:pt>
                <c:pt idx="54">
                  <c:v>9.6900927508482422</c:v>
                </c:pt>
                <c:pt idx="55">
                  <c:v>9.7035978760716066</c:v>
                </c:pt>
                <c:pt idx="56">
                  <c:v>9.7126619193373021</c:v>
                </c:pt>
                <c:pt idx="57">
                  <c:v>9.7207223877452513</c:v>
                </c:pt>
                <c:pt idx="58">
                  <c:v>9.7278293980175192</c:v>
                </c:pt>
                <c:pt idx="59">
                  <c:v>9.7386935297404627</c:v>
                </c:pt>
                <c:pt idx="60">
                  <c:v>9.7479263170668009</c:v>
                </c:pt>
                <c:pt idx="61">
                  <c:v>9.757582021217857</c:v>
                </c:pt>
                <c:pt idx="62">
                  <c:v>9.7664448732247742</c:v>
                </c:pt>
                <c:pt idx="63">
                  <c:v>9.7748041563081003</c:v>
                </c:pt>
                <c:pt idx="64">
                  <c:v>9.7820638135036919</c:v>
                </c:pt>
                <c:pt idx="65">
                  <c:v>9.7890937038567127</c:v>
                </c:pt>
                <c:pt idx="66">
                  <c:v>9.7965671084787562</c:v>
                </c:pt>
                <c:pt idx="67">
                  <c:v>9.8038338729732875</c:v>
                </c:pt>
                <c:pt idx="68">
                  <c:v>9.8091581503504504</c:v>
                </c:pt>
                <c:pt idx="69">
                  <c:v>9.8144062196550674</c:v>
                </c:pt>
                <c:pt idx="70">
                  <c:v>9.8186364715091461</c:v>
                </c:pt>
                <c:pt idx="71">
                  <c:v>9.8233256097427013</c:v>
                </c:pt>
                <c:pt idx="72">
                  <c:v>9.832891942999316</c:v>
                </c:pt>
                <c:pt idx="73">
                  <c:v>9.8356680402058601</c:v>
                </c:pt>
                <c:pt idx="74">
                  <c:v>9.8403773443167051</c:v>
                </c:pt>
                <c:pt idx="75">
                  <c:v>9.8456872815177281</c:v>
                </c:pt>
                <c:pt idx="76">
                  <c:v>9.849291074839746</c:v>
                </c:pt>
                <c:pt idx="77">
                  <c:v>9.8538650728000157</c:v>
                </c:pt>
                <c:pt idx="78">
                  <c:v>9.8570963983103592</c:v>
                </c:pt>
                <c:pt idx="79">
                  <c:v>9.8638591733387067</c:v>
                </c:pt>
                <c:pt idx="80">
                  <c:v>9.8714568483346312</c:v>
                </c:pt>
                <c:pt idx="81">
                  <c:v>9.876573864156919</c:v>
                </c:pt>
                <c:pt idx="82">
                  <c:v>9.8815999434182462</c:v>
                </c:pt>
                <c:pt idx="83">
                  <c:v>9.8871540957992821</c:v>
                </c:pt>
                <c:pt idx="84">
                  <c:v>9.8924820803511704</c:v>
                </c:pt>
                <c:pt idx="85">
                  <c:v>9.8968521978806123</c:v>
                </c:pt>
                <c:pt idx="86">
                  <c:v>9.9047105721638751</c:v>
                </c:pt>
                <c:pt idx="87">
                  <c:v>9.9110310605887584</c:v>
                </c:pt>
                <c:pt idx="88">
                  <c:v>9.9170834657633531</c:v>
                </c:pt>
                <c:pt idx="89">
                  <c:v>9.9219911789907993</c:v>
                </c:pt>
                <c:pt idx="90">
                  <c:v>9.9278787381175899</c:v>
                </c:pt>
                <c:pt idx="91">
                  <c:v>9.9425565244371832</c:v>
                </c:pt>
                <c:pt idx="92">
                  <c:v>9.9499199641380809</c:v>
                </c:pt>
                <c:pt idx="93">
                  <c:v>9.967688655124558</c:v>
                </c:pt>
                <c:pt idx="94">
                  <c:v>9.9874352002671749</c:v>
                </c:pt>
                <c:pt idx="95">
                  <c:v>9.9972270775385432</c:v>
                </c:pt>
                <c:pt idx="96">
                  <c:v>10.007635709021436</c:v>
                </c:pt>
                <c:pt idx="97">
                  <c:v>10.018544361566358</c:v>
                </c:pt>
                <c:pt idx="98">
                  <c:v>10.028662494435427</c:v>
                </c:pt>
                <c:pt idx="99">
                  <c:v>10.039661604646383</c:v>
                </c:pt>
                <c:pt idx="100">
                  <c:v>10.049489774576253</c:v>
                </c:pt>
                <c:pt idx="101">
                  <c:v>10.059261709868593</c:v>
                </c:pt>
                <c:pt idx="102">
                  <c:v>10.067669646149406</c:v>
                </c:pt>
                <c:pt idx="103">
                  <c:v>10.078392289144492</c:v>
                </c:pt>
                <c:pt idx="104">
                  <c:v>10.084739844229247</c:v>
                </c:pt>
                <c:pt idx="105">
                  <c:v>10.090934367191773</c:v>
                </c:pt>
                <c:pt idx="106">
                  <c:v>10.097584389227471</c:v>
                </c:pt>
                <c:pt idx="107">
                  <c:v>10.104759327634163</c:v>
                </c:pt>
                <c:pt idx="108">
                  <c:v>10.112742935226498</c:v>
                </c:pt>
                <c:pt idx="109">
                  <c:v>10.118705435090092</c:v>
                </c:pt>
                <c:pt idx="110">
                  <c:v>10.124461139942673</c:v>
                </c:pt>
                <c:pt idx="111">
                  <c:v>10.129535791334716</c:v>
                </c:pt>
                <c:pt idx="112">
                  <c:v>10.134012098641602</c:v>
                </c:pt>
                <c:pt idx="113">
                  <c:v>10.138724378709655</c:v>
                </c:pt>
                <c:pt idx="114">
                  <c:v>10.146210875779397</c:v>
                </c:pt>
                <c:pt idx="115">
                  <c:v>10.150128406499373</c:v>
                </c:pt>
                <c:pt idx="116">
                  <c:v>10.153697785636842</c:v>
                </c:pt>
                <c:pt idx="117">
                  <c:v>10.157877348508114</c:v>
                </c:pt>
                <c:pt idx="118">
                  <c:v>10.162760654285853</c:v>
                </c:pt>
                <c:pt idx="119">
                  <c:v>10.168979088391556</c:v>
                </c:pt>
                <c:pt idx="120">
                  <c:v>10.173288787004493</c:v>
                </c:pt>
                <c:pt idx="121">
                  <c:v>10.179546366951197</c:v>
                </c:pt>
                <c:pt idx="122">
                  <c:v>10.18478085193945</c:v>
                </c:pt>
                <c:pt idx="123">
                  <c:v>10.190870195992527</c:v>
                </c:pt>
                <c:pt idx="124">
                  <c:v>10.195832177791287</c:v>
                </c:pt>
                <c:pt idx="125">
                  <c:v>10.200163272004065</c:v>
                </c:pt>
                <c:pt idx="126">
                  <c:v>10.203681011923862</c:v>
                </c:pt>
                <c:pt idx="127">
                  <c:v>10.209662655385426</c:v>
                </c:pt>
                <c:pt idx="128">
                  <c:v>10.214103943688084</c:v>
                </c:pt>
                <c:pt idx="129">
                  <c:v>10.218400473116942</c:v>
                </c:pt>
                <c:pt idx="130">
                  <c:v>10.224995172220771</c:v>
                </c:pt>
                <c:pt idx="131">
                  <c:v>10.230296127207808</c:v>
                </c:pt>
                <c:pt idx="132">
                  <c:v>10.236049883550248</c:v>
                </c:pt>
                <c:pt idx="133">
                  <c:v>10.241005386631526</c:v>
                </c:pt>
                <c:pt idx="134">
                  <c:v>10.246126923200952</c:v>
                </c:pt>
                <c:pt idx="135">
                  <c:v>10.2510172684976</c:v>
                </c:pt>
                <c:pt idx="136">
                  <c:v>10.2571641266389</c:v>
                </c:pt>
                <c:pt idx="137">
                  <c:v>10.261864707063538</c:v>
                </c:pt>
                <c:pt idx="138">
                  <c:v>10.265252495073341</c:v>
                </c:pt>
                <c:pt idx="139">
                  <c:v>10.270290425832792</c:v>
                </c:pt>
                <c:pt idx="140">
                  <c:v>10.27433183917938</c:v>
                </c:pt>
                <c:pt idx="141">
                  <c:v>10.277914922989151</c:v>
                </c:pt>
                <c:pt idx="142">
                  <c:v>10.281738069407014</c:v>
                </c:pt>
                <c:pt idx="143">
                  <c:v>10.288463304131465</c:v>
                </c:pt>
                <c:pt idx="144">
                  <c:v>10.29338650379173</c:v>
                </c:pt>
                <c:pt idx="145">
                  <c:v>10.298065101277267</c:v>
                </c:pt>
                <c:pt idx="146">
                  <c:v>10.303404539415851</c:v>
                </c:pt>
                <c:pt idx="147">
                  <c:v>10.309894943839405</c:v>
                </c:pt>
                <c:pt idx="148">
                  <c:v>10.315364711668556</c:v>
                </c:pt>
                <c:pt idx="149">
                  <c:v>10.321830615156337</c:v>
                </c:pt>
                <c:pt idx="150">
                  <c:v>10.327215547065746</c:v>
                </c:pt>
                <c:pt idx="151">
                  <c:v>10.332572827799764</c:v>
                </c:pt>
                <c:pt idx="152">
                  <c:v>10.337908586664801</c:v>
                </c:pt>
                <c:pt idx="153">
                  <c:v>10.343807692557304</c:v>
                </c:pt>
                <c:pt idx="154">
                  <c:v>10.357036825403437</c:v>
                </c:pt>
                <c:pt idx="155">
                  <c:v>10.36672466256784</c:v>
                </c:pt>
                <c:pt idx="156">
                  <c:v>10.374253271544292</c:v>
                </c:pt>
                <c:pt idx="157">
                  <c:v>10.383521727882972</c:v>
                </c:pt>
                <c:pt idx="158">
                  <c:v>10.392571781295393</c:v>
                </c:pt>
                <c:pt idx="159">
                  <c:v>10.407646862589077</c:v>
                </c:pt>
                <c:pt idx="160">
                  <c:v>10.421199297833958</c:v>
                </c:pt>
                <c:pt idx="161">
                  <c:v>10.436157488273548</c:v>
                </c:pt>
                <c:pt idx="162">
                  <c:v>10.442737778862664</c:v>
                </c:pt>
                <c:pt idx="163">
                  <c:v>10.447497954716187</c:v>
                </c:pt>
                <c:pt idx="164">
                  <c:v>10.452683099915074</c:v>
                </c:pt>
                <c:pt idx="165">
                  <c:v>10.4577788059451</c:v>
                </c:pt>
                <c:pt idx="166">
                  <c:v>10.464475310530434</c:v>
                </c:pt>
                <c:pt idx="167">
                  <c:v>10.471698714820981</c:v>
                </c:pt>
                <c:pt idx="168">
                  <c:v>10.480281058786066</c:v>
                </c:pt>
                <c:pt idx="169">
                  <c:v>10.489863456517611</c:v>
                </c:pt>
                <c:pt idx="170">
                  <c:v>10.497053197840879</c:v>
                </c:pt>
                <c:pt idx="171">
                  <c:v>10.534100845574049</c:v>
                </c:pt>
                <c:pt idx="172">
                  <c:v>10.580494756251545</c:v>
                </c:pt>
                <c:pt idx="173">
                  <c:v>10.628901333703642</c:v>
                </c:pt>
                <c:pt idx="174">
                  <c:v>10.682908921304641</c:v>
                </c:pt>
                <c:pt idx="175">
                  <c:v>10.703210514759228</c:v>
                </c:pt>
                <c:pt idx="176">
                  <c:v>10.716269327200727</c:v>
                </c:pt>
                <c:pt idx="177">
                  <c:v>10.734043843626292</c:v>
                </c:pt>
                <c:pt idx="178">
                  <c:v>10.744373872781575</c:v>
                </c:pt>
                <c:pt idx="179">
                  <c:v>10.753373206879326</c:v>
                </c:pt>
                <c:pt idx="180">
                  <c:v>10.763271036305374</c:v>
                </c:pt>
                <c:pt idx="181">
                  <c:v>10.77101888692002</c:v>
                </c:pt>
                <c:pt idx="182">
                  <c:v>10.781032348188942</c:v>
                </c:pt>
                <c:pt idx="183">
                  <c:v>10.791399044441311</c:v>
                </c:pt>
                <c:pt idx="184">
                  <c:v>10.80177699708436</c:v>
                </c:pt>
                <c:pt idx="185">
                  <c:v>10.809598459932241</c:v>
                </c:pt>
                <c:pt idx="186">
                  <c:v>10.820168211608664</c:v>
                </c:pt>
                <c:pt idx="187">
                  <c:v>10.828795606638936</c:v>
                </c:pt>
                <c:pt idx="188">
                  <c:v>10.838055566753063</c:v>
                </c:pt>
                <c:pt idx="189">
                  <c:v>10.846469189057791</c:v>
                </c:pt>
                <c:pt idx="190">
                  <c:v>10.85429944727257</c:v>
                </c:pt>
                <c:pt idx="191">
                  <c:v>10.862247073507206</c:v>
                </c:pt>
                <c:pt idx="192">
                  <c:v>10.86751795986565</c:v>
                </c:pt>
                <c:pt idx="193">
                  <c:v>10.87518774095494</c:v>
                </c:pt>
                <c:pt idx="194">
                  <c:v>10.88266729187028</c:v>
                </c:pt>
                <c:pt idx="195">
                  <c:v>10.888333922925874</c:v>
                </c:pt>
                <c:pt idx="196">
                  <c:v>10.894535015384422</c:v>
                </c:pt>
                <c:pt idx="197">
                  <c:v>10.899824422498417</c:v>
                </c:pt>
                <c:pt idx="198">
                  <c:v>10.903423474276657</c:v>
                </c:pt>
                <c:pt idx="199">
                  <c:v>10.909368148441796</c:v>
                </c:pt>
                <c:pt idx="200">
                  <c:v>10.915385804252683</c:v>
                </c:pt>
                <c:pt idx="201">
                  <c:v>10.92039653337492</c:v>
                </c:pt>
                <c:pt idx="202">
                  <c:v>10.925744922846619</c:v>
                </c:pt>
                <c:pt idx="203">
                  <c:v>10.931497399953363</c:v>
                </c:pt>
                <c:pt idx="204">
                  <c:v>10.936572508841204</c:v>
                </c:pt>
                <c:pt idx="205">
                  <c:v>10.940170334217134</c:v>
                </c:pt>
                <c:pt idx="206">
                  <c:v>10.949114269275322</c:v>
                </c:pt>
                <c:pt idx="207">
                  <c:v>10.957024653843421</c:v>
                </c:pt>
                <c:pt idx="208">
                  <c:v>10.963782835001508</c:v>
                </c:pt>
                <c:pt idx="209">
                  <c:v>10.970942469329769</c:v>
                </c:pt>
                <c:pt idx="210">
                  <c:v>10.980229981938553</c:v>
                </c:pt>
                <c:pt idx="211">
                  <c:v>10.986946647087262</c:v>
                </c:pt>
                <c:pt idx="212">
                  <c:v>10.992997837143776</c:v>
                </c:pt>
                <c:pt idx="213">
                  <c:v>11.000503095682664</c:v>
                </c:pt>
                <c:pt idx="214">
                  <c:v>11.004258018742163</c:v>
                </c:pt>
                <c:pt idx="215">
                  <c:v>11.007108549041471</c:v>
                </c:pt>
                <c:pt idx="216">
                  <c:v>11.008748373409999</c:v>
                </c:pt>
                <c:pt idx="217">
                  <c:v>11.011278727135373</c:v>
                </c:pt>
                <c:pt idx="218">
                  <c:v>11.013983988320858</c:v>
                </c:pt>
                <c:pt idx="219">
                  <c:v>11.016472468282368</c:v>
                </c:pt>
                <c:pt idx="220">
                  <c:v>11.01916998657302</c:v>
                </c:pt>
                <c:pt idx="221">
                  <c:v>11.024404706910374</c:v>
                </c:pt>
                <c:pt idx="222">
                  <c:v>11.030354643073039</c:v>
                </c:pt>
                <c:pt idx="223">
                  <c:v>11.041669936749727</c:v>
                </c:pt>
                <c:pt idx="224">
                  <c:v>11.048253607486757</c:v>
                </c:pt>
                <c:pt idx="225">
                  <c:v>11.072999283928723</c:v>
                </c:pt>
                <c:pt idx="226">
                  <c:v>11.083206826004602</c:v>
                </c:pt>
                <c:pt idx="227">
                  <c:v>11.090699728280081</c:v>
                </c:pt>
                <c:pt idx="228">
                  <c:v>11.098769395405574</c:v>
                </c:pt>
                <c:pt idx="229">
                  <c:v>11.107238264266584</c:v>
                </c:pt>
                <c:pt idx="230">
                  <c:v>11.112882080175618</c:v>
                </c:pt>
                <c:pt idx="231">
                  <c:v>11.119993242349963</c:v>
                </c:pt>
                <c:pt idx="232">
                  <c:v>11.126784832602647</c:v>
                </c:pt>
                <c:pt idx="233">
                  <c:v>11.133977646975724</c:v>
                </c:pt>
                <c:pt idx="234">
                  <c:v>11.138570055776903</c:v>
                </c:pt>
                <c:pt idx="235">
                  <c:v>11.143051791009819</c:v>
                </c:pt>
                <c:pt idx="236">
                  <c:v>11.149370448886403</c:v>
                </c:pt>
                <c:pt idx="237">
                  <c:v>11.162238405998057</c:v>
                </c:pt>
                <c:pt idx="238">
                  <c:v>11.168220844358434</c:v>
                </c:pt>
                <c:pt idx="239">
                  <c:v>11.179265443082267</c:v>
                </c:pt>
                <c:pt idx="240">
                  <c:v>11.187561497744559</c:v>
                </c:pt>
                <c:pt idx="241">
                  <c:v>11.194064443055124</c:v>
                </c:pt>
                <c:pt idx="242">
                  <c:v>11.20292218449805</c:v>
                </c:pt>
                <c:pt idx="243">
                  <c:v>11.211302950687113</c:v>
                </c:pt>
                <c:pt idx="244">
                  <c:v>11.220355958500029</c:v>
                </c:pt>
                <c:pt idx="245">
                  <c:v>11.226830791563302</c:v>
                </c:pt>
                <c:pt idx="246">
                  <c:v>11.233192174230762</c:v>
                </c:pt>
                <c:pt idx="247">
                  <c:v>11.241666804892665</c:v>
                </c:pt>
                <c:pt idx="248">
                  <c:v>11.25674575521383</c:v>
                </c:pt>
                <c:pt idx="249">
                  <c:v>11.272956481845702</c:v>
                </c:pt>
                <c:pt idx="250">
                  <c:v>11.283948371250464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9A-475A-949F-F2E3AF9290EE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45702</c:v>
                </c:pt>
                <c:pt idx="1">
                  <c:v>45706</c:v>
                </c:pt>
                <c:pt idx="2">
                  <c:v>45707</c:v>
                </c:pt>
                <c:pt idx="3">
                  <c:v>45708</c:v>
                </c:pt>
                <c:pt idx="4">
                  <c:v>45709</c:v>
                </c:pt>
                <c:pt idx="5">
                  <c:v>45712</c:v>
                </c:pt>
                <c:pt idx="6">
                  <c:v>45713</c:v>
                </c:pt>
                <c:pt idx="7">
                  <c:v>45714</c:v>
                </c:pt>
                <c:pt idx="8">
                  <c:v>45715</c:v>
                </c:pt>
                <c:pt idx="9">
                  <c:v>45716</c:v>
                </c:pt>
                <c:pt idx="10">
                  <c:v>45719</c:v>
                </c:pt>
                <c:pt idx="11">
                  <c:v>45720</c:v>
                </c:pt>
                <c:pt idx="12">
                  <c:v>45721</c:v>
                </c:pt>
                <c:pt idx="13">
                  <c:v>45722</c:v>
                </c:pt>
                <c:pt idx="14">
                  <c:v>45723</c:v>
                </c:pt>
                <c:pt idx="15">
                  <c:v>45726</c:v>
                </c:pt>
                <c:pt idx="16">
                  <c:v>45727</c:v>
                </c:pt>
                <c:pt idx="17">
                  <c:v>45728</c:v>
                </c:pt>
                <c:pt idx="18">
                  <c:v>45729</c:v>
                </c:pt>
                <c:pt idx="19">
                  <c:v>45730</c:v>
                </c:pt>
                <c:pt idx="20">
                  <c:v>45733</c:v>
                </c:pt>
                <c:pt idx="21">
                  <c:v>45734</c:v>
                </c:pt>
                <c:pt idx="22">
                  <c:v>45735</c:v>
                </c:pt>
                <c:pt idx="23">
                  <c:v>45736</c:v>
                </c:pt>
                <c:pt idx="24">
                  <c:v>45737</c:v>
                </c:pt>
                <c:pt idx="25">
                  <c:v>45740</c:v>
                </c:pt>
                <c:pt idx="26">
                  <c:v>45741</c:v>
                </c:pt>
                <c:pt idx="27">
                  <c:v>45742</c:v>
                </c:pt>
                <c:pt idx="28">
                  <c:v>45743</c:v>
                </c:pt>
                <c:pt idx="29">
                  <c:v>45744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45754</c:v>
                </c:pt>
                <c:pt idx="36">
                  <c:v>45755</c:v>
                </c:pt>
                <c:pt idx="37">
                  <c:v>45756</c:v>
                </c:pt>
                <c:pt idx="38">
                  <c:v>45757</c:v>
                </c:pt>
                <c:pt idx="39">
                  <c:v>45758</c:v>
                </c:pt>
                <c:pt idx="40">
                  <c:v>45761</c:v>
                </c:pt>
                <c:pt idx="41">
                  <c:v>45762</c:v>
                </c:pt>
                <c:pt idx="42">
                  <c:v>45763</c:v>
                </c:pt>
                <c:pt idx="43">
                  <c:v>45764</c:v>
                </c:pt>
                <c:pt idx="44">
                  <c:v>45768</c:v>
                </c:pt>
                <c:pt idx="45">
                  <c:v>45769</c:v>
                </c:pt>
                <c:pt idx="46">
                  <c:v>45770</c:v>
                </c:pt>
                <c:pt idx="47">
                  <c:v>45771</c:v>
                </c:pt>
                <c:pt idx="48">
                  <c:v>45772</c:v>
                </c:pt>
                <c:pt idx="49">
                  <c:v>45775</c:v>
                </c:pt>
                <c:pt idx="50">
                  <c:v>45776</c:v>
                </c:pt>
                <c:pt idx="51">
                  <c:v>45777</c:v>
                </c:pt>
                <c:pt idx="52">
                  <c:v>45778</c:v>
                </c:pt>
                <c:pt idx="53">
                  <c:v>45779</c:v>
                </c:pt>
                <c:pt idx="54">
                  <c:v>45782</c:v>
                </c:pt>
                <c:pt idx="55">
                  <c:v>45783</c:v>
                </c:pt>
                <c:pt idx="56">
                  <c:v>45784</c:v>
                </c:pt>
                <c:pt idx="57">
                  <c:v>45785</c:v>
                </c:pt>
                <c:pt idx="58">
                  <c:v>45786</c:v>
                </c:pt>
                <c:pt idx="59">
                  <c:v>45789</c:v>
                </c:pt>
                <c:pt idx="60">
                  <c:v>45790</c:v>
                </c:pt>
                <c:pt idx="61">
                  <c:v>45791</c:v>
                </c:pt>
                <c:pt idx="62">
                  <c:v>45792</c:v>
                </c:pt>
                <c:pt idx="63">
                  <c:v>45793</c:v>
                </c:pt>
                <c:pt idx="64">
                  <c:v>45796</c:v>
                </c:pt>
                <c:pt idx="65">
                  <c:v>45797</c:v>
                </c:pt>
                <c:pt idx="66">
                  <c:v>45798</c:v>
                </c:pt>
                <c:pt idx="67">
                  <c:v>45799</c:v>
                </c:pt>
                <c:pt idx="68">
                  <c:v>45800</c:v>
                </c:pt>
                <c:pt idx="69">
                  <c:v>45804</c:v>
                </c:pt>
                <c:pt idx="70">
                  <c:v>45805</c:v>
                </c:pt>
                <c:pt idx="71">
                  <c:v>45806</c:v>
                </c:pt>
                <c:pt idx="72">
                  <c:v>45807</c:v>
                </c:pt>
                <c:pt idx="73">
                  <c:v>45810</c:v>
                </c:pt>
                <c:pt idx="74">
                  <c:v>45811</c:v>
                </c:pt>
                <c:pt idx="75">
                  <c:v>45812</c:v>
                </c:pt>
                <c:pt idx="76">
                  <c:v>45813</c:v>
                </c:pt>
                <c:pt idx="77">
                  <c:v>45814</c:v>
                </c:pt>
                <c:pt idx="78">
                  <c:v>45817</c:v>
                </c:pt>
                <c:pt idx="79">
                  <c:v>45818</c:v>
                </c:pt>
                <c:pt idx="80">
                  <c:v>45819</c:v>
                </c:pt>
                <c:pt idx="81">
                  <c:v>45820</c:v>
                </c:pt>
                <c:pt idx="82">
                  <c:v>45821</c:v>
                </c:pt>
                <c:pt idx="83">
                  <c:v>45824</c:v>
                </c:pt>
                <c:pt idx="84">
                  <c:v>45825</c:v>
                </c:pt>
                <c:pt idx="85">
                  <c:v>45826</c:v>
                </c:pt>
                <c:pt idx="86">
                  <c:v>45828</c:v>
                </c:pt>
                <c:pt idx="87">
                  <c:v>45831</c:v>
                </c:pt>
                <c:pt idx="88">
                  <c:v>45832</c:v>
                </c:pt>
                <c:pt idx="89">
                  <c:v>45833</c:v>
                </c:pt>
                <c:pt idx="90">
                  <c:v>45834</c:v>
                </c:pt>
                <c:pt idx="91">
                  <c:v>45835</c:v>
                </c:pt>
                <c:pt idx="92">
                  <c:v>45838</c:v>
                </c:pt>
                <c:pt idx="93">
                  <c:v>45839</c:v>
                </c:pt>
                <c:pt idx="94">
                  <c:v>45840</c:v>
                </c:pt>
                <c:pt idx="95">
                  <c:v>45841</c:v>
                </c:pt>
                <c:pt idx="96">
                  <c:v>45845</c:v>
                </c:pt>
                <c:pt idx="97">
                  <c:v>45846</c:v>
                </c:pt>
                <c:pt idx="98">
                  <c:v>45847</c:v>
                </c:pt>
                <c:pt idx="99">
                  <c:v>45848</c:v>
                </c:pt>
                <c:pt idx="100">
                  <c:v>45849</c:v>
                </c:pt>
                <c:pt idx="101">
                  <c:v>45852</c:v>
                </c:pt>
                <c:pt idx="102">
                  <c:v>45853</c:v>
                </c:pt>
                <c:pt idx="103">
                  <c:v>45854</c:v>
                </c:pt>
                <c:pt idx="104">
                  <c:v>45855</c:v>
                </c:pt>
                <c:pt idx="105">
                  <c:v>45856</c:v>
                </c:pt>
                <c:pt idx="106">
                  <c:v>45859</c:v>
                </c:pt>
                <c:pt idx="107">
                  <c:v>45860</c:v>
                </c:pt>
                <c:pt idx="108">
                  <c:v>45861</c:v>
                </c:pt>
                <c:pt idx="109">
                  <c:v>45862</c:v>
                </c:pt>
                <c:pt idx="110">
                  <c:v>45863</c:v>
                </c:pt>
                <c:pt idx="111">
                  <c:v>45866</c:v>
                </c:pt>
                <c:pt idx="112">
                  <c:v>45867</c:v>
                </c:pt>
                <c:pt idx="113">
                  <c:v>45868</c:v>
                </c:pt>
                <c:pt idx="114">
                  <c:v>45869</c:v>
                </c:pt>
                <c:pt idx="115">
                  <c:v>45870</c:v>
                </c:pt>
                <c:pt idx="116">
                  <c:v>45873</c:v>
                </c:pt>
                <c:pt idx="117">
                  <c:v>45874</c:v>
                </c:pt>
                <c:pt idx="118">
                  <c:v>45875</c:v>
                </c:pt>
                <c:pt idx="119">
                  <c:v>45876</c:v>
                </c:pt>
                <c:pt idx="120">
                  <c:v>45877</c:v>
                </c:pt>
                <c:pt idx="121">
                  <c:v>45880</c:v>
                </c:pt>
                <c:pt idx="122">
                  <c:v>45881</c:v>
                </c:pt>
                <c:pt idx="123">
                  <c:v>45882</c:v>
                </c:pt>
                <c:pt idx="124">
                  <c:v>45883</c:v>
                </c:pt>
                <c:pt idx="125">
                  <c:v>45884</c:v>
                </c:pt>
                <c:pt idx="126">
                  <c:v>45887</c:v>
                </c:pt>
                <c:pt idx="127">
                  <c:v>45888</c:v>
                </c:pt>
                <c:pt idx="128">
                  <c:v>45889</c:v>
                </c:pt>
                <c:pt idx="129">
                  <c:v>45890</c:v>
                </c:pt>
                <c:pt idx="130">
                  <c:v>45891</c:v>
                </c:pt>
                <c:pt idx="131">
                  <c:v>45894</c:v>
                </c:pt>
                <c:pt idx="132">
                  <c:v>45895</c:v>
                </c:pt>
                <c:pt idx="133">
                  <c:v>45896</c:v>
                </c:pt>
                <c:pt idx="134">
                  <c:v>45897</c:v>
                </c:pt>
                <c:pt idx="135">
                  <c:v>45898</c:v>
                </c:pt>
                <c:pt idx="136">
                  <c:v>45902</c:v>
                </c:pt>
                <c:pt idx="137">
                  <c:v>45903</c:v>
                </c:pt>
                <c:pt idx="138">
                  <c:v>45904</c:v>
                </c:pt>
                <c:pt idx="139">
                  <c:v>45905</c:v>
                </c:pt>
                <c:pt idx="140">
                  <c:v>45908</c:v>
                </c:pt>
                <c:pt idx="141">
                  <c:v>45909</c:v>
                </c:pt>
                <c:pt idx="142">
                  <c:v>45910</c:v>
                </c:pt>
                <c:pt idx="143">
                  <c:v>45911</c:v>
                </c:pt>
                <c:pt idx="144">
                  <c:v>45912</c:v>
                </c:pt>
                <c:pt idx="145">
                  <c:v>45915</c:v>
                </c:pt>
                <c:pt idx="146">
                  <c:v>45916</c:v>
                </c:pt>
                <c:pt idx="147">
                  <c:v>45917</c:v>
                </c:pt>
                <c:pt idx="148">
                  <c:v>45918</c:v>
                </c:pt>
                <c:pt idx="149">
                  <c:v>45919</c:v>
                </c:pt>
                <c:pt idx="150">
                  <c:v>45922</c:v>
                </c:pt>
                <c:pt idx="151">
                  <c:v>45923</c:v>
                </c:pt>
                <c:pt idx="152">
                  <c:v>45924</c:v>
                </c:pt>
                <c:pt idx="153">
                  <c:v>45925</c:v>
                </c:pt>
                <c:pt idx="154">
                  <c:v>45926</c:v>
                </c:pt>
                <c:pt idx="155">
                  <c:v>45929</c:v>
                </c:pt>
                <c:pt idx="156">
                  <c:v>45930</c:v>
                </c:pt>
                <c:pt idx="157">
                  <c:v>45931</c:v>
                </c:pt>
                <c:pt idx="158">
                  <c:v>45932</c:v>
                </c:pt>
                <c:pt idx="159">
                  <c:v>45933</c:v>
                </c:pt>
                <c:pt idx="160">
                  <c:v>45936</c:v>
                </c:pt>
                <c:pt idx="161">
                  <c:v>45937</c:v>
                </c:pt>
                <c:pt idx="162">
                  <c:v>45938</c:v>
                </c:pt>
                <c:pt idx="163">
                  <c:v>45939</c:v>
                </c:pt>
                <c:pt idx="164">
                  <c:v>45940</c:v>
                </c:pt>
                <c:pt idx="165">
                  <c:v>45943</c:v>
                </c:pt>
                <c:pt idx="166">
                  <c:v>45944</c:v>
                </c:pt>
                <c:pt idx="167">
                  <c:v>45945</c:v>
                </c:pt>
                <c:pt idx="168">
                  <c:v>45946</c:v>
                </c:pt>
                <c:pt idx="169">
                  <c:v>45947</c:v>
                </c:pt>
                <c:pt idx="170">
                  <c:v>45950</c:v>
                </c:pt>
                <c:pt idx="171">
                  <c:v>45951</c:v>
                </c:pt>
                <c:pt idx="172">
                  <c:v>45952</c:v>
                </c:pt>
                <c:pt idx="173">
                  <c:v>45953</c:v>
                </c:pt>
                <c:pt idx="174">
                  <c:v>45954</c:v>
                </c:pt>
                <c:pt idx="175">
                  <c:v>45957</c:v>
                </c:pt>
                <c:pt idx="176">
                  <c:v>45958</c:v>
                </c:pt>
                <c:pt idx="177">
                  <c:v>45959</c:v>
                </c:pt>
                <c:pt idx="178">
                  <c:v>45960</c:v>
                </c:pt>
                <c:pt idx="179">
                  <c:v>45961</c:v>
                </c:pt>
                <c:pt idx="180">
                  <c:v>45964</c:v>
                </c:pt>
                <c:pt idx="181">
                  <c:v>45965</c:v>
                </c:pt>
                <c:pt idx="182">
                  <c:v>45966</c:v>
                </c:pt>
                <c:pt idx="183">
                  <c:v>45967</c:v>
                </c:pt>
                <c:pt idx="184">
                  <c:v>45968</c:v>
                </c:pt>
                <c:pt idx="185">
                  <c:v>45971</c:v>
                </c:pt>
                <c:pt idx="186">
                  <c:v>45972</c:v>
                </c:pt>
                <c:pt idx="187">
                  <c:v>45973</c:v>
                </c:pt>
                <c:pt idx="188">
                  <c:v>45974</c:v>
                </c:pt>
                <c:pt idx="189">
                  <c:v>45975</c:v>
                </c:pt>
                <c:pt idx="190">
                  <c:v>45978</c:v>
                </c:pt>
                <c:pt idx="191">
                  <c:v>45979</c:v>
                </c:pt>
                <c:pt idx="192">
                  <c:v>45980</c:v>
                </c:pt>
                <c:pt idx="193">
                  <c:v>45981</c:v>
                </c:pt>
                <c:pt idx="194">
                  <c:v>45982</c:v>
                </c:pt>
                <c:pt idx="195">
                  <c:v>45985</c:v>
                </c:pt>
                <c:pt idx="196">
                  <c:v>45986</c:v>
                </c:pt>
                <c:pt idx="197">
                  <c:v>45987</c:v>
                </c:pt>
                <c:pt idx="198">
                  <c:v>45989</c:v>
                </c:pt>
                <c:pt idx="199">
                  <c:v>45992</c:v>
                </c:pt>
                <c:pt idx="200">
                  <c:v>45993</c:v>
                </c:pt>
                <c:pt idx="201">
                  <c:v>45994</c:v>
                </c:pt>
                <c:pt idx="202">
                  <c:v>45995</c:v>
                </c:pt>
                <c:pt idx="203">
                  <c:v>45996</c:v>
                </c:pt>
                <c:pt idx="204">
                  <c:v>45999</c:v>
                </c:pt>
                <c:pt idx="205">
                  <c:v>46000</c:v>
                </c:pt>
                <c:pt idx="206">
                  <c:v>46001</c:v>
                </c:pt>
                <c:pt idx="207">
                  <c:v>46002</c:v>
                </c:pt>
                <c:pt idx="208">
                  <c:v>46003</c:v>
                </c:pt>
                <c:pt idx="209">
                  <c:v>46006</c:v>
                </c:pt>
                <c:pt idx="210">
                  <c:v>46007</c:v>
                </c:pt>
                <c:pt idx="211">
                  <c:v>46008</c:v>
                </c:pt>
                <c:pt idx="212">
                  <c:v>46009</c:v>
                </c:pt>
                <c:pt idx="213">
                  <c:v>46010</c:v>
                </c:pt>
                <c:pt idx="214">
                  <c:v>46013</c:v>
                </c:pt>
                <c:pt idx="215">
                  <c:v>46014</c:v>
                </c:pt>
                <c:pt idx="216">
                  <c:v>46015</c:v>
                </c:pt>
                <c:pt idx="217">
                  <c:v>46017</c:v>
                </c:pt>
                <c:pt idx="218">
                  <c:v>46020</c:v>
                </c:pt>
                <c:pt idx="219">
                  <c:v>46021</c:v>
                </c:pt>
                <c:pt idx="220">
                  <c:v>46022</c:v>
                </c:pt>
                <c:pt idx="221">
                  <c:v>46024</c:v>
                </c:pt>
                <c:pt idx="222">
                  <c:v>46027</c:v>
                </c:pt>
                <c:pt idx="223">
                  <c:v>46028</c:v>
                </c:pt>
                <c:pt idx="224">
                  <c:v>46029</c:v>
                </c:pt>
                <c:pt idx="225">
                  <c:v>46030</c:v>
                </c:pt>
                <c:pt idx="226">
                  <c:v>46031</c:v>
                </c:pt>
                <c:pt idx="227">
                  <c:v>46034</c:v>
                </c:pt>
                <c:pt idx="228">
                  <c:v>46035</c:v>
                </c:pt>
                <c:pt idx="229">
                  <c:v>46036</c:v>
                </c:pt>
                <c:pt idx="230">
                  <c:v>46037</c:v>
                </c:pt>
                <c:pt idx="231">
                  <c:v>46038</c:v>
                </c:pt>
                <c:pt idx="232">
                  <c:v>46042</c:v>
                </c:pt>
                <c:pt idx="233">
                  <c:v>46043</c:v>
                </c:pt>
                <c:pt idx="234">
                  <c:v>46044</c:v>
                </c:pt>
                <c:pt idx="235">
                  <c:v>46045</c:v>
                </c:pt>
                <c:pt idx="236">
                  <c:v>46048</c:v>
                </c:pt>
                <c:pt idx="237">
                  <c:v>46049</c:v>
                </c:pt>
                <c:pt idx="238">
                  <c:v>46050</c:v>
                </c:pt>
                <c:pt idx="239">
                  <c:v>46051</c:v>
                </c:pt>
                <c:pt idx="240">
                  <c:v>46052</c:v>
                </c:pt>
                <c:pt idx="241">
                  <c:v>46055</c:v>
                </c:pt>
                <c:pt idx="242">
                  <c:v>46056</c:v>
                </c:pt>
                <c:pt idx="243">
                  <c:v>46057</c:v>
                </c:pt>
                <c:pt idx="244">
                  <c:v>46058</c:v>
                </c:pt>
                <c:pt idx="245">
                  <c:v>46059</c:v>
                </c:pt>
                <c:pt idx="246">
                  <c:v>46062</c:v>
                </c:pt>
                <c:pt idx="247">
                  <c:v>46063</c:v>
                </c:pt>
                <c:pt idx="248">
                  <c:v>46064</c:v>
                </c:pt>
                <c:pt idx="249">
                  <c:v>46065</c:v>
                </c:pt>
                <c:pt idx="250">
                  <c:v>46066</c:v>
                </c:pt>
              </c:numCache>
            </c:numRef>
          </c:cat>
          <c:val>
            <c:numRef>
              <c:f>Data!$H$2:$H$252</c:f>
              <c:numCache>
                <c:formatCode>General</c:formatCode>
                <c:ptCount val="251"/>
                <c:pt idx="0">
                  <c:v>9.33</c:v>
                </c:pt>
                <c:pt idx="1">
                  <c:v>9.3287103107865228</c:v>
                </c:pt>
                <c:pt idx="2">
                  <c:v>9.3397162941843561</c:v>
                </c:pt>
                <c:pt idx="3">
                  <c:v>9.367564188219319</c:v>
                </c:pt>
                <c:pt idx="4">
                  <c:v>9.359793805096114</c:v>
                </c:pt>
                <c:pt idx="5">
                  <c:v>9.3638053960670575</c:v>
                </c:pt>
                <c:pt idx="6">
                  <c:v>9.3927538062158611</c:v>
                </c:pt>
                <c:pt idx="7">
                  <c:v>9.4278984130546437</c:v>
                </c:pt>
                <c:pt idx="8">
                  <c:v>9.4190655972108193</c:v>
                </c:pt>
                <c:pt idx="9">
                  <c:v>9.4778120658360674</c:v>
                </c:pt>
                <c:pt idx="10">
                  <c:v>9.4733062154175602</c:v>
                </c:pt>
                <c:pt idx="11">
                  <c:v>9.4532379183569724</c:v>
                </c:pt>
                <c:pt idx="12">
                  <c:v>9.5164609505492166</c:v>
                </c:pt>
                <c:pt idx="13">
                  <c:v>9.5485310050285648</c:v>
                </c:pt>
                <c:pt idx="14">
                  <c:v>9.6443079657859965</c:v>
                </c:pt>
                <c:pt idx="15">
                  <c:v>9.7310214111745772</c:v>
                </c:pt>
                <c:pt idx="16">
                  <c:v>9.7513922869984171</c:v>
                </c:pt>
                <c:pt idx="17">
                  <c:v>9.7506938127556815</c:v>
                </c:pt>
                <c:pt idx="18">
                  <c:v>9.7449140549113231</c:v>
                </c:pt>
                <c:pt idx="19">
                  <c:v>9.7546394139443908</c:v>
                </c:pt>
                <c:pt idx="20">
                  <c:v>9.7845719390402817</c:v>
                </c:pt>
                <c:pt idx="21">
                  <c:v>9.8138880695621271</c:v>
                </c:pt>
                <c:pt idx="22">
                  <c:v>9.8713361900669288</c:v>
                </c:pt>
                <c:pt idx="23">
                  <c:v>9.8972745472522696</c:v>
                </c:pt>
                <c:pt idx="24">
                  <c:v>9.9353238937674924</c:v>
                </c:pt>
                <c:pt idx="25">
                  <c:v>9.9773800758800348</c:v>
                </c:pt>
                <c:pt idx="26">
                  <c:v>10.013935216448493</c:v>
                </c:pt>
                <c:pt idx="27">
                  <c:v>10.057013751595751</c:v>
                </c:pt>
                <c:pt idx="28">
                  <c:v>10.065858928304737</c:v>
                </c:pt>
                <c:pt idx="29">
                  <c:v>10.059948010400884</c:v>
                </c:pt>
                <c:pt idx="30">
                  <c:v>10.071677990280897</c:v>
                </c:pt>
                <c:pt idx="31">
                  <c:v>10.076317099765776</c:v>
                </c:pt>
                <c:pt idx="32">
                  <c:v>10.094149788350384</c:v>
                </c:pt>
                <c:pt idx="33">
                  <c:v>10.079013044918771</c:v>
                </c:pt>
                <c:pt idx="34">
                  <c:v>10.06815126890106</c:v>
                </c:pt>
                <c:pt idx="35">
                  <c:v>10.043006440673738</c:v>
                </c:pt>
                <c:pt idx="36">
                  <c:v>10.034922425181676</c:v>
                </c:pt>
                <c:pt idx="37">
                  <c:v>10.024340654938351</c:v>
                </c:pt>
                <c:pt idx="38">
                  <c:v>10.012701899781939</c:v>
                </c:pt>
                <c:pt idx="39">
                  <c:v>10.002863223426923</c:v>
                </c:pt>
                <c:pt idx="40">
                  <c:v>10.000983238347077</c:v>
                </c:pt>
                <c:pt idx="41">
                  <c:v>9.9936448403954525</c:v>
                </c:pt>
                <c:pt idx="42">
                  <c:v>9.9858218948529593</c:v>
                </c:pt>
                <c:pt idx="43">
                  <c:v>9.9817357999820242</c:v>
                </c:pt>
                <c:pt idx="44">
                  <c:v>9.9761157383492574</c:v>
                </c:pt>
                <c:pt idx="45">
                  <c:v>9.9727484759623142</c:v>
                </c:pt>
                <c:pt idx="46">
                  <c:v>9.9735575593363155</c:v>
                </c:pt>
                <c:pt idx="47">
                  <c:v>9.9813237523544043</c:v>
                </c:pt>
                <c:pt idx="48">
                  <c:v>9.9879792495623043</c:v>
                </c:pt>
                <c:pt idx="49">
                  <c:v>9.9928959271127678</c:v>
                </c:pt>
                <c:pt idx="50">
                  <c:v>10.00692089519462</c:v>
                </c:pt>
                <c:pt idx="51">
                  <c:v>10.013776451373301</c:v>
                </c:pt>
                <c:pt idx="52">
                  <c:v>10.026666784577031</c:v>
                </c:pt>
                <c:pt idx="53">
                  <c:v>10.039685798205486</c:v>
                </c:pt>
                <c:pt idx="54">
                  <c:v>10.049321309045935</c:v>
                </c:pt>
                <c:pt idx="55">
                  <c:v>10.072827588252443</c:v>
                </c:pt>
                <c:pt idx="56">
                  <c:v>10.086112550560786</c:v>
                </c:pt>
                <c:pt idx="57">
                  <c:v>10.097955453593254</c:v>
                </c:pt>
                <c:pt idx="58">
                  <c:v>10.112512286929341</c:v>
                </c:pt>
                <c:pt idx="59">
                  <c:v>10.133829898605693</c:v>
                </c:pt>
                <c:pt idx="60">
                  <c:v>10.154117717653076</c:v>
                </c:pt>
                <c:pt idx="61">
                  <c:v>10.175379999772678</c:v>
                </c:pt>
                <c:pt idx="62">
                  <c:v>10.198055145998278</c:v>
                </c:pt>
                <c:pt idx="63">
                  <c:v>10.220566292246021</c:v>
                </c:pt>
                <c:pt idx="64">
                  <c:v>10.239035683470355</c:v>
                </c:pt>
                <c:pt idx="65">
                  <c:v>10.255391964578592</c:v>
                </c:pt>
                <c:pt idx="66">
                  <c:v>10.265730633286022</c:v>
                </c:pt>
                <c:pt idx="67">
                  <c:v>10.274835437777952</c:v>
                </c:pt>
                <c:pt idx="68">
                  <c:v>10.280488167299431</c:v>
                </c:pt>
                <c:pt idx="69">
                  <c:v>10.285255669141453</c:v>
                </c:pt>
                <c:pt idx="70">
                  <c:v>10.287433993731584</c:v>
                </c:pt>
                <c:pt idx="71">
                  <c:v>10.290545189600468</c:v>
                </c:pt>
                <c:pt idx="72">
                  <c:v>10.300446116984331</c:v>
                </c:pt>
                <c:pt idx="73">
                  <c:v>10.30016262875384</c:v>
                </c:pt>
                <c:pt idx="74">
                  <c:v>10.303016421303891</c:v>
                </c:pt>
                <c:pt idx="75">
                  <c:v>10.306927085960293</c:v>
                </c:pt>
                <c:pt idx="76">
                  <c:v>10.30807417854516</c:v>
                </c:pt>
                <c:pt idx="77">
                  <c:v>10.311448429077474</c:v>
                </c:pt>
                <c:pt idx="78">
                  <c:v>10.314319157825476</c:v>
                </c:pt>
                <c:pt idx="79">
                  <c:v>10.324553198017776</c:v>
                </c:pt>
                <c:pt idx="80">
                  <c:v>10.33647244610834</c:v>
                </c:pt>
                <c:pt idx="81">
                  <c:v>10.343379047418171</c:v>
                </c:pt>
                <c:pt idx="82">
                  <c:v>10.348660222298818</c:v>
                </c:pt>
                <c:pt idx="83">
                  <c:v>10.357155347184696</c:v>
                </c:pt>
                <c:pt idx="84">
                  <c:v>10.362410794668344</c:v>
                </c:pt>
                <c:pt idx="85">
                  <c:v>10.366762146332299</c:v>
                </c:pt>
                <c:pt idx="86">
                  <c:v>10.376646846751628</c:v>
                </c:pt>
                <c:pt idx="87">
                  <c:v>10.387476013745395</c:v>
                </c:pt>
                <c:pt idx="88">
                  <c:v>10.397386362240775</c:v>
                </c:pt>
                <c:pt idx="89">
                  <c:v>10.402384651978192</c:v>
                </c:pt>
                <c:pt idx="90">
                  <c:v>10.410199612551555</c:v>
                </c:pt>
                <c:pt idx="91">
                  <c:v>10.429345024176301</c:v>
                </c:pt>
                <c:pt idx="92">
                  <c:v>10.441774179177346</c:v>
                </c:pt>
                <c:pt idx="93">
                  <c:v>10.475617726998998</c:v>
                </c:pt>
                <c:pt idx="94">
                  <c:v>10.522873964609197</c:v>
                </c:pt>
                <c:pt idx="95">
                  <c:v>10.558996935455367</c:v>
                </c:pt>
                <c:pt idx="96">
                  <c:v>10.587214334161006</c:v>
                </c:pt>
                <c:pt idx="97">
                  <c:v>10.617011835509398</c:v>
                </c:pt>
                <c:pt idx="98">
                  <c:v>10.64867174292897</c:v>
                </c:pt>
                <c:pt idx="99">
                  <c:v>10.681780433213184</c:v>
                </c:pt>
                <c:pt idx="100">
                  <c:v>10.708802764189471</c:v>
                </c:pt>
                <c:pt idx="101">
                  <c:v>10.737032646768792</c:v>
                </c:pt>
                <c:pt idx="102">
                  <c:v>10.755964617080579</c:v>
                </c:pt>
                <c:pt idx="103">
                  <c:v>10.771080085439543</c:v>
                </c:pt>
                <c:pt idx="104">
                  <c:v>10.78034552657099</c:v>
                </c:pt>
                <c:pt idx="105">
                  <c:v>10.789403048999342</c:v>
                </c:pt>
                <c:pt idx="106">
                  <c:v>10.800761214041874</c:v>
                </c:pt>
                <c:pt idx="107">
                  <c:v>10.810781646992481</c:v>
                </c:pt>
                <c:pt idx="108">
                  <c:v>10.824000352677665</c:v>
                </c:pt>
                <c:pt idx="109">
                  <c:v>10.833285708356959</c:v>
                </c:pt>
                <c:pt idx="110">
                  <c:v>10.845076999431399</c:v>
                </c:pt>
                <c:pt idx="111">
                  <c:v>10.853288567051081</c:v>
                </c:pt>
                <c:pt idx="112">
                  <c:v>10.858525443238202</c:v>
                </c:pt>
                <c:pt idx="113">
                  <c:v>10.862159322489969</c:v>
                </c:pt>
                <c:pt idx="114">
                  <c:v>10.870184681820506</c:v>
                </c:pt>
                <c:pt idx="115">
                  <c:v>10.87263541636872</c:v>
                </c:pt>
                <c:pt idx="116">
                  <c:v>10.875632852203745</c:v>
                </c:pt>
                <c:pt idx="117">
                  <c:v>10.880109422250641</c:v>
                </c:pt>
                <c:pt idx="118">
                  <c:v>10.886659748786206</c:v>
                </c:pt>
                <c:pt idx="119">
                  <c:v>10.895177790921075</c:v>
                </c:pt>
                <c:pt idx="120">
                  <c:v>10.902095124577068</c:v>
                </c:pt>
                <c:pt idx="121">
                  <c:v>10.909016544630601</c:v>
                </c:pt>
                <c:pt idx="122">
                  <c:v>10.915885789169295</c:v>
                </c:pt>
                <c:pt idx="123">
                  <c:v>10.925578381142047</c:v>
                </c:pt>
                <c:pt idx="124">
                  <c:v>10.933965668157359</c:v>
                </c:pt>
                <c:pt idx="125">
                  <c:v>10.941552818268139</c:v>
                </c:pt>
                <c:pt idx="126">
                  <c:v>10.948391917704532</c:v>
                </c:pt>
                <c:pt idx="127">
                  <c:v>10.958949649637868</c:v>
                </c:pt>
                <c:pt idx="128">
                  <c:v>10.96670154456735</c:v>
                </c:pt>
                <c:pt idx="129">
                  <c:v>10.972511450933805</c:v>
                </c:pt>
                <c:pt idx="130">
                  <c:v>10.985159242911955</c:v>
                </c:pt>
                <c:pt idx="131">
                  <c:v>10.997313485466149</c:v>
                </c:pt>
                <c:pt idx="132">
                  <c:v>11.009885872666738</c:v>
                </c:pt>
                <c:pt idx="133">
                  <c:v>11.022313715262744</c:v>
                </c:pt>
                <c:pt idx="134">
                  <c:v>11.032031750648407</c:v>
                </c:pt>
                <c:pt idx="135">
                  <c:v>11.042027474075708</c:v>
                </c:pt>
                <c:pt idx="136">
                  <c:v>11.052476167585278</c:v>
                </c:pt>
                <c:pt idx="137">
                  <c:v>11.060215309305422</c:v>
                </c:pt>
                <c:pt idx="138">
                  <c:v>11.067126238849447</c:v>
                </c:pt>
                <c:pt idx="139">
                  <c:v>11.076175108928942</c:v>
                </c:pt>
                <c:pt idx="140">
                  <c:v>11.083527107358302</c:v>
                </c:pt>
                <c:pt idx="141">
                  <c:v>11.088413115446231</c:v>
                </c:pt>
                <c:pt idx="142">
                  <c:v>11.092899203489955</c:v>
                </c:pt>
                <c:pt idx="143">
                  <c:v>11.103306175071003</c:v>
                </c:pt>
                <c:pt idx="144">
                  <c:v>11.110959577756557</c:v>
                </c:pt>
                <c:pt idx="145">
                  <c:v>11.118247138291762</c:v>
                </c:pt>
                <c:pt idx="146">
                  <c:v>11.125447843989791</c:v>
                </c:pt>
                <c:pt idx="147">
                  <c:v>11.134148116998224</c:v>
                </c:pt>
                <c:pt idx="148">
                  <c:v>11.142460338699266</c:v>
                </c:pt>
                <c:pt idx="149">
                  <c:v>11.150583490800752</c:v>
                </c:pt>
                <c:pt idx="150">
                  <c:v>11.157879506751275</c:v>
                </c:pt>
                <c:pt idx="151">
                  <c:v>11.165668203566941</c:v>
                </c:pt>
                <c:pt idx="152">
                  <c:v>11.172483440387786</c:v>
                </c:pt>
                <c:pt idx="153">
                  <c:v>11.179706957143861</c:v>
                </c:pt>
                <c:pt idx="154">
                  <c:v>11.197795696726622</c:v>
                </c:pt>
                <c:pt idx="155">
                  <c:v>11.213023161761248</c:v>
                </c:pt>
                <c:pt idx="156">
                  <c:v>11.224527212981902</c:v>
                </c:pt>
                <c:pt idx="157">
                  <c:v>11.240998080093471</c:v>
                </c:pt>
                <c:pt idx="158">
                  <c:v>11.256399483512631</c:v>
                </c:pt>
                <c:pt idx="159">
                  <c:v>11.283330860869137</c:v>
                </c:pt>
                <c:pt idx="160">
                  <c:v>11.308682500021666</c:v>
                </c:pt>
                <c:pt idx="161">
                  <c:v>11.326233943343297</c:v>
                </c:pt>
                <c:pt idx="162">
                  <c:v>11.333894693140662</c:v>
                </c:pt>
                <c:pt idx="163">
                  <c:v>11.338159940991206</c:v>
                </c:pt>
                <c:pt idx="164">
                  <c:v>11.342367011139528</c:v>
                </c:pt>
                <c:pt idx="165">
                  <c:v>11.347152534623907</c:v>
                </c:pt>
                <c:pt idx="166">
                  <c:v>11.354168775906469</c:v>
                </c:pt>
                <c:pt idx="167">
                  <c:v>11.362398964754945</c:v>
                </c:pt>
                <c:pt idx="168">
                  <c:v>11.371795958587548</c:v>
                </c:pt>
                <c:pt idx="169">
                  <c:v>11.383446355819</c:v>
                </c:pt>
                <c:pt idx="170">
                  <c:v>11.393176993865961</c:v>
                </c:pt>
                <c:pt idx="171">
                  <c:v>11.438286742549824</c:v>
                </c:pt>
                <c:pt idx="172">
                  <c:v>11.491027023659083</c:v>
                </c:pt>
                <c:pt idx="173">
                  <c:v>11.544649673838656</c:v>
                </c:pt>
                <c:pt idx="174">
                  <c:v>11.624946130154239</c:v>
                </c:pt>
                <c:pt idx="175">
                  <c:v>11.660808136109825</c:v>
                </c:pt>
                <c:pt idx="176">
                  <c:v>11.687006292764542</c:v>
                </c:pt>
                <c:pt idx="177">
                  <c:v>11.718908082234247</c:v>
                </c:pt>
                <c:pt idx="178">
                  <c:v>11.740497707790279</c:v>
                </c:pt>
                <c:pt idx="179">
                  <c:v>11.761221867561824</c:v>
                </c:pt>
                <c:pt idx="180">
                  <c:v>11.780989591535661</c:v>
                </c:pt>
                <c:pt idx="181">
                  <c:v>11.795883080726639</c:v>
                </c:pt>
                <c:pt idx="182">
                  <c:v>11.816302139530389</c:v>
                </c:pt>
                <c:pt idx="183">
                  <c:v>11.836834183040073</c:v>
                </c:pt>
                <c:pt idx="184">
                  <c:v>11.858072722880888</c:v>
                </c:pt>
                <c:pt idx="185">
                  <c:v>11.87581501889529</c:v>
                </c:pt>
                <c:pt idx="186">
                  <c:v>11.897571597263505</c:v>
                </c:pt>
                <c:pt idx="187">
                  <c:v>11.918785218518947</c:v>
                </c:pt>
                <c:pt idx="188">
                  <c:v>11.938233868597077</c:v>
                </c:pt>
                <c:pt idx="189">
                  <c:v>11.955536383393291</c:v>
                </c:pt>
                <c:pt idx="190">
                  <c:v>11.96898888640291</c:v>
                </c:pt>
                <c:pt idx="191">
                  <c:v>11.983657926840991</c:v>
                </c:pt>
                <c:pt idx="192">
                  <c:v>11.994363966053854</c:v>
                </c:pt>
                <c:pt idx="193">
                  <c:v>12.003630527516247</c:v>
                </c:pt>
                <c:pt idx="194">
                  <c:v>12.015690249718517</c:v>
                </c:pt>
                <c:pt idx="195">
                  <c:v>12.026884055833371</c:v>
                </c:pt>
                <c:pt idx="196">
                  <c:v>12.040330907298401</c:v>
                </c:pt>
                <c:pt idx="197">
                  <c:v>12.052833692626935</c:v>
                </c:pt>
                <c:pt idx="198">
                  <c:v>12.064276089152791</c:v>
                </c:pt>
                <c:pt idx="199">
                  <c:v>12.076725393461487</c:v>
                </c:pt>
                <c:pt idx="200">
                  <c:v>12.087377990240999</c:v>
                </c:pt>
                <c:pt idx="201">
                  <c:v>12.09794277678826</c:v>
                </c:pt>
                <c:pt idx="202">
                  <c:v>12.109101515490456</c:v>
                </c:pt>
                <c:pt idx="203">
                  <c:v>12.119600174992653</c:v>
                </c:pt>
                <c:pt idx="204">
                  <c:v>12.13016573121126</c:v>
                </c:pt>
                <c:pt idx="205">
                  <c:v>12.138614782089704</c:v>
                </c:pt>
                <c:pt idx="206">
                  <c:v>12.155053464111258</c:v>
                </c:pt>
                <c:pt idx="207">
                  <c:v>12.172303471620268</c:v>
                </c:pt>
                <c:pt idx="208">
                  <c:v>12.189410377009709</c:v>
                </c:pt>
                <c:pt idx="209">
                  <c:v>12.205539527357814</c:v>
                </c:pt>
                <c:pt idx="210">
                  <c:v>12.223725154939805</c:v>
                </c:pt>
                <c:pt idx="211">
                  <c:v>12.235976331001662</c:v>
                </c:pt>
                <c:pt idx="212">
                  <c:v>12.247486198130817</c:v>
                </c:pt>
                <c:pt idx="213">
                  <c:v>12.261507466193443</c:v>
                </c:pt>
                <c:pt idx="214">
                  <c:v>12.271516043387303</c:v>
                </c:pt>
                <c:pt idx="215">
                  <c:v>12.279128625035186</c:v>
                </c:pt>
                <c:pt idx="216">
                  <c:v>12.285922974748967</c:v>
                </c:pt>
                <c:pt idx="217">
                  <c:v>12.293095615209056</c:v>
                </c:pt>
                <c:pt idx="218">
                  <c:v>12.300100109409819</c:v>
                </c:pt>
                <c:pt idx="219">
                  <c:v>12.306421394172407</c:v>
                </c:pt>
                <c:pt idx="220">
                  <c:v>12.312118646963748</c:v>
                </c:pt>
                <c:pt idx="221">
                  <c:v>12.321744937055785</c:v>
                </c:pt>
                <c:pt idx="222">
                  <c:v>12.332907616208159</c:v>
                </c:pt>
                <c:pt idx="223">
                  <c:v>12.351906845455737</c:v>
                </c:pt>
                <c:pt idx="224">
                  <c:v>12.36547476330429</c:v>
                </c:pt>
                <c:pt idx="225">
                  <c:v>12.403028522800911</c:v>
                </c:pt>
                <c:pt idx="226">
                  <c:v>12.423740189923844</c:v>
                </c:pt>
                <c:pt idx="227">
                  <c:v>12.439930238091375</c:v>
                </c:pt>
                <c:pt idx="228">
                  <c:v>12.456043281874615</c:v>
                </c:pt>
                <c:pt idx="229">
                  <c:v>12.471219540712555</c:v>
                </c:pt>
                <c:pt idx="230">
                  <c:v>12.48316770080679</c:v>
                </c:pt>
                <c:pt idx="231">
                  <c:v>12.494910161659234</c:v>
                </c:pt>
                <c:pt idx="232">
                  <c:v>12.504197225754583</c:v>
                </c:pt>
                <c:pt idx="233">
                  <c:v>12.516997269259758</c:v>
                </c:pt>
                <c:pt idx="234">
                  <c:v>12.526631045431305</c:v>
                </c:pt>
                <c:pt idx="235">
                  <c:v>12.535026714667717</c:v>
                </c:pt>
                <c:pt idx="236">
                  <c:v>12.544415400667519</c:v>
                </c:pt>
                <c:pt idx="237">
                  <c:v>12.563540387166398</c:v>
                </c:pt>
                <c:pt idx="238">
                  <c:v>12.574838417713575</c:v>
                </c:pt>
                <c:pt idx="239">
                  <c:v>12.592355103680205</c:v>
                </c:pt>
                <c:pt idx="240">
                  <c:v>12.606104902591937</c:v>
                </c:pt>
                <c:pt idx="241">
                  <c:v>12.617451525026812</c:v>
                </c:pt>
                <c:pt idx="242">
                  <c:v>12.630512982116265</c:v>
                </c:pt>
                <c:pt idx="243">
                  <c:v>12.643573311872501</c:v>
                </c:pt>
                <c:pt idx="244">
                  <c:v>12.656554956497576</c:v>
                </c:pt>
                <c:pt idx="245">
                  <c:v>12.667361971823116</c:v>
                </c:pt>
                <c:pt idx="246">
                  <c:v>12.67668586375633</c:v>
                </c:pt>
                <c:pt idx="247">
                  <c:v>12.687933240407673</c:v>
                </c:pt>
                <c:pt idx="248">
                  <c:v>12.707375746679284</c:v>
                </c:pt>
                <c:pt idx="249">
                  <c:v>12.728813356679181</c:v>
                </c:pt>
                <c:pt idx="250">
                  <c:v>12.745717482234264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9A-475A-949F-F2E3AF9290EE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45702</c:v>
                </c:pt>
                <c:pt idx="1">
                  <c:v>45706</c:v>
                </c:pt>
                <c:pt idx="2">
                  <c:v>45707</c:v>
                </c:pt>
                <c:pt idx="3">
                  <c:v>45708</c:v>
                </c:pt>
                <c:pt idx="4">
                  <c:v>45709</c:v>
                </c:pt>
                <c:pt idx="5">
                  <c:v>45712</c:v>
                </c:pt>
                <c:pt idx="6">
                  <c:v>45713</c:v>
                </c:pt>
                <c:pt idx="7">
                  <c:v>45714</c:v>
                </c:pt>
                <c:pt idx="8">
                  <c:v>45715</c:v>
                </c:pt>
                <c:pt idx="9">
                  <c:v>45716</c:v>
                </c:pt>
                <c:pt idx="10">
                  <c:v>45719</c:v>
                </c:pt>
                <c:pt idx="11">
                  <c:v>45720</c:v>
                </c:pt>
                <c:pt idx="12">
                  <c:v>45721</c:v>
                </c:pt>
                <c:pt idx="13">
                  <c:v>45722</c:v>
                </c:pt>
                <c:pt idx="14">
                  <c:v>45723</c:v>
                </c:pt>
                <c:pt idx="15">
                  <c:v>45726</c:v>
                </c:pt>
                <c:pt idx="16">
                  <c:v>45727</c:v>
                </c:pt>
                <c:pt idx="17">
                  <c:v>45728</c:v>
                </c:pt>
                <c:pt idx="18">
                  <c:v>45729</c:v>
                </c:pt>
                <c:pt idx="19">
                  <c:v>45730</c:v>
                </c:pt>
                <c:pt idx="20">
                  <c:v>45733</c:v>
                </c:pt>
                <c:pt idx="21">
                  <c:v>45734</c:v>
                </c:pt>
                <c:pt idx="22">
                  <c:v>45735</c:v>
                </c:pt>
                <c:pt idx="23">
                  <c:v>45736</c:v>
                </c:pt>
                <c:pt idx="24">
                  <c:v>45737</c:v>
                </c:pt>
                <c:pt idx="25">
                  <c:v>45740</c:v>
                </c:pt>
                <c:pt idx="26">
                  <c:v>45741</c:v>
                </c:pt>
                <c:pt idx="27">
                  <c:v>45742</c:v>
                </c:pt>
                <c:pt idx="28">
                  <c:v>45743</c:v>
                </c:pt>
                <c:pt idx="29">
                  <c:v>45744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45754</c:v>
                </c:pt>
                <c:pt idx="36">
                  <c:v>45755</c:v>
                </c:pt>
                <c:pt idx="37">
                  <c:v>45756</c:v>
                </c:pt>
                <c:pt idx="38">
                  <c:v>45757</c:v>
                </c:pt>
                <c:pt idx="39">
                  <c:v>45758</c:v>
                </c:pt>
                <c:pt idx="40">
                  <c:v>45761</c:v>
                </c:pt>
                <c:pt idx="41">
                  <c:v>45762</c:v>
                </c:pt>
                <c:pt idx="42">
                  <c:v>45763</c:v>
                </c:pt>
                <c:pt idx="43">
                  <c:v>45764</c:v>
                </c:pt>
                <c:pt idx="44">
                  <c:v>45768</c:v>
                </c:pt>
                <c:pt idx="45">
                  <c:v>45769</c:v>
                </c:pt>
                <c:pt idx="46">
                  <c:v>45770</c:v>
                </c:pt>
                <c:pt idx="47">
                  <c:v>45771</c:v>
                </c:pt>
                <c:pt idx="48">
                  <c:v>45772</c:v>
                </c:pt>
                <c:pt idx="49">
                  <c:v>45775</c:v>
                </c:pt>
                <c:pt idx="50">
                  <c:v>45776</c:v>
                </c:pt>
                <c:pt idx="51">
                  <c:v>45777</c:v>
                </c:pt>
                <c:pt idx="52">
                  <c:v>45778</c:v>
                </c:pt>
                <c:pt idx="53">
                  <c:v>45779</c:v>
                </c:pt>
                <c:pt idx="54">
                  <c:v>45782</c:v>
                </c:pt>
                <c:pt idx="55">
                  <c:v>45783</c:v>
                </c:pt>
                <c:pt idx="56">
                  <c:v>45784</c:v>
                </c:pt>
                <c:pt idx="57">
                  <c:v>45785</c:v>
                </c:pt>
                <c:pt idx="58">
                  <c:v>45786</c:v>
                </c:pt>
                <c:pt idx="59">
                  <c:v>45789</c:v>
                </c:pt>
                <c:pt idx="60">
                  <c:v>45790</c:v>
                </c:pt>
                <c:pt idx="61">
                  <c:v>45791</c:v>
                </c:pt>
                <c:pt idx="62">
                  <c:v>45792</c:v>
                </c:pt>
                <c:pt idx="63">
                  <c:v>45793</c:v>
                </c:pt>
                <c:pt idx="64">
                  <c:v>45796</c:v>
                </c:pt>
                <c:pt idx="65">
                  <c:v>45797</c:v>
                </c:pt>
                <c:pt idx="66">
                  <c:v>45798</c:v>
                </c:pt>
                <c:pt idx="67">
                  <c:v>45799</c:v>
                </c:pt>
                <c:pt idx="68">
                  <c:v>45800</c:v>
                </c:pt>
                <c:pt idx="69">
                  <c:v>45804</c:v>
                </c:pt>
                <c:pt idx="70">
                  <c:v>45805</c:v>
                </c:pt>
                <c:pt idx="71">
                  <c:v>45806</c:v>
                </c:pt>
                <c:pt idx="72">
                  <c:v>45807</c:v>
                </c:pt>
                <c:pt idx="73">
                  <c:v>45810</c:v>
                </c:pt>
                <c:pt idx="74">
                  <c:v>45811</c:v>
                </c:pt>
                <c:pt idx="75">
                  <c:v>45812</c:v>
                </c:pt>
                <c:pt idx="76">
                  <c:v>45813</c:v>
                </c:pt>
                <c:pt idx="77">
                  <c:v>45814</c:v>
                </c:pt>
                <c:pt idx="78">
                  <c:v>45817</c:v>
                </c:pt>
                <c:pt idx="79">
                  <c:v>45818</c:v>
                </c:pt>
                <c:pt idx="80">
                  <c:v>45819</c:v>
                </c:pt>
                <c:pt idx="81">
                  <c:v>45820</c:v>
                </c:pt>
                <c:pt idx="82">
                  <c:v>45821</c:v>
                </c:pt>
                <c:pt idx="83">
                  <c:v>45824</c:v>
                </c:pt>
                <c:pt idx="84">
                  <c:v>45825</c:v>
                </c:pt>
                <c:pt idx="85">
                  <c:v>45826</c:v>
                </c:pt>
                <c:pt idx="86">
                  <c:v>45828</c:v>
                </c:pt>
                <c:pt idx="87">
                  <c:v>45831</c:v>
                </c:pt>
                <c:pt idx="88">
                  <c:v>45832</c:v>
                </c:pt>
                <c:pt idx="89">
                  <c:v>45833</c:v>
                </c:pt>
                <c:pt idx="90">
                  <c:v>45834</c:v>
                </c:pt>
                <c:pt idx="91">
                  <c:v>45835</c:v>
                </c:pt>
                <c:pt idx="92">
                  <c:v>45838</c:v>
                </c:pt>
                <c:pt idx="93">
                  <c:v>45839</c:v>
                </c:pt>
                <c:pt idx="94">
                  <c:v>45840</c:v>
                </c:pt>
                <c:pt idx="95">
                  <c:v>45841</c:v>
                </c:pt>
                <c:pt idx="96">
                  <c:v>45845</c:v>
                </c:pt>
                <c:pt idx="97">
                  <c:v>45846</c:v>
                </c:pt>
                <c:pt idx="98">
                  <c:v>45847</c:v>
                </c:pt>
                <c:pt idx="99">
                  <c:v>45848</c:v>
                </c:pt>
                <c:pt idx="100">
                  <c:v>45849</c:v>
                </c:pt>
                <c:pt idx="101">
                  <c:v>45852</c:v>
                </c:pt>
                <c:pt idx="102">
                  <c:v>45853</c:v>
                </c:pt>
                <c:pt idx="103">
                  <c:v>45854</c:v>
                </c:pt>
                <c:pt idx="104">
                  <c:v>45855</c:v>
                </c:pt>
                <c:pt idx="105">
                  <c:v>45856</c:v>
                </c:pt>
                <c:pt idx="106">
                  <c:v>45859</c:v>
                </c:pt>
                <c:pt idx="107">
                  <c:v>45860</c:v>
                </c:pt>
                <c:pt idx="108">
                  <c:v>45861</c:v>
                </c:pt>
                <c:pt idx="109">
                  <c:v>45862</c:v>
                </c:pt>
                <c:pt idx="110">
                  <c:v>45863</c:v>
                </c:pt>
                <c:pt idx="111">
                  <c:v>45866</c:v>
                </c:pt>
                <c:pt idx="112">
                  <c:v>45867</c:v>
                </c:pt>
                <c:pt idx="113">
                  <c:v>45868</c:v>
                </c:pt>
                <c:pt idx="114">
                  <c:v>45869</c:v>
                </c:pt>
                <c:pt idx="115">
                  <c:v>45870</c:v>
                </c:pt>
                <c:pt idx="116">
                  <c:v>45873</c:v>
                </c:pt>
                <c:pt idx="117">
                  <c:v>45874</c:v>
                </c:pt>
                <c:pt idx="118">
                  <c:v>45875</c:v>
                </c:pt>
                <c:pt idx="119">
                  <c:v>45876</c:v>
                </c:pt>
                <c:pt idx="120">
                  <c:v>45877</c:v>
                </c:pt>
                <c:pt idx="121">
                  <c:v>45880</c:v>
                </c:pt>
                <c:pt idx="122">
                  <c:v>45881</c:v>
                </c:pt>
                <c:pt idx="123">
                  <c:v>45882</c:v>
                </c:pt>
                <c:pt idx="124">
                  <c:v>45883</c:v>
                </c:pt>
                <c:pt idx="125">
                  <c:v>45884</c:v>
                </c:pt>
                <c:pt idx="126">
                  <c:v>45887</c:v>
                </c:pt>
                <c:pt idx="127">
                  <c:v>45888</c:v>
                </c:pt>
                <c:pt idx="128">
                  <c:v>45889</c:v>
                </c:pt>
                <c:pt idx="129">
                  <c:v>45890</c:v>
                </c:pt>
                <c:pt idx="130">
                  <c:v>45891</c:v>
                </c:pt>
                <c:pt idx="131">
                  <c:v>45894</c:v>
                </c:pt>
                <c:pt idx="132">
                  <c:v>45895</c:v>
                </c:pt>
                <c:pt idx="133">
                  <c:v>45896</c:v>
                </c:pt>
                <c:pt idx="134">
                  <c:v>45897</c:v>
                </c:pt>
                <c:pt idx="135">
                  <c:v>45898</c:v>
                </c:pt>
                <c:pt idx="136">
                  <c:v>45902</c:v>
                </c:pt>
                <c:pt idx="137">
                  <c:v>45903</c:v>
                </c:pt>
                <c:pt idx="138">
                  <c:v>45904</c:v>
                </c:pt>
                <c:pt idx="139">
                  <c:v>45905</c:v>
                </c:pt>
                <c:pt idx="140">
                  <c:v>45908</c:v>
                </c:pt>
                <c:pt idx="141">
                  <c:v>45909</c:v>
                </c:pt>
                <c:pt idx="142">
                  <c:v>45910</c:v>
                </c:pt>
                <c:pt idx="143">
                  <c:v>45911</c:v>
                </c:pt>
                <c:pt idx="144">
                  <c:v>45912</c:v>
                </c:pt>
                <c:pt idx="145">
                  <c:v>45915</c:v>
                </c:pt>
                <c:pt idx="146">
                  <c:v>45916</c:v>
                </c:pt>
                <c:pt idx="147">
                  <c:v>45917</c:v>
                </c:pt>
                <c:pt idx="148">
                  <c:v>45918</c:v>
                </c:pt>
                <c:pt idx="149">
                  <c:v>45919</c:v>
                </c:pt>
                <c:pt idx="150">
                  <c:v>45922</c:v>
                </c:pt>
                <c:pt idx="151">
                  <c:v>45923</c:v>
                </c:pt>
                <c:pt idx="152">
                  <c:v>45924</c:v>
                </c:pt>
                <c:pt idx="153">
                  <c:v>45925</c:v>
                </c:pt>
                <c:pt idx="154">
                  <c:v>45926</c:v>
                </c:pt>
                <c:pt idx="155">
                  <c:v>45929</c:v>
                </c:pt>
                <c:pt idx="156">
                  <c:v>45930</c:v>
                </c:pt>
                <c:pt idx="157">
                  <c:v>45931</c:v>
                </c:pt>
                <c:pt idx="158">
                  <c:v>45932</c:v>
                </c:pt>
                <c:pt idx="159">
                  <c:v>45933</c:v>
                </c:pt>
                <c:pt idx="160">
                  <c:v>45936</c:v>
                </c:pt>
                <c:pt idx="161">
                  <c:v>45937</c:v>
                </c:pt>
                <c:pt idx="162">
                  <c:v>45938</c:v>
                </c:pt>
                <c:pt idx="163">
                  <c:v>45939</c:v>
                </c:pt>
                <c:pt idx="164">
                  <c:v>45940</c:v>
                </c:pt>
                <c:pt idx="165">
                  <c:v>45943</c:v>
                </c:pt>
                <c:pt idx="166">
                  <c:v>45944</c:v>
                </c:pt>
                <c:pt idx="167">
                  <c:v>45945</c:v>
                </c:pt>
                <c:pt idx="168">
                  <c:v>45946</c:v>
                </c:pt>
                <c:pt idx="169">
                  <c:v>45947</c:v>
                </c:pt>
                <c:pt idx="170">
                  <c:v>45950</c:v>
                </c:pt>
                <c:pt idx="171">
                  <c:v>45951</c:v>
                </c:pt>
                <c:pt idx="172">
                  <c:v>45952</c:v>
                </c:pt>
                <c:pt idx="173">
                  <c:v>45953</c:v>
                </c:pt>
                <c:pt idx="174">
                  <c:v>45954</c:v>
                </c:pt>
                <c:pt idx="175">
                  <c:v>45957</c:v>
                </c:pt>
                <c:pt idx="176">
                  <c:v>45958</c:v>
                </c:pt>
                <c:pt idx="177">
                  <c:v>45959</c:v>
                </c:pt>
                <c:pt idx="178">
                  <c:v>45960</c:v>
                </c:pt>
                <c:pt idx="179">
                  <c:v>45961</c:v>
                </c:pt>
                <c:pt idx="180">
                  <c:v>45964</c:v>
                </c:pt>
                <c:pt idx="181">
                  <c:v>45965</c:v>
                </c:pt>
                <c:pt idx="182">
                  <c:v>45966</c:v>
                </c:pt>
                <c:pt idx="183">
                  <c:v>45967</c:v>
                </c:pt>
                <c:pt idx="184">
                  <c:v>45968</c:v>
                </c:pt>
                <c:pt idx="185">
                  <c:v>45971</c:v>
                </c:pt>
                <c:pt idx="186">
                  <c:v>45972</c:v>
                </c:pt>
                <c:pt idx="187">
                  <c:v>45973</c:v>
                </c:pt>
                <c:pt idx="188">
                  <c:v>45974</c:v>
                </c:pt>
                <c:pt idx="189">
                  <c:v>45975</c:v>
                </c:pt>
                <c:pt idx="190">
                  <c:v>45978</c:v>
                </c:pt>
                <c:pt idx="191">
                  <c:v>45979</c:v>
                </c:pt>
                <c:pt idx="192">
                  <c:v>45980</c:v>
                </c:pt>
                <c:pt idx="193">
                  <c:v>45981</c:v>
                </c:pt>
                <c:pt idx="194">
                  <c:v>45982</c:v>
                </c:pt>
                <c:pt idx="195">
                  <c:v>45985</c:v>
                </c:pt>
                <c:pt idx="196">
                  <c:v>45986</c:v>
                </c:pt>
                <c:pt idx="197">
                  <c:v>45987</c:v>
                </c:pt>
                <c:pt idx="198">
                  <c:v>45989</c:v>
                </c:pt>
                <c:pt idx="199">
                  <c:v>45992</c:v>
                </c:pt>
                <c:pt idx="200">
                  <c:v>45993</c:v>
                </c:pt>
                <c:pt idx="201">
                  <c:v>45994</c:v>
                </c:pt>
                <c:pt idx="202">
                  <c:v>45995</c:v>
                </c:pt>
                <c:pt idx="203">
                  <c:v>45996</c:v>
                </c:pt>
                <c:pt idx="204">
                  <c:v>45999</c:v>
                </c:pt>
                <c:pt idx="205">
                  <c:v>46000</c:v>
                </c:pt>
                <c:pt idx="206">
                  <c:v>46001</c:v>
                </c:pt>
                <c:pt idx="207">
                  <c:v>46002</c:v>
                </c:pt>
                <c:pt idx="208">
                  <c:v>46003</c:v>
                </c:pt>
                <c:pt idx="209">
                  <c:v>46006</c:v>
                </c:pt>
                <c:pt idx="210">
                  <c:v>46007</c:v>
                </c:pt>
                <c:pt idx="211">
                  <c:v>46008</c:v>
                </c:pt>
                <c:pt idx="212">
                  <c:v>46009</c:v>
                </c:pt>
                <c:pt idx="213">
                  <c:v>46010</c:v>
                </c:pt>
                <c:pt idx="214">
                  <c:v>46013</c:v>
                </c:pt>
                <c:pt idx="215">
                  <c:v>46014</c:v>
                </c:pt>
                <c:pt idx="216">
                  <c:v>46015</c:v>
                </c:pt>
                <c:pt idx="217">
                  <c:v>46017</c:v>
                </c:pt>
                <c:pt idx="218">
                  <c:v>46020</c:v>
                </c:pt>
                <c:pt idx="219">
                  <c:v>46021</c:v>
                </c:pt>
                <c:pt idx="220">
                  <c:v>46022</c:v>
                </c:pt>
                <c:pt idx="221">
                  <c:v>46024</c:v>
                </c:pt>
                <c:pt idx="222">
                  <c:v>46027</c:v>
                </c:pt>
                <c:pt idx="223">
                  <c:v>46028</c:v>
                </c:pt>
                <c:pt idx="224">
                  <c:v>46029</c:v>
                </c:pt>
                <c:pt idx="225">
                  <c:v>46030</c:v>
                </c:pt>
                <c:pt idx="226">
                  <c:v>46031</c:v>
                </c:pt>
                <c:pt idx="227">
                  <c:v>46034</c:v>
                </c:pt>
                <c:pt idx="228">
                  <c:v>46035</c:v>
                </c:pt>
                <c:pt idx="229">
                  <c:v>46036</c:v>
                </c:pt>
                <c:pt idx="230">
                  <c:v>46037</c:v>
                </c:pt>
                <c:pt idx="231">
                  <c:v>46038</c:v>
                </c:pt>
                <c:pt idx="232">
                  <c:v>46042</c:v>
                </c:pt>
                <c:pt idx="233">
                  <c:v>46043</c:v>
                </c:pt>
                <c:pt idx="234">
                  <c:v>46044</c:v>
                </c:pt>
                <c:pt idx="235">
                  <c:v>46045</c:v>
                </c:pt>
                <c:pt idx="236">
                  <c:v>46048</c:v>
                </c:pt>
                <c:pt idx="237">
                  <c:v>46049</c:v>
                </c:pt>
                <c:pt idx="238">
                  <c:v>46050</c:v>
                </c:pt>
                <c:pt idx="239">
                  <c:v>46051</c:v>
                </c:pt>
                <c:pt idx="240">
                  <c:v>46052</c:v>
                </c:pt>
                <c:pt idx="241">
                  <c:v>46055</c:v>
                </c:pt>
                <c:pt idx="242">
                  <c:v>46056</c:v>
                </c:pt>
                <c:pt idx="243">
                  <c:v>46057</c:v>
                </c:pt>
                <c:pt idx="244">
                  <c:v>46058</c:v>
                </c:pt>
                <c:pt idx="245">
                  <c:v>46059</c:v>
                </c:pt>
                <c:pt idx="246">
                  <c:v>46062</c:v>
                </c:pt>
                <c:pt idx="247">
                  <c:v>46063</c:v>
                </c:pt>
                <c:pt idx="248">
                  <c:v>46064</c:v>
                </c:pt>
                <c:pt idx="249">
                  <c:v>46065</c:v>
                </c:pt>
                <c:pt idx="250">
                  <c:v>46066</c:v>
                </c:pt>
              </c:numCache>
            </c:numRef>
          </c:cat>
          <c:val>
            <c:numRef>
              <c:f>Data!$I$2:$I$252</c:f>
              <c:numCache>
                <c:formatCode>General</c:formatCode>
                <c:ptCount val="251"/>
                <c:pt idx="0">
                  <c:v>9.33</c:v>
                </c:pt>
                <c:pt idx="1">
                  <c:v>9.2887103107865201</c:v>
                </c:pt>
                <c:pt idx="2">
                  <c:v>9.2965113561949693</c:v>
                </c:pt>
                <c:pt idx="3">
                  <c:v>9.2963251539754417</c:v>
                </c:pt>
                <c:pt idx="4">
                  <c:v>9.2812062742785599</c:v>
                </c:pt>
                <c:pt idx="5">
                  <c:v>9.2898684860243286</c:v>
                </c:pt>
                <c:pt idx="6">
                  <c:v>9.2997319742381492</c:v>
                </c:pt>
                <c:pt idx="7">
                  <c:v>9.3068870499518344</c:v>
                </c:pt>
                <c:pt idx="8">
                  <c:v>9.2970657995991655</c:v>
                </c:pt>
                <c:pt idx="9">
                  <c:v>9.3115712766175367</c:v>
                </c:pt>
                <c:pt idx="10">
                  <c:v>9.3144258352360811</c:v>
                </c:pt>
                <c:pt idx="11">
                  <c:v>9.2467057040281766</c:v>
                </c:pt>
                <c:pt idx="12">
                  <c:v>9.2621909081968568</c:v>
                </c:pt>
                <c:pt idx="13">
                  <c:v>9.2751545358920424</c:v>
                </c:pt>
                <c:pt idx="14">
                  <c:v>9.2780754955949671</c:v>
                </c:pt>
                <c:pt idx="15">
                  <c:v>9.2919955007774782</c:v>
                </c:pt>
                <c:pt idx="16">
                  <c:v>9.3117919652212642</c:v>
                </c:pt>
                <c:pt idx="17">
                  <c:v>9.3200927398928535</c:v>
                </c:pt>
                <c:pt idx="18">
                  <c:v>9.3251766353439933</c:v>
                </c:pt>
                <c:pt idx="19">
                  <c:v>9.3314420604554993</c:v>
                </c:pt>
                <c:pt idx="20">
                  <c:v>9.3334750144507321</c:v>
                </c:pt>
                <c:pt idx="21">
                  <c:v>9.3372460620703546</c:v>
                </c:pt>
                <c:pt idx="22">
                  <c:v>9.3378765326895898</c:v>
                </c:pt>
                <c:pt idx="23">
                  <c:v>9.3451731324540255</c:v>
                </c:pt>
                <c:pt idx="24">
                  <c:v>9.3699349656834698</c:v>
                </c:pt>
                <c:pt idx="25">
                  <c:v>9.3687673357442236</c:v>
                </c:pt>
                <c:pt idx="26">
                  <c:v>9.3656368211644629</c:v>
                </c:pt>
                <c:pt idx="27">
                  <c:v>9.375828185461085</c:v>
                </c:pt>
                <c:pt idx="28">
                  <c:v>9.3912950801364179</c:v>
                </c:pt>
                <c:pt idx="29">
                  <c:v>9.3965530383903264</c:v>
                </c:pt>
                <c:pt idx="30">
                  <c:v>9.4074325082836161</c:v>
                </c:pt>
                <c:pt idx="31">
                  <c:v>9.4168144462457146</c:v>
                </c:pt>
                <c:pt idx="32">
                  <c:v>9.4265438384698523</c:v>
                </c:pt>
                <c:pt idx="33">
                  <c:v>9.4187223990481641</c:v>
                </c:pt>
                <c:pt idx="34">
                  <c:v>9.4159797627238984</c:v>
                </c:pt>
                <c:pt idx="35">
                  <c:v>9.3821421076471569</c:v>
                </c:pt>
                <c:pt idx="36">
                  <c:v>9.3067057756343949</c:v>
                </c:pt>
                <c:pt idx="37">
                  <c:v>9.3038591292842465</c:v>
                </c:pt>
                <c:pt idx="38">
                  <c:v>9.2828039036121854</c:v>
                </c:pt>
                <c:pt idx="39">
                  <c:v>9.2754171773176584</c:v>
                </c:pt>
                <c:pt idx="40">
                  <c:v>9.2821223508244923</c:v>
                </c:pt>
                <c:pt idx="41">
                  <c:v>9.281034583182711</c:v>
                </c:pt>
                <c:pt idx="42">
                  <c:v>9.2779787904399011</c:v>
                </c:pt>
                <c:pt idx="43">
                  <c:v>9.281982596734947</c:v>
                </c:pt>
                <c:pt idx="44">
                  <c:v>9.2825753134368689</c:v>
                </c:pt>
                <c:pt idx="45">
                  <c:v>9.2867535518434661</c:v>
                </c:pt>
                <c:pt idx="46">
                  <c:v>9.2934638316067772</c:v>
                </c:pt>
                <c:pt idx="47">
                  <c:v>9.2972448907537188</c:v>
                </c:pt>
                <c:pt idx="48">
                  <c:v>9.3014942599354917</c:v>
                </c:pt>
                <c:pt idx="49">
                  <c:v>9.3053467725063488</c:v>
                </c:pt>
                <c:pt idx="50">
                  <c:v>9.3124348956689982</c:v>
                </c:pt>
                <c:pt idx="51">
                  <c:v>9.3194848495211939</c:v>
                </c:pt>
                <c:pt idx="52">
                  <c:v>9.3251552192225518</c:v>
                </c:pt>
                <c:pt idx="53">
                  <c:v>9.3261648044675312</c:v>
                </c:pt>
                <c:pt idx="54">
                  <c:v>9.3308641926505498</c:v>
                </c:pt>
                <c:pt idx="55">
                  <c:v>9.3343681638907707</c:v>
                </c:pt>
                <c:pt idx="56">
                  <c:v>9.3392112881138178</c:v>
                </c:pt>
                <c:pt idx="57">
                  <c:v>9.3434893218972483</c:v>
                </c:pt>
                <c:pt idx="58">
                  <c:v>9.3431465091056971</c:v>
                </c:pt>
                <c:pt idx="59">
                  <c:v>9.3435571608752319</c:v>
                </c:pt>
                <c:pt idx="60">
                  <c:v>9.3417349164805259</c:v>
                </c:pt>
                <c:pt idx="61">
                  <c:v>9.3397840426630356</c:v>
                </c:pt>
                <c:pt idx="62">
                  <c:v>9.3348346004512699</c:v>
                </c:pt>
                <c:pt idx="63">
                  <c:v>9.3290420203701796</c:v>
                </c:pt>
                <c:pt idx="64">
                  <c:v>9.3250919435370285</c:v>
                </c:pt>
                <c:pt idx="65">
                  <c:v>9.322795443134833</c:v>
                </c:pt>
                <c:pt idx="66">
                  <c:v>9.3274035836714901</c:v>
                </c:pt>
                <c:pt idx="67">
                  <c:v>9.3328323081686229</c:v>
                </c:pt>
                <c:pt idx="68">
                  <c:v>9.3378281334014694</c:v>
                </c:pt>
                <c:pt idx="69">
                  <c:v>9.3435567701686821</c:v>
                </c:pt>
                <c:pt idx="70">
                  <c:v>9.349838949286708</c:v>
                </c:pt>
                <c:pt idx="71">
                  <c:v>9.3561060298849341</c:v>
                </c:pt>
                <c:pt idx="72">
                  <c:v>9.3653377690143014</c:v>
                </c:pt>
                <c:pt idx="73">
                  <c:v>9.3711734516578797</c:v>
                </c:pt>
                <c:pt idx="74">
                  <c:v>9.3777382673295193</c:v>
                </c:pt>
                <c:pt idx="75">
                  <c:v>9.3844474770751631</c:v>
                </c:pt>
                <c:pt idx="76">
                  <c:v>9.3905079711343316</c:v>
                </c:pt>
                <c:pt idx="77">
                  <c:v>9.3962817165225569</c:v>
                </c:pt>
                <c:pt idx="78">
                  <c:v>9.399873638795242</c:v>
                </c:pt>
                <c:pt idx="79">
                  <c:v>9.403165148659637</c:v>
                </c:pt>
                <c:pt idx="80">
                  <c:v>9.4064412505609223</c:v>
                </c:pt>
                <c:pt idx="81">
                  <c:v>9.4097686808956666</c:v>
                </c:pt>
                <c:pt idx="82">
                  <c:v>9.4145396645376742</c:v>
                </c:pt>
                <c:pt idx="83">
                  <c:v>9.4171528444138684</c:v>
                </c:pt>
                <c:pt idx="84">
                  <c:v>9.4225533660339966</c:v>
                </c:pt>
                <c:pt idx="85">
                  <c:v>9.4269422494289259</c:v>
                </c:pt>
                <c:pt idx="86">
                  <c:v>9.4327742975761222</c:v>
                </c:pt>
                <c:pt idx="87">
                  <c:v>9.4345861074321213</c:v>
                </c:pt>
                <c:pt idx="88">
                  <c:v>9.436780569285931</c:v>
                </c:pt>
                <c:pt idx="89">
                  <c:v>9.4415977060034066</c:v>
                </c:pt>
                <c:pt idx="90">
                  <c:v>9.445557863683625</c:v>
                </c:pt>
                <c:pt idx="91">
                  <c:v>9.4557680246980649</c:v>
                </c:pt>
                <c:pt idx="92">
                  <c:v>9.4580657490988163</c:v>
                </c:pt>
                <c:pt idx="93">
                  <c:v>9.4597595832501185</c:v>
                </c:pt>
                <c:pt idx="94">
                  <c:v>9.4519964359251532</c:v>
                </c:pt>
                <c:pt idx="95">
                  <c:v>9.4354572196217195</c:v>
                </c:pt>
                <c:pt idx="96">
                  <c:v>9.4280570838818658</c:v>
                </c:pt>
                <c:pt idx="97">
                  <c:v>9.420076887623317</c:v>
                </c:pt>
                <c:pt idx="98">
                  <c:v>9.408653245941883</c:v>
                </c:pt>
                <c:pt idx="99">
                  <c:v>9.3975427760795824</c:v>
                </c:pt>
                <c:pt idx="100">
                  <c:v>9.3901767849630353</c:v>
                </c:pt>
                <c:pt idx="101">
                  <c:v>9.3814907729683945</c:v>
                </c:pt>
                <c:pt idx="102">
                  <c:v>9.3793746752182336</c:v>
                </c:pt>
                <c:pt idx="103">
                  <c:v>9.3857044928494417</c:v>
                </c:pt>
                <c:pt idx="104">
                  <c:v>9.3891341618875046</c:v>
                </c:pt>
                <c:pt idx="105">
                  <c:v>9.3924656853842041</c:v>
                </c:pt>
                <c:pt idx="106">
                  <c:v>9.3944075644130685</c:v>
                </c:pt>
                <c:pt idx="107">
                  <c:v>9.3987370082758446</c:v>
                </c:pt>
                <c:pt idx="108">
                  <c:v>9.4014855177753311</c:v>
                </c:pt>
                <c:pt idx="109">
                  <c:v>9.4041251618232256</c:v>
                </c:pt>
                <c:pt idx="110">
                  <c:v>9.4038452804539467</c:v>
                </c:pt>
                <c:pt idx="111">
                  <c:v>9.4057830156183506</c:v>
                </c:pt>
                <c:pt idx="112">
                  <c:v>9.4094987540450017</c:v>
                </c:pt>
                <c:pt idx="113">
                  <c:v>9.4152894349293419</c:v>
                </c:pt>
                <c:pt idx="114">
                  <c:v>9.4222370697382889</c:v>
                </c:pt>
                <c:pt idx="115">
                  <c:v>9.4276213966300269</c:v>
                </c:pt>
                <c:pt idx="116">
                  <c:v>9.4317627190699387</c:v>
                </c:pt>
                <c:pt idx="117">
                  <c:v>9.4356452747655872</c:v>
                </c:pt>
                <c:pt idx="118">
                  <c:v>9.438861559785499</c:v>
                </c:pt>
                <c:pt idx="119">
                  <c:v>9.4427803858620365</c:v>
                </c:pt>
                <c:pt idx="120">
                  <c:v>9.4444824494319182</c:v>
                </c:pt>
                <c:pt idx="121">
                  <c:v>9.4500761892717922</c:v>
                </c:pt>
                <c:pt idx="122">
                  <c:v>9.4536759147096063</c:v>
                </c:pt>
                <c:pt idx="123">
                  <c:v>9.4561620108430073</c:v>
                </c:pt>
                <c:pt idx="124">
                  <c:v>9.4576986874252142</c:v>
                </c:pt>
                <c:pt idx="125">
                  <c:v>9.4587737257399915</c:v>
                </c:pt>
                <c:pt idx="126">
                  <c:v>9.4589701061431928</c:v>
                </c:pt>
                <c:pt idx="127">
                  <c:v>9.4603756611329839</c:v>
                </c:pt>
                <c:pt idx="128">
                  <c:v>9.4615063428088177</c:v>
                </c:pt>
                <c:pt idx="129">
                  <c:v>9.4642894953000791</c:v>
                </c:pt>
                <c:pt idx="130">
                  <c:v>9.4648311015295867</c:v>
                </c:pt>
                <c:pt idx="131">
                  <c:v>9.4632787689494666</c:v>
                </c:pt>
                <c:pt idx="132">
                  <c:v>9.4622138944337575</c:v>
                </c:pt>
                <c:pt idx="133">
                  <c:v>9.4596970580003088</c:v>
                </c:pt>
                <c:pt idx="134">
                  <c:v>9.4602220957534975</c:v>
                </c:pt>
                <c:pt idx="135">
                  <c:v>9.4600070629194928</c:v>
                </c:pt>
                <c:pt idx="136">
                  <c:v>9.4618520856925219</c:v>
                </c:pt>
                <c:pt idx="137">
                  <c:v>9.4635141048216536</c:v>
                </c:pt>
                <c:pt idx="138">
                  <c:v>9.4633787512972347</c:v>
                </c:pt>
                <c:pt idx="139">
                  <c:v>9.464405742736643</c:v>
                </c:pt>
                <c:pt idx="140">
                  <c:v>9.4651365710004587</c:v>
                </c:pt>
                <c:pt idx="141">
                  <c:v>9.4674167305320704</c:v>
                </c:pt>
                <c:pt idx="142">
                  <c:v>9.4705769353240736</c:v>
                </c:pt>
                <c:pt idx="143">
                  <c:v>9.4736204331919271</c:v>
                </c:pt>
                <c:pt idx="144">
                  <c:v>9.4758134298269034</c:v>
                </c:pt>
                <c:pt idx="145">
                  <c:v>9.4778830642627714</c:v>
                </c:pt>
                <c:pt idx="146">
                  <c:v>9.481361234841911</c:v>
                </c:pt>
                <c:pt idx="147">
                  <c:v>9.4856417706805853</c:v>
                </c:pt>
                <c:pt idx="148">
                  <c:v>9.4882690846378459</c:v>
                </c:pt>
                <c:pt idx="149">
                  <c:v>9.4930777395119215</c:v>
                </c:pt>
                <c:pt idx="150">
                  <c:v>9.4965515873802175</c:v>
                </c:pt>
                <c:pt idx="151">
                  <c:v>9.4994774520325862</c:v>
                </c:pt>
                <c:pt idx="152">
                  <c:v>9.5033337329418153</c:v>
                </c:pt>
                <c:pt idx="153">
                  <c:v>9.5079084279707473</c:v>
                </c:pt>
                <c:pt idx="154">
                  <c:v>9.5162779540802518</c:v>
                </c:pt>
                <c:pt idx="155">
                  <c:v>9.5204261633744327</c:v>
                </c:pt>
                <c:pt idx="156">
                  <c:v>9.5239793301066822</c:v>
                </c:pt>
                <c:pt idx="157">
                  <c:v>9.5260453756724726</c:v>
                </c:pt>
                <c:pt idx="158">
                  <c:v>9.5287440790781552</c:v>
                </c:pt>
                <c:pt idx="159">
                  <c:v>9.5319628643090173</c:v>
                </c:pt>
                <c:pt idx="160">
                  <c:v>9.5337160956462501</c:v>
                </c:pt>
                <c:pt idx="161">
                  <c:v>9.546081033203798</c:v>
                </c:pt>
                <c:pt idx="162">
                  <c:v>9.5515808645846665</c:v>
                </c:pt>
                <c:pt idx="163">
                  <c:v>9.5568359684411686</c:v>
                </c:pt>
                <c:pt idx="164">
                  <c:v>9.56299918869062</c:v>
                </c:pt>
                <c:pt idx="165">
                  <c:v>9.5684050772662932</c:v>
                </c:pt>
                <c:pt idx="166">
                  <c:v>9.5747818451543978</c:v>
                </c:pt>
                <c:pt idx="167">
                  <c:v>9.580998464887017</c:v>
                </c:pt>
                <c:pt idx="168">
                  <c:v>9.5887661589845834</c:v>
                </c:pt>
                <c:pt idx="169">
                  <c:v>9.5962805572162218</c:v>
                </c:pt>
                <c:pt idx="170">
                  <c:v>9.6009294018157973</c:v>
                </c:pt>
                <c:pt idx="171">
                  <c:v>9.6299149485982731</c:v>
                </c:pt>
                <c:pt idx="172">
                  <c:v>9.669962488844007</c:v>
                </c:pt>
                <c:pt idx="173">
                  <c:v>9.7131529935686274</c:v>
                </c:pt>
                <c:pt idx="174">
                  <c:v>9.7408717124550428</c:v>
                </c:pt>
                <c:pt idx="175">
                  <c:v>9.7456128934086301</c:v>
                </c:pt>
                <c:pt idx="176">
                  <c:v>9.7455323616369132</c:v>
                </c:pt>
                <c:pt idx="177">
                  <c:v>9.7491796050183375</c:v>
                </c:pt>
                <c:pt idx="178">
                  <c:v>9.7482500377728698</c:v>
                </c:pt>
                <c:pt idx="179">
                  <c:v>9.7455245461968278</c:v>
                </c:pt>
                <c:pt idx="180">
                  <c:v>9.7455524810750873</c:v>
                </c:pt>
                <c:pt idx="181">
                  <c:v>9.7461546931134002</c:v>
                </c:pt>
                <c:pt idx="182">
                  <c:v>9.7457625568474953</c:v>
                </c:pt>
                <c:pt idx="183">
                  <c:v>9.7459639058425491</c:v>
                </c:pt>
                <c:pt idx="184">
                  <c:v>9.7454812712878329</c:v>
                </c:pt>
                <c:pt idx="185">
                  <c:v>9.743381900969192</c:v>
                </c:pt>
                <c:pt idx="186">
                  <c:v>9.742764825953822</c:v>
                </c:pt>
                <c:pt idx="187">
                  <c:v>9.7388059947589252</c:v>
                </c:pt>
                <c:pt idx="188">
                  <c:v>9.7378772649090486</c:v>
                </c:pt>
                <c:pt idx="189">
                  <c:v>9.7374019947222905</c:v>
                </c:pt>
                <c:pt idx="190">
                  <c:v>9.7396100081422308</c:v>
                </c:pt>
                <c:pt idx="191">
                  <c:v>9.7408362201734207</c:v>
                </c:pt>
                <c:pt idx="192">
                  <c:v>9.7406719536774453</c:v>
                </c:pt>
                <c:pt idx="193">
                  <c:v>9.746744954393634</c:v>
                </c:pt>
                <c:pt idx="194">
                  <c:v>9.7496443340220438</c:v>
                </c:pt>
                <c:pt idx="195">
                  <c:v>9.7497837900183768</c:v>
                </c:pt>
                <c:pt idx="196">
                  <c:v>9.7487391234704432</c:v>
                </c:pt>
                <c:pt idx="197">
                  <c:v>9.7468151523698996</c:v>
                </c:pt>
                <c:pt idx="198">
                  <c:v>9.7425708594005229</c:v>
                </c:pt>
                <c:pt idx="199">
                  <c:v>9.7420109034221056</c:v>
                </c:pt>
                <c:pt idx="200">
                  <c:v>9.743393618264367</c:v>
                </c:pt>
                <c:pt idx="201">
                  <c:v>9.742850289961579</c:v>
                </c:pt>
                <c:pt idx="202">
                  <c:v>9.7423883302027807</c:v>
                </c:pt>
                <c:pt idx="203">
                  <c:v>9.7433946249140728</c:v>
                </c:pt>
                <c:pt idx="204">
                  <c:v>9.7429792864711473</c:v>
                </c:pt>
                <c:pt idx="205">
                  <c:v>9.7417258863445646</c:v>
                </c:pt>
                <c:pt idx="206">
                  <c:v>9.7431750744393852</c:v>
                </c:pt>
                <c:pt idx="207">
                  <c:v>9.7417458360665741</c:v>
                </c:pt>
                <c:pt idx="208">
                  <c:v>9.7381552929933068</c:v>
                </c:pt>
                <c:pt idx="209">
                  <c:v>9.7363454113017234</c:v>
                </c:pt>
                <c:pt idx="210">
                  <c:v>9.7367348089373014</c:v>
                </c:pt>
                <c:pt idx="211">
                  <c:v>9.7379169631728608</c:v>
                </c:pt>
                <c:pt idx="212">
                  <c:v>9.7385094761567341</c:v>
                </c:pt>
                <c:pt idx="213">
                  <c:v>9.7394987251718845</c:v>
                </c:pt>
                <c:pt idx="214">
                  <c:v>9.7369999940970242</c:v>
                </c:pt>
                <c:pt idx="215">
                  <c:v>9.7350884730477549</c:v>
                </c:pt>
                <c:pt idx="216">
                  <c:v>9.7315737720710302</c:v>
                </c:pt>
                <c:pt idx="217">
                  <c:v>9.72946183906169</c:v>
                </c:pt>
                <c:pt idx="218">
                  <c:v>9.7278678672318968</c:v>
                </c:pt>
                <c:pt idx="219">
                  <c:v>9.7265235423923286</c:v>
                </c:pt>
                <c:pt idx="220">
                  <c:v>9.7262213261822925</c:v>
                </c:pt>
                <c:pt idx="221">
                  <c:v>9.7270644767649639</c:v>
                </c:pt>
                <c:pt idx="222">
                  <c:v>9.7278016699379197</c:v>
                </c:pt>
                <c:pt idx="223">
                  <c:v>9.7314330280437176</c:v>
                </c:pt>
                <c:pt idx="224">
                  <c:v>9.7310324516692237</c:v>
                </c:pt>
                <c:pt idx="225">
                  <c:v>9.742970045056536</c:v>
                </c:pt>
                <c:pt idx="226">
                  <c:v>9.7426734620853601</c:v>
                </c:pt>
                <c:pt idx="227">
                  <c:v>9.7414692184687866</c:v>
                </c:pt>
                <c:pt idx="228">
                  <c:v>9.7414955089365325</c:v>
                </c:pt>
                <c:pt idx="229">
                  <c:v>9.7432569878206134</c:v>
                </c:pt>
                <c:pt idx="230">
                  <c:v>9.7425964595444459</c:v>
                </c:pt>
                <c:pt idx="231">
                  <c:v>9.745076323040692</c:v>
                </c:pt>
                <c:pt idx="232">
                  <c:v>9.7493724394507115</c:v>
                </c:pt>
                <c:pt idx="233">
                  <c:v>9.7509580246916912</c:v>
                </c:pt>
                <c:pt idx="234">
                  <c:v>9.7505090661225005</c:v>
                </c:pt>
                <c:pt idx="235">
                  <c:v>9.7510768673519213</c:v>
                </c:pt>
                <c:pt idx="236">
                  <c:v>9.7543254971052864</c:v>
                </c:pt>
                <c:pt idx="237">
                  <c:v>9.7609364248297155</c:v>
                </c:pt>
                <c:pt idx="238">
                  <c:v>9.7616032710032918</c:v>
                </c:pt>
                <c:pt idx="239">
                  <c:v>9.7661757824843285</c:v>
                </c:pt>
                <c:pt idx="240">
                  <c:v>9.7690180928971806</c:v>
                </c:pt>
                <c:pt idx="241">
                  <c:v>9.7706773610834361</c:v>
                </c:pt>
                <c:pt idx="242">
                  <c:v>9.7753313868798344</c:v>
                </c:pt>
                <c:pt idx="243">
                  <c:v>9.7790325895017247</c:v>
                </c:pt>
                <c:pt idx="244">
                  <c:v>9.7841569605024823</c:v>
                </c:pt>
                <c:pt idx="245">
                  <c:v>9.7862996113034875</c:v>
                </c:pt>
                <c:pt idx="246">
                  <c:v>9.7896984847051947</c:v>
                </c:pt>
                <c:pt idx="247">
                  <c:v>9.7954003693776563</c:v>
                </c:pt>
                <c:pt idx="248">
                  <c:v>9.8061157637483749</c:v>
                </c:pt>
                <c:pt idx="249">
                  <c:v>9.8170996070122225</c:v>
                </c:pt>
                <c:pt idx="250">
                  <c:v>9.8221792602666635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9A-475A-949F-F2E3AF929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914912"/>
        <c:axId val="362916352"/>
      </c:lineChart>
      <c:dateAx>
        <c:axId val="362914912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16352"/>
        <c:crosses val="autoZero"/>
        <c:auto val="1"/>
        <c:lblOffset val="100"/>
        <c:baseTimeUnit val="days"/>
      </c:dateAx>
      <c:valAx>
        <c:axId val="362916352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1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45702</c:v>
                </c:pt>
                <c:pt idx="1">
                  <c:v>45706</c:v>
                </c:pt>
                <c:pt idx="2">
                  <c:v>45707</c:v>
                </c:pt>
                <c:pt idx="3">
                  <c:v>45708</c:v>
                </c:pt>
                <c:pt idx="4">
                  <c:v>45709</c:v>
                </c:pt>
                <c:pt idx="5">
                  <c:v>45712</c:v>
                </c:pt>
                <c:pt idx="6">
                  <c:v>45713</c:v>
                </c:pt>
                <c:pt idx="7">
                  <c:v>45714</c:v>
                </c:pt>
                <c:pt idx="8">
                  <c:v>45715</c:v>
                </c:pt>
                <c:pt idx="9">
                  <c:v>45716</c:v>
                </c:pt>
                <c:pt idx="10">
                  <c:v>45719</c:v>
                </c:pt>
                <c:pt idx="11">
                  <c:v>45720</c:v>
                </c:pt>
                <c:pt idx="12">
                  <c:v>45721</c:v>
                </c:pt>
                <c:pt idx="13">
                  <c:v>45722</c:v>
                </c:pt>
                <c:pt idx="14">
                  <c:v>45723</c:v>
                </c:pt>
                <c:pt idx="15">
                  <c:v>45726</c:v>
                </c:pt>
                <c:pt idx="16">
                  <c:v>45727</c:v>
                </c:pt>
                <c:pt idx="17">
                  <c:v>45728</c:v>
                </c:pt>
                <c:pt idx="18">
                  <c:v>45729</c:v>
                </c:pt>
                <c:pt idx="19">
                  <c:v>45730</c:v>
                </c:pt>
                <c:pt idx="20">
                  <c:v>45733</c:v>
                </c:pt>
                <c:pt idx="21">
                  <c:v>45734</c:v>
                </c:pt>
                <c:pt idx="22">
                  <c:v>45735</c:v>
                </c:pt>
                <c:pt idx="23">
                  <c:v>45736</c:v>
                </c:pt>
                <c:pt idx="24">
                  <c:v>45737</c:v>
                </c:pt>
                <c:pt idx="25">
                  <c:v>45740</c:v>
                </c:pt>
                <c:pt idx="26">
                  <c:v>45741</c:v>
                </c:pt>
                <c:pt idx="27">
                  <c:v>45742</c:v>
                </c:pt>
                <c:pt idx="28">
                  <c:v>45743</c:v>
                </c:pt>
                <c:pt idx="29">
                  <c:v>45744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45754</c:v>
                </c:pt>
                <c:pt idx="36">
                  <c:v>45755</c:v>
                </c:pt>
                <c:pt idx="37">
                  <c:v>45756</c:v>
                </c:pt>
                <c:pt idx="38">
                  <c:v>45757</c:v>
                </c:pt>
                <c:pt idx="39">
                  <c:v>45758</c:v>
                </c:pt>
                <c:pt idx="40">
                  <c:v>45761</c:v>
                </c:pt>
                <c:pt idx="41">
                  <c:v>45762</c:v>
                </c:pt>
                <c:pt idx="42">
                  <c:v>45763</c:v>
                </c:pt>
                <c:pt idx="43">
                  <c:v>45764</c:v>
                </c:pt>
                <c:pt idx="44">
                  <c:v>45768</c:v>
                </c:pt>
                <c:pt idx="45">
                  <c:v>45769</c:v>
                </c:pt>
                <c:pt idx="46">
                  <c:v>45770</c:v>
                </c:pt>
                <c:pt idx="47">
                  <c:v>45771</c:v>
                </c:pt>
                <c:pt idx="48">
                  <c:v>45772</c:v>
                </c:pt>
                <c:pt idx="49">
                  <c:v>45775</c:v>
                </c:pt>
                <c:pt idx="50">
                  <c:v>45776</c:v>
                </c:pt>
                <c:pt idx="51">
                  <c:v>45777</c:v>
                </c:pt>
                <c:pt idx="52">
                  <c:v>45778</c:v>
                </c:pt>
                <c:pt idx="53">
                  <c:v>45779</c:v>
                </c:pt>
                <c:pt idx="54">
                  <c:v>45782</c:v>
                </c:pt>
                <c:pt idx="55">
                  <c:v>45783</c:v>
                </c:pt>
                <c:pt idx="56">
                  <c:v>45784</c:v>
                </c:pt>
                <c:pt idx="57">
                  <c:v>45785</c:v>
                </c:pt>
                <c:pt idx="58">
                  <c:v>45786</c:v>
                </c:pt>
                <c:pt idx="59">
                  <c:v>45789</c:v>
                </c:pt>
                <c:pt idx="60">
                  <c:v>45790</c:v>
                </c:pt>
                <c:pt idx="61">
                  <c:v>45791</c:v>
                </c:pt>
                <c:pt idx="62">
                  <c:v>45792</c:v>
                </c:pt>
                <c:pt idx="63">
                  <c:v>45793</c:v>
                </c:pt>
                <c:pt idx="64">
                  <c:v>45796</c:v>
                </c:pt>
                <c:pt idx="65">
                  <c:v>45797</c:v>
                </c:pt>
                <c:pt idx="66">
                  <c:v>45798</c:v>
                </c:pt>
                <c:pt idx="67">
                  <c:v>45799</c:v>
                </c:pt>
                <c:pt idx="68">
                  <c:v>45800</c:v>
                </c:pt>
                <c:pt idx="69">
                  <c:v>45804</c:v>
                </c:pt>
                <c:pt idx="70">
                  <c:v>45805</c:v>
                </c:pt>
                <c:pt idx="71">
                  <c:v>45806</c:v>
                </c:pt>
                <c:pt idx="72">
                  <c:v>45807</c:v>
                </c:pt>
                <c:pt idx="73">
                  <c:v>45810</c:v>
                </c:pt>
                <c:pt idx="74">
                  <c:v>45811</c:v>
                </c:pt>
                <c:pt idx="75">
                  <c:v>45812</c:v>
                </c:pt>
                <c:pt idx="76">
                  <c:v>45813</c:v>
                </c:pt>
                <c:pt idx="77">
                  <c:v>45814</c:v>
                </c:pt>
                <c:pt idx="78">
                  <c:v>45817</c:v>
                </c:pt>
                <c:pt idx="79">
                  <c:v>45818</c:v>
                </c:pt>
                <c:pt idx="80">
                  <c:v>45819</c:v>
                </c:pt>
                <c:pt idx="81">
                  <c:v>45820</c:v>
                </c:pt>
                <c:pt idx="82">
                  <c:v>45821</c:v>
                </c:pt>
                <c:pt idx="83">
                  <c:v>45824</c:v>
                </c:pt>
                <c:pt idx="84">
                  <c:v>45825</c:v>
                </c:pt>
                <c:pt idx="85">
                  <c:v>45826</c:v>
                </c:pt>
                <c:pt idx="86">
                  <c:v>45828</c:v>
                </c:pt>
                <c:pt idx="87">
                  <c:v>45831</c:v>
                </c:pt>
                <c:pt idx="88">
                  <c:v>45832</c:v>
                </c:pt>
                <c:pt idx="89">
                  <c:v>45833</c:v>
                </c:pt>
                <c:pt idx="90">
                  <c:v>45834</c:v>
                </c:pt>
                <c:pt idx="91">
                  <c:v>45835</c:v>
                </c:pt>
                <c:pt idx="92">
                  <c:v>45838</c:v>
                </c:pt>
                <c:pt idx="93">
                  <c:v>45839</c:v>
                </c:pt>
                <c:pt idx="94">
                  <c:v>45840</c:v>
                </c:pt>
                <c:pt idx="95">
                  <c:v>45841</c:v>
                </c:pt>
                <c:pt idx="96">
                  <c:v>45845</c:v>
                </c:pt>
                <c:pt idx="97">
                  <c:v>45846</c:v>
                </c:pt>
                <c:pt idx="98">
                  <c:v>45847</c:v>
                </c:pt>
                <c:pt idx="99">
                  <c:v>45848</c:v>
                </c:pt>
                <c:pt idx="100">
                  <c:v>45849</c:v>
                </c:pt>
                <c:pt idx="101">
                  <c:v>45852</c:v>
                </c:pt>
                <c:pt idx="102">
                  <c:v>45853</c:v>
                </c:pt>
                <c:pt idx="103">
                  <c:v>45854</c:v>
                </c:pt>
                <c:pt idx="104">
                  <c:v>45855</c:v>
                </c:pt>
                <c:pt idx="105">
                  <c:v>45856</c:v>
                </c:pt>
                <c:pt idx="106">
                  <c:v>45859</c:v>
                </c:pt>
                <c:pt idx="107">
                  <c:v>45860</c:v>
                </c:pt>
                <c:pt idx="108">
                  <c:v>45861</c:v>
                </c:pt>
                <c:pt idx="109">
                  <c:v>45862</c:v>
                </c:pt>
                <c:pt idx="110">
                  <c:v>45863</c:v>
                </c:pt>
                <c:pt idx="111">
                  <c:v>45866</c:v>
                </c:pt>
                <c:pt idx="112">
                  <c:v>45867</c:v>
                </c:pt>
                <c:pt idx="113">
                  <c:v>45868</c:v>
                </c:pt>
                <c:pt idx="114">
                  <c:v>45869</c:v>
                </c:pt>
                <c:pt idx="115">
                  <c:v>45870</c:v>
                </c:pt>
                <c:pt idx="116">
                  <c:v>45873</c:v>
                </c:pt>
                <c:pt idx="117">
                  <c:v>45874</c:v>
                </c:pt>
                <c:pt idx="118">
                  <c:v>45875</c:v>
                </c:pt>
                <c:pt idx="119">
                  <c:v>45876</c:v>
                </c:pt>
                <c:pt idx="120">
                  <c:v>45877</c:v>
                </c:pt>
                <c:pt idx="121">
                  <c:v>45880</c:v>
                </c:pt>
                <c:pt idx="122">
                  <c:v>45881</c:v>
                </c:pt>
                <c:pt idx="123">
                  <c:v>45882</c:v>
                </c:pt>
                <c:pt idx="124">
                  <c:v>45883</c:v>
                </c:pt>
                <c:pt idx="125">
                  <c:v>45884</c:v>
                </c:pt>
                <c:pt idx="126">
                  <c:v>45887</c:v>
                </c:pt>
                <c:pt idx="127">
                  <c:v>45888</c:v>
                </c:pt>
                <c:pt idx="128">
                  <c:v>45889</c:v>
                </c:pt>
                <c:pt idx="129">
                  <c:v>45890</c:v>
                </c:pt>
                <c:pt idx="130">
                  <c:v>45891</c:v>
                </c:pt>
                <c:pt idx="131">
                  <c:v>45894</c:v>
                </c:pt>
                <c:pt idx="132">
                  <c:v>45895</c:v>
                </c:pt>
                <c:pt idx="133">
                  <c:v>45896</c:v>
                </c:pt>
                <c:pt idx="134">
                  <c:v>45897</c:v>
                </c:pt>
                <c:pt idx="135">
                  <c:v>45898</c:v>
                </c:pt>
                <c:pt idx="136">
                  <c:v>45902</c:v>
                </c:pt>
                <c:pt idx="137">
                  <c:v>45903</c:v>
                </c:pt>
                <c:pt idx="138">
                  <c:v>45904</c:v>
                </c:pt>
                <c:pt idx="139">
                  <c:v>45905</c:v>
                </c:pt>
                <c:pt idx="140">
                  <c:v>45908</c:v>
                </c:pt>
                <c:pt idx="141">
                  <c:v>45909</c:v>
                </c:pt>
                <c:pt idx="142">
                  <c:v>45910</c:v>
                </c:pt>
                <c:pt idx="143">
                  <c:v>45911</c:v>
                </c:pt>
                <c:pt idx="144">
                  <c:v>45912</c:v>
                </c:pt>
                <c:pt idx="145">
                  <c:v>45915</c:v>
                </c:pt>
                <c:pt idx="146">
                  <c:v>45916</c:v>
                </c:pt>
                <c:pt idx="147">
                  <c:v>45917</c:v>
                </c:pt>
                <c:pt idx="148">
                  <c:v>45918</c:v>
                </c:pt>
                <c:pt idx="149">
                  <c:v>45919</c:v>
                </c:pt>
                <c:pt idx="150">
                  <c:v>45922</c:v>
                </c:pt>
                <c:pt idx="151">
                  <c:v>45923</c:v>
                </c:pt>
                <c:pt idx="152">
                  <c:v>45924</c:v>
                </c:pt>
                <c:pt idx="153">
                  <c:v>45925</c:v>
                </c:pt>
                <c:pt idx="154">
                  <c:v>45926</c:v>
                </c:pt>
                <c:pt idx="155">
                  <c:v>45929</c:v>
                </c:pt>
                <c:pt idx="156">
                  <c:v>45930</c:v>
                </c:pt>
                <c:pt idx="157">
                  <c:v>45931</c:v>
                </c:pt>
                <c:pt idx="158">
                  <c:v>45932</c:v>
                </c:pt>
                <c:pt idx="159">
                  <c:v>45933</c:v>
                </c:pt>
                <c:pt idx="160">
                  <c:v>45936</c:v>
                </c:pt>
                <c:pt idx="161">
                  <c:v>45937</c:v>
                </c:pt>
                <c:pt idx="162">
                  <c:v>45938</c:v>
                </c:pt>
                <c:pt idx="163">
                  <c:v>45939</c:v>
                </c:pt>
                <c:pt idx="164">
                  <c:v>45940</c:v>
                </c:pt>
                <c:pt idx="165">
                  <c:v>45943</c:v>
                </c:pt>
                <c:pt idx="166">
                  <c:v>45944</c:v>
                </c:pt>
                <c:pt idx="167">
                  <c:v>45945</c:v>
                </c:pt>
                <c:pt idx="168">
                  <c:v>45946</c:v>
                </c:pt>
                <c:pt idx="169">
                  <c:v>45947</c:v>
                </c:pt>
                <c:pt idx="170">
                  <c:v>45950</c:v>
                </c:pt>
                <c:pt idx="171">
                  <c:v>45951</c:v>
                </c:pt>
                <c:pt idx="172">
                  <c:v>45952</c:v>
                </c:pt>
                <c:pt idx="173">
                  <c:v>45953</c:v>
                </c:pt>
                <c:pt idx="174">
                  <c:v>45954</c:v>
                </c:pt>
                <c:pt idx="175">
                  <c:v>45957</c:v>
                </c:pt>
                <c:pt idx="176">
                  <c:v>45958</c:v>
                </c:pt>
                <c:pt idx="177">
                  <c:v>45959</c:v>
                </c:pt>
                <c:pt idx="178">
                  <c:v>45960</c:v>
                </c:pt>
                <c:pt idx="179">
                  <c:v>45961</c:v>
                </c:pt>
                <c:pt idx="180">
                  <c:v>45964</c:v>
                </c:pt>
                <c:pt idx="181">
                  <c:v>45965</c:v>
                </c:pt>
                <c:pt idx="182">
                  <c:v>45966</c:v>
                </c:pt>
                <c:pt idx="183">
                  <c:v>45967</c:v>
                </c:pt>
                <c:pt idx="184">
                  <c:v>45968</c:v>
                </c:pt>
                <c:pt idx="185">
                  <c:v>45971</c:v>
                </c:pt>
                <c:pt idx="186">
                  <c:v>45972</c:v>
                </c:pt>
                <c:pt idx="187">
                  <c:v>45973</c:v>
                </c:pt>
                <c:pt idx="188">
                  <c:v>45974</c:v>
                </c:pt>
                <c:pt idx="189">
                  <c:v>45975</c:v>
                </c:pt>
                <c:pt idx="190">
                  <c:v>45978</c:v>
                </c:pt>
                <c:pt idx="191">
                  <c:v>45979</c:v>
                </c:pt>
                <c:pt idx="192">
                  <c:v>45980</c:v>
                </c:pt>
                <c:pt idx="193">
                  <c:v>45981</c:v>
                </c:pt>
                <c:pt idx="194">
                  <c:v>45982</c:v>
                </c:pt>
                <c:pt idx="195">
                  <c:v>45985</c:v>
                </c:pt>
                <c:pt idx="196">
                  <c:v>45986</c:v>
                </c:pt>
                <c:pt idx="197">
                  <c:v>45987</c:v>
                </c:pt>
                <c:pt idx="198">
                  <c:v>45989</c:v>
                </c:pt>
                <c:pt idx="199">
                  <c:v>45992</c:v>
                </c:pt>
                <c:pt idx="200">
                  <c:v>45993</c:v>
                </c:pt>
                <c:pt idx="201">
                  <c:v>45994</c:v>
                </c:pt>
                <c:pt idx="202">
                  <c:v>45995</c:v>
                </c:pt>
                <c:pt idx="203">
                  <c:v>45996</c:v>
                </c:pt>
                <c:pt idx="204">
                  <c:v>45999</c:v>
                </c:pt>
                <c:pt idx="205">
                  <c:v>46000</c:v>
                </c:pt>
                <c:pt idx="206">
                  <c:v>46001</c:v>
                </c:pt>
                <c:pt idx="207">
                  <c:v>46002</c:v>
                </c:pt>
                <c:pt idx="208">
                  <c:v>46003</c:v>
                </c:pt>
                <c:pt idx="209">
                  <c:v>46006</c:v>
                </c:pt>
                <c:pt idx="210">
                  <c:v>46007</c:v>
                </c:pt>
                <c:pt idx="211">
                  <c:v>46008</c:v>
                </c:pt>
                <c:pt idx="212">
                  <c:v>46009</c:v>
                </c:pt>
                <c:pt idx="213">
                  <c:v>46010</c:v>
                </c:pt>
                <c:pt idx="214">
                  <c:v>46013</c:v>
                </c:pt>
                <c:pt idx="215">
                  <c:v>46014</c:v>
                </c:pt>
                <c:pt idx="216">
                  <c:v>46015</c:v>
                </c:pt>
                <c:pt idx="217">
                  <c:v>46017</c:v>
                </c:pt>
                <c:pt idx="218">
                  <c:v>46020</c:v>
                </c:pt>
                <c:pt idx="219">
                  <c:v>46021</c:v>
                </c:pt>
                <c:pt idx="220">
                  <c:v>46022</c:v>
                </c:pt>
                <c:pt idx="221">
                  <c:v>46024</c:v>
                </c:pt>
                <c:pt idx="222">
                  <c:v>46027</c:v>
                </c:pt>
                <c:pt idx="223">
                  <c:v>46028</c:v>
                </c:pt>
                <c:pt idx="224">
                  <c:v>46029</c:v>
                </c:pt>
                <c:pt idx="225">
                  <c:v>46030</c:v>
                </c:pt>
                <c:pt idx="226">
                  <c:v>46031</c:v>
                </c:pt>
                <c:pt idx="227">
                  <c:v>46034</c:v>
                </c:pt>
                <c:pt idx="228">
                  <c:v>46035</c:v>
                </c:pt>
                <c:pt idx="229">
                  <c:v>46036</c:v>
                </c:pt>
                <c:pt idx="230">
                  <c:v>46037</c:v>
                </c:pt>
                <c:pt idx="231">
                  <c:v>46038</c:v>
                </c:pt>
                <c:pt idx="232">
                  <c:v>46042</c:v>
                </c:pt>
                <c:pt idx="233">
                  <c:v>46043</c:v>
                </c:pt>
                <c:pt idx="234">
                  <c:v>46044</c:v>
                </c:pt>
                <c:pt idx="235">
                  <c:v>46045</c:v>
                </c:pt>
                <c:pt idx="236">
                  <c:v>46048</c:v>
                </c:pt>
                <c:pt idx="237">
                  <c:v>46049</c:v>
                </c:pt>
                <c:pt idx="238">
                  <c:v>46050</c:v>
                </c:pt>
                <c:pt idx="239">
                  <c:v>46051</c:v>
                </c:pt>
                <c:pt idx="240">
                  <c:v>46052</c:v>
                </c:pt>
                <c:pt idx="241">
                  <c:v>46055</c:v>
                </c:pt>
                <c:pt idx="242">
                  <c:v>46056</c:v>
                </c:pt>
                <c:pt idx="243">
                  <c:v>46057</c:v>
                </c:pt>
                <c:pt idx="244">
                  <c:v>46058</c:v>
                </c:pt>
                <c:pt idx="245">
                  <c:v>46059</c:v>
                </c:pt>
                <c:pt idx="246">
                  <c:v>46062</c:v>
                </c:pt>
                <c:pt idx="247">
                  <c:v>46063</c:v>
                </c:pt>
                <c:pt idx="248">
                  <c:v>46064</c:v>
                </c:pt>
                <c:pt idx="249">
                  <c:v>46065</c:v>
                </c:pt>
                <c:pt idx="250">
                  <c:v>46066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9.33</c:v>
                </c:pt>
                <c:pt idx="1">
                  <c:v>9.2899999999999991</c:v>
                </c:pt>
                <c:pt idx="2">
                  <c:v>9.34</c:v>
                </c:pt>
                <c:pt idx="3">
                  <c:v>9.39</c:v>
                </c:pt>
                <c:pt idx="4">
                  <c:v>9.2799999999999994</c:v>
                </c:pt>
                <c:pt idx="5">
                  <c:v>9.35</c:v>
                </c:pt>
                <c:pt idx="6">
                  <c:v>9.42</c:v>
                </c:pt>
                <c:pt idx="7">
                  <c:v>9.4700000000000006</c:v>
                </c:pt>
                <c:pt idx="8">
                  <c:v>9.2899999999999991</c:v>
                </c:pt>
                <c:pt idx="9">
                  <c:v>9.5500000000000007</c:v>
                </c:pt>
                <c:pt idx="10">
                  <c:v>9.39</c:v>
                </c:pt>
                <c:pt idx="11">
                  <c:v>9.1199999999999992</c:v>
                </c:pt>
                <c:pt idx="12">
                  <c:v>9.65</c:v>
                </c:pt>
                <c:pt idx="13">
                  <c:v>9.61</c:v>
                </c:pt>
                <c:pt idx="14">
                  <c:v>9.9</c:v>
                </c:pt>
                <c:pt idx="15">
                  <c:v>9.9600000000000009</c:v>
                </c:pt>
                <c:pt idx="16">
                  <c:v>9.69</c:v>
                </c:pt>
                <c:pt idx="17">
                  <c:v>9.59</c:v>
                </c:pt>
                <c:pt idx="18">
                  <c:v>9.5299999999999994</c:v>
                </c:pt>
                <c:pt idx="19">
                  <c:v>9.73</c:v>
                </c:pt>
                <c:pt idx="20">
                  <c:v>9.92</c:v>
                </c:pt>
                <c:pt idx="21">
                  <c:v>9.9499999999999993</c:v>
                </c:pt>
                <c:pt idx="22">
                  <c:v>10.17</c:v>
                </c:pt>
                <c:pt idx="23">
                  <c:v>10.01</c:v>
                </c:pt>
                <c:pt idx="24">
                  <c:v>10</c:v>
                </c:pt>
                <c:pt idx="25">
                  <c:v>10.25</c:v>
                </c:pt>
                <c:pt idx="26">
                  <c:v>10.29</c:v>
                </c:pt>
                <c:pt idx="27">
                  <c:v>10.3</c:v>
                </c:pt>
                <c:pt idx="28">
                  <c:v>9.9</c:v>
                </c:pt>
                <c:pt idx="29">
                  <c:v>9.7200000000000006</c:v>
                </c:pt>
                <c:pt idx="30">
                  <c:v>10.029999999999999</c:v>
                </c:pt>
                <c:pt idx="31">
                  <c:v>9.94</c:v>
                </c:pt>
                <c:pt idx="32">
                  <c:v>10.15</c:v>
                </c:pt>
                <c:pt idx="33">
                  <c:v>9.5399999999999991</c:v>
                </c:pt>
                <c:pt idx="34">
                  <c:v>9.58</c:v>
                </c:pt>
                <c:pt idx="35">
                  <c:v>9.24</c:v>
                </c:pt>
                <c:pt idx="36">
                  <c:v>8.69</c:v>
                </c:pt>
                <c:pt idx="37">
                  <c:v>9.5</c:v>
                </c:pt>
                <c:pt idx="38">
                  <c:v>9.14</c:v>
                </c:pt>
                <c:pt idx="39">
                  <c:v>9.33</c:v>
                </c:pt>
                <c:pt idx="40">
                  <c:v>9.7100000000000009</c:v>
                </c:pt>
                <c:pt idx="41">
                  <c:v>9.4499999999999993</c:v>
                </c:pt>
                <c:pt idx="42">
                  <c:v>9.4</c:v>
                </c:pt>
                <c:pt idx="43">
                  <c:v>9.6300000000000008</c:v>
                </c:pt>
                <c:pt idx="44">
                  <c:v>9.4700000000000006</c:v>
                </c:pt>
                <c:pt idx="45">
                  <c:v>9.65</c:v>
                </c:pt>
                <c:pt idx="46">
                  <c:v>9.7799999999999994</c:v>
                </c:pt>
                <c:pt idx="47">
                  <c:v>10.06</c:v>
                </c:pt>
                <c:pt idx="48">
                  <c:v>10.039999999999999</c:v>
                </c:pt>
                <c:pt idx="49">
                  <c:v>10.02</c:v>
                </c:pt>
                <c:pt idx="50">
                  <c:v>10.15</c:v>
                </c:pt>
                <c:pt idx="51">
                  <c:v>10.01</c:v>
                </c:pt>
                <c:pt idx="52">
                  <c:v>10.18</c:v>
                </c:pt>
                <c:pt idx="53">
                  <c:v>10.28</c:v>
                </c:pt>
                <c:pt idx="54">
                  <c:v>10.17</c:v>
                </c:pt>
                <c:pt idx="55">
                  <c:v>10.44</c:v>
                </c:pt>
                <c:pt idx="56">
                  <c:v>10.28</c:v>
                </c:pt>
                <c:pt idx="57">
                  <c:v>10.28</c:v>
                </c:pt>
                <c:pt idx="58">
                  <c:v>10.43</c:v>
                </c:pt>
                <c:pt idx="59">
                  <c:v>10.55</c:v>
                </c:pt>
                <c:pt idx="60">
                  <c:v>10.6</c:v>
                </c:pt>
                <c:pt idx="61">
                  <c:v>10.65</c:v>
                </c:pt>
                <c:pt idx="62">
                  <c:v>10.75</c:v>
                </c:pt>
                <c:pt idx="63">
                  <c:v>10.8</c:v>
                </c:pt>
                <c:pt idx="64">
                  <c:v>10.75</c:v>
                </c:pt>
                <c:pt idx="65">
                  <c:v>10.72</c:v>
                </c:pt>
                <c:pt idx="66">
                  <c:v>10.48</c:v>
                </c:pt>
                <c:pt idx="67">
                  <c:v>10.44</c:v>
                </c:pt>
                <c:pt idx="68">
                  <c:v>10.36</c:v>
                </c:pt>
                <c:pt idx="69">
                  <c:v>10.31</c:v>
                </c:pt>
                <c:pt idx="70">
                  <c:v>10.17</c:v>
                </c:pt>
                <c:pt idx="71">
                  <c:v>10.220000000000001</c:v>
                </c:pt>
                <c:pt idx="72">
                  <c:v>10.38</c:v>
                </c:pt>
                <c:pt idx="73">
                  <c:v>9.98</c:v>
                </c:pt>
                <c:pt idx="74">
                  <c:v>10.19</c:v>
                </c:pt>
                <c:pt idx="75">
                  <c:v>10.24</c:v>
                </c:pt>
                <c:pt idx="76">
                  <c:v>10.1</c:v>
                </c:pt>
                <c:pt idx="77">
                  <c:v>10.26</c:v>
                </c:pt>
                <c:pt idx="78">
                  <c:v>10.34</c:v>
                </c:pt>
                <c:pt idx="79">
                  <c:v>10.6</c:v>
                </c:pt>
                <c:pt idx="80">
                  <c:v>10.66</c:v>
                </c:pt>
                <c:pt idx="81">
                  <c:v>10.53</c:v>
                </c:pt>
                <c:pt idx="82">
                  <c:v>10.43</c:v>
                </c:pt>
                <c:pt idx="83">
                  <c:v>10.62</c:v>
                </c:pt>
                <c:pt idx="84">
                  <c:v>10.42</c:v>
                </c:pt>
                <c:pt idx="85">
                  <c:v>10.43</c:v>
                </c:pt>
                <c:pt idx="86">
                  <c:v>10.59</c:v>
                </c:pt>
                <c:pt idx="87">
                  <c:v>10.75</c:v>
                </c:pt>
                <c:pt idx="88">
                  <c:v>10.73</c:v>
                </c:pt>
                <c:pt idx="89">
                  <c:v>10.48</c:v>
                </c:pt>
                <c:pt idx="90">
                  <c:v>10.63</c:v>
                </c:pt>
                <c:pt idx="91">
                  <c:v>10.8</c:v>
                </c:pt>
                <c:pt idx="92">
                  <c:v>10.85</c:v>
                </c:pt>
                <c:pt idx="93">
                  <c:v>11.35</c:v>
                </c:pt>
                <c:pt idx="94">
                  <c:v>11.77</c:v>
                </c:pt>
                <c:pt idx="95">
                  <c:v>11.81</c:v>
                </c:pt>
                <c:pt idx="96">
                  <c:v>11.59</c:v>
                </c:pt>
                <c:pt idx="97">
                  <c:v>11.68</c:v>
                </c:pt>
                <c:pt idx="98">
                  <c:v>11.83</c:v>
                </c:pt>
                <c:pt idx="99">
                  <c:v>11.91</c:v>
                </c:pt>
                <c:pt idx="100">
                  <c:v>11.78</c:v>
                </c:pt>
                <c:pt idx="101">
                  <c:v>11.88</c:v>
                </c:pt>
                <c:pt idx="102">
                  <c:v>11.57</c:v>
                </c:pt>
                <c:pt idx="103">
                  <c:v>11.24</c:v>
                </c:pt>
                <c:pt idx="104">
                  <c:v>11.15</c:v>
                </c:pt>
                <c:pt idx="105">
                  <c:v>11.16</c:v>
                </c:pt>
                <c:pt idx="106">
                  <c:v>11.31</c:v>
                </c:pt>
                <c:pt idx="107">
                  <c:v>11.19</c:v>
                </c:pt>
                <c:pt idx="108">
                  <c:v>11.38</c:v>
                </c:pt>
                <c:pt idx="109">
                  <c:v>11.26</c:v>
                </c:pt>
                <c:pt idx="110">
                  <c:v>11.47</c:v>
                </c:pt>
                <c:pt idx="111">
                  <c:v>11.28</c:v>
                </c:pt>
                <c:pt idx="112">
                  <c:v>11.08</c:v>
                </c:pt>
                <c:pt idx="113">
                  <c:v>10.87</c:v>
                </c:pt>
                <c:pt idx="114">
                  <c:v>11.07</c:v>
                </c:pt>
                <c:pt idx="115">
                  <c:v>10.82</c:v>
                </c:pt>
                <c:pt idx="116">
                  <c:v>10.95</c:v>
                </c:pt>
                <c:pt idx="117">
                  <c:v>11.06</c:v>
                </c:pt>
                <c:pt idx="118">
                  <c:v>11.21</c:v>
                </c:pt>
                <c:pt idx="119">
                  <c:v>11.28</c:v>
                </c:pt>
                <c:pt idx="120">
                  <c:v>11.32</c:v>
                </c:pt>
                <c:pt idx="121">
                  <c:v>11.14</c:v>
                </c:pt>
                <c:pt idx="122">
                  <c:v>11.25</c:v>
                </c:pt>
                <c:pt idx="123">
                  <c:v>11.44</c:v>
                </c:pt>
                <c:pt idx="124">
                  <c:v>11.44</c:v>
                </c:pt>
                <c:pt idx="125">
                  <c:v>11.44</c:v>
                </c:pt>
                <c:pt idx="126">
                  <c:v>11.46</c:v>
                </c:pt>
                <c:pt idx="127">
                  <c:v>11.58</c:v>
                </c:pt>
                <c:pt idx="128">
                  <c:v>11.49</c:v>
                </c:pt>
                <c:pt idx="129">
                  <c:v>11.33</c:v>
                </c:pt>
                <c:pt idx="130">
                  <c:v>11.74</c:v>
                </c:pt>
                <c:pt idx="131">
                  <c:v>11.82</c:v>
                </c:pt>
                <c:pt idx="132">
                  <c:v>11.84</c:v>
                </c:pt>
                <c:pt idx="133">
                  <c:v>11.91</c:v>
                </c:pt>
                <c:pt idx="134">
                  <c:v>11.71</c:v>
                </c:pt>
                <c:pt idx="135">
                  <c:v>11.77</c:v>
                </c:pt>
                <c:pt idx="136">
                  <c:v>11.72</c:v>
                </c:pt>
                <c:pt idx="137">
                  <c:v>11.62</c:v>
                </c:pt>
                <c:pt idx="138">
                  <c:v>11.68</c:v>
                </c:pt>
                <c:pt idx="139">
                  <c:v>11.74</c:v>
                </c:pt>
                <c:pt idx="140">
                  <c:v>11.69</c:v>
                </c:pt>
                <c:pt idx="141">
                  <c:v>11.49</c:v>
                </c:pt>
                <c:pt idx="142">
                  <c:v>11.42</c:v>
                </c:pt>
                <c:pt idx="143">
                  <c:v>11.76</c:v>
                </c:pt>
                <c:pt idx="144">
                  <c:v>11.68</c:v>
                </c:pt>
                <c:pt idx="145">
                  <c:v>11.68</c:v>
                </c:pt>
                <c:pt idx="146">
                  <c:v>11.61</c:v>
                </c:pt>
                <c:pt idx="147">
                  <c:v>11.66</c:v>
                </c:pt>
                <c:pt idx="148">
                  <c:v>11.74</c:v>
                </c:pt>
                <c:pt idx="149">
                  <c:v>11.62</c:v>
                </c:pt>
                <c:pt idx="150">
                  <c:v>11.66</c:v>
                </c:pt>
                <c:pt idx="151">
                  <c:v>11.73</c:v>
                </c:pt>
                <c:pt idx="152">
                  <c:v>11.63</c:v>
                </c:pt>
                <c:pt idx="153">
                  <c:v>11.62</c:v>
                </c:pt>
                <c:pt idx="154">
                  <c:v>12.01</c:v>
                </c:pt>
                <c:pt idx="155">
                  <c:v>12.09</c:v>
                </c:pt>
                <c:pt idx="156">
                  <c:v>11.96</c:v>
                </c:pt>
                <c:pt idx="157">
                  <c:v>12.27</c:v>
                </c:pt>
                <c:pt idx="158">
                  <c:v>12.22</c:v>
                </c:pt>
                <c:pt idx="159">
                  <c:v>12.67</c:v>
                </c:pt>
                <c:pt idx="160">
                  <c:v>12.7</c:v>
                </c:pt>
                <c:pt idx="161">
                  <c:v>11.92</c:v>
                </c:pt>
                <c:pt idx="162">
                  <c:v>11.74</c:v>
                </c:pt>
                <c:pt idx="163">
                  <c:v>11.5</c:v>
                </c:pt>
                <c:pt idx="164">
                  <c:v>11.41</c:v>
                </c:pt>
                <c:pt idx="165">
                  <c:v>11.54</c:v>
                </c:pt>
                <c:pt idx="166">
                  <c:v>11.65</c:v>
                </c:pt>
                <c:pt idx="167">
                  <c:v>11.76</c:v>
                </c:pt>
                <c:pt idx="168">
                  <c:v>11.74</c:v>
                </c:pt>
                <c:pt idx="169">
                  <c:v>11.92</c:v>
                </c:pt>
                <c:pt idx="170">
                  <c:v>11.99</c:v>
                </c:pt>
                <c:pt idx="171">
                  <c:v>12.56</c:v>
                </c:pt>
                <c:pt idx="172">
                  <c:v>12.43</c:v>
                </c:pt>
                <c:pt idx="173">
                  <c:v>12.34</c:v>
                </c:pt>
                <c:pt idx="174">
                  <c:v>13.84</c:v>
                </c:pt>
                <c:pt idx="175">
                  <c:v>13.26</c:v>
                </c:pt>
                <c:pt idx="176">
                  <c:v>13.13</c:v>
                </c:pt>
                <c:pt idx="177">
                  <c:v>13.24</c:v>
                </c:pt>
                <c:pt idx="178">
                  <c:v>13.06</c:v>
                </c:pt>
                <c:pt idx="179">
                  <c:v>13.13</c:v>
                </c:pt>
                <c:pt idx="180">
                  <c:v>13.01</c:v>
                </c:pt>
                <c:pt idx="181">
                  <c:v>12.79</c:v>
                </c:pt>
                <c:pt idx="182">
                  <c:v>13.11</c:v>
                </c:pt>
                <c:pt idx="183">
                  <c:v>13.12</c:v>
                </c:pt>
                <c:pt idx="184">
                  <c:v>13.21</c:v>
                </c:pt>
                <c:pt idx="185">
                  <c:v>13.16</c:v>
                </c:pt>
                <c:pt idx="186">
                  <c:v>13.3</c:v>
                </c:pt>
                <c:pt idx="187">
                  <c:v>13.45</c:v>
                </c:pt>
                <c:pt idx="188">
                  <c:v>13.28</c:v>
                </c:pt>
                <c:pt idx="189">
                  <c:v>13.19</c:v>
                </c:pt>
                <c:pt idx="190">
                  <c:v>12.88</c:v>
                </c:pt>
                <c:pt idx="191">
                  <c:v>13.02</c:v>
                </c:pt>
                <c:pt idx="192">
                  <c:v>12.9</c:v>
                </c:pt>
                <c:pt idx="193">
                  <c:v>12.41</c:v>
                </c:pt>
                <c:pt idx="194">
                  <c:v>12.83</c:v>
                </c:pt>
                <c:pt idx="195">
                  <c:v>12.96</c:v>
                </c:pt>
                <c:pt idx="196">
                  <c:v>13.17</c:v>
                </c:pt>
                <c:pt idx="197">
                  <c:v>13.19</c:v>
                </c:pt>
                <c:pt idx="198">
                  <c:v>13.28</c:v>
                </c:pt>
                <c:pt idx="199">
                  <c:v>13.16</c:v>
                </c:pt>
                <c:pt idx="200">
                  <c:v>12.96</c:v>
                </c:pt>
                <c:pt idx="201">
                  <c:v>13.09</c:v>
                </c:pt>
                <c:pt idx="202">
                  <c:v>13.14</c:v>
                </c:pt>
                <c:pt idx="203">
                  <c:v>13.03</c:v>
                </c:pt>
                <c:pt idx="204">
                  <c:v>13.14</c:v>
                </c:pt>
                <c:pt idx="205">
                  <c:v>13.08</c:v>
                </c:pt>
                <c:pt idx="206">
                  <c:v>13.41</c:v>
                </c:pt>
                <c:pt idx="207">
                  <c:v>13.63</c:v>
                </c:pt>
                <c:pt idx="208">
                  <c:v>13.76</c:v>
                </c:pt>
                <c:pt idx="209">
                  <c:v>13.65</c:v>
                </c:pt>
                <c:pt idx="210">
                  <c:v>13.67</c:v>
                </c:pt>
                <c:pt idx="211">
                  <c:v>13.31</c:v>
                </c:pt>
                <c:pt idx="212">
                  <c:v>13.32</c:v>
                </c:pt>
                <c:pt idx="213">
                  <c:v>13.47</c:v>
                </c:pt>
                <c:pt idx="214">
                  <c:v>13.46</c:v>
                </c:pt>
                <c:pt idx="215">
                  <c:v>13.29</c:v>
                </c:pt>
                <c:pt idx="216">
                  <c:v>13.36</c:v>
                </c:pt>
                <c:pt idx="217">
                  <c:v>13.31</c:v>
                </c:pt>
                <c:pt idx="218">
                  <c:v>13.28</c:v>
                </c:pt>
                <c:pt idx="219">
                  <c:v>13.23</c:v>
                </c:pt>
                <c:pt idx="220">
                  <c:v>13.12</c:v>
                </c:pt>
                <c:pt idx="221">
                  <c:v>13.34</c:v>
                </c:pt>
                <c:pt idx="222">
                  <c:v>13.47</c:v>
                </c:pt>
                <c:pt idx="223">
                  <c:v>13.8</c:v>
                </c:pt>
                <c:pt idx="224">
                  <c:v>13.74</c:v>
                </c:pt>
                <c:pt idx="225">
                  <c:v>14.4</c:v>
                </c:pt>
                <c:pt idx="226">
                  <c:v>14.2</c:v>
                </c:pt>
                <c:pt idx="227">
                  <c:v>14.03</c:v>
                </c:pt>
                <c:pt idx="228">
                  <c:v>13.98</c:v>
                </c:pt>
                <c:pt idx="229">
                  <c:v>13.84</c:v>
                </c:pt>
                <c:pt idx="230">
                  <c:v>13.81</c:v>
                </c:pt>
                <c:pt idx="231">
                  <c:v>13.6</c:v>
                </c:pt>
                <c:pt idx="232">
                  <c:v>13.28</c:v>
                </c:pt>
                <c:pt idx="233">
                  <c:v>13.77</c:v>
                </c:pt>
                <c:pt idx="234">
                  <c:v>13.71</c:v>
                </c:pt>
                <c:pt idx="235">
                  <c:v>13.56</c:v>
                </c:pt>
                <c:pt idx="236">
                  <c:v>13.44</c:v>
                </c:pt>
                <c:pt idx="237">
                  <c:v>13.93</c:v>
                </c:pt>
                <c:pt idx="238">
                  <c:v>13.82</c:v>
                </c:pt>
                <c:pt idx="239">
                  <c:v>14</c:v>
                </c:pt>
                <c:pt idx="240">
                  <c:v>13.88</c:v>
                </c:pt>
                <c:pt idx="241">
                  <c:v>13.81</c:v>
                </c:pt>
                <c:pt idx="242">
                  <c:v>13.73</c:v>
                </c:pt>
                <c:pt idx="243">
                  <c:v>13.82</c:v>
                </c:pt>
                <c:pt idx="244">
                  <c:v>13.72</c:v>
                </c:pt>
                <c:pt idx="245">
                  <c:v>13.8</c:v>
                </c:pt>
                <c:pt idx="246">
                  <c:v>13.59</c:v>
                </c:pt>
                <c:pt idx="247">
                  <c:v>13.57</c:v>
                </c:pt>
                <c:pt idx="248">
                  <c:v>13.85</c:v>
                </c:pt>
                <c:pt idx="249">
                  <c:v>14</c:v>
                </c:pt>
                <c:pt idx="250">
                  <c:v>14.12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3-408D-8902-4AEB47154C67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45702</c:v>
                </c:pt>
                <c:pt idx="1">
                  <c:v>45706</c:v>
                </c:pt>
                <c:pt idx="2">
                  <c:v>45707</c:v>
                </c:pt>
                <c:pt idx="3">
                  <c:v>45708</c:v>
                </c:pt>
                <c:pt idx="4">
                  <c:v>45709</c:v>
                </c:pt>
                <c:pt idx="5">
                  <c:v>45712</c:v>
                </c:pt>
                <c:pt idx="6">
                  <c:v>45713</c:v>
                </c:pt>
                <c:pt idx="7">
                  <c:v>45714</c:v>
                </c:pt>
                <c:pt idx="8">
                  <c:v>45715</c:v>
                </c:pt>
                <c:pt idx="9">
                  <c:v>45716</c:v>
                </c:pt>
                <c:pt idx="10">
                  <c:v>45719</c:v>
                </c:pt>
                <c:pt idx="11">
                  <c:v>45720</c:v>
                </c:pt>
                <c:pt idx="12">
                  <c:v>45721</c:v>
                </c:pt>
                <c:pt idx="13">
                  <c:v>45722</c:v>
                </c:pt>
                <c:pt idx="14">
                  <c:v>45723</c:v>
                </c:pt>
                <c:pt idx="15">
                  <c:v>45726</c:v>
                </c:pt>
                <c:pt idx="16">
                  <c:v>45727</c:v>
                </c:pt>
                <c:pt idx="17">
                  <c:v>45728</c:v>
                </c:pt>
                <c:pt idx="18">
                  <c:v>45729</c:v>
                </c:pt>
                <c:pt idx="19">
                  <c:v>45730</c:v>
                </c:pt>
                <c:pt idx="20">
                  <c:v>45733</c:v>
                </c:pt>
                <c:pt idx="21">
                  <c:v>45734</c:v>
                </c:pt>
                <c:pt idx="22">
                  <c:v>45735</c:v>
                </c:pt>
                <c:pt idx="23">
                  <c:v>45736</c:v>
                </c:pt>
                <c:pt idx="24">
                  <c:v>45737</c:v>
                </c:pt>
                <c:pt idx="25">
                  <c:v>45740</c:v>
                </c:pt>
                <c:pt idx="26">
                  <c:v>45741</c:v>
                </c:pt>
                <c:pt idx="27">
                  <c:v>45742</c:v>
                </c:pt>
                <c:pt idx="28">
                  <c:v>45743</c:v>
                </c:pt>
                <c:pt idx="29">
                  <c:v>45744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45754</c:v>
                </c:pt>
                <c:pt idx="36">
                  <c:v>45755</c:v>
                </c:pt>
                <c:pt idx="37">
                  <c:v>45756</c:v>
                </c:pt>
                <c:pt idx="38">
                  <c:v>45757</c:v>
                </c:pt>
                <c:pt idx="39">
                  <c:v>45758</c:v>
                </c:pt>
                <c:pt idx="40">
                  <c:v>45761</c:v>
                </c:pt>
                <c:pt idx="41">
                  <c:v>45762</c:v>
                </c:pt>
                <c:pt idx="42">
                  <c:v>45763</c:v>
                </c:pt>
                <c:pt idx="43">
                  <c:v>45764</c:v>
                </c:pt>
                <c:pt idx="44">
                  <c:v>45768</c:v>
                </c:pt>
                <c:pt idx="45">
                  <c:v>45769</c:v>
                </c:pt>
                <c:pt idx="46">
                  <c:v>45770</c:v>
                </c:pt>
                <c:pt idx="47">
                  <c:v>45771</c:v>
                </c:pt>
                <c:pt idx="48">
                  <c:v>45772</c:v>
                </c:pt>
                <c:pt idx="49">
                  <c:v>45775</c:v>
                </c:pt>
                <c:pt idx="50">
                  <c:v>45776</c:v>
                </c:pt>
                <c:pt idx="51">
                  <c:v>45777</c:v>
                </c:pt>
                <c:pt idx="52">
                  <c:v>45778</c:v>
                </c:pt>
                <c:pt idx="53">
                  <c:v>45779</c:v>
                </c:pt>
                <c:pt idx="54">
                  <c:v>45782</c:v>
                </c:pt>
                <c:pt idx="55">
                  <c:v>45783</c:v>
                </c:pt>
                <c:pt idx="56">
                  <c:v>45784</c:v>
                </c:pt>
                <c:pt idx="57">
                  <c:v>45785</c:v>
                </c:pt>
                <c:pt idx="58">
                  <c:v>45786</c:v>
                </c:pt>
                <c:pt idx="59">
                  <c:v>45789</c:v>
                </c:pt>
                <c:pt idx="60">
                  <c:v>45790</c:v>
                </c:pt>
                <c:pt idx="61">
                  <c:v>45791</c:v>
                </c:pt>
                <c:pt idx="62">
                  <c:v>45792</c:v>
                </c:pt>
                <c:pt idx="63">
                  <c:v>45793</c:v>
                </c:pt>
                <c:pt idx="64">
                  <c:v>45796</c:v>
                </c:pt>
                <c:pt idx="65">
                  <c:v>45797</c:v>
                </c:pt>
                <c:pt idx="66">
                  <c:v>45798</c:v>
                </c:pt>
                <c:pt idx="67">
                  <c:v>45799</c:v>
                </c:pt>
                <c:pt idx="68">
                  <c:v>45800</c:v>
                </c:pt>
                <c:pt idx="69">
                  <c:v>45804</c:v>
                </c:pt>
                <c:pt idx="70">
                  <c:v>45805</c:v>
                </c:pt>
                <c:pt idx="71">
                  <c:v>45806</c:v>
                </c:pt>
                <c:pt idx="72">
                  <c:v>45807</c:v>
                </c:pt>
                <c:pt idx="73">
                  <c:v>45810</c:v>
                </c:pt>
                <c:pt idx="74">
                  <c:v>45811</c:v>
                </c:pt>
                <c:pt idx="75">
                  <c:v>45812</c:v>
                </c:pt>
                <c:pt idx="76">
                  <c:v>45813</c:v>
                </c:pt>
                <c:pt idx="77">
                  <c:v>45814</c:v>
                </c:pt>
                <c:pt idx="78">
                  <c:v>45817</c:v>
                </c:pt>
                <c:pt idx="79">
                  <c:v>45818</c:v>
                </c:pt>
                <c:pt idx="80">
                  <c:v>45819</c:v>
                </c:pt>
                <c:pt idx="81">
                  <c:v>45820</c:v>
                </c:pt>
                <c:pt idx="82">
                  <c:v>45821</c:v>
                </c:pt>
                <c:pt idx="83">
                  <c:v>45824</c:v>
                </c:pt>
                <c:pt idx="84">
                  <c:v>45825</c:v>
                </c:pt>
                <c:pt idx="85">
                  <c:v>45826</c:v>
                </c:pt>
                <c:pt idx="86">
                  <c:v>45828</c:v>
                </c:pt>
                <c:pt idx="87">
                  <c:v>45831</c:v>
                </c:pt>
                <c:pt idx="88">
                  <c:v>45832</c:v>
                </c:pt>
                <c:pt idx="89">
                  <c:v>45833</c:v>
                </c:pt>
                <c:pt idx="90">
                  <c:v>45834</c:v>
                </c:pt>
                <c:pt idx="91">
                  <c:v>45835</c:v>
                </c:pt>
                <c:pt idx="92">
                  <c:v>45838</c:v>
                </c:pt>
                <c:pt idx="93">
                  <c:v>45839</c:v>
                </c:pt>
                <c:pt idx="94">
                  <c:v>45840</c:v>
                </c:pt>
                <c:pt idx="95">
                  <c:v>45841</c:v>
                </c:pt>
                <c:pt idx="96">
                  <c:v>45845</c:v>
                </c:pt>
                <c:pt idx="97">
                  <c:v>45846</c:v>
                </c:pt>
                <c:pt idx="98">
                  <c:v>45847</c:v>
                </c:pt>
                <c:pt idx="99">
                  <c:v>45848</c:v>
                </c:pt>
                <c:pt idx="100">
                  <c:v>45849</c:v>
                </c:pt>
                <c:pt idx="101">
                  <c:v>45852</c:v>
                </c:pt>
                <c:pt idx="102">
                  <c:v>45853</c:v>
                </c:pt>
                <c:pt idx="103">
                  <c:v>45854</c:v>
                </c:pt>
                <c:pt idx="104">
                  <c:v>45855</c:v>
                </c:pt>
                <c:pt idx="105">
                  <c:v>45856</c:v>
                </c:pt>
                <c:pt idx="106">
                  <c:v>45859</c:v>
                </c:pt>
                <c:pt idx="107">
                  <c:v>45860</c:v>
                </c:pt>
                <c:pt idx="108">
                  <c:v>45861</c:v>
                </c:pt>
                <c:pt idx="109">
                  <c:v>45862</c:v>
                </c:pt>
                <c:pt idx="110">
                  <c:v>45863</c:v>
                </c:pt>
                <c:pt idx="111">
                  <c:v>45866</c:v>
                </c:pt>
                <c:pt idx="112">
                  <c:v>45867</c:v>
                </c:pt>
                <c:pt idx="113">
                  <c:v>45868</c:v>
                </c:pt>
                <c:pt idx="114">
                  <c:v>45869</c:v>
                </c:pt>
                <c:pt idx="115">
                  <c:v>45870</c:v>
                </c:pt>
                <c:pt idx="116">
                  <c:v>45873</c:v>
                </c:pt>
                <c:pt idx="117">
                  <c:v>45874</c:v>
                </c:pt>
                <c:pt idx="118">
                  <c:v>45875</c:v>
                </c:pt>
                <c:pt idx="119">
                  <c:v>45876</c:v>
                </c:pt>
                <c:pt idx="120">
                  <c:v>45877</c:v>
                </c:pt>
                <c:pt idx="121">
                  <c:v>45880</c:v>
                </c:pt>
                <c:pt idx="122">
                  <c:v>45881</c:v>
                </c:pt>
                <c:pt idx="123">
                  <c:v>45882</c:v>
                </c:pt>
                <c:pt idx="124">
                  <c:v>45883</c:v>
                </c:pt>
                <c:pt idx="125">
                  <c:v>45884</c:v>
                </c:pt>
                <c:pt idx="126">
                  <c:v>45887</c:v>
                </c:pt>
                <c:pt idx="127">
                  <c:v>45888</c:v>
                </c:pt>
                <c:pt idx="128">
                  <c:v>45889</c:v>
                </c:pt>
                <c:pt idx="129">
                  <c:v>45890</c:v>
                </c:pt>
                <c:pt idx="130">
                  <c:v>45891</c:v>
                </c:pt>
                <c:pt idx="131">
                  <c:v>45894</c:v>
                </c:pt>
                <c:pt idx="132">
                  <c:v>45895</c:v>
                </c:pt>
                <c:pt idx="133">
                  <c:v>45896</c:v>
                </c:pt>
                <c:pt idx="134">
                  <c:v>45897</c:v>
                </c:pt>
                <c:pt idx="135">
                  <c:v>45898</c:v>
                </c:pt>
                <c:pt idx="136">
                  <c:v>45902</c:v>
                </c:pt>
                <c:pt idx="137">
                  <c:v>45903</c:v>
                </c:pt>
                <c:pt idx="138">
                  <c:v>45904</c:v>
                </c:pt>
                <c:pt idx="139">
                  <c:v>45905</c:v>
                </c:pt>
                <c:pt idx="140">
                  <c:v>45908</c:v>
                </c:pt>
                <c:pt idx="141">
                  <c:v>45909</c:v>
                </c:pt>
                <c:pt idx="142">
                  <c:v>45910</c:v>
                </c:pt>
                <c:pt idx="143">
                  <c:v>45911</c:v>
                </c:pt>
                <c:pt idx="144">
                  <c:v>45912</c:v>
                </c:pt>
                <c:pt idx="145">
                  <c:v>45915</c:v>
                </c:pt>
                <c:pt idx="146">
                  <c:v>45916</c:v>
                </c:pt>
                <c:pt idx="147">
                  <c:v>45917</c:v>
                </c:pt>
                <c:pt idx="148">
                  <c:v>45918</c:v>
                </c:pt>
                <c:pt idx="149">
                  <c:v>45919</c:v>
                </c:pt>
                <c:pt idx="150">
                  <c:v>45922</c:v>
                </c:pt>
                <c:pt idx="151">
                  <c:v>45923</c:v>
                </c:pt>
                <c:pt idx="152">
                  <c:v>45924</c:v>
                </c:pt>
                <c:pt idx="153">
                  <c:v>45925</c:v>
                </c:pt>
                <c:pt idx="154">
                  <c:v>45926</c:v>
                </c:pt>
                <c:pt idx="155">
                  <c:v>45929</c:v>
                </c:pt>
                <c:pt idx="156">
                  <c:v>45930</c:v>
                </c:pt>
                <c:pt idx="157">
                  <c:v>45931</c:v>
                </c:pt>
                <c:pt idx="158">
                  <c:v>45932</c:v>
                </c:pt>
                <c:pt idx="159">
                  <c:v>45933</c:v>
                </c:pt>
                <c:pt idx="160">
                  <c:v>45936</c:v>
                </c:pt>
                <c:pt idx="161">
                  <c:v>45937</c:v>
                </c:pt>
                <c:pt idx="162">
                  <c:v>45938</c:v>
                </c:pt>
                <c:pt idx="163">
                  <c:v>45939</c:v>
                </c:pt>
                <c:pt idx="164">
                  <c:v>45940</c:v>
                </c:pt>
                <c:pt idx="165">
                  <c:v>45943</c:v>
                </c:pt>
                <c:pt idx="166">
                  <c:v>45944</c:v>
                </c:pt>
                <c:pt idx="167">
                  <c:v>45945</c:v>
                </c:pt>
                <c:pt idx="168">
                  <c:v>45946</c:v>
                </c:pt>
                <c:pt idx="169">
                  <c:v>45947</c:v>
                </c:pt>
                <c:pt idx="170">
                  <c:v>45950</c:v>
                </c:pt>
                <c:pt idx="171">
                  <c:v>45951</c:v>
                </c:pt>
                <c:pt idx="172">
                  <c:v>45952</c:v>
                </c:pt>
                <c:pt idx="173">
                  <c:v>45953</c:v>
                </c:pt>
                <c:pt idx="174">
                  <c:v>45954</c:v>
                </c:pt>
                <c:pt idx="175">
                  <c:v>45957</c:v>
                </c:pt>
                <c:pt idx="176">
                  <c:v>45958</c:v>
                </c:pt>
                <c:pt idx="177">
                  <c:v>45959</c:v>
                </c:pt>
                <c:pt idx="178">
                  <c:v>45960</c:v>
                </c:pt>
                <c:pt idx="179">
                  <c:v>45961</c:v>
                </c:pt>
                <c:pt idx="180">
                  <c:v>45964</c:v>
                </c:pt>
                <c:pt idx="181">
                  <c:v>45965</c:v>
                </c:pt>
                <c:pt idx="182">
                  <c:v>45966</c:v>
                </c:pt>
                <c:pt idx="183">
                  <c:v>45967</c:v>
                </c:pt>
                <c:pt idx="184">
                  <c:v>45968</c:v>
                </c:pt>
                <c:pt idx="185">
                  <c:v>45971</c:v>
                </c:pt>
                <c:pt idx="186">
                  <c:v>45972</c:v>
                </c:pt>
                <c:pt idx="187">
                  <c:v>45973</c:v>
                </c:pt>
                <c:pt idx="188">
                  <c:v>45974</c:v>
                </c:pt>
                <c:pt idx="189">
                  <c:v>45975</c:v>
                </c:pt>
                <c:pt idx="190">
                  <c:v>45978</c:v>
                </c:pt>
                <c:pt idx="191">
                  <c:v>45979</c:v>
                </c:pt>
                <c:pt idx="192">
                  <c:v>45980</c:v>
                </c:pt>
                <c:pt idx="193">
                  <c:v>45981</c:v>
                </c:pt>
                <c:pt idx="194">
                  <c:v>45982</c:v>
                </c:pt>
                <c:pt idx="195">
                  <c:v>45985</c:v>
                </c:pt>
                <c:pt idx="196">
                  <c:v>45986</c:v>
                </c:pt>
                <c:pt idx="197">
                  <c:v>45987</c:v>
                </c:pt>
                <c:pt idx="198">
                  <c:v>45989</c:v>
                </c:pt>
                <c:pt idx="199">
                  <c:v>45992</c:v>
                </c:pt>
                <c:pt idx="200">
                  <c:v>45993</c:v>
                </c:pt>
                <c:pt idx="201">
                  <c:v>45994</c:v>
                </c:pt>
                <c:pt idx="202">
                  <c:v>45995</c:v>
                </c:pt>
                <c:pt idx="203">
                  <c:v>45996</c:v>
                </c:pt>
                <c:pt idx="204">
                  <c:v>45999</c:v>
                </c:pt>
                <c:pt idx="205">
                  <c:v>46000</c:v>
                </c:pt>
                <c:pt idx="206">
                  <c:v>46001</c:v>
                </c:pt>
                <c:pt idx="207">
                  <c:v>46002</c:v>
                </c:pt>
                <c:pt idx="208">
                  <c:v>46003</c:v>
                </c:pt>
                <c:pt idx="209">
                  <c:v>46006</c:v>
                </c:pt>
                <c:pt idx="210">
                  <c:v>46007</c:v>
                </c:pt>
                <c:pt idx="211">
                  <c:v>46008</c:v>
                </c:pt>
                <c:pt idx="212">
                  <c:v>46009</c:v>
                </c:pt>
                <c:pt idx="213">
                  <c:v>46010</c:v>
                </c:pt>
                <c:pt idx="214">
                  <c:v>46013</c:v>
                </c:pt>
                <c:pt idx="215">
                  <c:v>46014</c:v>
                </c:pt>
                <c:pt idx="216">
                  <c:v>46015</c:v>
                </c:pt>
                <c:pt idx="217">
                  <c:v>46017</c:v>
                </c:pt>
                <c:pt idx="218">
                  <c:v>46020</c:v>
                </c:pt>
                <c:pt idx="219">
                  <c:v>46021</c:v>
                </c:pt>
                <c:pt idx="220">
                  <c:v>46022</c:v>
                </c:pt>
                <c:pt idx="221">
                  <c:v>46024</c:v>
                </c:pt>
                <c:pt idx="222">
                  <c:v>46027</c:v>
                </c:pt>
                <c:pt idx="223">
                  <c:v>46028</c:v>
                </c:pt>
                <c:pt idx="224">
                  <c:v>46029</c:v>
                </c:pt>
                <c:pt idx="225">
                  <c:v>46030</c:v>
                </c:pt>
                <c:pt idx="226">
                  <c:v>46031</c:v>
                </c:pt>
                <c:pt idx="227">
                  <c:v>46034</c:v>
                </c:pt>
                <c:pt idx="228">
                  <c:v>46035</c:v>
                </c:pt>
                <c:pt idx="229">
                  <c:v>46036</c:v>
                </c:pt>
                <c:pt idx="230">
                  <c:v>46037</c:v>
                </c:pt>
                <c:pt idx="231">
                  <c:v>46038</c:v>
                </c:pt>
                <c:pt idx="232">
                  <c:v>46042</c:v>
                </c:pt>
                <c:pt idx="233">
                  <c:v>46043</c:v>
                </c:pt>
                <c:pt idx="234">
                  <c:v>46044</c:v>
                </c:pt>
                <c:pt idx="235">
                  <c:v>46045</c:v>
                </c:pt>
                <c:pt idx="236">
                  <c:v>46048</c:v>
                </c:pt>
                <c:pt idx="237">
                  <c:v>46049</c:v>
                </c:pt>
                <c:pt idx="238">
                  <c:v>46050</c:v>
                </c:pt>
                <c:pt idx="239">
                  <c:v>46051</c:v>
                </c:pt>
                <c:pt idx="240">
                  <c:v>46052</c:v>
                </c:pt>
                <c:pt idx="241">
                  <c:v>46055</c:v>
                </c:pt>
                <c:pt idx="242">
                  <c:v>46056</c:v>
                </c:pt>
                <c:pt idx="243">
                  <c:v>46057</c:v>
                </c:pt>
                <c:pt idx="244">
                  <c:v>46058</c:v>
                </c:pt>
                <c:pt idx="245">
                  <c:v>46059</c:v>
                </c:pt>
                <c:pt idx="246">
                  <c:v>46062</c:v>
                </c:pt>
                <c:pt idx="247">
                  <c:v>46063</c:v>
                </c:pt>
                <c:pt idx="248">
                  <c:v>46064</c:v>
                </c:pt>
                <c:pt idx="249">
                  <c:v>46065</c:v>
                </c:pt>
                <c:pt idx="250">
                  <c:v>46066</c:v>
                </c:pt>
              </c:numCache>
            </c:numRef>
          </c:cat>
          <c:val>
            <c:numRef>
              <c:f>Data!$J$2:$J$252</c:f>
              <c:numCache>
                <c:formatCode>General</c:formatCode>
                <c:ptCount val="251"/>
                <c:pt idx="19">
                  <c:v>9.4940000000000015</c:v>
                </c:pt>
                <c:pt idx="20">
                  <c:v>9.5235000000000003</c:v>
                </c:pt>
                <c:pt idx="21">
                  <c:v>9.556499999999998</c:v>
                </c:pt>
                <c:pt idx="22">
                  <c:v>9.597999999999999</c:v>
                </c:pt>
                <c:pt idx="23">
                  <c:v>9.6289999999999978</c:v>
                </c:pt>
                <c:pt idx="24">
                  <c:v>9.6649999999999974</c:v>
                </c:pt>
                <c:pt idx="25">
                  <c:v>9.7099999999999973</c:v>
                </c:pt>
                <c:pt idx="26">
                  <c:v>9.7534999999999989</c:v>
                </c:pt>
                <c:pt idx="27">
                  <c:v>9.7949999999999982</c:v>
                </c:pt>
                <c:pt idx="28">
                  <c:v>9.8255000000000017</c:v>
                </c:pt>
                <c:pt idx="29">
                  <c:v>9.8339999999999996</c:v>
                </c:pt>
                <c:pt idx="30">
                  <c:v>9.8660000000000014</c:v>
                </c:pt>
                <c:pt idx="31">
                  <c:v>9.907</c:v>
                </c:pt>
                <c:pt idx="32">
                  <c:v>9.9320000000000004</c:v>
                </c:pt>
                <c:pt idx="33">
                  <c:v>9.9285000000000014</c:v>
                </c:pt>
                <c:pt idx="34">
                  <c:v>9.9125000000000014</c:v>
                </c:pt>
                <c:pt idx="35">
                  <c:v>9.8765000000000018</c:v>
                </c:pt>
                <c:pt idx="36">
                  <c:v>9.8265000000000011</c:v>
                </c:pt>
                <c:pt idx="37">
                  <c:v>9.8219999999999992</c:v>
                </c:pt>
                <c:pt idx="38">
                  <c:v>9.8025000000000002</c:v>
                </c:pt>
                <c:pt idx="39">
                  <c:v>9.7825000000000006</c:v>
                </c:pt>
                <c:pt idx="40">
                  <c:v>9.772000000000002</c:v>
                </c:pt>
                <c:pt idx="41">
                  <c:v>9.7470000000000034</c:v>
                </c:pt>
                <c:pt idx="42">
                  <c:v>9.708499999999999</c:v>
                </c:pt>
                <c:pt idx="43">
                  <c:v>9.6894999999999989</c:v>
                </c:pt>
                <c:pt idx="44">
                  <c:v>9.6630000000000003</c:v>
                </c:pt>
                <c:pt idx="45">
                  <c:v>9.6329999999999991</c:v>
                </c:pt>
                <c:pt idx="46">
                  <c:v>9.6074999999999982</c:v>
                </c:pt>
                <c:pt idx="47">
                  <c:v>9.5954999999999995</c:v>
                </c:pt>
                <c:pt idx="48">
                  <c:v>9.6024999999999991</c:v>
                </c:pt>
                <c:pt idx="49">
                  <c:v>9.6175000000000015</c:v>
                </c:pt>
                <c:pt idx="50">
                  <c:v>9.6235000000000017</c:v>
                </c:pt>
                <c:pt idx="51">
                  <c:v>9.6269999999999989</c:v>
                </c:pt>
                <c:pt idx="52">
                  <c:v>9.6284999999999989</c:v>
                </c:pt>
                <c:pt idx="53">
                  <c:v>9.6654999999999998</c:v>
                </c:pt>
                <c:pt idx="54">
                  <c:v>9.6950000000000003</c:v>
                </c:pt>
                <c:pt idx="55">
                  <c:v>9.754999999999999</c:v>
                </c:pt>
                <c:pt idx="56">
                  <c:v>9.8344999999999985</c:v>
                </c:pt>
                <c:pt idx="57">
                  <c:v>9.8734999999999999</c:v>
                </c:pt>
                <c:pt idx="58">
                  <c:v>9.9380000000000006</c:v>
                </c:pt>
                <c:pt idx="59">
                  <c:v>9.9990000000000006</c:v>
                </c:pt>
                <c:pt idx="60">
                  <c:v>10.0435</c:v>
                </c:pt>
                <c:pt idx="61">
                  <c:v>10.1035</c:v>
                </c:pt>
                <c:pt idx="62">
                  <c:v>10.171000000000003</c:v>
                </c:pt>
                <c:pt idx="63">
                  <c:v>10.229500000000002</c:v>
                </c:pt>
                <c:pt idx="64">
                  <c:v>10.2935</c:v>
                </c:pt>
                <c:pt idx="65">
                  <c:v>10.347000000000001</c:v>
                </c:pt>
                <c:pt idx="66">
                  <c:v>10.382000000000001</c:v>
                </c:pt>
                <c:pt idx="67">
                  <c:v>10.401</c:v>
                </c:pt>
                <c:pt idx="68">
                  <c:v>10.416999999999998</c:v>
                </c:pt>
                <c:pt idx="69">
                  <c:v>10.4315</c:v>
                </c:pt>
                <c:pt idx="70">
                  <c:v>10.432499999999997</c:v>
                </c:pt>
                <c:pt idx="71">
                  <c:v>10.442999999999998</c:v>
                </c:pt>
                <c:pt idx="72">
                  <c:v>10.452999999999999</c:v>
                </c:pt>
                <c:pt idx="73">
                  <c:v>10.437999999999999</c:v>
                </c:pt>
                <c:pt idx="74">
                  <c:v>10.439</c:v>
                </c:pt>
                <c:pt idx="75">
                  <c:v>10.428999999999998</c:v>
                </c:pt>
                <c:pt idx="76">
                  <c:v>10.419999999999998</c:v>
                </c:pt>
                <c:pt idx="77">
                  <c:v>10.418999999999999</c:v>
                </c:pt>
                <c:pt idx="78">
                  <c:v>10.4145</c:v>
                </c:pt>
                <c:pt idx="79">
                  <c:v>10.416999999999998</c:v>
                </c:pt>
                <c:pt idx="80">
                  <c:v>10.419999999999998</c:v>
                </c:pt>
                <c:pt idx="81">
                  <c:v>10.414</c:v>
                </c:pt>
                <c:pt idx="82">
                  <c:v>10.398</c:v>
                </c:pt>
                <c:pt idx="83">
                  <c:v>10.388999999999999</c:v>
                </c:pt>
                <c:pt idx="84">
                  <c:v>10.372499999999999</c:v>
                </c:pt>
                <c:pt idx="85">
                  <c:v>10.358000000000001</c:v>
                </c:pt>
                <c:pt idx="86">
                  <c:v>10.3635</c:v>
                </c:pt>
                <c:pt idx="87">
                  <c:v>10.379000000000001</c:v>
                </c:pt>
                <c:pt idx="88">
                  <c:v>10.397499999999999</c:v>
                </c:pt>
                <c:pt idx="89">
                  <c:v>10.405999999999999</c:v>
                </c:pt>
                <c:pt idx="90">
                  <c:v>10.428999999999998</c:v>
                </c:pt>
                <c:pt idx="91">
                  <c:v>10.457999999999998</c:v>
                </c:pt>
                <c:pt idx="92">
                  <c:v>10.481499999999999</c:v>
                </c:pt>
                <c:pt idx="93">
                  <c:v>10.549999999999999</c:v>
                </c:pt>
                <c:pt idx="94">
                  <c:v>10.629</c:v>
                </c:pt>
                <c:pt idx="95">
                  <c:v>10.7075</c:v>
                </c:pt>
                <c:pt idx="96">
                  <c:v>10.782</c:v>
                </c:pt>
                <c:pt idx="97">
                  <c:v>10.853000000000002</c:v>
                </c:pt>
                <c:pt idx="98">
                  <c:v>10.927500000000002</c:v>
                </c:pt>
                <c:pt idx="99">
                  <c:v>10.993</c:v>
                </c:pt>
                <c:pt idx="100">
                  <c:v>11.049000000000001</c:v>
                </c:pt>
                <c:pt idx="101">
                  <c:v>11.1165</c:v>
                </c:pt>
                <c:pt idx="102">
                  <c:v>11.173500000000001</c:v>
                </c:pt>
                <c:pt idx="103">
                  <c:v>11.204499999999999</c:v>
                </c:pt>
                <c:pt idx="104">
                  <c:v>11.241000000000001</c:v>
                </c:pt>
                <c:pt idx="105">
                  <c:v>11.2775</c:v>
                </c:pt>
                <c:pt idx="106">
                  <c:v>11.313500000000001</c:v>
                </c:pt>
                <c:pt idx="107">
                  <c:v>11.3355</c:v>
                </c:pt>
                <c:pt idx="108">
                  <c:v>11.367999999999999</c:v>
                </c:pt>
                <c:pt idx="109">
                  <c:v>11.407</c:v>
                </c:pt>
                <c:pt idx="110">
                  <c:v>11.449</c:v>
                </c:pt>
                <c:pt idx="111">
                  <c:v>11.473000000000001</c:v>
                </c:pt>
                <c:pt idx="112">
                  <c:v>11.484500000000001</c:v>
                </c:pt>
                <c:pt idx="113">
                  <c:v>11.4605</c:v>
                </c:pt>
                <c:pt idx="114">
                  <c:v>11.425499999999998</c:v>
                </c:pt>
                <c:pt idx="115">
                  <c:v>11.376000000000001</c:v>
                </c:pt>
                <c:pt idx="116">
                  <c:v>11.343999999999999</c:v>
                </c:pt>
                <c:pt idx="117">
                  <c:v>11.312999999999999</c:v>
                </c:pt>
                <c:pt idx="118">
                  <c:v>11.282</c:v>
                </c:pt>
                <c:pt idx="119">
                  <c:v>11.250499999999999</c:v>
                </c:pt>
                <c:pt idx="120">
                  <c:v>11.227499999999999</c:v>
                </c:pt>
                <c:pt idx="121">
                  <c:v>11.1905</c:v>
                </c:pt>
                <c:pt idx="122">
                  <c:v>11.1745</c:v>
                </c:pt>
                <c:pt idx="123">
                  <c:v>11.1845</c:v>
                </c:pt>
                <c:pt idx="124">
                  <c:v>11.198999999999998</c:v>
                </c:pt>
                <c:pt idx="125">
                  <c:v>11.212999999999999</c:v>
                </c:pt>
                <c:pt idx="126">
                  <c:v>11.220499999999999</c:v>
                </c:pt>
                <c:pt idx="127">
                  <c:v>11.24</c:v>
                </c:pt>
                <c:pt idx="128">
                  <c:v>11.245500000000002</c:v>
                </c:pt>
                <c:pt idx="129">
                  <c:v>11.249000000000002</c:v>
                </c:pt>
                <c:pt idx="130">
                  <c:v>11.262500000000001</c:v>
                </c:pt>
                <c:pt idx="131">
                  <c:v>11.289500000000002</c:v>
                </c:pt>
                <c:pt idx="132">
                  <c:v>11.327500000000002</c:v>
                </c:pt>
                <c:pt idx="133">
                  <c:v>11.379500000000004</c:v>
                </c:pt>
                <c:pt idx="134">
                  <c:v>11.411500000000002</c:v>
                </c:pt>
                <c:pt idx="135">
                  <c:v>11.459000000000003</c:v>
                </c:pt>
                <c:pt idx="136">
                  <c:v>11.4975</c:v>
                </c:pt>
                <c:pt idx="137">
                  <c:v>11.525500000000001</c:v>
                </c:pt>
                <c:pt idx="138">
                  <c:v>11.549000000000001</c:v>
                </c:pt>
                <c:pt idx="139">
                  <c:v>11.572000000000001</c:v>
                </c:pt>
                <c:pt idx="140">
                  <c:v>11.5905</c:v>
                </c:pt>
                <c:pt idx="141">
                  <c:v>11.608000000000001</c:v>
                </c:pt>
                <c:pt idx="142">
                  <c:v>11.6165</c:v>
                </c:pt>
                <c:pt idx="143">
                  <c:v>11.632500000000002</c:v>
                </c:pt>
                <c:pt idx="144">
                  <c:v>11.644500000000001</c:v>
                </c:pt>
                <c:pt idx="145">
                  <c:v>11.656500000000001</c:v>
                </c:pt>
                <c:pt idx="146">
                  <c:v>11.663999999999998</c:v>
                </c:pt>
                <c:pt idx="147">
                  <c:v>11.667999999999999</c:v>
                </c:pt>
                <c:pt idx="148">
                  <c:v>11.680499999999999</c:v>
                </c:pt>
                <c:pt idx="149">
                  <c:v>11.695</c:v>
                </c:pt>
                <c:pt idx="150">
                  <c:v>11.690999999999999</c:v>
                </c:pt>
                <c:pt idx="151">
                  <c:v>11.686499999999999</c:v>
                </c:pt>
                <c:pt idx="152">
                  <c:v>11.676</c:v>
                </c:pt>
                <c:pt idx="153">
                  <c:v>11.6615</c:v>
                </c:pt>
                <c:pt idx="154">
                  <c:v>11.676500000000001</c:v>
                </c:pt>
                <c:pt idx="155">
                  <c:v>11.692500000000001</c:v>
                </c:pt>
                <c:pt idx="156">
                  <c:v>11.704500000000001</c:v>
                </c:pt>
                <c:pt idx="157">
                  <c:v>11.737</c:v>
                </c:pt>
                <c:pt idx="158">
                  <c:v>11.763999999999999</c:v>
                </c:pt>
                <c:pt idx="159">
                  <c:v>11.810499999999999</c:v>
                </c:pt>
                <c:pt idx="160">
                  <c:v>11.860999999999999</c:v>
                </c:pt>
                <c:pt idx="161">
                  <c:v>11.882499999999999</c:v>
                </c:pt>
                <c:pt idx="162">
                  <c:v>11.898499999999999</c:v>
                </c:pt>
                <c:pt idx="163">
                  <c:v>11.885499999999999</c:v>
                </c:pt>
                <c:pt idx="164">
                  <c:v>11.872</c:v>
                </c:pt>
                <c:pt idx="165">
                  <c:v>11.864999999999998</c:v>
                </c:pt>
                <c:pt idx="166">
                  <c:v>11.866999999999999</c:v>
                </c:pt>
                <c:pt idx="167">
                  <c:v>11.871999999999998</c:v>
                </c:pt>
                <c:pt idx="168">
                  <c:v>11.872</c:v>
                </c:pt>
                <c:pt idx="169">
                  <c:v>11.886999999999997</c:v>
                </c:pt>
                <c:pt idx="170">
                  <c:v>11.903499999999999</c:v>
                </c:pt>
                <c:pt idx="171">
                  <c:v>11.945</c:v>
                </c:pt>
                <c:pt idx="172">
                  <c:v>11.984999999999999</c:v>
                </c:pt>
                <c:pt idx="173">
                  <c:v>12.021000000000001</c:v>
                </c:pt>
                <c:pt idx="174">
                  <c:v>12.112500000000001</c:v>
                </c:pt>
                <c:pt idx="175">
                  <c:v>12.171000000000001</c:v>
                </c:pt>
                <c:pt idx="176">
                  <c:v>12.2295</c:v>
                </c:pt>
                <c:pt idx="177">
                  <c:v>12.278</c:v>
                </c:pt>
                <c:pt idx="178">
                  <c:v>12.32</c:v>
                </c:pt>
                <c:pt idx="179">
                  <c:v>12.343</c:v>
                </c:pt>
                <c:pt idx="180">
                  <c:v>12.358499999999999</c:v>
                </c:pt>
                <c:pt idx="181">
                  <c:v>12.401999999999999</c:v>
                </c:pt>
                <c:pt idx="182">
                  <c:v>12.470499999999998</c:v>
                </c:pt>
                <c:pt idx="183">
                  <c:v>12.551499999999999</c:v>
                </c:pt>
                <c:pt idx="184">
                  <c:v>12.641500000000001</c:v>
                </c:pt>
                <c:pt idx="185">
                  <c:v>12.722500000000002</c:v>
                </c:pt>
                <c:pt idx="186">
                  <c:v>12.805000000000001</c:v>
                </c:pt>
                <c:pt idx="187">
                  <c:v>12.889499999999998</c:v>
                </c:pt>
                <c:pt idx="188">
                  <c:v>12.9665</c:v>
                </c:pt>
                <c:pt idx="189">
                  <c:v>13.030000000000001</c:v>
                </c:pt>
                <c:pt idx="190">
                  <c:v>13.0745</c:v>
                </c:pt>
                <c:pt idx="191">
                  <c:v>13.0975</c:v>
                </c:pt>
                <c:pt idx="192">
                  <c:v>13.121</c:v>
                </c:pt>
                <c:pt idx="193">
                  <c:v>13.124500000000001</c:v>
                </c:pt>
                <c:pt idx="194">
                  <c:v>13.074000000000002</c:v>
                </c:pt>
                <c:pt idx="195">
                  <c:v>13.059000000000001</c:v>
                </c:pt>
                <c:pt idx="196">
                  <c:v>13.061000000000002</c:v>
                </c:pt>
                <c:pt idx="197">
                  <c:v>13.0585</c:v>
                </c:pt>
                <c:pt idx="198">
                  <c:v>13.0695</c:v>
                </c:pt>
                <c:pt idx="199">
                  <c:v>13.071000000000002</c:v>
                </c:pt>
                <c:pt idx="200">
                  <c:v>13.0685</c:v>
                </c:pt>
                <c:pt idx="201">
                  <c:v>13.083500000000001</c:v>
                </c:pt>
                <c:pt idx="202">
                  <c:v>13.084999999999999</c:v>
                </c:pt>
                <c:pt idx="203">
                  <c:v>13.080500000000001</c:v>
                </c:pt>
                <c:pt idx="204">
                  <c:v>13.077000000000002</c:v>
                </c:pt>
                <c:pt idx="205">
                  <c:v>13.072999999999999</c:v>
                </c:pt>
                <c:pt idx="206">
                  <c:v>13.0785</c:v>
                </c:pt>
                <c:pt idx="207">
                  <c:v>13.087500000000002</c:v>
                </c:pt>
                <c:pt idx="208">
                  <c:v>13.111500000000001</c:v>
                </c:pt>
                <c:pt idx="209">
                  <c:v>13.134499999999999</c:v>
                </c:pt>
                <c:pt idx="210">
                  <c:v>13.174000000000001</c:v>
                </c:pt>
                <c:pt idx="211">
                  <c:v>13.188499999999999</c:v>
                </c:pt>
                <c:pt idx="212">
                  <c:v>13.2095</c:v>
                </c:pt>
                <c:pt idx="213">
                  <c:v>13.262499999999999</c:v>
                </c:pt>
                <c:pt idx="214">
                  <c:v>13.294</c:v>
                </c:pt>
                <c:pt idx="215">
                  <c:v>13.310499999999999</c:v>
                </c:pt>
                <c:pt idx="216">
                  <c:v>13.319999999999999</c:v>
                </c:pt>
                <c:pt idx="217">
                  <c:v>13.325999999999999</c:v>
                </c:pt>
                <c:pt idx="218">
                  <c:v>13.325999999999997</c:v>
                </c:pt>
                <c:pt idx="219">
                  <c:v>13.329499999999999</c:v>
                </c:pt>
                <c:pt idx="220">
                  <c:v>13.3375</c:v>
                </c:pt>
                <c:pt idx="221">
                  <c:v>13.349999999999998</c:v>
                </c:pt>
                <c:pt idx="222">
                  <c:v>13.366499999999998</c:v>
                </c:pt>
                <c:pt idx="223">
                  <c:v>13.405000000000001</c:v>
                </c:pt>
                <c:pt idx="224">
                  <c:v>13.435000000000002</c:v>
                </c:pt>
                <c:pt idx="225">
                  <c:v>13.500999999999999</c:v>
                </c:pt>
                <c:pt idx="226">
                  <c:v>13.5405</c:v>
                </c:pt>
                <c:pt idx="227">
                  <c:v>13.560499999999999</c:v>
                </c:pt>
                <c:pt idx="228">
                  <c:v>13.5715</c:v>
                </c:pt>
                <c:pt idx="229">
                  <c:v>13.581</c:v>
                </c:pt>
                <c:pt idx="230">
                  <c:v>13.587999999999999</c:v>
                </c:pt>
                <c:pt idx="231">
                  <c:v>13.602500000000001</c:v>
                </c:pt>
                <c:pt idx="232">
                  <c:v>13.6005</c:v>
                </c:pt>
                <c:pt idx="233">
                  <c:v>13.615500000000001</c:v>
                </c:pt>
                <c:pt idx="234">
                  <c:v>13.627999999999997</c:v>
                </c:pt>
                <c:pt idx="235">
                  <c:v>13.641499999999999</c:v>
                </c:pt>
                <c:pt idx="236">
                  <c:v>13.645499999999998</c:v>
                </c:pt>
                <c:pt idx="237">
                  <c:v>13.676500000000001</c:v>
                </c:pt>
                <c:pt idx="238">
                  <c:v>13.7035</c:v>
                </c:pt>
                <c:pt idx="239">
                  <c:v>13.742000000000001</c:v>
                </c:pt>
                <c:pt idx="240">
                  <c:v>13.780000000000001</c:v>
                </c:pt>
                <c:pt idx="241">
                  <c:v>13.803500000000003</c:v>
                </c:pt>
                <c:pt idx="242">
                  <c:v>13.816500000000001</c:v>
                </c:pt>
                <c:pt idx="243">
                  <c:v>13.817500000000001</c:v>
                </c:pt>
                <c:pt idx="244">
                  <c:v>13.816500000000001</c:v>
                </c:pt>
                <c:pt idx="245">
                  <c:v>13.7865</c:v>
                </c:pt>
                <c:pt idx="246">
                  <c:v>13.755999999999997</c:v>
                </c:pt>
                <c:pt idx="247">
                  <c:v>13.732999999999999</c:v>
                </c:pt>
                <c:pt idx="248">
                  <c:v>13.726500000000001</c:v>
                </c:pt>
                <c:pt idx="249">
                  <c:v>13.734500000000001</c:v>
                </c:pt>
                <c:pt idx="250">
                  <c:v>13.75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E3-408D-8902-4AEB47154C67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45702</c:v>
                </c:pt>
                <c:pt idx="1">
                  <c:v>45706</c:v>
                </c:pt>
                <c:pt idx="2">
                  <c:v>45707</c:v>
                </c:pt>
                <c:pt idx="3">
                  <c:v>45708</c:v>
                </c:pt>
                <c:pt idx="4">
                  <c:v>45709</c:v>
                </c:pt>
                <c:pt idx="5">
                  <c:v>45712</c:v>
                </c:pt>
                <c:pt idx="6">
                  <c:v>45713</c:v>
                </c:pt>
                <c:pt idx="7">
                  <c:v>45714</c:v>
                </c:pt>
                <c:pt idx="8">
                  <c:v>45715</c:v>
                </c:pt>
                <c:pt idx="9">
                  <c:v>45716</c:v>
                </c:pt>
                <c:pt idx="10">
                  <c:v>45719</c:v>
                </c:pt>
                <c:pt idx="11">
                  <c:v>45720</c:v>
                </c:pt>
                <c:pt idx="12">
                  <c:v>45721</c:v>
                </c:pt>
                <c:pt idx="13">
                  <c:v>45722</c:v>
                </c:pt>
                <c:pt idx="14">
                  <c:v>45723</c:v>
                </c:pt>
                <c:pt idx="15">
                  <c:v>45726</c:v>
                </c:pt>
                <c:pt idx="16">
                  <c:v>45727</c:v>
                </c:pt>
                <c:pt idx="17">
                  <c:v>45728</c:v>
                </c:pt>
                <c:pt idx="18">
                  <c:v>45729</c:v>
                </c:pt>
                <c:pt idx="19">
                  <c:v>45730</c:v>
                </c:pt>
                <c:pt idx="20">
                  <c:v>45733</c:v>
                </c:pt>
                <c:pt idx="21">
                  <c:v>45734</c:v>
                </c:pt>
                <c:pt idx="22">
                  <c:v>45735</c:v>
                </c:pt>
                <c:pt idx="23">
                  <c:v>45736</c:v>
                </c:pt>
                <c:pt idx="24">
                  <c:v>45737</c:v>
                </c:pt>
                <c:pt idx="25">
                  <c:v>45740</c:v>
                </c:pt>
                <c:pt idx="26">
                  <c:v>45741</c:v>
                </c:pt>
                <c:pt idx="27">
                  <c:v>45742</c:v>
                </c:pt>
                <c:pt idx="28">
                  <c:v>45743</c:v>
                </c:pt>
                <c:pt idx="29">
                  <c:v>45744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45754</c:v>
                </c:pt>
                <c:pt idx="36">
                  <c:v>45755</c:v>
                </c:pt>
                <c:pt idx="37">
                  <c:v>45756</c:v>
                </c:pt>
                <c:pt idx="38">
                  <c:v>45757</c:v>
                </c:pt>
                <c:pt idx="39">
                  <c:v>45758</c:v>
                </c:pt>
                <c:pt idx="40">
                  <c:v>45761</c:v>
                </c:pt>
                <c:pt idx="41">
                  <c:v>45762</c:v>
                </c:pt>
                <c:pt idx="42">
                  <c:v>45763</c:v>
                </c:pt>
                <c:pt idx="43">
                  <c:v>45764</c:v>
                </c:pt>
                <c:pt idx="44">
                  <c:v>45768</c:v>
                </c:pt>
                <c:pt idx="45">
                  <c:v>45769</c:v>
                </c:pt>
                <c:pt idx="46">
                  <c:v>45770</c:v>
                </c:pt>
                <c:pt idx="47">
                  <c:v>45771</c:v>
                </c:pt>
                <c:pt idx="48">
                  <c:v>45772</c:v>
                </c:pt>
                <c:pt idx="49">
                  <c:v>45775</c:v>
                </c:pt>
                <c:pt idx="50">
                  <c:v>45776</c:v>
                </c:pt>
                <c:pt idx="51">
                  <c:v>45777</c:v>
                </c:pt>
                <c:pt idx="52">
                  <c:v>45778</c:v>
                </c:pt>
                <c:pt idx="53">
                  <c:v>45779</c:v>
                </c:pt>
                <c:pt idx="54">
                  <c:v>45782</c:v>
                </c:pt>
                <c:pt idx="55">
                  <c:v>45783</c:v>
                </c:pt>
                <c:pt idx="56">
                  <c:v>45784</c:v>
                </c:pt>
                <c:pt idx="57">
                  <c:v>45785</c:v>
                </c:pt>
                <c:pt idx="58">
                  <c:v>45786</c:v>
                </c:pt>
                <c:pt idx="59">
                  <c:v>45789</c:v>
                </c:pt>
                <c:pt idx="60">
                  <c:v>45790</c:v>
                </c:pt>
                <c:pt idx="61">
                  <c:v>45791</c:v>
                </c:pt>
                <c:pt idx="62">
                  <c:v>45792</c:v>
                </c:pt>
                <c:pt idx="63">
                  <c:v>45793</c:v>
                </c:pt>
                <c:pt idx="64">
                  <c:v>45796</c:v>
                </c:pt>
                <c:pt idx="65">
                  <c:v>45797</c:v>
                </c:pt>
                <c:pt idx="66">
                  <c:v>45798</c:v>
                </c:pt>
                <c:pt idx="67">
                  <c:v>45799</c:v>
                </c:pt>
                <c:pt idx="68">
                  <c:v>45800</c:v>
                </c:pt>
                <c:pt idx="69">
                  <c:v>45804</c:v>
                </c:pt>
                <c:pt idx="70">
                  <c:v>45805</c:v>
                </c:pt>
                <c:pt idx="71">
                  <c:v>45806</c:v>
                </c:pt>
                <c:pt idx="72">
                  <c:v>45807</c:v>
                </c:pt>
                <c:pt idx="73">
                  <c:v>45810</c:v>
                </c:pt>
                <c:pt idx="74">
                  <c:v>45811</c:v>
                </c:pt>
                <c:pt idx="75">
                  <c:v>45812</c:v>
                </c:pt>
                <c:pt idx="76">
                  <c:v>45813</c:v>
                </c:pt>
                <c:pt idx="77">
                  <c:v>45814</c:v>
                </c:pt>
                <c:pt idx="78">
                  <c:v>45817</c:v>
                </c:pt>
                <c:pt idx="79">
                  <c:v>45818</c:v>
                </c:pt>
                <c:pt idx="80">
                  <c:v>45819</c:v>
                </c:pt>
                <c:pt idx="81">
                  <c:v>45820</c:v>
                </c:pt>
                <c:pt idx="82">
                  <c:v>45821</c:v>
                </c:pt>
                <c:pt idx="83">
                  <c:v>45824</c:v>
                </c:pt>
                <c:pt idx="84">
                  <c:v>45825</c:v>
                </c:pt>
                <c:pt idx="85">
                  <c:v>45826</c:v>
                </c:pt>
                <c:pt idx="86">
                  <c:v>45828</c:v>
                </c:pt>
                <c:pt idx="87">
                  <c:v>45831</c:v>
                </c:pt>
                <c:pt idx="88">
                  <c:v>45832</c:v>
                </c:pt>
                <c:pt idx="89">
                  <c:v>45833</c:v>
                </c:pt>
                <c:pt idx="90">
                  <c:v>45834</c:v>
                </c:pt>
                <c:pt idx="91">
                  <c:v>45835</c:v>
                </c:pt>
                <c:pt idx="92">
                  <c:v>45838</c:v>
                </c:pt>
                <c:pt idx="93">
                  <c:v>45839</c:v>
                </c:pt>
                <c:pt idx="94">
                  <c:v>45840</c:v>
                </c:pt>
                <c:pt idx="95">
                  <c:v>45841</c:v>
                </c:pt>
                <c:pt idx="96">
                  <c:v>45845</c:v>
                </c:pt>
                <c:pt idx="97">
                  <c:v>45846</c:v>
                </c:pt>
                <c:pt idx="98">
                  <c:v>45847</c:v>
                </c:pt>
                <c:pt idx="99">
                  <c:v>45848</c:v>
                </c:pt>
                <c:pt idx="100">
                  <c:v>45849</c:v>
                </c:pt>
                <c:pt idx="101">
                  <c:v>45852</c:v>
                </c:pt>
                <c:pt idx="102">
                  <c:v>45853</c:v>
                </c:pt>
                <c:pt idx="103">
                  <c:v>45854</c:v>
                </c:pt>
                <c:pt idx="104">
                  <c:v>45855</c:v>
                </c:pt>
                <c:pt idx="105">
                  <c:v>45856</c:v>
                </c:pt>
                <c:pt idx="106">
                  <c:v>45859</c:v>
                </c:pt>
                <c:pt idx="107">
                  <c:v>45860</c:v>
                </c:pt>
                <c:pt idx="108">
                  <c:v>45861</c:v>
                </c:pt>
                <c:pt idx="109">
                  <c:v>45862</c:v>
                </c:pt>
                <c:pt idx="110">
                  <c:v>45863</c:v>
                </c:pt>
                <c:pt idx="111">
                  <c:v>45866</c:v>
                </c:pt>
                <c:pt idx="112">
                  <c:v>45867</c:v>
                </c:pt>
                <c:pt idx="113">
                  <c:v>45868</c:v>
                </c:pt>
                <c:pt idx="114">
                  <c:v>45869</c:v>
                </c:pt>
                <c:pt idx="115">
                  <c:v>45870</c:v>
                </c:pt>
                <c:pt idx="116">
                  <c:v>45873</c:v>
                </c:pt>
                <c:pt idx="117">
                  <c:v>45874</c:v>
                </c:pt>
                <c:pt idx="118">
                  <c:v>45875</c:v>
                </c:pt>
                <c:pt idx="119">
                  <c:v>45876</c:v>
                </c:pt>
                <c:pt idx="120">
                  <c:v>45877</c:v>
                </c:pt>
                <c:pt idx="121">
                  <c:v>45880</c:v>
                </c:pt>
                <c:pt idx="122">
                  <c:v>45881</c:v>
                </c:pt>
                <c:pt idx="123">
                  <c:v>45882</c:v>
                </c:pt>
                <c:pt idx="124">
                  <c:v>45883</c:v>
                </c:pt>
                <c:pt idx="125">
                  <c:v>45884</c:v>
                </c:pt>
                <c:pt idx="126">
                  <c:v>45887</c:v>
                </c:pt>
                <c:pt idx="127">
                  <c:v>45888</c:v>
                </c:pt>
                <c:pt idx="128">
                  <c:v>45889</c:v>
                </c:pt>
                <c:pt idx="129">
                  <c:v>45890</c:v>
                </c:pt>
                <c:pt idx="130">
                  <c:v>45891</c:v>
                </c:pt>
                <c:pt idx="131">
                  <c:v>45894</c:v>
                </c:pt>
                <c:pt idx="132">
                  <c:v>45895</c:v>
                </c:pt>
                <c:pt idx="133">
                  <c:v>45896</c:v>
                </c:pt>
                <c:pt idx="134">
                  <c:v>45897</c:v>
                </c:pt>
                <c:pt idx="135">
                  <c:v>45898</c:v>
                </c:pt>
                <c:pt idx="136">
                  <c:v>45902</c:v>
                </c:pt>
                <c:pt idx="137">
                  <c:v>45903</c:v>
                </c:pt>
                <c:pt idx="138">
                  <c:v>45904</c:v>
                </c:pt>
                <c:pt idx="139">
                  <c:v>45905</c:v>
                </c:pt>
                <c:pt idx="140">
                  <c:v>45908</c:v>
                </c:pt>
                <c:pt idx="141">
                  <c:v>45909</c:v>
                </c:pt>
                <c:pt idx="142">
                  <c:v>45910</c:v>
                </c:pt>
                <c:pt idx="143">
                  <c:v>45911</c:v>
                </c:pt>
                <c:pt idx="144">
                  <c:v>45912</c:v>
                </c:pt>
                <c:pt idx="145">
                  <c:v>45915</c:v>
                </c:pt>
                <c:pt idx="146">
                  <c:v>45916</c:v>
                </c:pt>
                <c:pt idx="147">
                  <c:v>45917</c:v>
                </c:pt>
                <c:pt idx="148">
                  <c:v>45918</c:v>
                </c:pt>
                <c:pt idx="149">
                  <c:v>45919</c:v>
                </c:pt>
                <c:pt idx="150">
                  <c:v>45922</c:v>
                </c:pt>
                <c:pt idx="151">
                  <c:v>45923</c:v>
                </c:pt>
                <c:pt idx="152">
                  <c:v>45924</c:v>
                </c:pt>
                <c:pt idx="153">
                  <c:v>45925</c:v>
                </c:pt>
                <c:pt idx="154">
                  <c:v>45926</c:v>
                </c:pt>
                <c:pt idx="155">
                  <c:v>45929</c:v>
                </c:pt>
                <c:pt idx="156">
                  <c:v>45930</c:v>
                </c:pt>
                <c:pt idx="157">
                  <c:v>45931</c:v>
                </c:pt>
                <c:pt idx="158">
                  <c:v>45932</c:v>
                </c:pt>
                <c:pt idx="159">
                  <c:v>45933</c:v>
                </c:pt>
                <c:pt idx="160">
                  <c:v>45936</c:v>
                </c:pt>
                <c:pt idx="161">
                  <c:v>45937</c:v>
                </c:pt>
                <c:pt idx="162">
                  <c:v>45938</c:v>
                </c:pt>
                <c:pt idx="163">
                  <c:v>45939</c:v>
                </c:pt>
                <c:pt idx="164">
                  <c:v>45940</c:v>
                </c:pt>
                <c:pt idx="165">
                  <c:v>45943</c:v>
                </c:pt>
                <c:pt idx="166">
                  <c:v>45944</c:v>
                </c:pt>
                <c:pt idx="167">
                  <c:v>45945</c:v>
                </c:pt>
                <c:pt idx="168">
                  <c:v>45946</c:v>
                </c:pt>
                <c:pt idx="169">
                  <c:v>45947</c:v>
                </c:pt>
                <c:pt idx="170">
                  <c:v>45950</c:v>
                </c:pt>
                <c:pt idx="171">
                  <c:v>45951</c:v>
                </c:pt>
                <c:pt idx="172">
                  <c:v>45952</c:v>
                </c:pt>
                <c:pt idx="173">
                  <c:v>45953</c:v>
                </c:pt>
                <c:pt idx="174">
                  <c:v>45954</c:v>
                </c:pt>
                <c:pt idx="175">
                  <c:v>45957</c:v>
                </c:pt>
                <c:pt idx="176">
                  <c:v>45958</c:v>
                </c:pt>
                <c:pt idx="177">
                  <c:v>45959</c:v>
                </c:pt>
                <c:pt idx="178">
                  <c:v>45960</c:v>
                </c:pt>
                <c:pt idx="179">
                  <c:v>45961</c:v>
                </c:pt>
                <c:pt idx="180">
                  <c:v>45964</c:v>
                </c:pt>
                <c:pt idx="181">
                  <c:v>45965</c:v>
                </c:pt>
                <c:pt idx="182">
                  <c:v>45966</c:v>
                </c:pt>
                <c:pt idx="183">
                  <c:v>45967</c:v>
                </c:pt>
                <c:pt idx="184">
                  <c:v>45968</c:v>
                </c:pt>
                <c:pt idx="185">
                  <c:v>45971</c:v>
                </c:pt>
                <c:pt idx="186">
                  <c:v>45972</c:v>
                </c:pt>
                <c:pt idx="187">
                  <c:v>45973</c:v>
                </c:pt>
                <c:pt idx="188">
                  <c:v>45974</c:v>
                </c:pt>
                <c:pt idx="189">
                  <c:v>45975</c:v>
                </c:pt>
                <c:pt idx="190">
                  <c:v>45978</c:v>
                </c:pt>
                <c:pt idx="191">
                  <c:v>45979</c:v>
                </c:pt>
                <c:pt idx="192">
                  <c:v>45980</c:v>
                </c:pt>
                <c:pt idx="193">
                  <c:v>45981</c:v>
                </c:pt>
                <c:pt idx="194">
                  <c:v>45982</c:v>
                </c:pt>
                <c:pt idx="195">
                  <c:v>45985</c:v>
                </c:pt>
                <c:pt idx="196">
                  <c:v>45986</c:v>
                </c:pt>
                <c:pt idx="197">
                  <c:v>45987</c:v>
                </c:pt>
                <c:pt idx="198">
                  <c:v>45989</c:v>
                </c:pt>
                <c:pt idx="199">
                  <c:v>45992</c:v>
                </c:pt>
                <c:pt idx="200">
                  <c:v>45993</c:v>
                </c:pt>
                <c:pt idx="201">
                  <c:v>45994</c:v>
                </c:pt>
                <c:pt idx="202">
                  <c:v>45995</c:v>
                </c:pt>
                <c:pt idx="203">
                  <c:v>45996</c:v>
                </c:pt>
                <c:pt idx="204">
                  <c:v>45999</c:v>
                </c:pt>
                <c:pt idx="205">
                  <c:v>46000</c:v>
                </c:pt>
                <c:pt idx="206">
                  <c:v>46001</c:v>
                </c:pt>
                <c:pt idx="207">
                  <c:v>46002</c:v>
                </c:pt>
                <c:pt idx="208">
                  <c:v>46003</c:v>
                </c:pt>
                <c:pt idx="209">
                  <c:v>46006</c:v>
                </c:pt>
                <c:pt idx="210">
                  <c:v>46007</c:v>
                </c:pt>
                <c:pt idx="211">
                  <c:v>46008</c:v>
                </c:pt>
                <c:pt idx="212">
                  <c:v>46009</c:v>
                </c:pt>
                <c:pt idx="213">
                  <c:v>46010</c:v>
                </c:pt>
                <c:pt idx="214">
                  <c:v>46013</c:v>
                </c:pt>
                <c:pt idx="215">
                  <c:v>46014</c:v>
                </c:pt>
                <c:pt idx="216">
                  <c:v>46015</c:v>
                </c:pt>
                <c:pt idx="217">
                  <c:v>46017</c:v>
                </c:pt>
                <c:pt idx="218">
                  <c:v>46020</c:v>
                </c:pt>
                <c:pt idx="219">
                  <c:v>46021</c:v>
                </c:pt>
                <c:pt idx="220">
                  <c:v>46022</c:v>
                </c:pt>
                <c:pt idx="221">
                  <c:v>46024</c:v>
                </c:pt>
                <c:pt idx="222">
                  <c:v>46027</c:v>
                </c:pt>
                <c:pt idx="223">
                  <c:v>46028</c:v>
                </c:pt>
                <c:pt idx="224">
                  <c:v>46029</c:v>
                </c:pt>
                <c:pt idx="225">
                  <c:v>46030</c:v>
                </c:pt>
                <c:pt idx="226">
                  <c:v>46031</c:v>
                </c:pt>
                <c:pt idx="227">
                  <c:v>46034</c:v>
                </c:pt>
                <c:pt idx="228">
                  <c:v>46035</c:v>
                </c:pt>
                <c:pt idx="229">
                  <c:v>46036</c:v>
                </c:pt>
                <c:pt idx="230">
                  <c:v>46037</c:v>
                </c:pt>
                <c:pt idx="231">
                  <c:v>46038</c:v>
                </c:pt>
                <c:pt idx="232">
                  <c:v>46042</c:v>
                </c:pt>
                <c:pt idx="233">
                  <c:v>46043</c:v>
                </c:pt>
                <c:pt idx="234">
                  <c:v>46044</c:v>
                </c:pt>
                <c:pt idx="235">
                  <c:v>46045</c:v>
                </c:pt>
                <c:pt idx="236">
                  <c:v>46048</c:v>
                </c:pt>
                <c:pt idx="237">
                  <c:v>46049</c:v>
                </c:pt>
                <c:pt idx="238">
                  <c:v>46050</c:v>
                </c:pt>
                <c:pt idx="239">
                  <c:v>46051</c:v>
                </c:pt>
                <c:pt idx="240">
                  <c:v>46052</c:v>
                </c:pt>
                <c:pt idx="241">
                  <c:v>46055</c:v>
                </c:pt>
                <c:pt idx="242">
                  <c:v>46056</c:v>
                </c:pt>
                <c:pt idx="243">
                  <c:v>46057</c:v>
                </c:pt>
                <c:pt idx="244">
                  <c:v>46058</c:v>
                </c:pt>
                <c:pt idx="245">
                  <c:v>46059</c:v>
                </c:pt>
                <c:pt idx="246">
                  <c:v>46062</c:v>
                </c:pt>
                <c:pt idx="247">
                  <c:v>46063</c:v>
                </c:pt>
                <c:pt idx="248">
                  <c:v>46064</c:v>
                </c:pt>
                <c:pt idx="249">
                  <c:v>46065</c:v>
                </c:pt>
                <c:pt idx="250">
                  <c:v>46066</c:v>
                </c:pt>
              </c:numCache>
            </c:numRef>
          </c:cat>
          <c:val>
            <c:numRef>
              <c:f>Data!$L$2:$L$252</c:f>
              <c:numCache>
                <c:formatCode>General</c:formatCode>
                <c:ptCount val="251"/>
                <c:pt idx="19">
                  <c:v>9.9281913233393304</c:v>
                </c:pt>
                <c:pt idx="20">
                  <c:v>9.9897628578726589</c:v>
                </c:pt>
                <c:pt idx="21">
                  <c:v>10.04602286114026</c:v>
                </c:pt>
                <c:pt idx="22">
                  <c:v>10.147319195866453</c:v>
                </c:pt>
                <c:pt idx="23">
                  <c:v>10.198502090934657</c:v>
                </c:pt>
                <c:pt idx="24">
                  <c:v>10.232635909994944</c:v>
                </c:pt>
                <c:pt idx="25">
                  <c:v>10.314021609930601</c:v>
                </c:pt>
                <c:pt idx="26">
                  <c:v>10.39380502599604</c:v>
                </c:pt>
                <c:pt idx="27">
                  <c:v>10.464846801024013</c:v>
                </c:pt>
                <c:pt idx="28">
                  <c:v>10.45272362334674</c:v>
                </c:pt>
                <c:pt idx="29">
                  <c:v>10.450010936334909</c:v>
                </c:pt>
                <c:pt idx="30">
                  <c:v>10.450588024077417</c:v>
                </c:pt>
                <c:pt idx="31">
                  <c:v>10.374607572762956</c:v>
                </c:pt>
                <c:pt idx="32">
                  <c:v>10.395197127524954</c:v>
                </c:pt>
                <c:pt idx="33">
                  <c:v>10.402864949446267</c:v>
                </c:pt>
                <c:pt idx="34">
                  <c:v>10.411841671867229</c:v>
                </c:pt>
                <c:pt idx="35">
                  <c:v>10.458412454981984</c:v>
                </c:pt>
                <c:pt idx="36">
                  <c:v>10.612087946096828</c:v>
                </c:pt>
                <c:pt idx="37">
                  <c:v>10.614294469446675</c:v>
                </c:pt>
                <c:pt idx="38">
                  <c:v>10.642797566341828</c:v>
                </c:pt>
                <c:pt idx="39">
                  <c:v>10.648704667682985</c:v>
                </c:pt>
                <c:pt idx="40">
                  <c:v>10.636275784445539</c:v>
                </c:pt>
                <c:pt idx="41">
                  <c:v>10.618492367934698</c:v>
                </c:pt>
                <c:pt idx="42">
                  <c:v>10.569277494325242</c:v>
                </c:pt>
                <c:pt idx="43">
                  <c:v>10.538957411961801</c:v>
                </c:pt>
                <c:pt idx="44">
                  <c:v>10.504705036471242</c:v>
                </c:pt>
                <c:pt idx="45">
                  <c:v>10.428092844628189</c:v>
                </c:pt>
                <c:pt idx="46">
                  <c:v>10.344460328861592</c:v>
                </c:pt>
                <c:pt idx="47">
                  <c:v>10.291669217178818</c:v>
                </c:pt>
                <c:pt idx="48">
                  <c:v>10.314202924422528</c:v>
                </c:pt>
                <c:pt idx="49">
                  <c:v>10.351913478835144</c:v>
                </c:pt>
                <c:pt idx="50">
                  <c:v>10.373890074000114</c:v>
                </c:pt>
                <c:pt idx="51">
                  <c:v>10.384227630379746</c:v>
                </c:pt>
                <c:pt idx="52">
                  <c:v>10.390195477208575</c:v>
                </c:pt>
                <c:pt idx="53">
                  <c:v>10.479210798231101</c:v>
                </c:pt>
                <c:pt idx="54">
                  <c:v>10.537914742520201</c:v>
                </c:pt>
                <c:pt idx="55">
                  <c:v>10.631704355136774</c:v>
                </c:pt>
                <c:pt idx="56">
                  <c:v>10.583660231613756</c:v>
                </c:pt>
                <c:pt idx="57">
                  <c:v>10.630510046516104</c:v>
                </c:pt>
                <c:pt idx="58">
                  <c:v>10.650374827416607</c:v>
                </c:pt>
                <c:pt idx="59">
                  <c:v>10.701024141135361</c:v>
                </c:pt>
                <c:pt idx="60">
                  <c:v>10.780357481042582</c:v>
                </c:pt>
                <c:pt idx="61">
                  <c:v>10.832255969552151</c:v>
                </c:pt>
                <c:pt idx="62">
                  <c:v>10.875060404107192</c:v>
                </c:pt>
                <c:pt idx="63">
                  <c:v>10.938701923588095</c:v>
                </c:pt>
                <c:pt idx="64">
                  <c:v>10.942589240478737</c:v>
                </c:pt>
                <c:pt idx="65">
                  <c:v>10.947319213331323</c:v>
                </c:pt>
                <c:pt idx="66">
                  <c:v>10.921691919914551</c:v>
                </c:pt>
                <c:pt idx="67">
                  <c:v>10.919292743940192</c:v>
                </c:pt>
                <c:pt idx="68">
                  <c:v>10.907374722453199</c:v>
                </c:pt>
                <c:pt idx="69">
                  <c:v>10.888459056095147</c:v>
                </c:pt>
                <c:pt idx="70">
                  <c:v>10.886945874259606</c:v>
                </c:pt>
                <c:pt idx="71">
                  <c:v>10.86488050191344</c:v>
                </c:pt>
                <c:pt idx="72">
                  <c:v>10.857766339353564</c:v>
                </c:pt>
                <c:pt idx="73">
                  <c:v>10.889318536127901</c:v>
                </c:pt>
                <c:pt idx="74">
                  <c:v>10.887900410945868</c:v>
                </c:pt>
                <c:pt idx="75">
                  <c:v>10.886632350715125</c:v>
                </c:pt>
                <c:pt idx="76">
                  <c:v>10.896655011512518</c:v>
                </c:pt>
                <c:pt idx="77">
                  <c:v>10.896973793600047</c:v>
                </c:pt>
                <c:pt idx="78">
                  <c:v>10.893730743236656</c:v>
                </c:pt>
                <c:pt idx="79">
                  <c:v>10.899716000192766</c:v>
                </c:pt>
                <c:pt idx="80">
                  <c:v>10.908219105255869</c:v>
                </c:pt>
                <c:pt idx="81">
                  <c:v>10.893183516103447</c:v>
                </c:pt>
                <c:pt idx="82">
                  <c:v>10.85057625120845</c:v>
                </c:pt>
                <c:pt idx="83">
                  <c:v>10.814250390636907</c:v>
                </c:pt>
                <c:pt idx="84">
                  <c:v>10.762958569808426</c:v>
                </c:pt>
                <c:pt idx="85">
                  <c:v>10.714154904205282</c:v>
                </c:pt>
                <c:pt idx="86">
                  <c:v>10.730810280424144</c:v>
                </c:pt>
                <c:pt idx="87">
                  <c:v>10.784119865303047</c:v>
                </c:pt>
                <c:pt idx="88">
                  <c:v>10.831714354050114</c:v>
                </c:pt>
                <c:pt idx="89">
                  <c:v>10.839657638429696</c:v>
                </c:pt>
                <c:pt idx="90">
                  <c:v>10.858731862542458</c:v>
                </c:pt>
                <c:pt idx="91">
                  <c:v>10.906229264645013</c:v>
                </c:pt>
                <c:pt idx="92">
                  <c:v>10.960721957145669</c:v>
                </c:pt>
                <c:pt idx="93">
                  <c:v>11.111914022267687</c:v>
                </c:pt>
                <c:pt idx="94">
                  <c:v>11.387638669973359</c:v>
                </c:pt>
                <c:pt idx="95">
                  <c:v>11.608256991588039</c:v>
                </c:pt>
                <c:pt idx="96">
                  <c:v>11.717017027708728</c:v>
                </c:pt>
                <c:pt idx="97">
                  <c:v>11.835565921184775</c:v>
                </c:pt>
                <c:pt idx="98">
                  <c:v>11.97038819605636</c:v>
                </c:pt>
                <c:pt idx="99">
                  <c:v>12.11112060360702</c:v>
                </c:pt>
                <c:pt idx="100">
                  <c:v>12.208326483237938</c:v>
                </c:pt>
                <c:pt idx="101">
                  <c:v>12.30541857097997</c:v>
                </c:pt>
                <c:pt idx="102">
                  <c:v>12.332778813927458</c:v>
                </c:pt>
                <c:pt idx="103">
                  <c:v>12.334241004320063</c:v>
                </c:pt>
                <c:pt idx="104">
                  <c:v>12.309533673089584</c:v>
                </c:pt>
                <c:pt idx="105">
                  <c:v>12.27703410199584</c:v>
                </c:pt>
                <c:pt idx="106">
                  <c:v>12.259188832767446</c:v>
                </c:pt>
                <c:pt idx="107">
                  <c:v>12.245803014906228</c:v>
                </c:pt>
                <c:pt idx="108">
                  <c:v>12.232543688585881</c:v>
                </c:pt>
                <c:pt idx="109">
                  <c:v>12.16691966334399</c:v>
                </c:pt>
                <c:pt idx="110">
                  <c:v>12.115172097252575</c:v>
                </c:pt>
                <c:pt idx="111">
                  <c:v>12.071914808105813</c:v>
                </c:pt>
                <c:pt idx="112">
                  <c:v>12.040329394499315</c:v>
                </c:pt>
                <c:pt idx="113">
                  <c:v>12.078730922620514</c:v>
                </c:pt>
                <c:pt idx="114">
                  <c:v>12.049189362625842</c:v>
                </c:pt>
                <c:pt idx="115">
                  <c:v>12.027715146040775</c:v>
                </c:pt>
                <c:pt idx="116">
                  <c:v>12.014063626201194</c:v>
                </c:pt>
                <c:pt idx="117">
                  <c:v>11.97493019189894</c:v>
                </c:pt>
                <c:pt idx="118">
                  <c:v>11.898496040880275</c:v>
                </c:pt>
                <c:pt idx="119">
                  <c:v>11.791667354210468</c:v>
                </c:pt>
                <c:pt idx="120">
                  <c:v>11.709813503635834</c:v>
                </c:pt>
                <c:pt idx="121">
                  <c:v>11.563113811648977</c:v>
                </c:pt>
                <c:pt idx="122">
                  <c:v>11.503420083078902</c:v>
                </c:pt>
                <c:pt idx="123">
                  <c:v>11.533361305573312</c:v>
                </c:pt>
                <c:pt idx="124">
                  <c:v>11.565485441658147</c:v>
                </c:pt>
                <c:pt idx="125">
                  <c:v>11.594305237586013</c:v>
                </c:pt>
                <c:pt idx="126">
                  <c:v>11.615493670835368</c:v>
                </c:pt>
                <c:pt idx="127">
                  <c:v>11.66594785942339</c:v>
                </c:pt>
                <c:pt idx="128">
                  <c:v>11.681774901264886</c:v>
                </c:pt>
                <c:pt idx="129">
                  <c:v>11.686884868309855</c:v>
                </c:pt>
                <c:pt idx="130">
                  <c:v>11.743589771686173</c:v>
                </c:pt>
                <c:pt idx="131">
                  <c:v>11.831483685907127</c:v>
                </c:pt>
                <c:pt idx="132">
                  <c:v>11.91250112460531</c:v>
                </c:pt>
                <c:pt idx="133">
                  <c:v>11.978006034793481</c:v>
                </c:pt>
                <c:pt idx="134">
                  <c:v>12.008766580699987</c:v>
                </c:pt>
                <c:pt idx="135">
                  <c:v>12.007294964796372</c:v>
                </c:pt>
                <c:pt idx="136">
                  <c:v>12.001666847904854</c:v>
                </c:pt>
                <c:pt idx="137">
                  <c:v>11.987827065819722</c:v>
                </c:pt>
                <c:pt idx="138">
                  <c:v>11.991143106149798</c:v>
                </c:pt>
                <c:pt idx="139">
                  <c:v>12.002940220545973</c:v>
                </c:pt>
                <c:pt idx="140">
                  <c:v>12.00742988177365</c:v>
                </c:pt>
                <c:pt idx="141">
                  <c:v>11.97123690978696</c:v>
                </c:pt>
                <c:pt idx="142">
                  <c:v>11.951307092926188</c:v>
                </c:pt>
                <c:pt idx="143">
                  <c:v>11.962340471807368</c:v>
                </c:pt>
                <c:pt idx="144">
                  <c:v>11.962087948863237</c:v>
                </c:pt>
                <c:pt idx="145">
                  <c:v>11.959347886083531</c:v>
                </c:pt>
                <c:pt idx="146">
                  <c:v>11.953493205083422</c:v>
                </c:pt>
                <c:pt idx="147">
                  <c:v>11.954804536409839</c:v>
                </c:pt>
                <c:pt idx="148">
                  <c:v>11.956217246468187</c:v>
                </c:pt>
                <c:pt idx="149">
                  <c:v>11.918700928167851</c:v>
                </c:pt>
                <c:pt idx="150">
                  <c:v>11.91417328646026</c:v>
                </c:pt>
                <c:pt idx="151">
                  <c:v>11.902226434951402</c:v>
                </c:pt>
                <c:pt idx="152">
                  <c:v>11.880414439700074</c:v>
                </c:pt>
                <c:pt idx="153">
                  <c:v>11.834799254409671</c:v>
                </c:pt>
                <c:pt idx="154">
                  <c:v>11.909220749759065</c:v>
                </c:pt>
                <c:pt idx="155">
                  <c:v>11.987858836172652</c:v>
                </c:pt>
                <c:pt idx="156">
                  <c:v>12.023146809922341</c:v>
                </c:pt>
                <c:pt idx="157">
                  <c:v>12.140620457464944</c:v>
                </c:pt>
                <c:pt idx="158">
                  <c:v>12.220365504485397</c:v>
                </c:pt>
                <c:pt idx="159">
                  <c:v>12.420296342189232</c:v>
                </c:pt>
                <c:pt idx="160">
                  <c:v>12.585311651446428</c:v>
                </c:pt>
                <c:pt idx="161">
                  <c:v>12.585662031188589</c:v>
                </c:pt>
                <c:pt idx="162">
                  <c:v>12.57125630999016</c:v>
                </c:pt>
                <c:pt idx="163">
                  <c:v>12.579245744415585</c:v>
                </c:pt>
                <c:pt idx="164">
                  <c:v>12.592572871511198</c:v>
                </c:pt>
                <c:pt idx="165">
                  <c:v>12.596069872101658</c:v>
                </c:pt>
                <c:pt idx="166">
                  <c:v>12.595346360636634</c:v>
                </c:pt>
                <c:pt idx="167">
                  <c:v>12.595721377036043</c:v>
                </c:pt>
                <c:pt idx="168">
                  <c:v>12.595721377036044</c:v>
                </c:pt>
                <c:pt idx="169">
                  <c:v>12.601101570248641</c:v>
                </c:pt>
                <c:pt idx="170">
                  <c:v>12.610734048954091</c:v>
                </c:pt>
                <c:pt idx="171">
                  <c:v>12.70481992326437</c:v>
                </c:pt>
                <c:pt idx="172">
                  <c:v>12.759093697579033</c:v>
                </c:pt>
                <c:pt idx="173">
                  <c:v>12.790576780479137</c:v>
                </c:pt>
                <c:pt idx="174">
                  <c:v>13.232121646619495</c:v>
                </c:pt>
                <c:pt idx="175">
                  <c:v>13.402360394463226</c:v>
                </c:pt>
                <c:pt idx="176">
                  <c:v>13.527992648379165</c:v>
                </c:pt>
                <c:pt idx="177">
                  <c:v>13.653065165919898</c:v>
                </c:pt>
                <c:pt idx="178">
                  <c:v>13.73824205491016</c:v>
                </c:pt>
                <c:pt idx="179">
                  <c:v>13.799543854471949</c:v>
                </c:pt>
                <c:pt idx="180">
                  <c:v>13.837465143178447</c:v>
                </c:pt>
                <c:pt idx="181">
                  <c:v>13.877834821737389</c:v>
                </c:pt>
                <c:pt idx="182">
                  <c:v>13.944134604428253</c:v>
                </c:pt>
                <c:pt idx="183">
                  <c:v>13.977857525122534</c:v>
                </c:pt>
                <c:pt idx="184">
                  <c:v>13.989594561730899</c:v>
                </c:pt>
                <c:pt idx="185">
                  <c:v>13.983808844018785</c:v>
                </c:pt>
                <c:pt idx="186">
                  <c:v>13.984107601893106</c:v>
                </c:pt>
                <c:pt idx="187">
                  <c:v>13.993091743735926</c:v>
                </c:pt>
                <c:pt idx="188">
                  <c:v>13.939574887581683</c:v>
                </c:pt>
                <c:pt idx="189">
                  <c:v>13.872527525709961</c:v>
                </c:pt>
                <c:pt idx="190">
                  <c:v>13.766270421302815</c:v>
                </c:pt>
                <c:pt idx="191">
                  <c:v>13.746511393947506</c:v>
                </c:pt>
                <c:pt idx="192">
                  <c:v>13.698322312604995</c:v>
                </c:pt>
                <c:pt idx="193">
                  <c:v>13.682408689001308</c:v>
                </c:pt>
                <c:pt idx="194">
                  <c:v>13.533354237805067</c:v>
                </c:pt>
                <c:pt idx="195">
                  <c:v>13.512333849328913</c:v>
                </c:pt>
                <c:pt idx="196">
                  <c:v>13.516002602653055</c:v>
                </c:pt>
                <c:pt idx="197">
                  <c:v>13.509896663000982</c:v>
                </c:pt>
                <c:pt idx="198">
                  <c:v>13.531644885005603</c:v>
                </c:pt>
                <c:pt idx="199">
                  <c:v>13.534165310945411</c:v>
                </c:pt>
                <c:pt idx="200">
                  <c:v>13.533587428113762</c:v>
                </c:pt>
                <c:pt idx="201">
                  <c:v>13.529736897198173</c:v>
                </c:pt>
                <c:pt idx="202">
                  <c:v>13.531813277850107</c:v>
                </c:pt>
                <c:pt idx="203">
                  <c:v>13.527641800186121</c:v>
                </c:pt>
                <c:pt idx="204">
                  <c:v>13.520958272102709</c:v>
                </c:pt>
                <c:pt idx="205">
                  <c:v>13.515247846681852</c:v>
                </c:pt>
                <c:pt idx="206">
                  <c:v>13.535136444127341</c:v>
                </c:pt>
                <c:pt idx="207">
                  <c:v>13.580605091820141</c:v>
                </c:pt>
                <c:pt idx="208">
                  <c:v>13.684333217207978</c:v>
                </c:pt>
                <c:pt idx="209">
                  <c:v>13.755516992733014</c:v>
                </c:pt>
                <c:pt idx="210">
                  <c:v>13.826554494598769</c:v>
                </c:pt>
                <c:pt idx="211">
                  <c:v>13.839532378530237</c:v>
                </c:pt>
                <c:pt idx="212">
                  <c:v>13.848330345652363</c:v>
                </c:pt>
                <c:pt idx="213">
                  <c:v>13.787852012313747</c:v>
                </c:pt>
                <c:pt idx="214">
                  <c:v>13.784559294125218</c:v>
                </c:pt>
                <c:pt idx="215">
                  <c:v>13.775279517620989</c:v>
                </c:pt>
                <c:pt idx="216">
                  <c:v>13.780434577328853</c:v>
                </c:pt>
                <c:pt idx="217">
                  <c:v>13.782411633229662</c:v>
                </c:pt>
                <c:pt idx="218">
                  <c:v>13.78241163322966</c:v>
                </c:pt>
                <c:pt idx="219">
                  <c:v>13.781605018074806</c:v>
                </c:pt>
                <c:pt idx="220">
                  <c:v>13.767181644696947</c:v>
                </c:pt>
                <c:pt idx="221">
                  <c:v>13.763610546541701</c:v>
                </c:pt>
                <c:pt idx="222">
                  <c:v>13.771067345249348</c:v>
                </c:pt>
                <c:pt idx="223">
                  <c:v>13.821122451613517</c:v>
                </c:pt>
                <c:pt idx="224">
                  <c:v>13.857149886078146</c:v>
                </c:pt>
                <c:pt idx="225">
                  <c:v>14.074920955496395</c:v>
                </c:pt>
                <c:pt idx="226">
                  <c:v>14.191603516711194</c:v>
                </c:pt>
                <c:pt idx="227">
                  <c:v>14.246801299491855</c:v>
                </c:pt>
                <c:pt idx="228">
                  <c:v>14.278019266322024</c:v>
                </c:pt>
                <c:pt idx="229">
                  <c:v>14.297009408935532</c:v>
                </c:pt>
                <c:pt idx="230">
                  <c:v>14.310382024605875</c:v>
                </c:pt>
                <c:pt idx="231">
                  <c:v>14.312929818008641</c:v>
                </c:pt>
                <c:pt idx="232">
                  <c:v>14.314494692594161</c:v>
                </c:pt>
                <c:pt idx="233">
                  <c:v>14.330555389830968</c:v>
                </c:pt>
                <c:pt idx="234">
                  <c:v>14.34034527405864</c:v>
                </c:pt>
                <c:pt idx="235">
                  <c:v>14.336906734448112</c:v>
                </c:pt>
                <c:pt idx="236">
                  <c:v>14.334984170269797</c:v>
                </c:pt>
                <c:pt idx="237">
                  <c:v>14.35817826953622</c:v>
                </c:pt>
                <c:pt idx="238">
                  <c:v>14.361416168071987</c:v>
                </c:pt>
                <c:pt idx="239">
                  <c:v>14.372809004374542</c:v>
                </c:pt>
                <c:pt idx="240">
                  <c:v>14.340713830755048</c:v>
                </c:pt>
                <c:pt idx="241">
                  <c:v>14.324562679328963</c:v>
                </c:pt>
                <c:pt idx="242">
                  <c:v>14.315014635798454</c:v>
                </c:pt>
                <c:pt idx="243">
                  <c:v>14.315955509285276</c:v>
                </c:pt>
                <c:pt idx="244">
                  <c:v>14.315689870005182</c:v>
                </c:pt>
                <c:pt idx="245">
                  <c:v>14.20336928406876</c:v>
                </c:pt>
                <c:pt idx="246">
                  <c:v>14.132823286798576</c:v>
                </c:pt>
                <c:pt idx="247">
                  <c:v>14.095279333925458</c:v>
                </c:pt>
                <c:pt idx="248">
                  <c:v>14.074503327267822</c:v>
                </c:pt>
                <c:pt idx="249">
                  <c:v>14.100386090988641</c:v>
                </c:pt>
                <c:pt idx="250">
                  <c:v>14.153667398263785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E3-408D-8902-4AEB47154C67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45702</c:v>
                </c:pt>
                <c:pt idx="1">
                  <c:v>45706</c:v>
                </c:pt>
                <c:pt idx="2">
                  <c:v>45707</c:v>
                </c:pt>
                <c:pt idx="3">
                  <c:v>45708</c:v>
                </c:pt>
                <c:pt idx="4">
                  <c:v>45709</c:v>
                </c:pt>
                <c:pt idx="5">
                  <c:v>45712</c:v>
                </c:pt>
                <c:pt idx="6">
                  <c:v>45713</c:v>
                </c:pt>
                <c:pt idx="7">
                  <c:v>45714</c:v>
                </c:pt>
                <c:pt idx="8">
                  <c:v>45715</c:v>
                </c:pt>
                <c:pt idx="9">
                  <c:v>45716</c:v>
                </c:pt>
                <c:pt idx="10">
                  <c:v>45719</c:v>
                </c:pt>
                <c:pt idx="11">
                  <c:v>45720</c:v>
                </c:pt>
                <c:pt idx="12">
                  <c:v>45721</c:v>
                </c:pt>
                <c:pt idx="13">
                  <c:v>45722</c:v>
                </c:pt>
                <c:pt idx="14">
                  <c:v>45723</c:v>
                </c:pt>
                <c:pt idx="15">
                  <c:v>45726</c:v>
                </c:pt>
                <c:pt idx="16">
                  <c:v>45727</c:v>
                </c:pt>
                <c:pt idx="17">
                  <c:v>45728</c:v>
                </c:pt>
                <c:pt idx="18">
                  <c:v>45729</c:v>
                </c:pt>
                <c:pt idx="19">
                  <c:v>45730</c:v>
                </c:pt>
                <c:pt idx="20">
                  <c:v>45733</c:v>
                </c:pt>
                <c:pt idx="21">
                  <c:v>45734</c:v>
                </c:pt>
                <c:pt idx="22">
                  <c:v>45735</c:v>
                </c:pt>
                <c:pt idx="23">
                  <c:v>45736</c:v>
                </c:pt>
                <c:pt idx="24">
                  <c:v>45737</c:v>
                </c:pt>
                <c:pt idx="25">
                  <c:v>45740</c:v>
                </c:pt>
                <c:pt idx="26">
                  <c:v>45741</c:v>
                </c:pt>
                <c:pt idx="27">
                  <c:v>45742</c:v>
                </c:pt>
                <c:pt idx="28">
                  <c:v>45743</c:v>
                </c:pt>
                <c:pt idx="29">
                  <c:v>45744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45754</c:v>
                </c:pt>
                <c:pt idx="36">
                  <c:v>45755</c:v>
                </c:pt>
                <c:pt idx="37">
                  <c:v>45756</c:v>
                </c:pt>
                <c:pt idx="38">
                  <c:v>45757</c:v>
                </c:pt>
                <c:pt idx="39">
                  <c:v>45758</c:v>
                </c:pt>
                <c:pt idx="40">
                  <c:v>45761</c:v>
                </c:pt>
                <c:pt idx="41">
                  <c:v>45762</c:v>
                </c:pt>
                <c:pt idx="42">
                  <c:v>45763</c:v>
                </c:pt>
                <c:pt idx="43">
                  <c:v>45764</c:v>
                </c:pt>
                <c:pt idx="44">
                  <c:v>45768</c:v>
                </c:pt>
                <c:pt idx="45">
                  <c:v>45769</c:v>
                </c:pt>
                <c:pt idx="46">
                  <c:v>45770</c:v>
                </c:pt>
                <c:pt idx="47">
                  <c:v>45771</c:v>
                </c:pt>
                <c:pt idx="48">
                  <c:v>45772</c:v>
                </c:pt>
                <c:pt idx="49">
                  <c:v>45775</c:v>
                </c:pt>
                <c:pt idx="50">
                  <c:v>45776</c:v>
                </c:pt>
                <c:pt idx="51">
                  <c:v>45777</c:v>
                </c:pt>
                <c:pt idx="52">
                  <c:v>45778</c:v>
                </c:pt>
                <c:pt idx="53">
                  <c:v>45779</c:v>
                </c:pt>
                <c:pt idx="54">
                  <c:v>45782</c:v>
                </c:pt>
                <c:pt idx="55">
                  <c:v>45783</c:v>
                </c:pt>
                <c:pt idx="56">
                  <c:v>45784</c:v>
                </c:pt>
                <c:pt idx="57">
                  <c:v>45785</c:v>
                </c:pt>
                <c:pt idx="58">
                  <c:v>45786</c:v>
                </c:pt>
                <c:pt idx="59">
                  <c:v>45789</c:v>
                </c:pt>
                <c:pt idx="60">
                  <c:v>45790</c:v>
                </c:pt>
                <c:pt idx="61">
                  <c:v>45791</c:v>
                </c:pt>
                <c:pt idx="62">
                  <c:v>45792</c:v>
                </c:pt>
                <c:pt idx="63">
                  <c:v>45793</c:v>
                </c:pt>
                <c:pt idx="64">
                  <c:v>45796</c:v>
                </c:pt>
                <c:pt idx="65">
                  <c:v>45797</c:v>
                </c:pt>
                <c:pt idx="66">
                  <c:v>45798</c:v>
                </c:pt>
                <c:pt idx="67">
                  <c:v>45799</c:v>
                </c:pt>
                <c:pt idx="68">
                  <c:v>45800</c:v>
                </c:pt>
                <c:pt idx="69">
                  <c:v>45804</c:v>
                </c:pt>
                <c:pt idx="70">
                  <c:v>45805</c:v>
                </c:pt>
                <c:pt idx="71">
                  <c:v>45806</c:v>
                </c:pt>
                <c:pt idx="72">
                  <c:v>45807</c:v>
                </c:pt>
                <c:pt idx="73">
                  <c:v>45810</c:v>
                </c:pt>
                <c:pt idx="74">
                  <c:v>45811</c:v>
                </c:pt>
                <c:pt idx="75">
                  <c:v>45812</c:v>
                </c:pt>
                <c:pt idx="76">
                  <c:v>45813</c:v>
                </c:pt>
                <c:pt idx="77">
                  <c:v>45814</c:v>
                </c:pt>
                <c:pt idx="78">
                  <c:v>45817</c:v>
                </c:pt>
                <c:pt idx="79">
                  <c:v>45818</c:v>
                </c:pt>
                <c:pt idx="80">
                  <c:v>45819</c:v>
                </c:pt>
                <c:pt idx="81">
                  <c:v>45820</c:v>
                </c:pt>
                <c:pt idx="82">
                  <c:v>45821</c:v>
                </c:pt>
                <c:pt idx="83">
                  <c:v>45824</c:v>
                </c:pt>
                <c:pt idx="84">
                  <c:v>45825</c:v>
                </c:pt>
                <c:pt idx="85">
                  <c:v>45826</c:v>
                </c:pt>
                <c:pt idx="86">
                  <c:v>45828</c:v>
                </c:pt>
                <c:pt idx="87">
                  <c:v>45831</c:v>
                </c:pt>
                <c:pt idx="88">
                  <c:v>45832</c:v>
                </c:pt>
                <c:pt idx="89">
                  <c:v>45833</c:v>
                </c:pt>
                <c:pt idx="90">
                  <c:v>45834</c:v>
                </c:pt>
                <c:pt idx="91">
                  <c:v>45835</c:v>
                </c:pt>
                <c:pt idx="92">
                  <c:v>45838</c:v>
                </c:pt>
                <c:pt idx="93">
                  <c:v>45839</c:v>
                </c:pt>
                <c:pt idx="94">
                  <c:v>45840</c:v>
                </c:pt>
                <c:pt idx="95">
                  <c:v>45841</c:v>
                </c:pt>
                <c:pt idx="96">
                  <c:v>45845</c:v>
                </c:pt>
                <c:pt idx="97">
                  <c:v>45846</c:v>
                </c:pt>
                <c:pt idx="98">
                  <c:v>45847</c:v>
                </c:pt>
                <c:pt idx="99">
                  <c:v>45848</c:v>
                </c:pt>
                <c:pt idx="100">
                  <c:v>45849</c:v>
                </c:pt>
                <c:pt idx="101">
                  <c:v>45852</c:v>
                </c:pt>
                <c:pt idx="102">
                  <c:v>45853</c:v>
                </c:pt>
                <c:pt idx="103">
                  <c:v>45854</c:v>
                </c:pt>
                <c:pt idx="104">
                  <c:v>45855</c:v>
                </c:pt>
                <c:pt idx="105">
                  <c:v>45856</c:v>
                </c:pt>
                <c:pt idx="106">
                  <c:v>45859</c:v>
                </c:pt>
                <c:pt idx="107">
                  <c:v>45860</c:v>
                </c:pt>
                <c:pt idx="108">
                  <c:v>45861</c:v>
                </c:pt>
                <c:pt idx="109">
                  <c:v>45862</c:v>
                </c:pt>
                <c:pt idx="110">
                  <c:v>45863</c:v>
                </c:pt>
                <c:pt idx="111">
                  <c:v>45866</c:v>
                </c:pt>
                <c:pt idx="112">
                  <c:v>45867</c:v>
                </c:pt>
                <c:pt idx="113">
                  <c:v>45868</c:v>
                </c:pt>
                <c:pt idx="114">
                  <c:v>45869</c:v>
                </c:pt>
                <c:pt idx="115">
                  <c:v>45870</c:v>
                </c:pt>
                <c:pt idx="116">
                  <c:v>45873</c:v>
                </c:pt>
                <c:pt idx="117">
                  <c:v>45874</c:v>
                </c:pt>
                <c:pt idx="118">
                  <c:v>45875</c:v>
                </c:pt>
                <c:pt idx="119">
                  <c:v>45876</c:v>
                </c:pt>
                <c:pt idx="120">
                  <c:v>45877</c:v>
                </c:pt>
                <c:pt idx="121">
                  <c:v>45880</c:v>
                </c:pt>
                <c:pt idx="122">
                  <c:v>45881</c:v>
                </c:pt>
                <c:pt idx="123">
                  <c:v>45882</c:v>
                </c:pt>
                <c:pt idx="124">
                  <c:v>45883</c:v>
                </c:pt>
                <c:pt idx="125">
                  <c:v>45884</c:v>
                </c:pt>
                <c:pt idx="126">
                  <c:v>45887</c:v>
                </c:pt>
                <c:pt idx="127">
                  <c:v>45888</c:v>
                </c:pt>
                <c:pt idx="128">
                  <c:v>45889</c:v>
                </c:pt>
                <c:pt idx="129">
                  <c:v>45890</c:v>
                </c:pt>
                <c:pt idx="130">
                  <c:v>45891</c:v>
                </c:pt>
                <c:pt idx="131">
                  <c:v>45894</c:v>
                </c:pt>
                <c:pt idx="132">
                  <c:v>45895</c:v>
                </c:pt>
                <c:pt idx="133">
                  <c:v>45896</c:v>
                </c:pt>
                <c:pt idx="134">
                  <c:v>45897</c:v>
                </c:pt>
                <c:pt idx="135">
                  <c:v>45898</c:v>
                </c:pt>
                <c:pt idx="136">
                  <c:v>45902</c:v>
                </c:pt>
                <c:pt idx="137">
                  <c:v>45903</c:v>
                </c:pt>
                <c:pt idx="138">
                  <c:v>45904</c:v>
                </c:pt>
                <c:pt idx="139">
                  <c:v>45905</c:v>
                </c:pt>
                <c:pt idx="140">
                  <c:v>45908</c:v>
                </c:pt>
                <c:pt idx="141">
                  <c:v>45909</c:v>
                </c:pt>
                <c:pt idx="142">
                  <c:v>45910</c:v>
                </c:pt>
                <c:pt idx="143">
                  <c:v>45911</c:v>
                </c:pt>
                <c:pt idx="144">
                  <c:v>45912</c:v>
                </c:pt>
                <c:pt idx="145">
                  <c:v>45915</c:v>
                </c:pt>
                <c:pt idx="146">
                  <c:v>45916</c:v>
                </c:pt>
                <c:pt idx="147">
                  <c:v>45917</c:v>
                </c:pt>
                <c:pt idx="148">
                  <c:v>45918</c:v>
                </c:pt>
                <c:pt idx="149">
                  <c:v>45919</c:v>
                </c:pt>
                <c:pt idx="150">
                  <c:v>45922</c:v>
                </c:pt>
                <c:pt idx="151">
                  <c:v>45923</c:v>
                </c:pt>
                <c:pt idx="152">
                  <c:v>45924</c:v>
                </c:pt>
                <c:pt idx="153">
                  <c:v>45925</c:v>
                </c:pt>
                <c:pt idx="154">
                  <c:v>45926</c:v>
                </c:pt>
                <c:pt idx="155">
                  <c:v>45929</c:v>
                </c:pt>
                <c:pt idx="156">
                  <c:v>45930</c:v>
                </c:pt>
                <c:pt idx="157">
                  <c:v>45931</c:v>
                </c:pt>
                <c:pt idx="158">
                  <c:v>45932</c:v>
                </c:pt>
                <c:pt idx="159">
                  <c:v>45933</c:v>
                </c:pt>
                <c:pt idx="160">
                  <c:v>45936</c:v>
                </c:pt>
                <c:pt idx="161">
                  <c:v>45937</c:v>
                </c:pt>
                <c:pt idx="162">
                  <c:v>45938</c:v>
                </c:pt>
                <c:pt idx="163">
                  <c:v>45939</c:v>
                </c:pt>
                <c:pt idx="164">
                  <c:v>45940</c:v>
                </c:pt>
                <c:pt idx="165">
                  <c:v>45943</c:v>
                </c:pt>
                <c:pt idx="166">
                  <c:v>45944</c:v>
                </c:pt>
                <c:pt idx="167">
                  <c:v>45945</c:v>
                </c:pt>
                <c:pt idx="168">
                  <c:v>45946</c:v>
                </c:pt>
                <c:pt idx="169">
                  <c:v>45947</c:v>
                </c:pt>
                <c:pt idx="170">
                  <c:v>45950</c:v>
                </c:pt>
                <c:pt idx="171">
                  <c:v>45951</c:v>
                </c:pt>
                <c:pt idx="172">
                  <c:v>45952</c:v>
                </c:pt>
                <c:pt idx="173">
                  <c:v>45953</c:v>
                </c:pt>
                <c:pt idx="174">
                  <c:v>45954</c:v>
                </c:pt>
                <c:pt idx="175">
                  <c:v>45957</c:v>
                </c:pt>
                <c:pt idx="176">
                  <c:v>45958</c:v>
                </c:pt>
                <c:pt idx="177">
                  <c:v>45959</c:v>
                </c:pt>
                <c:pt idx="178">
                  <c:v>45960</c:v>
                </c:pt>
                <c:pt idx="179">
                  <c:v>45961</c:v>
                </c:pt>
                <c:pt idx="180">
                  <c:v>45964</c:v>
                </c:pt>
                <c:pt idx="181">
                  <c:v>45965</c:v>
                </c:pt>
                <c:pt idx="182">
                  <c:v>45966</c:v>
                </c:pt>
                <c:pt idx="183">
                  <c:v>45967</c:v>
                </c:pt>
                <c:pt idx="184">
                  <c:v>45968</c:v>
                </c:pt>
                <c:pt idx="185">
                  <c:v>45971</c:v>
                </c:pt>
                <c:pt idx="186">
                  <c:v>45972</c:v>
                </c:pt>
                <c:pt idx="187">
                  <c:v>45973</c:v>
                </c:pt>
                <c:pt idx="188">
                  <c:v>45974</c:v>
                </c:pt>
                <c:pt idx="189">
                  <c:v>45975</c:v>
                </c:pt>
                <c:pt idx="190">
                  <c:v>45978</c:v>
                </c:pt>
                <c:pt idx="191">
                  <c:v>45979</c:v>
                </c:pt>
                <c:pt idx="192">
                  <c:v>45980</c:v>
                </c:pt>
                <c:pt idx="193">
                  <c:v>45981</c:v>
                </c:pt>
                <c:pt idx="194">
                  <c:v>45982</c:v>
                </c:pt>
                <c:pt idx="195">
                  <c:v>45985</c:v>
                </c:pt>
                <c:pt idx="196">
                  <c:v>45986</c:v>
                </c:pt>
                <c:pt idx="197">
                  <c:v>45987</c:v>
                </c:pt>
                <c:pt idx="198">
                  <c:v>45989</c:v>
                </c:pt>
                <c:pt idx="199">
                  <c:v>45992</c:v>
                </c:pt>
                <c:pt idx="200">
                  <c:v>45993</c:v>
                </c:pt>
                <c:pt idx="201">
                  <c:v>45994</c:v>
                </c:pt>
                <c:pt idx="202">
                  <c:v>45995</c:v>
                </c:pt>
                <c:pt idx="203">
                  <c:v>45996</c:v>
                </c:pt>
                <c:pt idx="204">
                  <c:v>45999</c:v>
                </c:pt>
                <c:pt idx="205">
                  <c:v>46000</c:v>
                </c:pt>
                <c:pt idx="206">
                  <c:v>46001</c:v>
                </c:pt>
                <c:pt idx="207">
                  <c:v>46002</c:v>
                </c:pt>
                <c:pt idx="208">
                  <c:v>46003</c:v>
                </c:pt>
                <c:pt idx="209">
                  <c:v>46006</c:v>
                </c:pt>
                <c:pt idx="210">
                  <c:v>46007</c:v>
                </c:pt>
                <c:pt idx="211">
                  <c:v>46008</c:v>
                </c:pt>
                <c:pt idx="212">
                  <c:v>46009</c:v>
                </c:pt>
                <c:pt idx="213">
                  <c:v>46010</c:v>
                </c:pt>
                <c:pt idx="214">
                  <c:v>46013</c:v>
                </c:pt>
                <c:pt idx="215">
                  <c:v>46014</c:v>
                </c:pt>
                <c:pt idx="216">
                  <c:v>46015</c:v>
                </c:pt>
                <c:pt idx="217">
                  <c:v>46017</c:v>
                </c:pt>
                <c:pt idx="218">
                  <c:v>46020</c:v>
                </c:pt>
                <c:pt idx="219">
                  <c:v>46021</c:v>
                </c:pt>
                <c:pt idx="220">
                  <c:v>46022</c:v>
                </c:pt>
                <c:pt idx="221">
                  <c:v>46024</c:v>
                </c:pt>
                <c:pt idx="222">
                  <c:v>46027</c:v>
                </c:pt>
                <c:pt idx="223">
                  <c:v>46028</c:v>
                </c:pt>
                <c:pt idx="224">
                  <c:v>46029</c:v>
                </c:pt>
                <c:pt idx="225">
                  <c:v>46030</c:v>
                </c:pt>
                <c:pt idx="226">
                  <c:v>46031</c:v>
                </c:pt>
                <c:pt idx="227">
                  <c:v>46034</c:v>
                </c:pt>
                <c:pt idx="228">
                  <c:v>46035</c:v>
                </c:pt>
                <c:pt idx="229">
                  <c:v>46036</c:v>
                </c:pt>
                <c:pt idx="230">
                  <c:v>46037</c:v>
                </c:pt>
                <c:pt idx="231">
                  <c:v>46038</c:v>
                </c:pt>
                <c:pt idx="232">
                  <c:v>46042</c:v>
                </c:pt>
                <c:pt idx="233">
                  <c:v>46043</c:v>
                </c:pt>
                <c:pt idx="234">
                  <c:v>46044</c:v>
                </c:pt>
                <c:pt idx="235">
                  <c:v>46045</c:v>
                </c:pt>
                <c:pt idx="236">
                  <c:v>46048</c:v>
                </c:pt>
                <c:pt idx="237">
                  <c:v>46049</c:v>
                </c:pt>
                <c:pt idx="238">
                  <c:v>46050</c:v>
                </c:pt>
                <c:pt idx="239">
                  <c:v>46051</c:v>
                </c:pt>
                <c:pt idx="240">
                  <c:v>46052</c:v>
                </c:pt>
                <c:pt idx="241">
                  <c:v>46055</c:v>
                </c:pt>
                <c:pt idx="242">
                  <c:v>46056</c:v>
                </c:pt>
                <c:pt idx="243">
                  <c:v>46057</c:v>
                </c:pt>
                <c:pt idx="244">
                  <c:v>46058</c:v>
                </c:pt>
                <c:pt idx="245">
                  <c:v>46059</c:v>
                </c:pt>
                <c:pt idx="246">
                  <c:v>46062</c:v>
                </c:pt>
                <c:pt idx="247">
                  <c:v>46063</c:v>
                </c:pt>
                <c:pt idx="248">
                  <c:v>46064</c:v>
                </c:pt>
                <c:pt idx="249">
                  <c:v>46065</c:v>
                </c:pt>
                <c:pt idx="250">
                  <c:v>46066</c:v>
                </c:pt>
              </c:numCache>
            </c:numRef>
          </c:cat>
          <c:val>
            <c:numRef>
              <c:f>Data!$M$2:$M$252</c:f>
              <c:numCache>
                <c:formatCode>General</c:formatCode>
                <c:ptCount val="251"/>
                <c:pt idx="19">
                  <c:v>9.0598086766606727</c:v>
                </c:pt>
                <c:pt idx="20">
                  <c:v>9.0572371421273417</c:v>
                </c:pt>
                <c:pt idx="21">
                  <c:v>9.0669771388597358</c:v>
                </c:pt>
                <c:pt idx="22">
                  <c:v>9.0486808041335447</c:v>
                </c:pt>
                <c:pt idx="23">
                  <c:v>9.0594979090653389</c:v>
                </c:pt>
                <c:pt idx="24">
                  <c:v>9.0973640900050512</c:v>
                </c:pt>
                <c:pt idx="25">
                  <c:v>9.105978390069394</c:v>
                </c:pt>
                <c:pt idx="26">
                  <c:v>9.1131949740039584</c:v>
                </c:pt>
                <c:pt idx="27">
                  <c:v>9.1251531989759833</c:v>
                </c:pt>
                <c:pt idx="28">
                  <c:v>9.1982763766532631</c:v>
                </c:pt>
                <c:pt idx="29">
                  <c:v>9.2179890636650903</c:v>
                </c:pt>
                <c:pt idx="30">
                  <c:v>9.2814119759225857</c:v>
                </c:pt>
                <c:pt idx="31">
                  <c:v>9.4393924272370437</c:v>
                </c:pt>
                <c:pt idx="32">
                  <c:v>9.468802872475047</c:v>
                </c:pt>
                <c:pt idx="33">
                  <c:v>9.4541350505537363</c:v>
                </c:pt>
                <c:pt idx="34">
                  <c:v>9.4131583281327735</c:v>
                </c:pt>
                <c:pt idx="35">
                  <c:v>9.29458754501802</c:v>
                </c:pt>
                <c:pt idx="36">
                  <c:v>9.040912053903174</c:v>
                </c:pt>
                <c:pt idx="37">
                  <c:v>9.0297055305533238</c:v>
                </c:pt>
                <c:pt idx="38">
                  <c:v>8.962202433658172</c:v>
                </c:pt>
                <c:pt idx="39">
                  <c:v>8.9162953323170164</c:v>
                </c:pt>
                <c:pt idx="40">
                  <c:v>8.9077242155544649</c:v>
                </c:pt>
                <c:pt idx="41">
                  <c:v>8.8755076320653092</c:v>
                </c:pt>
                <c:pt idx="42">
                  <c:v>8.8477225056747564</c:v>
                </c:pt>
                <c:pt idx="43">
                  <c:v>8.8400425880381963</c:v>
                </c:pt>
                <c:pt idx="44">
                  <c:v>8.821294963528759</c:v>
                </c:pt>
                <c:pt idx="45">
                  <c:v>8.8379071553718092</c:v>
                </c:pt>
                <c:pt idx="46">
                  <c:v>8.8705396711384044</c:v>
                </c:pt>
                <c:pt idx="47">
                  <c:v>8.8993307828211812</c:v>
                </c:pt>
                <c:pt idx="48">
                  <c:v>8.8907970755774706</c:v>
                </c:pt>
                <c:pt idx="49">
                  <c:v>8.8830865211648593</c:v>
                </c:pt>
                <c:pt idx="50">
                  <c:v>8.8731099259998896</c:v>
                </c:pt>
                <c:pt idx="51">
                  <c:v>8.869772369620252</c:v>
                </c:pt>
                <c:pt idx="52">
                  <c:v>8.8668045227914227</c:v>
                </c:pt>
                <c:pt idx="53">
                  <c:v>8.8517892017688986</c:v>
                </c:pt>
                <c:pt idx="54">
                  <c:v>8.8520852574797999</c:v>
                </c:pt>
                <c:pt idx="55">
                  <c:v>8.8782956448632238</c:v>
                </c:pt>
                <c:pt idx="56">
                  <c:v>9.0853397683862411</c:v>
                </c:pt>
                <c:pt idx="57">
                  <c:v>9.1164899534838959</c:v>
                </c:pt>
                <c:pt idx="58">
                  <c:v>9.2256251725833938</c:v>
                </c:pt>
                <c:pt idx="59">
                  <c:v>9.2969758588646396</c:v>
                </c:pt>
                <c:pt idx="60">
                  <c:v>9.3066425189574176</c:v>
                </c:pt>
                <c:pt idx="61">
                  <c:v>9.3747440304478502</c:v>
                </c:pt>
                <c:pt idx="62">
                  <c:v>9.4669395958928142</c:v>
                </c:pt>
                <c:pt idx="63">
                  <c:v>9.5202980764119083</c:v>
                </c:pt>
                <c:pt idx="64">
                  <c:v>9.6444107595212625</c:v>
                </c:pt>
                <c:pt idx="65">
                  <c:v>9.74668078666868</c:v>
                </c:pt>
                <c:pt idx="66">
                  <c:v>9.8423080800854521</c:v>
                </c:pt>
                <c:pt idx="67">
                  <c:v>9.8827072560598079</c:v>
                </c:pt>
                <c:pt idx="68">
                  <c:v>9.9266252775467976</c:v>
                </c:pt>
                <c:pt idx="69">
                  <c:v>9.9745409439048522</c:v>
                </c:pt>
                <c:pt idx="70">
                  <c:v>9.978054125740389</c:v>
                </c:pt>
                <c:pt idx="71">
                  <c:v>10.021119498086556</c:v>
                </c:pt>
                <c:pt idx="72">
                  <c:v>10.048233660646435</c:v>
                </c:pt>
                <c:pt idx="73">
                  <c:v>9.9866814638720971</c:v>
                </c:pt>
                <c:pt idx="74">
                  <c:v>9.9900995890541324</c:v>
                </c:pt>
                <c:pt idx="75">
                  <c:v>9.971367649284872</c:v>
                </c:pt>
                <c:pt idx="76">
                  <c:v>9.9433449884874783</c:v>
                </c:pt>
                <c:pt idx="77">
                  <c:v>9.9410262063999504</c:v>
                </c:pt>
                <c:pt idx="78">
                  <c:v>9.9352692567633447</c:v>
                </c:pt>
                <c:pt idx="79">
                  <c:v>9.9342839998072296</c:v>
                </c:pt>
                <c:pt idx="80">
                  <c:v>9.9317808947441275</c:v>
                </c:pt>
                <c:pt idx="81">
                  <c:v>9.9348164838965527</c:v>
                </c:pt>
                <c:pt idx="82">
                  <c:v>9.9454237487915496</c:v>
                </c:pt>
                <c:pt idx="83">
                  <c:v>9.9637496093630915</c:v>
                </c:pt>
                <c:pt idx="84">
                  <c:v>9.9820414301915719</c:v>
                </c:pt>
                <c:pt idx="85">
                  <c:v>10.001845095794719</c:v>
                </c:pt>
                <c:pt idx="86">
                  <c:v>9.996189719575856</c:v>
                </c:pt>
                <c:pt idx="87">
                  <c:v>9.9738801346969552</c:v>
                </c:pt>
                <c:pt idx="88">
                  <c:v>9.9632856459498846</c:v>
                </c:pt>
                <c:pt idx="89">
                  <c:v>9.972342361570302</c:v>
                </c:pt>
                <c:pt idx="90">
                  <c:v>9.9992681374575394</c:v>
                </c:pt>
                <c:pt idx="91">
                  <c:v>10.009770735354984</c:v>
                </c:pt>
                <c:pt idx="92">
                  <c:v>10.002278042854329</c:v>
                </c:pt>
                <c:pt idx="93">
                  <c:v>9.988085977732311</c:v>
                </c:pt>
                <c:pt idx="94">
                  <c:v>9.8703613300266397</c:v>
                </c:pt>
                <c:pt idx="95">
                  <c:v>9.80674300841196</c:v>
                </c:pt>
                <c:pt idx="96">
                  <c:v>9.8469829722912721</c:v>
                </c:pt>
                <c:pt idx="97">
                  <c:v>9.8704340788152276</c:v>
                </c:pt>
                <c:pt idx="98">
                  <c:v>9.8846118039436437</c:v>
                </c:pt>
                <c:pt idx="99">
                  <c:v>9.8748793963929806</c:v>
                </c:pt>
                <c:pt idx="100">
                  <c:v>9.8896735167620644</c:v>
                </c:pt>
                <c:pt idx="101">
                  <c:v>9.9275814290200302</c:v>
                </c:pt>
                <c:pt idx="102">
                  <c:v>10.014221186072543</c:v>
                </c:pt>
                <c:pt idx="103">
                  <c:v>10.074758995679936</c:v>
                </c:pt>
                <c:pt idx="104">
                  <c:v>10.172466326910419</c:v>
                </c:pt>
                <c:pt idx="105">
                  <c:v>10.27796589800416</c:v>
                </c:pt>
                <c:pt idx="106">
                  <c:v>10.367811167232556</c:v>
                </c:pt>
                <c:pt idx="107">
                  <c:v>10.425196985093772</c:v>
                </c:pt>
                <c:pt idx="108">
                  <c:v>10.503456311414116</c:v>
                </c:pt>
                <c:pt idx="109">
                  <c:v>10.647080336656011</c:v>
                </c:pt>
                <c:pt idx="110">
                  <c:v>10.782827902747425</c:v>
                </c:pt>
                <c:pt idx="111">
                  <c:v>10.874085191894189</c:v>
                </c:pt>
                <c:pt idx="112">
                  <c:v>10.928670605500686</c:v>
                </c:pt>
                <c:pt idx="113">
                  <c:v>10.842269077379486</c:v>
                </c:pt>
                <c:pt idx="114">
                  <c:v>10.801810637374153</c:v>
                </c:pt>
                <c:pt idx="115">
                  <c:v>10.724284853959228</c:v>
                </c:pt>
                <c:pt idx="116">
                  <c:v>10.673936373798805</c:v>
                </c:pt>
                <c:pt idx="117">
                  <c:v>10.651069808101058</c:v>
                </c:pt>
                <c:pt idx="118">
                  <c:v>10.665503959119725</c:v>
                </c:pt>
                <c:pt idx="119">
                  <c:v>10.70933264578953</c:v>
                </c:pt>
                <c:pt idx="120">
                  <c:v>10.745186496364164</c:v>
                </c:pt>
                <c:pt idx="121">
                  <c:v>10.817886188351023</c:v>
                </c:pt>
                <c:pt idx="122">
                  <c:v>10.845579916921098</c:v>
                </c:pt>
                <c:pt idx="123">
                  <c:v>10.835638694426688</c:v>
                </c:pt>
                <c:pt idx="124">
                  <c:v>10.832514558341849</c:v>
                </c:pt>
                <c:pt idx="125">
                  <c:v>10.831694762413985</c:v>
                </c:pt>
                <c:pt idx="126">
                  <c:v>10.825506329164631</c:v>
                </c:pt>
                <c:pt idx="127">
                  <c:v>10.81405214057661</c:v>
                </c:pt>
                <c:pt idx="128">
                  <c:v>10.809225098735117</c:v>
                </c:pt>
                <c:pt idx="129">
                  <c:v>10.811115131690149</c:v>
                </c:pt>
                <c:pt idx="130">
                  <c:v>10.781410228313829</c:v>
                </c:pt>
                <c:pt idx="131">
                  <c:v>10.747516314092877</c:v>
                </c:pt>
                <c:pt idx="132">
                  <c:v>10.742498875394695</c:v>
                </c:pt>
                <c:pt idx="133">
                  <c:v>10.780993965206527</c:v>
                </c:pt>
                <c:pt idx="134">
                  <c:v>10.814233419300017</c:v>
                </c:pt>
                <c:pt idx="135">
                  <c:v>10.910705035203634</c:v>
                </c:pt>
                <c:pt idx="136">
                  <c:v>10.993333152095147</c:v>
                </c:pt>
                <c:pt idx="137">
                  <c:v>11.06317293418028</c:v>
                </c:pt>
                <c:pt idx="138">
                  <c:v>11.106856893850205</c:v>
                </c:pt>
                <c:pt idx="139">
                  <c:v>11.141059779454029</c:v>
                </c:pt>
                <c:pt idx="140">
                  <c:v>11.173570118226351</c:v>
                </c:pt>
                <c:pt idx="141">
                  <c:v>11.244763090213041</c:v>
                </c:pt>
                <c:pt idx="142">
                  <c:v>11.281692907073813</c:v>
                </c:pt>
                <c:pt idx="143">
                  <c:v>11.302659528192637</c:v>
                </c:pt>
                <c:pt idx="144">
                  <c:v>11.326912051136764</c:v>
                </c:pt>
                <c:pt idx="145">
                  <c:v>11.353652113916471</c:v>
                </c:pt>
                <c:pt idx="146">
                  <c:v>11.374506794916574</c:v>
                </c:pt>
                <c:pt idx="147">
                  <c:v>11.38119546359016</c:v>
                </c:pt>
                <c:pt idx="148">
                  <c:v>11.40478275353181</c:v>
                </c:pt>
                <c:pt idx="149">
                  <c:v>11.471299071832149</c:v>
                </c:pt>
                <c:pt idx="150">
                  <c:v>11.467826713539738</c:v>
                </c:pt>
                <c:pt idx="151">
                  <c:v>11.470773565048596</c:v>
                </c:pt>
                <c:pt idx="152">
                  <c:v>11.471585560299927</c:v>
                </c:pt>
                <c:pt idx="153">
                  <c:v>11.48820074559033</c:v>
                </c:pt>
                <c:pt idx="154">
                  <c:v>11.443779250240937</c:v>
                </c:pt>
                <c:pt idx="155">
                  <c:v>11.397141163827349</c:v>
                </c:pt>
                <c:pt idx="156">
                  <c:v>11.385853190077661</c:v>
                </c:pt>
                <c:pt idx="157">
                  <c:v>11.333379542535056</c:v>
                </c:pt>
                <c:pt idx="158">
                  <c:v>11.307634495514602</c:v>
                </c:pt>
                <c:pt idx="159">
                  <c:v>11.200703657810767</c:v>
                </c:pt>
                <c:pt idx="160">
                  <c:v>11.136688348553569</c:v>
                </c:pt>
                <c:pt idx="161">
                  <c:v>11.179337968811408</c:v>
                </c:pt>
                <c:pt idx="162">
                  <c:v>11.225743690009837</c:v>
                </c:pt>
                <c:pt idx="163">
                  <c:v>11.191754255584412</c:v>
                </c:pt>
                <c:pt idx="164">
                  <c:v>11.151427128488802</c:v>
                </c:pt>
                <c:pt idx="165">
                  <c:v>11.133930127898338</c:v>
                </c:pt>
                <c:pt idx="166">
                  <c:v>11.138653639363364</c:v>
                </c:pt>
                <c:pt idx="167">
                  <c:v>11.148278622963954</c:v>
                </c:pt>
                <c:pt idx="168">
                  <c:v>11.148278622963955</c:v>
                </c:pt>
                <c:pt idx="169">
                  <c:v>11.172898429751353</c:v>
                </c:pt>
                <c:pt idx="170">
                  <c:v>11.196265951045907</c:v>
                </c:pt>
                <c:pt idx="171">
                  <c:v>11.18518007673563</c:v>
                </c:pt>
                <c:pt idx="172">
                  <c:v>11.210906302420966</c:v>
                </c:pt>
                <c:pt idx="173">
                  <c:v>11.251423219520865</c:v>
                </c:pt>
                <c:pt idx="174">
                  <c:v>10.992878353380506</c:v>
                </c:pt>
                <c:pt idx="175">
                  <c:v>10.939639605536776</c:v>
                </c:pt>
                <c:pt idx="176">
                  <c:v>10.931007351620835</c:v>
                </c:pt>
                <c:pt idx="177">
                  <c:v>10.902934834080103</c:v>
                </c:pt>
                <c:pt idx="178">
                  <c:v>10.901757945089841</c:v>
                </c:pt>
                <c:pt idx="179">
                  <c:v>10.886456145528051</c:v>
                </c:pt>
                <c:pt idx="180">
                  <c:v>10.879534856821552</c:v>
                </c:pt>
                <c:pt idx="181">
                  <c:v>10.926165178262609</c:v>
                </c:pt>
                <c:pt idx="182">
                  <c:v>10.996865395571742</c:v>
                </c:pt>
                <c:pt idx="183">
                  <c:v>11.125142474877464</c:v>
                </c:pt>
                <c:pt idx="184">
                  <c:v>11.293405438269103</c:v>
                </c:pt>
                <c:pt idx="185">
                  <c:v>11.461191155981219</c:v>
                </c:pt>
                <c:pt idx="186">
                  <c:v>11.625892398106897</c:v>
                </c:pt>
                <c:pt idx="187">
                  <c:v>11.78590825626407</c:v>
                </c:pt>
                <c:pt idx="188">
                  <c:v>11.993425112418317</c:v>
                </c:pt>
                <c:pt idx="189">
                  <c:v>12.187472474290042</c:v>
                </c:pt>
                <c:pt idx="190">
                  <c:v>12.382729578697186</c:v>
                </c:pt>
                <c:pt idx="191">
                  <c:v>12.448488606052495</c:v>
                </c:pt>
                <c:pt idx="192">
                  <c:v>12.543677687395006</c:v>
                </c:pt>
                <c:pt idx="193">
                  <c:v>12.566591310998694</c:v>
                </c:pt>
                <c:pt idx="194">
                  <c:v>12.614645762194936</c:v>
                </c:pt>
                <c:pt idx="195">
                  <c:v>12.605666150671089</c:v>
                </c:pt>
                <c:pt idx="196">
                  <c:v>12.605997397346949</c:v>
                </c:pt>
                <c:pt idx="197">
                  <c:v>12.607103336999019</c:v>
                </c:pt>
                <c:pt idx="198">
                  <c:v>12.607355114994396</c:v>
                </c:pt>
                <c:pt idx="199">
                  <c:v>12.607834689054592</c:v>
                </c:pt>
                <c:pt idx="200">
                  <c:v>12.603412571886238</c:v>
                </c:pt>
                <c:pt idx="201">
                  <c:v>12.637263102801828</c:v>
                </c:pt>
                <c:pt idx="202">
                  <c:v>12.638186722149891</c:v>
                </c:pt>
                <c:pt idx="203">
                  <c:v>12.63335819981388</c:v>
                </c:pt>
                <c:pt idx="204">
                  <c:v>12.633041727897295</c:v>
                </c:pt>
                <c:pt idx="205">
                  <c:v>12.630752153318145</c:v>
                </c:pt>
                <c:pt idx="206">
                  <c:v>12.621863555872659</c:v>
                </c:pt>
                <c:pt idx="207">
                  <c:v>12.594394908179863</c:v>
                </c:pt>
                <c:pt idx="208">
                  <c:v>12.538666782792024</c:v>
                </c:pt>
                <c:pt idx="209">
                  <c:v>12.513483007266984</c:v>
                </c:pt>
                <c:pt idx="210">
                  <c:v>12.521445505401234</c:v>
                </c:pt>
                <c:pt idx="211">
                  <c:v>12.537467621469762</c:v>
                </c:pt>
                <c:pt idx="212">
                  <c:v>12.570669654347638</c:v>
                </c:pt>
                <c:pt idx="213">
                  <c:v>12.737147987686251</c:v>
                </c:pt>
                <c:pt idx="214">
                  <c:v>12.803440705874783</c:v>
                </c:pt>
                <c:pt idx="215">
                  <c:v>12.84572048237901</c:v>
                </c:pt>
                <c:pt idx="216">
                  <c:v>12.859565422671144</c:v>
                </c:pt>
                <c:pt idx="217">
                  <c:v>12.869588366770335</c:v>
                </c:pt>
                <c:pt idx="218">
                  <c:v>12.869588366770333</c:v>
                </c:pt>
                <c:pt idx="219">
                  <c:v>12.877394981925192</c:v>
                </c:pt>
                <c:pt idx="220">
                  <c:v>12.907818355303053</c:v>
                </c:pt>
                <c:pt idx="221">
                  <c:v>12.936389453458295</c:v>
                </c:pt>
                <c:pt idx="222">
                  <c:v>12.961932654750649</c:v>
                </c:pt>
                <c:pt idx="223">
                  <c:v>12.988877548386485</c:v>
                </c:pt>
                <c:pt idx="224">
                  <c:v>13.012850113921859</c:v>
                </c:pt>
                <c:pt idx="225">
                  <c:v>12.927079044503603</c:v>
                </c:pt>
                <c:pt idx="226">
                  <c:v>12.889396483288806</c:v>
                </c:pt>
                <c:pt idx="227">
                  <c:v>12.874198700508144</c:v>
                </c:pt>
                <c:pt idx="228">
                  <c:v>12.864980733677976</c:v>
                </c:pt>
                <c:pt idx="229">
                  <c:v>12.864990591064467</c:v>
                </c:pt>
                <c:pt idx="230">
                  <c:v>12.865617975394123</c:v>
                </c:pt>
                <c:pt idx="231">
                  <c:v>12.892070181991361</c:v>
                </c:pt>
                <c:pt idx="232">
                  <c:v>12.886505307405839</c:v>
                </c:pt>
                <c:pt idx="233">
                  <c:v>12.900444610169034</c:v>
                </c:pt>
                <c:pt idx="234">
                  <c:v>12.915654725941353</c:v>
                </c:pt>
                <c:pt idx="235">
                  <c:v>12.946093265551886</c:v>
                </c:pt>
                <c:pt idx="236">
                  <c:v>12.9560158297302</c:v>
                </c:pt>
                <c:pt idx="237">
                  <c:v>12.994821730463782</c:v>
                </c:pt>
                <c:pt idx="238">
                  <c:v>13.045583831928013</c:v>
                </c:pt>
                <c:pt idx="239">
                  <c:v>13.11119099562546</c:v>
                </c:pt>
                <c:pt idx="240">
                  <c:v>13.219286169244954</c:v>
                </c:pt>
                <c:pt idx="241">
                  <c:v>13.282437320671043</c:v>
                </c:pt>
                <c:pt idx="242">
                  <c:v>13.317985364201549</c:v>
                </c:pt>
                <c:pt idx="243">
                  <c:v>13.319044490714726</c:v>
                </c:pt>
                <c:pt idx="244">
                  <c:v>13.317310129994821</c:v>
                </c:pt>
                <c:pt idx="245">
                  <c:v>13.36963071593124</c:v>
                </c:pt>
                <c:pt idx="246">
                  <c:v>13.379176713201417</c:v>
                </c:pt>
                <c:pt idx="247">
                  <c:v>13.37072066607454</c:v>
                </c:pt>
                <c:pt idx="248">
                  <c:v>13.378496672732181</c:v>
                </c:pt>
                <c:pt idx="249">
                  <c:v>13.36861390901136</c:v>
                </c:pt>
                <c:pt idx="250">
                  <c:v>13.346332601736215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E3-408D-8902-4AEB47154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529056"/>
        <c:axId val="670529536"/>
      </c:lineChart>
      <c:dateAx>
        <c:axId val="670529056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529536"/>
        <c:crosses val="autoZero"/>
        <c:auto val="1"/>
        <c:lblOffset val="100"/>
        <c:baseTimeUnit val="days"/>
      </c:dateAx>
      <c:valAx>
        <c:axId val="670529536"/>
        <c:scaling>
          <c:orientation val="minMax"/>
          <c:max val="15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52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Data!$B$2:$B$252</c:f>
              <c:numCache>
                <c:formatCode>m/d/yyyy</c:formatCode>
                <c:ptCount val="251"/>
                <c:pt idx="0">
                  <c:v>45702</c:v>
                </c:pt>
                <c:pt idx="1">
                  <c:v>45706</c:v>
                </c:pt>
                <c:pt idx="2">
                  <c:v>45707</c:v>
                </c:pt>
                <c:pt idx="3">
                  <c:v>45708</c:v>
                </c:pt>
                <c:pt idx="4">
                  <c:v>45709</c:v>
                </c:pt>
                <c:pt idx="5">
                  <c:v>45712</c:v>
                </c:pt>
                <c:pt idx="6">
                  <c:v>45713</c:v>
                </c:pt>
                <c:pt idx="7">
                  <c:v>45714</c:v>
                </c:pt>
                <c:pt idx="8">
                  <c:v>45715</c:v>
                </c:pt>
                <c:pt idx="9">
                  <c:v>45716</c:v>
                </c:pt>
                <c:pt idx="10">
                  <c:v>45719</c:v>
                </c:pt>
                <c:pt idx="11">
                  <c:v>45720</c:v>
                </c:pt>
                <c:pt idx="12">
                  <c:v>45721</c:v>
                </c:pt>
                <c:pt idx="13">
                  <c:v>45722</c:v>
                </c:pt>
                <c:pt idx="14">
                  <c:v>45723</c:v>
                </c:pt>
                <c:pt idx="15">
                  <c:v>45726</c:v>
                </c:pt>
                <c:pt idx="16">
                  <c:v>45727</c:v>
                </c:pt>
                <c:pt idx="17">
                  <c:v>45728</c:v>
                </c:pt>
                <c:pt idx="18">
                  <c:v>45729</c:v>
                </c:pt>
                <c:pt idx="19">
                  <c:v>45730</c:v>
                </c:pt>
                <c:pt idx="20">
                  <c:v>45733</c:v>
                </c:pt>
                <c:pt idx="21">
                  <c:v>45734</c:v>
                </c:pt>
                <c:pt idx="22">
                  <c:v>45735</c:v>
                </c:pt>
                <c:pt idx="23">
                  <c:v>45736</c:v>
                </c:pt>
                <c:pt idx="24">
                  <c:v>45737</c:v>
                </c:pt>
                <c:pt idx="25">
                  <c:v>45740</c:v>
                </c:pt>
                <c:pt idx="26">
                  <c:v>45741</c:v>
                </c:pt>
                <c:pt idx="27">
                  <c:v>45742</c:v>
                </c:pt>
                <c:pt idx="28">
                  <c:v>45743</c:v>
                </c:pt>
                <c:pt idx="29">
                  <c:v>45744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45754</c:v>
                </c:pt>
                <c:pt idx="36">
                  <c:v>45755</c:v>
                </c:pt>
                <c:pt idx="37">
                  <c:v>45756</c:v>
                </c:pt>
                <c:pt idx="38">
                  <c:v>45757</c:v>
                </c:pt>
                <c:pt idx="39">
                  <c:v>45758</c:v>
                </c:pt>
                <c:pt idx="40">
                  <c:v>45761</c:v>
                </c:pt>
                <c:pt idx="41">
                  <c:v>45762</c:v>
                </c:pt>
                <c:pt idx="42">
                  <c:v>45763</c:v>
                </c:pt>
                <c:pt idx="43">
                  <c:v>45764</c:v>
                </c:pt>
                <c:pt idx="44">
                  <c:v>45768</c:v>
                </c:pt>
                <c:pt idx="45">
                  <c:v>45769</c:v>
                </c:pt>
                <c:pt idx="46">
                  <c:v>45770</c:v>
                </c:pt>
                <c:pt idx="47">
                  <c:v>45771</c:v>
                </c:pt>
                <c:pt idx="48">
                  <c:v>45772</c:v>
                </c:pt>
                <c:pt idx="49">
                  <c:v>45775</c:v>
                </c:pt>
                <c:pt idx="50">
                  <c:v>45776</c:v>
                </c:pt>
                <c:pt idx="51">
                  <c:v>45777</c:v>
                </c:pt>
                <c:pt idx="52">
                  <c:v>45778</c:v>
                </c:pt>
                <c:pt idx="53">
                  <c:v>45779</c:v>
                </c:pt>
                <c:pt idx="54">
                  <c:v>45782</c:v>
                </c:pt>
                <c:pt idx="55">
                  <c:v>45783</c:v>
                </c:pt>
                <c:pt idx="56">
                  <c:v>45784</c:v>
                </c:pt>
                <c:pt idx="57">
                  <c:v>45785</c:v>
                </c:pt>
                <c:pt idx="58">
                  <c:v>45786</c:v>
                </c:pt>
                <c:pt idx="59">
                  <c:v>45789</c:v>
                </c:pt>
                <c:pt idx="60">
                  <c:v>45790</c:v>
                </c:pt>
                <c:pt idx="61">
                  <c:v>45791</c:v>
                </c:pt>
                <c:pt idx="62">
                  <c:v>45792</c:v>
                </c:pt>
                <c:pt idx="63">
                  <c:v>45793</c:v>
                </c:pt>
                <c:pt idx="64">
                  <c:v>45796</c:v>
                </c:pt>
                <c:pt idx="65">
                  <c:v>45797</c:v>
                </c:pt>
                <c:pt idx="66">
                  <c:v>45798</c:v>
                </c:pt>
                <c:pt idx="67">
                  <c:v>45799</c:v>
                </c:pt>
                <c:pt idx="68">
                  <c:v>45800</c:v>
                </c:pt>
                <c:pt idx="69">
                  <c:v>45804</c:v>
                </c:pt>
                <c:pt idx="70">
                  <c:v>45805</c:v>
                </c:pt>
                <c:pt idx="71">
                  <c:v>45806</c:v>
                </c:pt>
                <c:pt idx="72">
                  <c:v>45807</c:v>
                </c:pt>
                <c:pt idx="73">
                  <c:v>45810</c:v>
                </c:pt>
                <c:pt idx="74">
                  <c:v>45811</c:v>
                </c:pt>
                <c:pt idx="75">
                  <c:v>45812</c:v>
                </c:pt>
                <c:pt idx="76">
                  <c:v>45813</c:v>
                </c:pt>
                <c:pt idx="77">
                  <c:v>45814</c:v>
                </c:pt>
                <c:pt idx="78">
                  <c:v>45817</c:v>
                </c:pt>
                <c:pt idx="79">
                  <c:v>45818</c:v>
                </c:pt>
                <c:pt idx="80">
                  <c:v>45819</c:v>
                </c:pt>
                <c:pt idx="81">
                  <c:v>45820</c:v>
                </c:pt>
                <c:pt idx="82">
                  <c:v>45821</c:v>
                </c:pt>
                <c:pt idx="83">
                  <c:v>45824</c:v>
                </c:pt>
                <c:pt idx="84">
                  <c:v>45825</c:v>
                </c:pt>
                <c:pt idx="85">
                  <c:v>45826</c:v>
                </c:pt>
                <c:pt idx="86">
                  <c:v>45828</c:v>
                </c:pt>
                <c:pt idx="87">
                  <c:v>45831</c:v>
                </c:pt>
                <c:pt idx="88">
                  <c:v>45832</c:v>
                </c:pt>
                <c:pt idx="89">
                  <c:v>45833</c:v>
                </c:pt>
                <c:pt idx="90">
                  <c:v>45834</c:v>
                </c:pt>
                <c:pt idx="91">
                  <c:v>45835</c:v>
                </c:pt>
                <c:pt idx="92">
                  <c:v>45838</c:v>
                </c:pt>
                <c:pt idx="93">
                  <c:v>45839</c:v>
                </c:pt>
                <c:pt idx="94">
                  <c:v>45840</c:v>
                </c:pt>
                <c:pt idx="95">
                  <c:v>45841</c:v>
                </c:pt>
                <c:pt idx="96">
                  <c:v>45845</c:v>
                </c:pt>
                <c:pt idx="97">
                  <c:v>45846</c:v>
                </c:pt>
                <c:pt idx="98">
                  <c:v>45847</c:v>
                </c:pt>
                <c:pt idx="99">
                  <c:v>45848</c:v>
                </c:pt>
                <c:pt idx="100">
                  <c:v>45849</c:v>
                </c:pt>
                <c:pt idx="101">
                  <c:v>45852</c:v>
                </c:pt>
                <c:pt idx="102">
                  <c:v>45853</c:v>
                </c:pt>
                <c:pt idx="103">
                  <c:v>45854</c:v>
                </c:pt>
                <c:pt idx="104">
                  <c:v>45855</c:v>
                </c:pt>
                <c:pt idx="105">
                  <c:v>45856</c:v>
                </c:pt>
                <c:pt idx="106">
                  <c:v>45859</c:v>
                </c:pt>
                <c:pt idx="107">
                  <c:v>45860</c:v>
                </c:pt>
                <c:pt idx="108">
                  <c:v>45861</c:v>
                </c:pt>
                <c:pt idx="109">
                  <c:v>45862</c:v>
                </c:pt>
                <c:pt idx="110">
                  <c:v>45863</c:v>
                </c:pt>
                <c:pt idx="111">
                  <c:v>45866</c:v>
                </c:pt>
                <c:pt idx="112">
                  <c:v>45867</c:v>
                </c:pt>
                <c:pt idx="113">
                  <c:v>45868</c:v>
                </c:pt>
                <c:pt idx="114">
                  <c:v>45869</c:v>
                </c:pt>
                <c:pt idx="115">
                  <c:v>45870</c:v>
                </c:pt>
                <c:pt idx="116">
                  <c:v>45873</c:v>
                </c:pt>
                <c:pt idx="117">
                  <c:v>45874</c:v>
                </c:pt>
                <c:pt idx="118">
                  <c:v>45875</c:v>
                </c:pt>
                <c:pt idx="119">
                  <c:v>45876</c:v>
                </c:pt>
                <c:pt idx="120">
                  <c:v>45877</c:v>
                </c:pt>
                <c:pt idx="121">
                  <c:v>45880</c:v>
                </c:pt>
                <c:pt idx="122">
                  <c:v>45881</c:v>
                </c:pt>
                <c:pt idx="123">
                  <c:v>45882</c:v>
                </c:pt>
                <c:pt idx="124">
                  <c:v>45883</c:v>
                </c:pt>
                <c:pt idx="125">
                  <c:v>45884</c:v>
                </c:pt>
                <c:pt idx="126">
                  <c:v>45887</c:v>
                </c:pt>
                <c:pt idx="127">
                  <c:v>45888</c:v>
                </c:pt>
                <c:pt idx="128">
                  <c:v>45889</c:v>
                </c:pt>
                <c:pt idx="129">
                  <c:v>45890</c:v>
                </c:pt>
                <c:pt idx="130">
                  <c:v>45891</c:v>
                </c:pt>
                <c:pt idx="131">
                  <c:v>45894</c:v>
                </c:pt>
                <c:pt idx="132">
                  <c:v>45895</c:v>
                </c:pt>
                <c:pt idx="133">
                  <c:v>45896</c:v>
                </c:pt>
                <c:pt idx="134">
                  <c:v>45897</c:v>
                </c:pt>
                <c:pt idx="135">
                  <c:v>45898</c:v>
                </c:pt>
                <c:pt idx="136">
                  <c:v>45902</c:v>
                </c:pt>
                <c:pt idx="137">
                  <c:v>45903</c:v>
                </c:pt>
                <c:pt idx="138">
                  <c:v>45904</c:v>
                </c:pt>
                <c:pt idx="139">
                  <c:v>45905</c:v>
                </c:pt>
                <c:pt idx="140">
                  <c:v>45908</c:v>
                </c:pt>
                <c:pt idx="141">
                  <c:v>45909</c:v>
                </c:pt>
                <c:pt idx="142">
                  <c:v>45910</c:v>
                </c:pt>
                <c:pt idx="143">
                  <c:v>45911</c:v>
                </c:pt>
                <c:pt idx="144">
                  <c:v>45912</c:v>
                </c:pt>
                <c:pt idx="145">
                  <c:v>45915</c:v>
                </c:pt>
                <c:pt idx="146">
                  <c:v>45916</c:v>
                </c:pt>
                <c:pt idx="147">
                  <c:v>45917</c:v>
                </c:pt>
                <c:pt idx="148">
                  <c:v>45918</c:v>
                </c:pt>
                <c:pt idx="149">
                  <c:v>45919</c:v>
                </c:pt>
                <c:pt idx="150">
                  <c:v>45922</c:v>
                </c:pt>
                <c:pt idx="151">
                  <c:v>45923</c:v>
                </c:pt>
                <c:pt idx="152">
                  <c:v>45924</c:v>
                </c:pt>
                <c:pt idx="153">
                  <c:v>45925</c:v>
                </c:pt>
                <c:pt idx="154">
                  <c:v>45926</c:v>
                </c:pt>
                <c:pt idx="155">
                  <c:v>45929</c:v>
                </c:pt>
                <c:pt idx="156">
                  <c:v>45930</c:v>
                </c:pt>
                <c:pt idx="157">
                  <c:v>45931</c:v>
                </c:pt>
                <c:pt idx="158">
                  <c:v>45932</c:v>
                </c:pt>
                <c:pt idx="159">
                  <c:v>45933</c:v>
                </c:pt>
                <c:pt idx="160">
                  <c:v>45936</c:v>
                </c:pt>
                <c:pt idx="161">
                  <c:v>45937</c:v>
                </c:pt>
                <c:pt idx="162">
                  <c:v>45938</c:v>
                </c:pt>
                <c:pt idx="163">
                  <c:v>45939</c:v>
                </c:pt>
                <c:pt idx="164">
                  <c:v>45940</c:v>
                </c:pt>
                <c:pt idx="165">
                  <c:v>45943</c:v>
                </c:pt>
                <c:pt idx="166">
                  <c:v>45944</c:v>
                </c:pt>
                <c:pt idx="167">
                  <c:v>45945</c:v>
                </c:pt>
                <c:pt idx="168">
                  <c:v>45946</c:v>
                </c:pt>
                <c:pt idx="169">
                  <c:v>45947</c:v>
                </c:pt>
                <c:pt idx="170">
                  <c:v>45950</c:v>
                </c:pt>
                <c:pt idx="171">
                  <c:v>45951</c:v>
                </c:pt>
                <c:pt idx="172">
                  <c:v>45952</c:v>
                </c:pt>
                <c:pt idx="173">
                  <c:v>45953</c:v>
                </c:pt>
                <c:pt idx="174">
                  <c:v>45954</c:v>
                </c:pt>
                <c:pt idx="175">
                  <c:v>45957</c:v>
                </c:pt>
                <c:pt idx="176">
                  <c:v>45958</c:v>
                </c:pt>
                <c:pt idx="177">
                  <c:v>45959</c:v>
                </c:pt>
                <c:pt idx="178">
                  <c:v>45960</c:v>
                </c:pt>
                <c:pt idx="179">
                  <c:v>45961</c:v>
                </c:pt>
                <c:pt idx="180">
                  <c:v>45964</c:v>
                </c:pt>
                <c:pt idx="181">
                  <c:v>45965</c:v>
                </c:pt>
                <c:pt idx="182">
                  <c:v>45966</c:v>
                </c:pt>
                <c:pt idx="183">
                  <c:v>45967</c:v>
                </c:pt>
                <c:pt idx="184">
                  <c:v>45968</c:v>
                </c:pt>
                <c:pt idx="185">
                  <c:v>45971</c:v>
                </c:pt>
                <c:pt idx="186">
                  <c:v>45972</c:v>
                </c:pt>
                <c:pt idx="187">
                  <c:v>45973</c:v>
                </c:pt>
                <c:pt idx="188">
                  <c:v>45974</c:v>
                </c:pt>
                <c:pt idx="189">
                  <c:v>45975</c:v>
                </c:pt>
                <c:pt idx="190">
                  <c:v>45978</c:v>
                </c:pt>
                <c:pt idx="191">
                  <c:v>45979</c:v>
                </c:pt>
                <c:pt idx="192">
                  <c:v>45980</c:v>
                </c:pt>
                <c:pt idx="193">
                  <c:v>45981</c:v>
                </c:pt>
                <c:pt idx="194">
                  <c:v>45982</c:v>
                </c:pt>
                <c:pt idx="195">
                  <c:v>45985</c:v>
                </c:pt>
                <c:pt idx="196">
                  <c:v>45986</c:v>
                </c:pt>
                <c:pt idx="197">
                  <c:v>45987</c:v>
                </c:pt>
                <c:pt idx="198">
                  <c:v>45989</c:v>
                </c:pt>
                <c:pt idx="199">
                  <c:v>45992</c:v>
                </c:pt>
                <c:pt idx="200">
                  <c:v>45993</c:v>
                </c:pt>
                <c:pt idx="201">
                  <c:v>45994</c:v>
                </c:pt>
                <c:pt idx="202">
                  <c:v>45995</c:v>
                </c:pt>
                <c:pt idx="203">
                  <c:v>45996</c:v>
                </c:pt>
                <c:pt idx="204">
                  <c:v>45999</c:v>
                </c:pt>
                <c:pt idx="205">
                  <c:v>46000</c:v>
                </c:pt>
                <c:pt idx="206">
                  <c:v>46001</c:v>
                </c:pt>
                <c:pt idx="207">
                  <c:v>46002</c:v>
                </c:pt>
                <c:pt idx="208">
                  <c:v>46003</c:v>
                </c:pt>
                <c:pt idx="209">
                  <c:v>46006</c:v>
                </c:pt>
                <c:pt idx="210">
                  <c:v>46007</c:v>
                </c:pt>
                <c:pt idx="211">
                  <c:v>46008</c:v>
                </c:pt>
                <c:pt idx="212">
                  <c:v>46009</c:v>
                </c:pt>
                <c:pt idx="213">
                  <c:v>46010</c:v>
                </c:pt>
                <c:pt idx="214">
                  <c:v>46013</c:v>
                </c:pt>
                <c:pt idx="215">
                  <c:v>46014</c:v>
                </c:pt>
                <c:pt idx="216">
                  <c:v>46015</c:v>
                </c:pt>
                <c:pt idx="217">
                  <c:v>46017</c:v>
                </c:pt>
                <c:pt idx="218">
                  <c:v>46020</c:v>
                </c:pt>
                <c:pt idx="219">
                  <c:v>46021</c:v>
                </c:pt>
                <c:pt idx="220">
                  <c:v>46022</c:v>
                </c:pt>
                <c:pt idx="221">
                  <c:v>46024</c:v>
                </c:pt>
                <c:pt idx="222">
                  <c:v>46027</c:v>
                </c:pt>
                <c:pt idx="223">
                  <c:v>46028</c:v>
                </c:pt>
                <c:pt idx="224">
                  <c:v>46029</c:v>
                </c:pt>
                <c:pt idx="225">
                  <c:v>46030</c:v>
                </c:pt>
                <c:pt idx="226">
                  <c:v>46031</c:v>
                </c:pt>
                <c:pt idx="227">
                  <c:v>46034</c:v>
                </c:pt>
                <c:pt idx="228">
                  <c:v>46035</c:v>
                </c:pt>
                <c:pt idx="229">
                  <c:v>46036</c:v>
                </c:pt>
                <c:pt idx="230">
                  <c:v>46037</c:v>
                </c:pt>
                <c:pt idx="231">
                  <c:v>46038</c:v>
                </c:pt>
                <c:pt idx="232">
                  <c:v>46042</c:v>
                </c:pt>
                <c:pt idx="233">
                  <c:v>46043</c:v>
                </c:pt>
                <c:pt idx="234">
                  <c:v>46044</c:v>
                </c:pt>
                <c:pt idx="235">
                  <c:v>46045</c:v>
                </c:pt>
                <c:pt idx="236">
                  <c:v>46048</c:v>
                </c:pt>
                <c:pt idx="237">
                  <c:v>46049</c:v>
                </c:pt>
                <c:pt idx="238">
                  <c:v>46050</c:v>
                </c:pt>
                <c:pt idx="239">
                  <c:v>46051</c:v>
                </c:pt>
                <c:pt idx="240">
                  <c:v>46052</c:v>
                </c:pt>
                <c:pt idx="241">
                  <c:v>46055</c:v>
                </c:pt>
                <c:pt idx="242">
                  <c:v>46056</c:v>
                </c:pt>
                <c:pt idx="243">
                  <c:v>46057</c:v>
                </c:pt>
                <c:pt idx="244">
                  <c:v>46058</c:v>
                </c:pt>
                <c:pt idx="245">
                  <c:v>46059</c:v>
                </c:pt>
                <c:pt idx="246">
                  <c:v>46062</c:v>
                </c:pt>
                <c:pt idx="247">
                  <c:v>46063</c:v>
                </c:pt>
                <c:pt idx="248">
                  <c:v>46064</c:v>
                </c:pt>
                <c:pt idx="249">
                  <c:v>46065</c:v>
                </c:pt>
                <c:pt idx="250">
                  <c:v>46066</c:v>
                </c:pt>
              </c:numCache>
            </c:numRef>
          </c:cat>
          <c:val>
            <c:numRef>
              <c:f>Data!$AA$2:$AA$252</c:f>
              <c:numCache>
                <c:formatCode>General</c:formatCode>
                <c:ptCount val="251"/>
                <c:pt idx="35">
                  <c:v>-0.18250140756558833</c:v>
                </c:pt>
                <c:pt idx="36">
                  <c:v>-0.15027988075468646</c:v>
                </c:pt>
                <c:pt idx="37">
                  <c:v>-0.14612557307531809</c:v>
                </c:pt>
                <c:pt idx="38">
                  <c:v>-0.12434826542950625</c:v>
                </c:pt>
                <c:pt idx="39">
                  <c:v>-8.0258034295720621E-2</c:v>
                </c:pt>
                <c:pt idx="40">
                  <c:v>-6.5154158313134744E-2</c:v>
                </c:pt>
                <c:pt idx="41">
                  <c:v>-5.545992940944585E-2</c:v>
                </c:pt>
                <c:pt idx="42">
                  <c:v>-3.1669199724155973E-2</c:v>
                </c:pt>
                <c:pt idx="43">
                  <c:v>-2.510691418267446E-2</c:v>
                </c:pt>
                <c:pt idx="44">
                  <c:v>-7.9318600778200687E-3</c:v>
                </c:pt>
                <c:pt idx="45">
                  <c:v>1.1821922165141288E-2</c:v>
                </c:pt>
                <c:pt idx="46">
                  <c:v>4.1702180360754917E-2</c:v>
                </c:pt>
                <c:pt idx="47">
                  <c:v>5.7122798141826268E-2</c:v>
                </c:pt>
                <c:pt idx="48">
                  <c:v>6.2541824763681725E-2</c:v>
                </c:pt>
                <c:pt idx="49">
                  <c:v>7.0838077583028514E-2</c:v>
                </c:pt>
                <c:pt idx="50">
                  <c:v>6.3110593221479661E-2</c:v>
                </c:pt>
                <c:pt idx="51">
                  <c:v>6.5384462301178337E-2</c:v>
                </c:pt>
                <c:pt idx="52">
                  <c:v>6.9191525102152512E-2</c:v>
                </c:pt>
                <c:pt idx="53">
                  <c:v>6.0200580618401445E-2</c:v>
                </c:pt>
                <c:pt idx="54">
                  <c:v>6.777291622401127E-2</c:v>
                </c:pt>
                <c:pt idx="55">
                  <c:v>5.7733776933717174E-2</c:v>
                </c:pt>
                <c:pt idx="56">
                  <c:v>4.7261613894975324E-2</c:v>
                </c:pt>
                <c:pt idx="57">
                  <c:v>4.6531938845233434E-2</c:v>
                </c:pt>
                <c:pt idx="58">
                  <c:v>4.9926331679876756E-2</c:v>
                </c:pt>
                <c:pt idx="59">
                  <c:v>5.114664201042643E-2</c:v>
                </c:pt>
                <c:pt idx="60">
                  <c:v>5.0823735319348029E-2</c:v>
                </c:pt>
                <c:pt idx="61">
                  <c:v>5.2625543016026288E-2</c:v>
                </c:pt>
                <c:pt idx="62">
                  <c:v>5.2353799343116569E-2</c:v>
                </c:pt>
                <c:pt idx="63">
                  <c:v>4.4295547814930336E-2</c:v>
                </c:pt>
                <c:pt idx="64">
                  <c:v>3.295468563633297E-2</c:v>
                </c:pt>
                <c:pt idx="65">
                  <c:v>6.6740336357591634E-3</c:v>
                </c:pt>
                <c:pt idx="66">
                  <c:v>-1.4844592697953546E-2</c:v>
                </c:pt>
                <c:pt idx="67">
                  <c:v>-3.4769304372385512E-2</c:v>
                </c:pt>
                <c:pt idx="68">
                  <c:v>-5.0656718715339166E-2</c:v>
                </c:pt>
                <c:pt idx="69">
                  <c:v>-6.8808921628640995E-2</c:v>
                </c:pt>
                <c:pt idx="70">
                  <c:v>-7.5146896093420679E-2</c:v>
                </c:pt>
                <c:pt idx="71">
                  <c:v>-6.6556475955061034E-2</c:v>
                </c:pt>
                <c:pt idx="72">
                  <c:v>-8.4645747375367758E-2</c:v>
                </c:pt>
                <c:pt idx="73">
                  <c:v>-7.9387363385052978E-2</c:v>
                </c:pt>
                <c:pt idx="74">
                  <c:v>-6.9800660831712019E-2</c:v>
                </c:pt>
                <c:pt idx="75">
                  <c:v>-6.9969869145748584E-2</c:v>
                </c:pt>
                <c:pt idx="76">
                  <c:v>-5.6940248578099026E-2</c:v>
                </c:pt>
                <c:pt idx="77">
                  <c:v>-4.1296526772876201E-2</c:v>
                </c:pt>
                <c:pt idx="78">
                  <c:v>-1.3253104077430501E-2</c:v>
                </c:pt>
                <c:pt idx="79">
                  <c:v>8.3588020981149175E-3</c:v>
                </c:pt>
                <c:pt idx="80">
                  <c:v>1.2662218958312731E-2</c:v>
                </c:pt>
                <c:pt idx="81">
                  <c:v>7.7770879701611756E-3</c:v>
                </c:pt>
                <c:pt idx="82">
                  <c:v>1.5878236791609879E-2</c:v>
                </c:pt>
                <c:pt idx="83">
                  <c:v>6.7691800015585724E-3</c:v>
                </c:pt>
                <c:pt idx="84">
                  <c:v>7.3689263146672901E-4</c:v>
                </c:pt>
                <c:pt idx="85">
                  <c:v>6.5202572439839873E-3</c:v>
                </c:pt>
                <c:pt idx="86">
                  <c:v>1.9391409097265111E-2</c:v>
                </c:pt>
                <c:pt idx="87">
                  <c:v>2.4498945200092229E-2</c:v>
                </c:pt>
                <c:pt idx="88">
                  <c:v>9.7387511446487413E-3</c:v>
                </c:pt>
                <c:pt idx="89">
                  <c:v>8.8044714336103225E-3</c:v>
                </c:pt>
                <c:pt idx="90">
                  <c:v>1.7841269572439269E-2</c:v>
                </c:pt>
                <c:pt idx="91">
                  <c:v>2.4955238724258436E-2</c:v>
                </c:pt>
                <c:pt idx="92">
                  <c:v>5.9152160581164986E-2</c:v>
                </c:pt>
                <c:pt idx="93">
                  <c:v>0.10329126051353199</c:v>
                </c:pt>
                <c:pt idx="94">
                  <c:v>0.12686194656964378</c:v>
                </c:pt>
                <c:pt idx="95">
                  <c:v>0.11942339834238275</c:v>
                </c:pt>
                <c:pt idx="96">
                  <c:v>0.11245008950647722</c:v>
                </c:pt>
                <c:pt idx="97">
                  <c:v>0.10970669940867273</c:v>
                </c:pt>
                <c:pt idx="98">
                  <c:v>0.10504107324435691</c:v>
                </c:pt>
                <c:pt idx="99">
                  <c:v>8.5774087331310978E-2</c:v>
                </c:pt>
                <c:pt idx="100">
                  <c:v>7.2847825424574464E-2</c:v>
                </c:pt>
                <c:pt idx="101">
                  <c:v>3.8242145398557248E-2</c:v>
                </c:pt>
                <c:pt idx="102">
                  <c:v>-9.5012018356700478E-3</c:v>
                </c:pt>
                <c:pt idx="103">
                  <c:v>-4.763830472581948E-2</c:v>
                </c:pt>
                <c:pt idx="104">
                  <c:v>-7.1264846098427426E-2</c:v>
                </c:pt>
                <c:pt idx="105">
                  <c:v>-7.5461006354243965E-2</c:v>
                </c:pt>
                <c:pt idx="106">
                  <c:v>-8.4317388833751727E-2</c:v>
                </c:pt>
                <c:pt idx="107">
                  <c:v>-7.5654789947224133E-2</c:v>
                </c:pt>
                <c:pt idx="108">
                  <c:v>-7.6076783901231654E-2</c:v>
                </c:pt>
                <c:pt idx="109">
                  <c:v>-6.0937479590402549E-2</c:v>
                </c:pt>
                <c:pt idx="110">
                  <c:v>-6.2226459032797665E-2</c:v>
                </c:pt>
                <c:pt idx="111">
                  <c:v>-7.4241147981588013E-2</c:v>
                </c:pt>
                <c:pt idx="112">
                  <c:v>-9.2817640053919626E-2</c:v>
                </c:pt>
                <c:pt idx="113">
                  <c:v>-8.8156340448203932E-2</c:v>
                </c:pt>
                <c:pt idx="114">
                  <c:v>-9.7691418823161388E-2</c:v>
                </c:pt>
                <c:pt idx="115">
                  <c:v>-9.1151296567321918E-2</c:v>
                </c:pt>
                <c:pt idx="116">
                  <c:v>-7.5946995033642495E-2</c:v>
                </c:pt>
                <c:pt idx="117">
                  <c:v>-5.3383383275085329E-2</c:v>
                </c:pt>
                <c:pt idx="118">
                  <c:v>-3.2373661830671571E-2</c:v>
                </c:pt>
                <c:pt idx="119">
                  <c:v>-1.5279996837040052E-2</c:v>
                </c:pt>
                <c:pt idx="120">
                  <c:v>-1.554197816131405E-2</c:v>
                </c:pt>
                <c:pt idx="121">
                  <c:v>-8.1258630498137925E-3</c:v>
                </c:pt>
                <c:pt idx="122">
                  <c:v>8.8379027404831764E-3</c:v>
                </c:pt>
                <c:pt idx="123">
                  <c:v>1.8751182880072416E-2</c:v>
                </c:pt>
                <c:pt idx="124">
                  <c:v>2.3682946939810656E-2</c:v>
                </c:pt>
                <c:pt idx="125">
                  <c:v>2.6456237057048512E-2</c:v>
                </c:pt>
                <c:pt idx="126">
                  <c:v>3.4052724339090401E-2</c:v>
                </c:pt>
                <c:pt idx="127">
                  <c:v>3.0794755298613155E-2</c:v>
                </c:pt>
                <c:pt idx="128">
                  <c:v>1.6366787497886962E-2</c:v>
                </c:pt>
                <c:pt idx="129">
                  <c:v>3.2032783942970822E-2</c:v>
                </c:pt>
                <c:pt idx="130">
                  <c:v>4.4607018485874575E-2</c:v>
                </c:pt>
                <c:pt idx="131">
                  <c:v>5.0653506165935891E-2</c:v>
                </c:pt>
                <c:pt idx="132">
                  <c:v>5.5366995304484218E-2</c:v>
                </c:pt>
                <c:pt idx="133">
                  <c:v>4.1640936079709534E-2</c:v>
                </c:pt>
                <c:pt idx="134">
                  <c:v>3.3574552356192999E-2</c:v>
                </c:pt>
                <c:pt idx="135">
                  <c:v>2.2381930538387329E-2</c:v>
                </c:pt>
                <c:pt idx="136">
                  <c:v>6.5746828410143954E-3</c:v>
                </c:pt>
                <c:pt idx="137">
                  <c:v>-1.1004397342617989E-3</c:v>
                </c:pt>
                <c:pt idx="138">
                  <c:v>-3.273653095768686E-3</c:v>
                </c:pt>
                <c:pt idx="139">
                  <c:v>-8.8969346186481002E-3</c:v>
                </c:pt>
                <c:pt idx="140">
                  <c:v>-2.5940241975678763E-2</c:v>
                </c:pt>
                <c:pt idx="141">
                  <c:v>-4.0892542593571946E-2</c:v>
                </c:pt>
                <c:pt idx="142">
                  <c:v>-2.7491971849487623E-2</c:v>
                </c:pt>
                <c:pt idx="143">
                  <c:v>-2.3763609722429746E-2</c:v>
                </c:pt>
                <c:pt idx="144">
                  <c:v>-2.1133472299376968E-2</c:v>
                </c:pt>
                <c:pt idx="145">
                  <c:v>-2.3748626003464113E-2</c:v>
                </c:pt>
                <c:pt idx="146">
                  <c:v>-2.1802088308726708E-2</c:v>
                </c:pt>
                <c:pt idx="147">
                  <c:v>-1.5134190258420735E-2</c:v>
                </c:pt>
                <c:pt idx="148">
                  <c:v>-1.8585616121770315E-2</c:v>
                </c:pt>
                <c:pt idx="149">
                  <c:v>-1.7945522133898342E-2</c:v>
                </c:pt>
                <c:pt idx="150">
                  <c:v>-1.2819066164262261E-2</c:v>
                </c:pt>
                <c:pt idx="151">
                  <c:v>-1.5969168316910268E-2</c:v>
                </c:pt>
                <c:pt idx="152">
                  <c:v>-1.8361736488477803E-2</c:v>
                </c:pt>
                <c:pt idx="153">
                  <c:v>5.414840979229063E-3</c:v>
                </c:pt>
                <c:pt idx="154">
                  <c:v>2.455150717186827E-2</c:v>
                </c:pt>
                <c:pt idx="155">
                  <c:v>2.6319123950840503E-2</c:v>
                </c:pt>
                <c:pt idx="156">
                  <c:v>4.5127281131808264E-2</c:v>
                </c:pt>
                <c:pt idx="157">
                  <c:v>5.0552951051815731E-2</c:v>
                </c:pt>
                <c:pt idx="158">
                  <c:v>7.9099926143388927E-2</c:v>
                </c:pt>
                <c:pt idx="159">
                  <c:v>9.3658704241072144E-2</c:v>
                </c:pt>
                <c:pt idx="160">
                  <c:v>4.6780981429792229E-2</c:v>
                </c:pt>
                <c:pt idx="161">
                  <c:v>2.0374327342150833E-3</c:v>
                </c:pt>
                <c:pt idx="162">
                  <c:v>-4.2856629764022436E-2</c:v>
                </c:pt>
                <c:pt idx="163">
                  <c:v>-7.58212819568653E-2</c:v>
                </c:pt>
                <c:pt idx="164">
                  <c:v>-8.5368051263382205E-2</c:v>
                </c:pt>
                <c:pt idx="165">
                  <c:v>-8.0818270053538574E-2</c:v>
                </c:pt>
                <c:pt idx="166">
                  <c:v>-6.7487349939477151E-2</c:v>
                </c:pt>
                <c:pt idx="167">
                  <c:v>-5.7493889914359567E-2</c:v>
                </c:pt>
                <c:pt idx="168">
                  <c:v>-3.7221585935104086E-2</c:v>
                </c:pt>
                <c:pt idx="169">
                  <c:v>-1.8504516869127775E-2</c:v>
                </c:pt>
                <c:pt idx="170">
                  <c:v>3.0207588840041863E-2</c:v>
                </c:pt>
                <c:pt idx="171">
                  <c:v>5.0425219464829793E-2</c:v>
                </c:pt>
                <c:pt idx="172">
                  <c:v>5.4161000808614357E-2</c:v>
                </c:pt>
                <c:pt idx="173">
                  <c:v>0.14871708409202011</c:v>
                </c:pt>
                <c:pt idx="174">
                  <c:v>0.1621610899595482</c:v>
                </c:pt>
                <c:pt idx="175">
                  <c:v>0.1524092108942495</c:v>
                </c:pt>
                <c:pt idx="176">
                  <c:v>0.14359867804224061</c:v>
                </c:pt>
                <c:pt idx="177">
                  <c:v>0.11700561250922353</c:v>
                </c:pt>
                <c:pt idx="178">
                  <c:v>9.6348588930560863E-2</c:v>
                </c:pt>
                <c:pt idx="179">
                  <c:v>6.8150082709907689E-2</c:v>
                </c:pt>
                <c:pt idx="180">
                  <c:v>3.0165839358355262E-2</c:v>
                </c:pt>
                <c:pt idx="181">
                  <c:v>2.2432066768577175E-2</c:v>
                </c:pt>
                <c:pt idx="182">
                  <c:v>1.4229517340703879E-2</c:v>
                </c:pt>
                <c:pt idx="183">
                  <c:v>1.1236120024565754E-2</c:v>
                </c:pt>
                <c:pt idx="184">
                  <c:v>2.7045548428398236E-3</c:v>
                </c:pt>
                <c:pt idx="185">
                  <c:v>3.2682039774685201E-3</c:v>
                </c:pt>
                <c:pt idx="186">
                  <c:v>1.0133737563205902E-2</c:v>
                </c:pt>
                <c:pt idx="187">
                  <c:v>1.4451836038426036E-4</c:v>
                </c:pt>
                <c:pt idx="188">
                  <c:v>-1.4780198263634026E-2</c:v>
                </c:pt>
                <c:pt idx="189">
                  <c:v>-4.6022209725742225E-2</c:v>
                </c:pt>
                <c:pt idx="190">
                  <c:v>-5.7030984964764941E-2</c:v>
                </c:pt>
                <c:pt idx="191">
                  <c:v>-7.1243468974589053E-2</c:v>
                </c:pt>
                <c:pt idx="192">
                  <c:v>-0.11016909101465816</c:v>
                </c:pt>
                <c:pt idx="193">
                  <c:v>-0.10421871205274599</c:v>
                </c:pt>
                <c:pt idx="194">
                  <c:v>-8.8722440734201047E-2</c:v>
                </c:pt>
                <c:pt idx="195">
                  <c:v>-6.2747699675522878E-2</c:v>
                </c:pt>
                <c:pt idx="196">
                  <c:v>-4.3549237058187029E-2</c:v>
                </c:pt>
                <c:pt idx="197">
                  <c:v>-2.5037935636314124E-2</c:v>
                </c:pt>
                <c:pt idx="198">
                  <c:v>-2.1272369429983728E-2</c:v>
                </c:pt>
                <c:pt idx="199">
                  <c:v>-3.2003470659754341E-2</c:v>
                </c:pt>
                <c:pt idx="200">
                  <c:v>-3.0125488689485336E-2</c:v>
                </c:pt>
                <c:pt idx="201">
                  <c:v>-2.5479575588995884E-2</c:v>
                </c:pt>
                <c:pt idx="202">
                  <c:v>-2.9495076425631372E-2</c:v>
                </c:pt>
                <c:pt idx="203">
                  <c:v>-2.4621773244122708E-2</c:v>
                </c:pt>
                <c:pt idx="204">
                  <c:v>-2.5225491361626939E-2</c:v>
                </c:pt>
                <c:pt idx="205">
                  <c:v>-4.2840695342073187E-3</c:v>
                </c:pt>
                <c:pt idx="206">
                  <c:v>2.2053465916822751E-2</c:v>
                </c:pt>
                <c:pt idx="207">
                  <c:v>4.459866966460857E-2</c:v>
                </c:pt>
                <c:pt idx="208">
                  <c:v>4.8167167830042767E-2</c:v>
                </c:pt>
                <c:pt idx="209">
                  <c:v>4.7840881583441464E-2</c:v>
                </c:pt>
                <c:pt idx="210">
                  <c:v>2.0730773089040422E-2</c:v>
                </c:pt>
                <c:pt idx="211">
                  <c:v>1.8195263704528231E-3</c:v>
                </c:pt>
                <c:pt idx="212">
                  <c:v>-2.0311479572395486E-3</c:v>
                </c:pt>
                <c:pt idx="213">
                  <c:v>-6.4464853846683823E-3</c:v>
                </c:pt>
                <c:pt idx="214">
                  <c:v>-2.1180416786369338E-2</c:v>
                </c:pt>
                <c:pt idx="215">
                  <c:v>-2.6244952185563775E-2</c:v>
                </c:pt>
                <c:pt idx="216">
                  <c:v>-3.2581708286621852E-2</c:v>
                </c:pt>
                <c:pt idx="217">
                  <c:v>-3.8033070870648861E-2</c:v>
                </c:pt>
                <c:pt idx="218">
                  <c:v>-4.3833384731057717E-2</c:v>
                </c:pt>
                <c:pt idx="219">
                  <c:v>-5.3277507132741264E-2</c:v>
                </c:pt>
                <c:pt idx="220">
                  <c:v>-4.3329162358309248E-2</c:v>
                </c:pt>
                <c:pt idx="221">
                  <c:v>-2.7392337342332471E-2</c:v>
                </c:pt>
                <c:pt idx="222">
                  <c:v>4.2884818124478419E-3</c:v>
                </c:pt>
                <c:pt idx="223">
                  <c:v>1.9277907385002846E-2</c:v>
                </c:pt>
                <c:pt idx="224">
                  <c:v>6.8924500067151534E-2</c:v>
                </c:pt>
                <c:pt idx="225">
                  <c:v>8.2650693486350457E-2</c:v>
                </c:pt>
                <c:pt idx="226">
                  <c:v>7.4869279066374084E-2</c:v>
                </c:pt>
                <c:pt idx="227">
                  <c:v>6.1502704753109316E-2</c:v>
                </c:pt>
                <c:pt idx="228">
                  <c:v>3.9452391485539223E-2</c:v>
                </c:pt>
                <c:pt idx="229">
                  <c:v>2.0045215770638947E-2</c:v>
                </c:pt>
                <c:pt idx="230">
                  <c:v>-8.2208029011719419E-3</c:v>
                </c:pt>
                <c:pt idx="231">
                  <c:v>-4.7558827455140645E-2</c:v>
                </c:pt>
                <c:pt idx="232">
                  <c:v>-3.9973702665283856E-2</c:v>
                </c:pt>
                <c:pt idx="233">
                  <c:v>-3.8384288639986053E-2</c:v>
                </c:pt>
                <c:pt idx="234">
                  <c:v>-4.6292293860718342E-2</c:v>
                </c:pt>
                <c:pt idx="235">
                  <c:v>-5.7718507352036971E-2</c:v>
                </c:pt>
                <c:pt idx="236">
                  <c:v>-3.1690557553919335E-2</c:v>
                </c:pt>
                <c:pt idx="237">
                  <c:v>-2.1769861050859596E-2</c:v>
                </c:pt>
                <c:pt idx="238">
                  <c:v>-3.908197743609565E-3</c:v>
                </c:pt>
                <c:pt idx="239">
                  <c:v>-1.142019763243643E-3</c:v>
                </c:pt>
                <c:pt idx="240">
                  <c:v>-4.7889210733135235E-3</c:v>
                </c:pt>
                <c:pt idx="241">
                  <c:v>-1.2891501366094626E-2</c:v>
                </c:pt>
                <c:pt idx="242">
                  <c:v>-1.2483679088267863E-2</c:v>
                </c:pt>
                <c:pt idx="243">
                  <c:v>-1.8859983366301958E-2</c:v>
                </c:pt>
                <c:pt idx="244">
                  <c:v>-1.7624025128328086E-2</c:v>
                </c:pt>
                <c:pt idx="245">
                  <c:v>-3.0148592981389777E-2</c:v>
                </c:pt>
                <c:pt idx="246">
                  <c:v>-3.8447362592706424E-2</c:v>
                </c:pt>
                <c:pt idx="247">
                  <c:v>-2.4429520055568865E-2</c:v>
                </c:pt>
                <c:pt idx="248">
                  <c:v>-5.3995123160937852E-3</c:v>
                </c:pt>
                <c:pt idx="249">
                  <c:v>1.3872215685377692E-2</c:v>
                </c:pt>
                <c:pt idx="250">
                  <c:v>1.1097772548302159E-2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F-487C-92D3-291FC75D2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62582560"/>
        <c:axId val="666094576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45702</c:v>
                </c:pt>
                <c:pt idx="1">
                  <c:v>45706</c:v>
                </c:pt>
                <c:pt idx="2">
                  <c:v>45707</c:v>
                </c:pt>
                <c:pt idx="3">
                  <c:v>45708</c:v>
                </c:pt>
                <c:pt idx="4">
                  <c:v>45709</c:v>
                </c:pt>
                <c:pt idx="5">
                  <c:v>45712</c:v>
                </c:pt>
                <c:pt idx="6">
                  <c:v>45713</c:v>
                </c:pt>
                <c:pt idx="7">
                  <c:v>45714</c:v>
                </c:pt>
                <c:pt idx="8">
                  <c:v>45715</c:v>
                </c:pt>
                <c:pt idx="9">
                  <c:v>45716</c:v>
                </c:pt>
                <c:pt idx="10">
                  <c:v>45719</c:v>
                </c:pt>
                <c:pt idx="11">
                  <c:v>45720</c:v>
                </c:pt>
                <c:pt idx="12">
                  <c:v>45721</c:v>
                </c:pt>
                <c:pt idx="13">
                  <c:v>45722</c:v>
                </c:pt>
                <c:pt idx="14">
                  <c:v>45723</c:v>
                </c:pt>
                <c:pt idx="15">
                  <c:v>45726</c:v>
                </c:pt>
                <c:pt idx="16">
                  <c:v>45727</c:v>
                </c:pt>
                <c:pt idx="17">
                  <c:v>45728</c:v>
                </c:pt>
                <c:pt idx="18">
                  <c:v>45729</c:v>
                </c:pt>
                <c:pt idx="19">
                  <c:v>45730</c:v>
                </c:pt>
                <c:pt idx="20">
                  <c:v>45733</c:v>
                </c:pt>
                <c:pt idx="21">
                  <c:v>45734</c:v>
                </c:pt>
                <c:pt idx="22">
                  <c:v>45735</c:v>
                </c:pt>
                <c:pt idx="23">
                  <c:v>45736</c:v>
                </c:pt>
                <c:pt idx="24">
                  <c:v>45737</c:v>
                </c:pt>
                <c:pt idx="25">
                  <c:v>45740</c:v>
                </c:pt>
                <c:pt idx="26">
                  <c:v>45741</c:v>
                </c:pt>
                <c:pt idx="27">
                  <c:v>45742</c:v>
                </c:pt>
                <c:pt idx="28">
                  <c:v>45743</c:v>
                </c:pt>
                <c:pt idx="29">
                  <c:v>45744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45754</c:v>
                </c:pt>
                <c:pt idx="36">
                  <c:v>45755</c:v>
                </c:pt>
                <c:pt idx="37">
                  <c:v>45756</c:v>
                </c:pt>
                <c:pt idx="38">
                  <c:v>45757</c:v>
                </c:pt>
                <c:pt idx="39">
                  <c:v>45758</c:v>
                </c:pt>
                <c:pt idx="40">
                  <c:v>45761</c:v>
                </c:pt>
                <c:pt idx="41">
                  <c:v>45762</c:v>
                </c:pt>
                <c:pt idx="42">
                  <c:v>45763</c:v>
                </c:pt>
                <c:pt idx="43">
                  <c:v>45764</c:v>
                </c:pt>
                <c:pt idx="44">
                  <c:v>45768</c:v>
                </c:pt>
                <c:pt idx="45">
                  <c:v>45769</c:v>
                </c:pt>
                <c:pt idx="46">
                  <c:v>45770</c:v>
                </c:pt>
                <c:pt idx="47">
                  <c:v>45771</c:v>
                </c:pt>
                <c:pt idx="48">
                  <c:v>45772</c:v>
                </c:pt>
                <c:pt idx="49">
                  <c:v>45775</c:v>
                </c:pt>
                <c:pt idx="50">
                  <c:v>45776</c:v>
                </c:pt>
                <c:pt idx="51">
                  <c:v>45777</c:v>
                </c:pt>
                <c:pt idx="52">
                  <c:v>45778</c:v>
                </c:pt>
                <c:pt idx="53">
                  <c:v>45779</c:v>
                </c:pt>
                <c:pt idx="54">
                  <c:v>45782</c:v>
                </c:pt>
                <c:pt idx="55">
                  <c:v>45783</c:v>
                </c:pt>
                <c:pt idx="56">
                  <c:v>45784</c:v>
                </c:pt>
                <c:pt idx="57">
                  <c:v>45785</c:v>
                </c:pt>
                <c:pt idx="58">
                  <c:v>45786</c:v>
                </c:pt>
                <c:pt idx="59">
                  <c:v>45789</c:v>
                </c:pt>
                <c:pt idx="60">
                  <c:v>45790</c:v>
                </c:pt>
                <c:pt idx="61">
                  <c:v>45791</c:v>
                </c:pt>
                <c:pt idx="62">
                  <c:v>45792</c:v>
                </c:pt>
                <c:pt idx="63">
                  <c:v>45793</c:v>
                </c:pt>
                <c:pt idx="64">
                  <c:v>45796</c:v>
                </c:pt>
                <c:pt idx="65">
                  <c:v>45797</c:v>
                </c:pt>
                <c:pt idx="66">
                  <c:v>45798</c:v>
                </c:pt>
                <c:pt idx="67">
                  <c:v>45799</c:v>
                </c:pt>
                <c:pt idx="68">
                  <c:v>45800</c:v>
                </c:pt>
                <c:pt idx="69">
                  <c:v>45804</c:v>
                </c:pt>
                <c:pt idx="70">
                  <c:v>45805</c:v>
                </c:pt>
                <c:pt idx="71">
                  <c:v>45806</c:v>
                </c:pt>
                <c:pt idx="72">
                  <c:v>45807</c:v>
                </c:pt>
                <c:pt idx="73">
                  <c:v>45810</c:v>
                </c:pt>
                <c:pt idx="74">
                  <c:v>45811</c:v>
                </c:pt>
                <c:pt idx="75">
                  <c:v>45812</c:v>
                </c:pt>
                <c:pt idx="76">
                  <c:v>45813</c:v>
                </c:pt>
                <c:pt idx="77">
                  <c:v>45814</c:v>
                </c:pt>
                <c:pt idx="78">
                  <c:v>45817</c:v>
                </c:pt>
                <c:pt idx="79">
                  <c:v>45818</c:v>
                </c:pt>
                <c:pt idx="80">
                  <c:v>45819</c:v>
                </c:pt>
                <c:pt idx="81">
                  <c:v>45820</c:v>
                </c:pt>
                <c:pt idx="82">
                  <c:v>45821</c:v>
                </c:pt>
                <c:pt idx="83">
                  <c:v>45824</c:v>
                </c:pt>
                <c:pt idx="84">
                  <c:v>45825</c:v>
                </c:pt>
                <c:pt idx="85">
                  <c:v>45826</c:v>
                </c:pt>
                <c:pt idx="86">
                  <c:v>45828</c:v>
                </c:pt>
                <c:pt idx="87">
                  <c:v>45831</c:v>
                </c:pt>
                <c:pt idx="88">
                  <c:v>45832</c:v>
                </c:pt>
                <c:pt idx="89">
                  <c:v>45833</c:v>
                </c:pt>
                <c:pt idx="90">
                  <c:v>45834</c:v>
                </c:pt>
                <c:pt idx="91">
                  <c:v>45835</c:v>
                </c:pt>
                <c:pt idx="92">
                  <c:v>45838</c:v>
                </c:pt>
                <c:pt idx="93">
                  <c:v>45839</c:v>
                </c:pt>
                <c:pt idx="94">
                  <c:v>45840</c:v>
                </c:pt>
                <c:pt idx="95">
                  <c:v>45841</c:v>
                </c:pt>
                <c:pt idx="96">
                  <c:v>45845</c:v>
                </c:pt>
                <c:pt idx="97">
                  <c:v>45846</c:v>
                </c:pt>
                <c:pt idx="98">
                  <c:v>45847</c:v>
                </c:pt>
                <c:pt idx="99">
                  <c:v>45848</c:v>
                </c:pt>
                <c:pt idx="100">
                  <c:v>45849</c:v>
                </c:pt>
                <c:pt idx="101">
                  <c:v>45852</c:v>
                </c:pt>
                <c:pt idx="102">
                  <c:v>45853</c:v>
                </c:pt>
                <c:pt idx="103">
                  <c:v>45854</c:v>
                </c:pt>
                <c:pt idx="104">
                  <c:v>45855</c:v>
                </c:pt>
                <c:pt idx="105">
                  <c:v>45856</c:v>
                </c:pt>
                <c:pt idx="106">
                  <c:v>45859</c:v>
                </c:pt>
                <c:pt idx="107">
                  <c:v>45860</c:v>
                </c:pt>
                <c:pt idx="108">
                  <c:v>45861</c:v>
                </c:pt>
                <c:pt idx="109">
                  <c:v>45862</c:v>
                </c:pt>
                <c:pt idx="110">
                  <c:v>45863</c:v>
                </c:pt>
                <c:pt idx="111">
                  <c:v>45866</c:v>
                </c:pt>
                <c:pt idx="112">
                  <c:v>45867</c:v>
                </c:pt>
                <c:pt idx="113">
                  <c:v>45868</c:v>
                </c:pt>
                <c:pt idx="114">
                  <c:v>45869</c:v>
                </c:pt>
                <c:pt idx="115">
                  <c:v>45870</c:v>
                </c:pt>
                <c:pt idx="116">
                  <c:v>45873</c:v>
                </c:pt>
                <c:pt idx="117">
                  <c:v>45874</c:v>
                </c:pt>
                <c:pt idx="118">
                  <c:v>45875</c:v>
                </c:pt>
                <c:pt idx="119">
                  <c:v>45876</c:v>
                </c:pt>
                <c:pt idx="120">
                  <c:v>45877</c:v>
                </c:pt>
                <c:pt idx="121">
                  <c:v>45880</c:v>
                </c:pt>
                <c:pt idx="122">
                  <c:v>45881</c:v>
                </c:pt>
                <c:pt idx="123">
                  <c:v>45882</c:v>
                </c:pt>
                <c:pt idx="124">
                  <c:v>45883</c:v>
                </c:pt>
                <c:pt idx="125">
                  <c:v>45884</c:v>
                </c:pt>
                <c:pt idx="126">
                  <c:v>45887</c:v>
                </c:pt>
                <c:pt idx="127">
                  <c:v>45888</c:v>
                </c:pt>
                <c:pt idx="128">
                  <c:v>45889</c:v>
                </c:pt>
                <c:pt idx="129">
                  <c:v>45890</c:v>
                </c:pt>
                <c:pt idx="130">
                  <c:v>45891</c:v>
                </c:pt>
                <c:pt idx="131">
                  <c:v>45894</c:v>
                </c:pt>
                <c:pt idx="132">
                  <c:v>45895</c:v>
                </c:pt>
                <c:pt idx="133">
                  <c:v>45896</c:v>
                </c:pt>
                <c:pt idx="134">
                  <c:v>45897</c:v>
                </c:pt>
                <c:pt idx="135">
                  <c:v>45898</c:v>
                </c:pt>
                <c:pt idx="136">
                  <c:v>45902</c:v>
                </c:pt>
                <c:pt idx="137">
                  <c:v>45903</c:v>
                </c:pt>
                <c:pt idx="138">
                  <c:v>45904</c:v>
                </c:pt>
                <c:pt idx="139">
                  <c:v>45905</c:v>
                </c:pt>
                <c:pt idx="140">
                  <c:v>45908</c:v>
                </c:pt>
                <c:pt idx="141">
                  <c:v>45909</c:v>
                </c:pt>
                <c:pt idx="142">
                  <c:v>45910</c:v>
                </c:pt>
                <c:pt idx="143">
                  <c:v>45911</c:v>
                </c:pt>
                <c:pt idx="144">
                  <c:v>45912</c:v>
                </c:pt>
                <c:pt idx="145">
                  <c:v>45915</c:v>
                </c:pt>
                <c:pt idx="146">
                  <c:v>45916</c:v>
                </c:pt>
                <c:pt idx="147">
                  <c:v>45917</c:v>
                </c:pt>
                <c:pt idx="148">
                  <c:v>45918</c:v>
                </c:pt>
                <c:pt idx="149">
                  <c:v>45919</c:v>
                </c:pt>
                <c:pt idx="150">
                  <c:v>45922</c:v>
                </c:pt>
                <c:pt idx="151">
                  <c:v>45923</c:v>
                </c:pt>
                <c:pt idx="152">
                  <c:v>45924</c:v>
                </c:pt>
                <c:pt idx="153">
                  <c:v>45925</c:v>
                </c:pt>
                <c:pt idx="154">
                  <c:v>45926</c:v>
                </c:pt>
                <c:pt idx="155">
                  <c:v>45929</c:v>
                </c:pt>
                <c:pt idx="156">
                  <c:v>45930</c:v>
                </c:pt>
                <c:pt idx="157">
                  <c:v>45931</c:v>
                </c:pt>
                <c:pt idx="158">
                  <c:v>45932</c:v>
                </c:pt>
                <c:pt idx="159">
                  <c:v>45933</c:v>
                </c:pt>
                <c:pt idx="160">
                  <c:v>45936</c:v>
                </c:pt>
                <c:pt idx="161">
                  <c:v>45937</c:v>
                </c:pt>
                <c:pt idx="162">
                  <c:v>45938</c:v>
                </c:pt>
                <c:pt idx="163">
                  <c:v>45939</c:v>
                </c:pt>
                <c:pt idx="164">
                  <c:v>45940</c:v>
                </c:pt>
                <c:pt idx="165">
                  <c:v>45943</c:v>
                </c:pt>
                <c:pt idx="166">
                  <c:v>45944</c:v>
                </c:pt>
                <c:pt idx="167">
                  <c:v>45945</c:v>
                </c:pt>
                <c:pt idx="168">
                  <c:v>45946</c:v>
                </c:pt>
                <c:pt idx="169">
                  <c:v>45947</c:v>
                </c:pt>
                <c:pt idx="170">
                  <c:v>45950</c:v>
                </c:pt>
                <c:pt idx="171">
                  <c:v>45951</c:v>
                </c:pt>
                <c:pt idx="172">
                  <c:v>45952</c:v>
                </c:pt>
                <c:pt idx="173">
                  <c:v>45953</c:v>
                </c:pt>
                <c:pt idx="174">
                  <c:v>45954</c:v>
                </c:pt>
                <c:pt idx="175">
                  <c:v>45957</c:v>
                </c:pt>
                <c:pt idx="176">
                  <c:v>45958</c:v>
                </c:pt>
                <c:pt idx="177">
                  <c:v>45959</c:v>
                </c:pt>
                <c:pt idx="178">
                  <c:v>45960</c:v>
                </c:pt>
                <c:pt idx="179">
                  <c:v>45961</c:v>
                </c:pt>
                <c:pt idx="180">
                  <c:v>45964</c:v>
                </c:pt>
                <c:pt idx="181">
                  <c:v>45965</c:v>
                </c:pt>
                <c:pt idx="182">
                  <c:v>45966</c:v>
                </c:pt>
                <c:pt idx="183">
                  <c:v>45967</c:v>
                </c:pt>
                <c:pt idx="184">
                  <c:v>45968</c:v>
                </c:pt>
                <c:pt idx="185">
                  <c:v>45971</c:v>
                </c:pt>
                <c:pt idx="186">
                  <c:v>45972</c:v>
                </c:pt>
                <c:pt idx="187">
                  <c:v>45973</c:v>
                </c:pt>
                <c:pt idx="188">
                  <c:v>45974</c:v>
                </c:pt>
                <c:pt idx="189">
                  <c:v>45975</c:v>
                </c:pt>
                <c:pt idx="190">
                  <c:v>45978</c:v>
                </c:pt>
                <c:pt idx="191">
                  <c:v>45979</c:v>
                </c:pt>
                <c:pt idx="192">
                  <c:v>45980</c:v>
                </c:pt>
                <c:pt idx="193">
                  <c:v>45981</c:v>
                </c:pt>
                <c:pt idx="194">
                  <c:v>45982</c:v>
                </c:pt>
                <c:pt idx="195">
                  <c:v>45985</c:v>
                </c:pt>
                <c:pt idx="196">
                  <c:v>45986</c:v>
                </c:pt>
                <c:pt idx="197">
                  <c:v>45987</c:v>
                </c:pt>
                <c:pt idx="198">
                  <c:v>45989</c:v>
                </c:pt>
                <c:pt idx="199">
                  <c:v>45992</c:v>
                </c:pt>
                <c:pt idx="200">
                  <c:v>45993</c:v>
                </c:pt>
                <c:pt idx="201">
                  <c:v>45994</c:v>
                </c:pt>
                <c:pt idx="202">
                  <c:v>45995</c:v>
                </c:pt>
                <c:pt idx="203">
                  <c:v>45996</c:v>
                </c:pt>
                <c:pt idx="204">
                  <c:v>45999</c:v>
                </c:pt>
                <c:pt idx="205">
                  <c:v>46000</c:v>
                </c:pt>
                <c:pt idx="206">
                  <c:v>46001</c:v>
                </c:pt>
                <c:pt idx="207">
                  <c:v>46002</c:v>
                </c:pt>
                <c:pt idx="208">
                  <c:v>46003</c:v>
                </c:pt>
                <c:pt idx="209">
                  <c:v>46006</c:v>
                </c:pt>
                <c:pt idx="210">
                  <c:v>46007</c:v>
                </c:pt>
                <c:pt idx="211">
                  <c:v>46008</c:v>
                </c:pt>
                <c:pt idx="212">
                  <c:v>46009</c:v>
                </c:pt>
                <c:pt idx="213">
                  <c:v>46010</c:v>
                </c:pt>
                <c:pt idx="214">
                  <c:v>46013</c:v>
                </c:pt>
                <c:pt idx="215">
                  <c:v>46014</c:v>
                </c:pt>
                <c:pt idx="216">
                  <c:v>46015</c:v>
                </c:pt>
                <c:pt idx="217">
                  <c:v>46017</c:v>
                </c:pt>
                <c:pt idx="218">
                  <c:v>46020</c:v>
                </c:pt>
                <c:pt idx="219">
                  <c:v>46021</c:v>
                </c:pt>
                <c:pt idx="220">
                  <c:v>46022</c:v>
                </c:pt>
                <c:pt idx="221">
                  <c:v>46024</c:v>
                </c:pt>
                <c:pt idx="222">
                  <c:v>46027</c:v>
                </c:pt>
                <c:pt idx="223">
                  <c:v>46028</c:v>
                </c:pt>
                <c:pt idx="224">
                  <c:v>46029</c:v>
                </c:pt>
                <c:pt idx="225">
                  <c:v>46030</c:v>
                </c:pt>
                <c:pt idx="226">
                  <c:v>46031</c:v>
                </c:pt>
                <c:pt idx="227">
                  <c:v>46034</c:v>
                </c:pt>
                <c:pt idx="228">
                  <c:v>46035</c:v>
                </c:pt>
                <c:pt idx="229">
                  <c:v>46036</c:v>
                </c:pt>
                <c:pt idx="230">
                  <c:v>46037</c:v>
                </c:pt>
                <c:pt idx="231">
                  <c:v>46038</c:v>
                </c:pt>
                <c:pt idx="232">
                  <c:v>46042</c:v>
                </c:pt>
                <c:pt idx="233">
                  <c:v>46043</c:v>
                </c:pt>
                <c:pt idx="234">
                  <c:v>46044</c:v>
                </c:pt>
                <c:pt idx="235">
                  <c:v>46045</c:v>
                </c:pt>
                <c:pt idx="236">
                  <c:v>46048</c:v>
                </c:pt>
                <c:pt idx="237">
                  <c:v>46049</c:v>
                </c:pt>
                <c:pt idx="238">
                  <c:v>46050</c:v>
                </c:pt>
                <c:pt idx="239">
                  <c:v>46051</c:v>
                </c:pt>
                <c:pt idx="240">
                  <c:v>46052</c:v>
                </c:pt>
                <c:pt idx="241">
                  <c:v>46055</c:v>
                </c:pt>
                <c:pt idx="242">
                  <c:v>46056</c:v>
                </c:pt>
                <c:pt idx="243">
                  <c:v>46057</c:v>
                </c:pt>
                <c:pt idx="244">
                  <c:v>46058</c:v>
                </c:pt>
                <c:pt idx="245">
                  <c:v>46059</c:v>
                </c:pt>
                <c:pt idx="246">
                  <c:v>46062</c:v>
                </c:pt>
                <c:pt idx="247">
                  <c:v>46063</c:v>
                </c:pt>
                <c:pt idx="248">
                  <c:v>46064</c:v>
                </c:pt>
                <c:pt idx="249">
                  <c:v>46065</c:v>
                </c:pt>
                <c:pt idx="250">
                  <c:v>46066</c:v>
                </c:pt>
              </c:numCache>
            </c:numRef>
          </c:cat>
          <c:val>
            <c:numRef>
              <c:f>Data!$Y$2:$Y$252</c:f>
              <c:numCache>
                <c:formatCode>General</c:formatCode>
                <c:ptCount val="251"/>
                <c:pt idx="25">
                  <c:v>0.28898436879817879</c:v>
                </c:pt>
                <c:pt idx="26">
                  <c:v>0.29464073744615504</c:v>
                </c:pt>
                <c:pt idx="27">
                  <c:v>0.2638058041937601</c:v>
                </c:pt>
                <c:pt idx="28">
                  <c:v>0.22228207239551345</c:v>
                </c:pt>
                <c:pt idx="29">
                  <c:v>0.21194544979124075</c:v>
                </c:pt>
                <c:pt idx="30">
                  <c:v>0.19425213635722471</c:v>
                </c:pt>
                <c:pt idx="31">
                  <c:v>0.19492829094473763</c:v>
                </c:pt>
                <c:pt idx="32">
                  <c:v>0.1445756680039576</c:v>
                </c:pt>
                <c:pt idx="33">
                  <c:v>0.10666890452609401</c:v>
                </c:pt>
                <c:pt idx="34">
                  <c:v>4.863176613715936E-2</c:v>
                </c:pt>
                <c:pt idx="35">
                  <c:v>-4.1267778368558439E-2</c:v>
                </c:pt>
                <c:pt idx="36">
                  <c:v>-4.6616221746328179E-2</c:v>
                </c:pt>
                <c:pt idx="37">
                  <c:v>-7.8993307335789353E-2</c:v>
                </c:pt>
                <c:pt idx="38">
                  <c:v>-8.8303066047354051E-2</c:v>
                </c:pt>
                <c:pt idx="39">
                  <c:v>-6.4277343487498584E-2</c:v>
                </c:pt>
                <c:pt idx="40">
                  <c:v>-6.5462007083196383E-2</c:v>
                </c:pt>
                <c:pt idx="41">
                  <c:v>-6.9632760531868954E-2</c:v>
                </c:pt>
                <c:pt idx="42">
                  <c:v>-5.3759330777618075E-2</c:v>
                </c:pt>
                <c:pt idx="43">
                  <c:v>-5.3473773781805178E-2</c:v>
                </c:pt>
                <c:pt idx="44">
                  <c:v>-3.8281684696405804E-2</c:v>
                </c:pt>
                <c:pt idx="45">
                  <c:v>-1.5572421912159129E-2</c:v>
                </c:pt>
                <c:pt idx="46">
                  <c:v>2.4733381373643226E-2</c:v>
                </c:pt>
                <c:pt idx="47">
                  <c:v>5.4434698690171146E-2</c:v>
                </c:pt>
                <c:pt idx="48">
                  <c:v>7.5489181502947034E-2</c:v>
                </c:pt>
                <c:pt idx="49">
                  <c:v>0.10149495371805095</c:v>
                </c:pt>
                <c:pt idx="50">
                  <c:v>0.10954511766187203</c:v>
                </c:pt>
                <c:pt idx="51">
                  <c:v>0.12816510231686529</c:v>
                </c:pt>
                <c:pt idx="52">
                  <c:v>0.1492700463933776</c:v>
                </c:pt>
                <c:pt idx="53">
                  <c:v>0.15532924706422691</c:v>
                </c:pt>
                <c:pt idx="54">
                  <c:v>0.17984481172583955</c:v>
                </c:pt>
                <c:pt idx="55">
                  <c:v>0.18423911666897475</c:v>
                </c:pt>
                <c:pt idx="56">
                  <c:v>0.18558235710397675</c:v>
                </c:pt>
                <c:pt idx="57">
                  <c:v>0.19648566676554324</c:v>
                </c:pt>
                <c:pt idx="58">
                  <c:v>0.21236164252015577</c:v>
                </c:pt>
                <c:pt idx="59">
                  <c:v>0.22636861335331204</c:v>
                </c:pt>
                <c:pt idx="60">
                  <c:v>0.23875164049207065</c:v>
                </c:pt>
                <c:pt idx="61">
                  <c:v>0.25370983394275548</c:v>
                </c:pt>
                <c:pt idx="62">
                  <c:v>0.26652654010562493</c:v>
                </c:pt>
                <c:pt idx="63">
                  <c:v>0.26954217553117132</c:v>
                </c:pt>
                <c:pt idx="64">
                  <c:v>0.2664399847616572</c:v>
                </c:pt>
                <c:pt idx="65">
                  <c:v>0.24182784117002321</c:v>
                </c:pt>
                <c:pt idx="66">
                  <c:v>0.21659806666182213</c:v>
                </c:pt>
                <c:pt idx="67">
                  <c:v>0.1879810288942938</c:v>
                </c:pt>
                <c:pt idx="68">
                  <c:v>0.15942943487250538</c:v>
                </c:pt>
                <c:pt idx="69">
                  <c:v>0.12407500155204332</c:v>
                </c:pt>
                <c:pt idx="70">
                  <c:v>9.8950303063908507E-2</c:v>
                </c:pt>
                <c:pt idx="71">
                  <c:v>9.0901604213502907E-2</c:v>
                </c:pt>
                <c:pt idx="72">
                  <c:v>5.1650895949354236E-2</c:v>
                </c:pt>
                <c:pt idx="73">
                  <c:v>3.7062439093405786E-2</c:v>
                </c:pt>
                <c:pt idx="74">
                  <c:v>2.9198976438818747E-2</c:v>
                </c:pt>
                <c:pt idx="75">
                  <c:v>1.1537300838345033E-2</c:v>
                </c:pt>
                <c:pt idx="76">
                  <c:v>1.0331859261469845E-2</c:v>
                </c:pt>
                <c:pt idx="77">
                  <c:v>1.5651449373473625E-2</c:v>
                </c:pt>
                <c:pt idx="78">
                  <c:v>4.0381596049561708E-2</c:v>
                </c:pt>
                <c:pt idx="79">
                  <c:v>6.4083202749635859E-2</c:v>
                </c:pt>
                <c:pt idx="80">
                  <c:v>7.1552174349411857E-2</c:v>
                </c:pt>
                <c:pt idx="81">
                  <c:v>6.8611315353800606E-2</c:v>
                </c:pt>
                <c:pt idx="82">
                  <c:v>8.0682023373151779E-2</c:v>
                </c:pt>
                <c:pt idx="83">
                  <c:v>7.3265261583490116E-2</c:v>
                </c:pt>
                <c:pt idx="84">
                  <c:v>6.7417197371264947E-2</c:v>
                </c:pt>
                <c:pt idx="85">
                  <c:v>7.4830626294778213E-2</c:v>
                </c:pt>
                <c:pt idx="86">
                  <c:v>9.2549630422375628E-2</c:v>
                </c:pt>
                <c:pt idx="87">
                  <c:v>0.10378190282522581</c:v>
                </c:pt>
                <c:pt idx="88">
                  <c:v>9.1456396555944508E-2</c:v>
                </c:pt>
                <c:pt idx="89">
                  <c:v>9.2723234703308677E-2</c:v>
                </c:pt>
                <c:pt idx="90">
                  <c:v>0.10622035023524745</c:v>
                </c:pt>
                <c:pt idx="91">
                  <c:v>0.11957312906813122</c:v>
                </c:pt>
                <c:pt idx="92">
                  <c:v>0.16855809107032904</c:v>
                </c:pt>
                <c:pt idx="93">
                  <c:v>0.23852000613107904</c:v>
                </c:pt>
                <c:pt idx="94">
                  <c:v>0.29380617882960181</c:v>
                </c:pt>
                <c:pt idx="95">
                  <c:v>0.31622348018793645</c:v>
                </c:pt>
                <c:pt idx="96">
                  <c:v>0.33736269372865024</c:v>
                </c:pt>
                <c:pt idx="97">
                  <c:v>0.3620459784830139</c:v>
                </c:pt>
                <c:pt idx="98">
                  <c:v>0.38364062062978732</c:v>
                </c:pt>
                <c:pt idx="99">
                  <c:v>0.38581715654956916</c:v>
                </c:pt>
                <c:pt idx="100">
                  <c:v>0.39110285099897624</c:v>
                </c:pt>
                <c:pt idx="101">
                  <c:v>0.36605770732259835</c:v>
                </c:pt>
                <c:pt idx="102">
                  <c:v>0.31593905962945357</c:v>
                </c:pt>
                <c:pt idx="103">
                  <c:v>0.26589238055784925</c:v>
                </c:pt>
                <c:pt idx="104">
                  <c:v>0.22444962766063448</c:v>
                </c:pt>
                <c:pt idx="105">
                  <c:v>0.20138821581625699</c:v>
                </c:pt>
                <c:pt idx="106">
                  <c:v>0.17145248612831132</c:v>
                </c:pt>
                <c:pt idx="107">
                  <c:v>0.16120138752803292</c:v>
                </c:pt>
                <c:pt idx="108">
                  <c:v>0.1417601975987175</c:v>
                </c:pt>
                <c:pt idx="109">
                  <c:v>0.14166513201194597</c:v>
                </c:pt>
                <c:pt idx="110">
                  <c:v>0.12481953781135147</c:v>
                </c:pt>
                <c:pt idx="111">
                  <c:v>9.4244561867164123E-2</c:v>
                </c:pt>
                <c:pt idx="112">
                  <c:v>5.246365978135259E-2</c:v>
                </c:pt>
                <c:pt idx="113">
                  <c:v>3.5085874275017304E-2</c:v>
                </c:pt>
                <c:pt idx="114">
                  <c:v>1.1279411942695106E-3</c:v>
                </c:pt>
                <c:pt idx="115">
                  <c:v>-1.5119760691721496E-2</c:v>
                </c:pt>
                <c:pt idx="116">
                  <c:v>-1.8902207916452696E-2</c:v>
                </c:pt>
                <c:pt idx="117">
                  <c:v>-9.6844419766668466E-3</c:v>
                </c:pt>
                <c:pt idx="118">
                  <c:v>3.2318640100790219E-3</c:v>
                </c:pt>
                <c:pt idx="119">
                  <c:v>1.6505529794450524E-2</c:v>
                </c:pt>
                <c:pt idx="120">
                  <c:v>1.2358053929848012E-2</c:v>
                </c:pt>
                <c:pt idx="121">
                  <c:v>1.7742703278894822E-2</c:v>
                </c:pt>
                <c:pt idx="122">
                  <c:v>3.6915944754312591E-2</c:v>
                </c:pt>
                <c:pt idx="123">
                  <c:v>5.1517020613919939E-2</c:v>
                </c:pt>
                <c:pt idx="124">
                  <c:v>6.2369521408610851E-2</c:v>
                </c:pt>
                <c:pt idx="125">
                  <c:v>7.1756870790110838E-2</c:v>
                </c:pt>
                <c:pt idx="126">
                  <c:v>8.7866539156925327E-2</c:v>
                </c:pt>
                <c:pt idx="127">
                  <c:v>9.2307258941101367E-2</c:v>
                </c:pt>
                <c:pt idx="128">
                  <c:v>8.1970988014846924E-2</c:v>
                </c:pt>
                <c:pt idx="129">
                  <c:v>0.1056451804456735</c:v>
                </c:pt>
                <c:pt idx="130">
                  <c:v>0.12937116961004591</c:v>
                </c:pt>
                <c:pt idx="131">
                  <c:v>0.14808103383159121</c:v>
                </c:pt>
                <c:pt idx="132">
                  <c:v>0.16663627179626062</c:v>
                </c:pt>
                <c:pt idx="133">
                  <c:v>0.16332044659141332</c:v>
                </c:pt>
                <c:pt idx="134">
                  <c:v>0.16364770095694503</c:v>
                </c:pt>
                <c:pt idx="135">
                  <c:v>0.15805056177373622</c:v>
                </c:pt>
                <c:pt idx="136">
                  <c:v>0.14388698478661688</c:v>
                </c:pt>
                <c:pt idx="137">
                  <c:v>0.13593675227777524</c:v>
                </c:pt>
                <c:pt idx="138">
                  <c:v>0.13294512564232619</c:v>
                </c:pt>
                <c:pt idx="139">
                  <c:v>0.12509761046478474</c:v>
                </c:pt>
                <c:pt idx="140">
                  <c:v>0.10156924261383438</c:v>
                </c:pt>
                <c:pt idx="141">
                  <c:v>7.6393806347548221E-2</c:v>
                </c:pt>
                <c:pt idx="142">
                  <c:v>8.2921384129260645E-2</c:v>
                </c:pt>
                <c:pt idx="143">
                  <c:v>8.0708843825711085E-2</c:v>
                </c:pt>
                <c:pt idx="144">
                  <c:v>7.8055613173919625E-2</c:v>
                </c:pt>
                <c:pt idx="145">
                  <c:v>6.9503302968966452E-2</c:v>
                </c:pt>
                <c:pt idx="146">
                  <c:v>6.5999318586522193E-2</c:v>
                </c:pt>
                <c:pt idx="147">
                  <c:v>6.8883669072222986E-2</c:v>
                </c:pt>
                <c:pt idx="148">
                  <c:v>6.0785839178430834E-2</c:v>
                </c:pt>
                <c:pt idx="149">
                  <c:v>5.6939552632828239E-2</c:v>
                </c:pt>
                <c:pt idx="150">
                  <c:v>5.8861242061398755E-2</c:v>
                </c:pt>
                <c:pt idx="151">
                  <c:v>5.1718847829523185E-2</c:v>
                </c:pt>
                <c:pt idx="152">
                  <c:v>4.4735845535836205E-2</c:v>
                </c:pt>
                <c:pt idx="153">
                  <c:v>6.9866133248350337E-2</c:v>
                </c:pt>
                <c:pt idx="154">
                  <c:v>9.5140676233956611E-2</c:v>
                </c:pt>
                <c:pt idx="155">
                  <c:v>0.10348807400063897</c:v>
                </c:pt>
                <c:pt idx="156">
                  <c:v>0.13357805146455881</c:v>
                </c:pt>
                <c:pt idx="157">
                  <c:v>0.15164195914752021</c:v>
                </c:pt>
                <c:pt idx="158">
                  <c:v>0.19996391577494066</c:v>
                </c:pt>
                <c:pt idx="159">
                  <c:v>0.23793736993289194</c:v>
                </c:pt>
                <c:pt idx="160">
                  <c:v>0.20275489247906009</c:v>
                </c:pt>
                <c:pt idx="161">
                  <c:v>0.15852070196703671</c:v>
                </c:pt>
                <c:pt idx="162">
                  <c:v>0.10291248202779357</c:v>
                </c:pt>
                <c:pt idx="163">
                  <c:v>5.0992509345734405E-2</c:v>
                </c:pt>
                <c:pt idx="164">
                  <c:v>2.0103727223371948E-2</c:v>
                </c:pt>
                <c:pt idx="165">
                  <c:v>4.448940919830946E-3</c:v>
                </c:pt>
                <c:pt idx="166">
                  <c:v>9.080235490230848E-4</c:v>
                </c:pt>
                <c:pt idx="167">
                  <c:v>-3.4719889044492191E-3</c:v>
                </c:pt>
                <c:pt idx="168">
                  <c:v>7.4949185910302418E-3</c:v>
                </c:pt>
                <c:pt idx="169">
                  <c:v>2.1585858439724603E-2</c:v>
                </c:pt>
                <c:pt idx="170">
                  <c:v>7.7849861358904704E-2</c:v>
                </c:pt>
                <c:pt idx="171">
                  <c:v>0.11067379684990009</c:v>
                </c:pt>
                <c:pt idx="172">
                  <c:v>0.12794982839583824</c:v>
                </c:pt>
                <c:pt idx="173">
                  <c:v>0.25968518270224905</c:v>
                </c:pt>
                <c:pt idx="174">
                  <c:v>0.3136694610596642</c:v>
                </c:pt>
                <c:pt idx="175">
                  <c:v>0.34201988471792788</c:v>
                </c:pt>
                <c:pt idx="176">
                  <c:v>0.36910902137647916</c:v>
                </c:pt>
                <c:pt idx="177">
                  <c:v>0.37176735897076796</c:v>
                </c:pt>
                <c:pt idx="178">
                  <c:v>0.3751974826247455</c:v>
                </c:pt>
                <c:pt idx="179">
                  <c:v>0.36403649708156927</c:v>
                </c:pt>
                <c:pt idx="180">
                  <c:v>0.33359371356960565</c:v>
                </c:pt>
                <c:pt idx="181">
                  <c:v>0.3314679576719719</c:v>
                </c:pt>
                <c:pt idx="182">
                  <c:v>0.32682278757927463</c:v>
                </c:pt>
                <c:pt idx="183">
                  <c:v>0.32663842026927803</c:v>
                </c:pt>
                <c:pt idx="184">
                  <c:v>0.31878299379826203</c:v>
                </c:pt>
                <c:pt idx="185">
                  <c:v>0.32016369392725785</c:v>
                </c:pt>
                <c:pt idx="186">
                  <c:v>0.32956266190379679</c:v>
                </c:pt>
                <c:pt idx="187">
                  <c:v>0.31960957229107123</c:v>
                </c:pt>
                <c:pt idx="188">
                  <c:v>0.30098980610114445</c:v>
                </c:pt>
                <c:pt idx="189">
                  <c:v>0.25824224220760073</c:v>
                </c:pt>
                <c:pt idx="190">
                  <c:v>0.23297572072738681</c:v>
                </c:pt>
                <c:pt idx="191">
                  <c:v>0.20095236947391548</c:v>
                </c:pt>
                <c:pt idx="192">
                  <c:v>0.13448447468018188</c:v>
                </c:pt>
                <c:pt idx="193">
                  <c:v>0.11438017562890757</c:v>
                </c:pt>
                <c:pt idx="194">
                  <c:v>0.10769583676390226</c:v>
                </c:pt>
                <c:pt idx="195">
                  <c:v>0.11798365290369972</c:v>
                </c:pt>
                <c:pt idx="196">
                  <c:v>0.12629480625648881</c:v>
                </c:pt>
                <c:pt idx="197">
                  <c:v>0.13854662376928317</c:v>
                </c:pt>
                <c:pt idx="198">
                  <c:v>0.13699409761811765</c:v>
                </c:pt>
                <c:pt idx="199">
                  <c:v>0.11826212872340847</c:v>
                </c:pt>
                <c:pt idx="200">
                  <c:v>0.11260873852130615</c:v>
                </c:pt>
                <c:pt idx="201">
                  <c:v>0.11088475772454665</c:v>
                </c:pt>
                <c:pt idx="202">
                  <c:v>9.94954877815033E-2</c:v>
                </c:pt>
                <c:pt idx="203">
                  <c:v>9.8213347651981309E-2</c:v>
                </c:pt>
                <c:pt idx="204">
                  <c:v>9.1303256694070356E-2</c:v>
                </c:pt>
                <c:pt idx="205">
                  <c:v>0.11117366113793814</c:v>
                </c:pt>
                <c:pt idx="206">
                  <c:v>0.1430245630681739</c:v>
                </c:pt>
                <c:pt idx="207">
                  <c:v>0.17671943423211189</c:v>
                </c:pt>
                <c:pt idx="208">
                  <c:v>0.1923297243550568</c:v>
                </c:pt>
                <c:pt idx="209">
                  <c:v>0.20396365850431586</c:v>
                </c:pt>
                <c:pt idx="210">
                  <c:v>0.18203624328217494</c:v>
                </c:pt>
                <c:pt idx="211">
                  <c:v>0.16357987815620056</c:v>
                </c:pt>
                <c:pt idx="212">
                  <c:v>0.15922141683919833</c:v>
                </c:pt>
                <c:pt idx="213">
                  <c:v>0.15319445806560239</c:v>
                </c:pt>
                <c:pt idx="214">
                  <c:v>0.13316542246730911</c:v>
                </c:pt>
                <c:pt idx="215">
                  <c:v>0.12153964902172376</c:v>
                </c:pt>
                <c:pt idx="216">
                  <c:v>0.10705746584901021</c:v>
                </c:pt>
                <c:pt idx="217">
                  <c:v>9.2097835547320983E-2</c:v>
                </c:pt>
                <c:pt idx="218">
                  <c:v>7.5339175504147704E-2</c:v>
                </c:pt>
                <c:pt idx="219">
                  <c:v>5.2575676319278841E-2</c:v>
                </c:pt>
                <c:pt idx="220">
                  <c:v>5.169173050413356E-2</c:v>
                </c:pt>
                <c:pt idx="221">
                  <c:v>6.0780471184527229E-2</c:v>
                </c:pt>
                <c:pt idx="222">
                  <c:v>9.3533410792419502E-2</c:v>
                </c:pt>
                <c:pt idx="223">
                  <c:v>0.11334231321122523</c:v>
                </c:pt>
                <c:pt idx="224">
                  <c:v>0.18022003091016181</c:v>
                </c:pt>
                <c:pt idx="225">
                  <c:v>0.21460889770094838</c:v>
                </c:pt>
                <c:pt idx="226">
                  <c:v>0.22554480304756552</c:v>
                </c:pt>
                <c:pt idx="227">
                  <c:v>0.2275539049225781</c:v>
                </c:pt>
                <c:pt idx="228">
                  <c:v>0.21536668952639282</c:v>
                </c:pt>
                <c:pt idx="229">
                  <c:v>0.20097081775415226</c:v>
                </c:pt>
                <c:pt idx="230">
                  <c:v>0.1706495983570484</c:v>
                </c:pt>
                <c:pt idx="231">
                  <c:v>0.11942186693929457</c:v>
                </c:pt>
                <c:pt idx="232">
                  <c:v>0.11701356606283042</c:v>
                </c:pt>
                <c:pt idx="233">
                  <c:v>0.10900690792813172</c:v>
                </c:pt>
                <c:pt idx="234">
                  <c:v>8.9525829242219856E-2</c:v>
                </c:pt>
                <c:pt idx="235">
                  <c:v>6.3669988912891995E-2</c:v>
                </c:pt>
                <c:pt idx="236">
                  <c:v>8.1775299322529804E-2</c:v>
                </c:pt>
                <c:pt idx="237">
                  <c:v>8.6253530562874658E-2</c:v>
                </c:pt>
                <c:pt idx="238">
                  <c:v>0.10313814443422231</c:v>
                </c:pt>
                <c:pt idx="239">
                  <c:v>0.10561881747377733</c:v>
                </c:pt>
                <c:pt idx="240">
                  <c:v>0.10077468589537908</c:v>
                </c:pt>
                <c:pt idx="241">
                  <c:v>8.944923026107432E-2</c:v>
                </c:pt>
                <c:pt idx="242">
                  <c:v>8.6736132766834118E-2</c:v>
                </c:pt>
                <c:pt idx="243">
                  <c:v>7.5644832647224547E-2</c:v>
                </c:pt>
                <c:pt idx="244">
                  <c:v>7.2474784603116404E-2</c:v>
                </c:pt>
                <c:pt idx="245">
                  <c:v>5.2413068504707283E-2</c:v>
                </c:pt>
                <c:pt idx="246">
                  <c:v>3.4502458245214029E-2</c:v>
                </c:pt>
                <c:pt idx="247">
                  <c:v>4.2412920768459372E-2</c:v>
                </c:pt>
                <c:pt idx="248">
                  <c:v>6.0093050428910999E-2</c:v>
                </c:pt>
                <c:pt idx="249">
                  <c:v>8.2832832351726893E-2</c:v>
                </c:pt>
                <c:pt idx="250">
                  <c:v>8.2832832351726893E-2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BF-487C-92D3-291FC75D23A2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45702</c:v>
                </c:pt>
                <c:pt idx="1">
                  <c:v>45706</c:v>
                </c:pt>
                <c:pt idx="2">
                  <c:v>45707</c:v>
                </c:pt>
                <c:pt idx="3">
                  <c:v>45708</c:v>
                </c:pt>
                <c:pt idx="4">
                  <c:v>45709</c:v>
                </c:pt>
                <c:pt idx="5">
                  <c:v>45712</c:v>
                </c:pt>
                <c:pt idx="6">
                  <c:v>45713</c:v>
                </c:pt>
                <c:pt idx="7">
                  <c:v>45714</c:v>
                </c:pt>
                <c:pt idx="8">
                  <c:v>45715</c:v>
                </c:pt>
                <c:pt idx="9">
                  <c:v>45716</c:v>
                </c:pt>
                <c:pt idx="10">
                  <c:v>45719</c:v>
                </c:pt>
                <c:pt idx="11">
                  <c:v>45720</c:v>
                </c:pt>
                <c:pt idx="12">
                  <c:v>45721</c:v>
                </c:pt>
                <c:pt idx="13">
                  <c:v>45722</c:v>
                </c:pt>
                <c:pt idx="14">
                  <c:v>45723</c:v>
                </c:pt>
                <c:pt idx="15">
                  <c:v>45726</c:v>
                </c:pt>
                <c:pt idx="16">
                  <c:v>45727</c:v>
                </c:pt>
                <c:pt idx="17">
                  <c:v>45728</c:v>
                </c:pt>
                <c:pt idx="18">
                  <c:v>45729</c:v>
                </c:pt>
                <c:pt idx="19">
                  <c:v>45730</c:v>
                </c:pt>
                <c:pt idx="20">
                  <c:v>45733</c:v>
                </c:pt>
                <c:pt idx="21">
                  <c:v>45734</c:v>
                </c:pt>
                <c:pt idx="22">
                  <c:v>45735</c:v>
                </c:pt>
                <c:pt idx="23">
                  <c:v>45736</c:v>
                </c:pt>
                <c:pt idx="24">
                  <c:v>45737</c:v>
                </c:pt>
                <c:pt idx="25">
                  <c:v>45740</c:v>
                </c:pt>
                <c:pt idx="26">
                  <c:v>45741</c:v>
                </c:pt>
                <c:pt idx="27">
                  <c:v>45742</c:v>
                </c:pt>
                <c:pt idx="28">
                  <c:v>45743</c:v>
                </c:pt>
                <c:pt idx="29">
                  <c:v>45744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45754</c:v>
                </c:pt>
                <c:pt idx="36">
                  <c:v>45755</c:v>
                </c:pt>
                <c:pt idx="37">
                  <c:v>45756</c:v>
                </c:pt>
                <c:pt idx="38">
                  <c:v>45757</c:v>
                </c:pt>
                <c:pt idx="39">
                  <c:v>45758</c:v>
                </c:pt>
                <c:pt idx="40">
                  <c:v>45761</c:v>
                </c:pt>
                <c:pt idx="41">
                  <c:v>45762</c:v>
                </c:pt>
                <c:pt idx="42">
                  <c:v>45763</c:v>
                </c:pt>
                <c:pt idx="43">
                  <c:v>45764</c:v>
                </c:pt>
                <c:pt idx="44">
                  <c:v>45768</c:v>
                </c:pt>
                <c:pt idx="45">
                  <c:v>45769</c:v>
                </c:pt>
                <c:pt idx="46">
                  <c:v>45770</c:v>
                </c:pt>
                <c:pt idx="47">
                  <c:v>45771</c:v>
                </c:pt>
                <c:pt idx="48">
                  <c:v>45772</c:v>
                </c:pt>
                <c:pt idx="49">
                  <c:v>45775</c:v>
                </c:pt>
                <c:pt idx="50">
                  <c:v>45776</c:v>
                </c:pt>
                <c:pt idx="51">
                  <c:v>45777</c:v>
                </c:pt>
                <c:pt idx="52">
                  <c:v>45778</c:v>
                </c:pt>
                <c:pt idx="53">
                  <c:v>45779</c:v>
                </c:pt>
                <c:pt idx="54">
                  <c:v>45782</c:v>
                </c:pt>
                <c:pt idx="55">
                  <c:v>45783</c:v>
                </c:pt>
                <c:pt idx="56">
                  <c:v>45784</c:v>
                </c:pt>
                <c:pt idx="57">
                  <c:v>45785</c:v>
                </c:pt>
                <c:pt idx="58">
                  <c:v>45786</c:v>
                </c:pt>
                <c:pt idx="59">
                  <c:v>45789</c:v>
                </c:pt>
                <c:pt idx="60">
                  <c:v>45790</c:v>
                </c:pt>
                <c:pt idx="61">
                  <c:v>45791</c:v>
                </c:pt>
                <c:pt idx="62">
                  <c:v>45792</c:v>
                </c:pt>
                <c:pt idx="63">
                  <c:v>45793</c:v>
                </c:pt>
                <c:pt idx="64">
                  <c:v>45796</c:v>
                </c:pt>
                <c:pt idx="65">
                  <c:v>45797</c:v>
                </c:pt>
                <c:pt idx="66">
                  <c:v>45798</c:v>
                </c:pt>
                <c:pt idx="67">
                  <c:v>45799</c:v>
                </c:pt>
                <c:pt idx="68">
                  <c:v>45800</c:v>
                </c:pt>
                <c:pt idx="69">
                  <c:v>45804</c:v>
                </c:pt>
                <c:pt idx="70">
                  <c:v>45805</c:v>
                </c:pt>
                <c:pt idx="71">
                  <c:v>45806</c:v>
                </c:pt>
                <c:pt idx="72">
                  <c:v>45807</c:v>
                </c:pt>
                <c:pt idx="73">
                  <c:v>45810</c:v>
                </c:pt>
                <c:pt idx="74">
                  <c:v>45811</c:v>
                </c:pt>
                <c:pt idx="75">
                  <c:v>45812</c:v>
                </c:pt>
                <c:pt idx="76">
                  <c:v>45813</c:v>
                </c:pt>
                <c:pt idx="77">
                  <c:v>45814</c:v>
                </c:pt>
                <c:pt idx="78">
                  <c:v>45817</c:v>
                </c:pt>
                <c:pt idx="79">
                  <c:v>45818</c:v>
                </c:pt>
                <c:pt idx="80">
                  <c:v>45819</c:v>
                </c:pt>
                <c:pt idx="81">
                  <c:v>45820</c:v>
                </c:pt>
                <c:pt idx="82">
                  <c:v>45821</c:v>
                </c:pt>
                <c:pt idx="83">
                  <c:v>45824</c:v>
                </c:pt>
                <c:pt idx="84">
                  <c:v>45825</c:v>
                </c:pt>
                <c:pt idx="85">
                  <c:v>45826</c:v>
                </c:pt>
                <c:pt idx="86">
                  <c:v>45828</c:v>
                </c:pt>
                <c:pt idx="87">
                  <c:v>45831</c:v>
                </c:pt>
                <c:pt idx="88">
                  <c:v>45832</c:v>
                </c:pt>
                <c:pt idx="89">
                  <c:v>45833</c:v>
                </c:pt>
                <c:pt idx="90">
                  <c:v>45834</c:v>
                </c:pt>
                <c:pt idx="91">
                  <c:v>45835</c:v>
                </c:pt>
                <c:pt idx="92">
                  <c:v>45838</c:v>
                </c:pt>
                <c:pt idx="93">
                  <c:v>45839</c:v>
                </c:pt>
                <c:pt idx="94">
                  <c:v>45840</c:v>
                </c:pt>
                <c:pt idx="95">
                  <c:v>45841</c:v>
                </c:pt>
                <c:pt idx="96">
                  <c:v>45845</c:v>
                </c:pt>
                <c:pt idx="97">
                  <c:v>45846</c:v>
                </c:pt>
                <c:pt idx="98">
                  <c:v>45847</c:v>
                </c:pt>
                <c:pt idx="99">
                  <c:v>45848</c:v>
                </c:pt>
                <c:pt idx="100">
                  <c:v>45849</c:v>
                </c:pt>
                <c:pt idx="101">
                  <c:v>45852</c:v>
                </c:pt>
                <c:pt idx="102">
                  <c:v>45853</c:v>
                </c:pt>
                <c:pt idx="103">
                  <c:v>45854</c:v>
                </c:pt>
                <c:pt idx="104">
                  <c:v>45855</c:v>
                </c:pt>
                <c:pt idx="105">
                  <c:v>45856</c:v>
                </c:pt>
                <c:pt idx="106">
                  <c:v>45859</c:v>
                </c:pt>
                <c:pt idx="107">
                  <c:v>45860</c:v>
                </c:pt>
                <c:pt idx="108">
                  <c:v>45861</c:v>
                </c:pt>
                <c:pt idx="109">
                  <c:v>45862</c:v>
                </c:pt>
                <c:pt idx="110">
                  <c:v>45863</c:v>
                </c:pt>
                <c:pt idx="111">
                  <c:v>45866</c:v>
                </c:pt>
                <c:pt idx="112">
                  <c:v>45867</c:v>
                </c:pt>
                <c:pt idx="113">
                  <c:v>45868</c:v>
                </c:pt>
                <c:pt idx="114">
                  <c:v>45869</c:v>
                </c:pt>
                <c:pt idx="115">
                  <c:v>45870</c:v>
                </c:pt>
                <c:pt idx="116">
                  <c:v>45873</c:v>
                </c:pt>
                <c:pt idx="117">
                  <c:v>45874</c:v>
                </c:pt>
                <c:pt idx="118">
                  <c:v>45875</c:v>
                </c:pt>
                <c:pt idx="119">
                  <c:v>45876</c:v>
                </c:pt>
                <c:pt idx="120">
                  <c:v>45877</c:v>
                </c:pt>
                <c:pt idx="121">
                  <c:v>45880</c:v>
                </c:pt>
                <c:pt idx="122">
                  <c:v>45881</c:v>
                </c:pt>
                <c:pt idx="123">
                  <c:v>45882</c:v>
                </c:pt>
                <c:pt idx="124">
                  <c:v>45883</c:v>
                </c:pt>
                <c:pt idx="125">
                  <c:v>45884</c:v>
                </c:pt>
                <c:pt idx="126">
                  <c:v>45887</c:v>
                </c:pt>
                <c:pt idx="127">
                  <c:v>45888</c:v>
                </c:pt>
                <c:pt idx="128">
                  <c:v>45889</c:v>
                </c:pt>
                <c:pt idx="129">
                  <c:v>45890</c:v>
                </c:pt>
                <c:pt idx="130">
                  <c:v>45891</c:v>
                </c:pt>
                <c:pt idx="131">
                  <c:v>45894</c:v>
                </c:pt>
                <c:pt idx="132">
                  <c:v>45895</c:v>
                </c:pt>
                <c:pt idx="133">
                  <c:v>45896</c:v>
                </c:pt>
                <c:pt idx="134">
                  <c:v>45897</c:v>
                </c:pt>
                <c:pt idx="135">
                  <c:v>45898</c:v>
                </c:pt>
                <c:pt idx="136">
                  <c:v>45902</c:v>
                </c:pt>
                <c:pt idx="137">
                  <c:v>45903</c:v>
                </c:pt>
                <c:pt idx="138">
                  <c:v>45904</c:v>
                </c:pt>
                <c:pt idx="139">
                  <c:v>45905</c:v>
                </c:pt>
                <c:pt idx="140">
                  <c:v>45908</c:v>
                </c:pt>
                <c:pt idx="141">
                  <c:v>45909</c:v>
                </c:pt>
                <c:pt idx="142">
                  <c:v>45910</c:v>
                </c:pt>
                <c:pt idx="143">
                  <c:v>45911</c:v>
                </c:pt>
                <c:pt idx="144">
                  <c:v>45912</c:v>
                </c:pt>
                <c:pt idx="145">
                  <c:v>45915</c:v>
                </c:pt>
                <c:pt idx="146">
                  <c:v>45916</c:v>
                </c:pt>
                <c:pt idx="147">
                  <c:v>45917</c:v>
                </c:pt>
                <c:pt idx="148">
                  <c:v>45918</c:v>
                </c:pt>
                <c:pt idx="149">
                  <c:v>45919</c:v>
                </c:pt>
                <c:pt idx="150">
                  <c:v>45922</c:v>
                </c:pt>
                <c:pt idx="151">
                  <c:v>45923</c:v>
                </c:pt>
                <c:pt idx="152">
                  <c:v>45924</c:v>
                </c:pt>
                <c:pt idx="153">
                  <c:v>45925</c:v>
                </c:pt>
                <c:pt idx="154">
                  <c:v>45926</c:v>
                </c:pt>
                <c:pt idx="155">
                  <c:v>45929</c:v>
                </c:pt>
                <c:pt idx="156">
                  <c:v>45930</c:v>
                </c:pt>
                <c:pt idx="157">
                  <c:v>45931</c:v>
                </c:pt>
                <c:pt idx="158">
                  <c:v>45932</c:v>
                </c:pt>
                <c:pt idx="159">
                  <c:v>45933</c:v>
                </c:pt>
                <c:pt idx="160">
                  <c:v>45936</c:v>
                </c:pt>
                <c:pt idx="161">
                  <c:v>45937</c:v>
                </c:pt>
                <c:pt idx="162">
                  <c:v>45938</c:v>
                </c:pt>
                <c:pt idx="163">
                  <c:v>45939</c:v>
                </c:pt>
                <c:pt idx="164">
                  <c:v>45940</c:v>
                </c:pt>
                <c:pt idx="165">
                  <c:v>45943</c:v>
                </c:pt>
                <c:pt idx="166">
                  <c:v>45944</c:v>
                </c:pt>
                <c:pt idx="167">
                  <c:v>45945</c:v>
                </c:pt>
                <c:pt idx="168">
                  <c:v>45946</c:v>
                </c:pt>
                <c:pt idx="169">
                  <c:v>45947</c:v>
                </c:pt>
                <c:pt idx="170">
                  <c:v>45950</c:v>
                </c:pt>
                <c:pt idx="171">
                  <c:v>45951</c:v>
                </c:pt>
                <c:pt idx="172">
                  <c:v>45952</c:v>
                </c:pt>
                <c:pt idx="173">
                  <c:v>45953</c:v>
                </c:pt>
                <c:pt idx="174">
                  <c:v>45954</c:v>
                </c:pt>
                <c:pt idx="175">
                  <c:v>45957</c:v>
                </c:pt>
                <c:pt idx="176">
                  <c:v>45958</c:v>
                </c:pt>
                <c:pt idx="177">
                  <c:v>45959</c:v>
                </c:pt>
                <c:pt idx="178">
                  <c:v>45960</c:v>
                </c:pt>
                <c:pt idx="179">
                  <c:v>45961</c:v>
                </c:pt>
                <c:pt idx="180">
                  <c:v>45964</c:v>
                </c:pt>
                <c:pt idx="181">
                  <c:v>45965</c:v>
                </c:pt>
                <c:pt idx="182">
                  <c:v>45966</c:v>
                </c:pt>
                <c:pt idx="183">
                  <c:v>45967</c:v>
                </c:pt>
                <c:pt idx="184">
                  <c:v>45968</c:v>
                </c:pt>
                <c:pt idx="185">
                  <c:v>45971</c:v>
                </c:pt>
                <c:pt idx="186">
                  <c:v>45972</c:v>
                </c:pt>
                <c:pt idx="187">
                  <c:v>45973</c:v>
                </c:pt>
                <c:pt idx="188">
                  <c:v>45974</c:v>
                </c:pt>
                <c:pt idx="189">
                  <c:v>45975</c:v>
                </c:pt>
                <c:pt idx="190">
                  <c:v>45978</c:v>
                </c:pt>
                <c:pt idx="191">
                  <c:v>45979</c:v>
                </c:pt>
                <c:pt idx="192">
                  <c:v>45980</c:v>
                </c:pt>
                <c:pt idx="193">
                  <c:v>45981</c:v>
                </c:pt>
                <c:pt idx="194">
                  <c:v>45982</c:v>
                </c:pt>
                <c:pt idx="195">
                  <c:v>45985</c:v>
                </c:pt>
                <c:pt idx="196">
                  <c:v>45986</c:v>
                </c:pt>
                <c:pt idx="197">
                  <c:v>45987</c:v>
                </c:pt>
                <c:pt idx="198">
                  <c:v>45989</c:v>
                </c:pt>
                <c:pt idx="199">
                  <c:v>45992</c:v>
                </c:pt>
                <c:pt idx="200">
                  <c:v>45993</c:v>
                </c:pt>
                <c:pt idx="201">
                  <c:v>45994</c:v>
                </c:pt>
                <c:pt idx="202">
                  <c:v>45995</c:v>
                </c:pt>
                <c:pt idx="203">
                  <c:v>45996</c:v>
                </c:pt>
                <c:pt idx="204">
                  <c:v>45999</c:v>
                </c:pt>
                <c:pt idx="205">
                  <c:v>46000</c:v>
                </c:pt>
                <c:pt idx="206">
                  <c:v>46001</c:v>
                </c:pt>
                <c:pt idx="207">
                  <c:v>46002</c:v>
                </c:pt>
                <c:pt idx="208">
                  <c:v>46003</c:v>
                </c:pt>
                <c:pt idx="209">
                  <c:v>46006</c:v>
                </c:pt>
                <c:pt idx="210">
                  <c:v>46007</c:v>
                </c:pt>
                <c:pt idx="211">
                  <c:v>46008</c:v>
                </c:pt>
                <c:pt idx="212">
                  <c:v>46009</c:v>
                </c:pt>
                <c:pt idx="213">
                  <c:v>46010</c:v>
                </c:pt>
                <c:pt idx="214">
                  <c:v>46013</c:v>
                </c:pt>
                <c:pt idx="215">
                  <c:v>46014</c:v>
                </c:pt>
                <c:pt idx="216">
                  <c:v>46015</c:v>
                </c:pt>
                <c:pt idx="217">
                  <c:v>46017</c:v>
                </c:pt>
                <c:pt idx="218">
                  <c:v>46020</c:v>
                </c:pt>
                <c:pt idx="219">
                  <c:v>46021</c:v>
                </c:pt>
                <c:pt idx="220">
                  <c:v>46022</c:v>
                </c:pt>
                <c:pt idx="221">
                  <c:v>46024</c:v>
                </c:pt>
                <c:pt idx="222">
                  <c:v>46027</c:v>
                </c:pt>
                <c:pt idx="223">
                  <c:v>46028</c:v>
                </c:pt>
                <c:pt idx="224">
                  <c:v>46029</c:v>
                </c:pt>
                <c:pt idx="225">
                  <c:v>46030</c:v>
                </c:pt>
                <c:pt idx="226">
                  <c:v>46031</c:v>
                </c:pt>
                <c:pt idx="227">
                  <c:v>46034</c:v>
                </c:pt>
                <c:pt idx="228">
                  <c:v>46035</c:v>
                </c:pt>
                <c:pt idx="229">
                  <c:v>46036</c:v>
                </c:pt>
                <c:pt idx="230">
                  <c:v>46037</c:v>
                </c:pt>
                <c:pt idx="231">
                  <c:v>46038</c:v>
                </c:pt>
                <c:pt idx="232">
                  <c:v>46042</c:v>
                </c:pt>
                <c:pt idx="233">
                  <c:v>46043</c:v>
                </c:pt>
                <c:pt idx="234">
                  <c:v>46044</c:v>
                </c:pt>
                <c:pt idx="235">
                  <c:v>46045</c:v>
                </c:pt>
                <c:pt idx="236">
                  <c:v>46048</c:v>
                </c:pt>
                <c:pt idx="237">
                  <c:v>46049</c:v>
                </c:pt>
                <c:pt idx="238">
                  <c:v>46050</c:v>
                </c:pt>
                <c:pt idx="239">
                  <c:v>46051</c:v>
                </c:pt>
                <c:pt idx="240">
                  <c:v>46052</c:v>
                </c:pt>
                <c:pt idx="241">
                  <c:v>46055</c:v>
                </c:pt>
                <c:pt idx="242">
                  <c:v>46056</c:v>
                </c:pt>
                <c:pt idx="243">
                  <c:v>46057</c:v>
                </c:pt>
                <c:pt idx="244">
                  <c:v>46058</c:v>
                </c:pt>
                <c:pt idx="245">
                  <c:v>46059</c:v>
                </c:pt>
                <c:pt idx="246">
                  <c:v>46062</c:v>
                </c:pt>
                <c:pt idx="247">
                  <c:v>46063</c:v>
                </c:pt>
                <c:pt idx="248">
                  <c:v>46064</c:v>
                </c:pt>
                <c:pt idx="249">
                  <c:v>46065</c:v>
                </c:pt>
                <c:pt idx="250">
                  <c:v>46066</c:v>
                </c:pt>
              </c:numCache>
            </c:numRef>
          </c:cat>
          <c:val>
            <c:numRef>
              <c:f>Data!$Z$2:$Z$252</c:f>
              <c:numCache>
                <c:formatCode>General</c:formatCode>
                <c:ptCount val="251"/>
                <c:pt idx="34">
                  <c:v>0.18685898108842697</c:v>
                </c:pt>
                <c:pt idx="35">
                  <c:v>0.14123362919702989</c:v>
                </c:pt>
                <c:pt idx="36">
                  <c:v>0.10366365900835828</c:v>
                </c:pt>
                <c:pt idx="37">
                  <c:v>6.7132265739528754E-2</c:v>
                </c:pt>
                <c:pt idx="38">
                  <c:v>3.6045199382152199E-2</c:v>
                </c:pt>
                <c:pt idx="39">
                  <c:v>1.5980690808222044E-2</c:v>
                </c:pt>
                <c:pt idx="40">
                  <c:v>-3.0784877006164064E-4</c:v>
                </c:pt>
                <c:pt idx="41">
                  <c:v>-1.4172831122423105E-2</c:v>
                </c:pt>
                <c:pt idx="42">
                  <c:v>-2.2090131053462102E-2</c:v>
                </c:pt>
                <c:pt idx="43">
                  <c:v>-2.8366859599130718E-2</c:v>
                </c:pt>
                <c:pt idx="44">
                  <c:v>-3.0349824618585736E-2</c:v>
                </c:pt>
                <c:pt idx="45">
                  <c:v>-2.7394344077300417E-2</c:v>
                </c:pt>
                <c:pt idx="46">
                  <c:v>-1.6968798987111688E-2</c:v>
                </c:pt>
                <c:pt idx="47">
                  <c:v>-2.6880994516551224E-3</c:v>
                </c:pt>
                <c:pt idx="48">
                  <c:v>1.2947356739265309E-2</c:v>
                </c:pt>
                <c:pt idx="49">
                  <c:v>3.0656876135022437E-2</c:v>
                </c:pt>
                <c:pt idx="50">
                  <c:v>4.6434524440392359E-2</c:v>
                </c:pt>
                <c:pt idx="51">
                  <c:v>6.278064001568695E-2</c:v>
                </c:pt>
                <c:pt idx="52">
                  <c:v>8.0078521291225085E-2</c:v>
                </c:pt>
                <c:pt idx="53">
                  <c:v>9.512866644582546E-2</c:v>
                </c:pt>
                <c:pt idx="54">
                  <c:v>0.11207189550182828</c:v>
                </c:pt>
                <c:pt idx="55">
                  <c:v>0.12650533973525757</c:v>
                </c:pt>
                <c:pt idx="56">
                  <c:v>0.13832074320900142</c:v>
                </c:pt>
                <c:pt idx="57">
                  <c:v>0.14995372792030981</c:v>
                </c:pt>
                <c:pt idx="58">
                  <c:v>0.16243531084027901</c:v>
                </c:pt>
                <c:pt idx="59">
                  <c:v>0.17522197134288561</c:v>
                </c:pt>
                <c:pt idx="60">
                  <c:v>0.18792790517272262</c:v>
                </c:pt>
                <c:pt idx="61">
                  <c:v>0.20108429092672919</c:v>
                </c:pt>
                <c:pt idx="62">
                  <c:v>0.21417274076250836</c:v>
                </c:pt>
                <c:pt idx="63">
                  <c:v>0.22524662771624099</c:v>
                </c:pt>
                <c:pt idx="64">
                  <c:v>0.23348529912532423</c:v>
                </c:pt>
                <c:pt idx="65">
                  <c:v>0.23515380753426404</c:v>
                </c:pt>
                <c:pt idx="66">
                  <c:v>0.23144265935977568</c:v>
                </c:pt>
                <c:pt idx="67">
                  <c:v>0.22275033326667931</c:v>
                </c:pt>
                <c:pt idx="68">
                  <c:v>0.21008615358784455</c:v>
                </c:pt>
                <c:pt idx="69">
                  <c:v>0.19288392318068431</c:v>
                </c:pt>
                <c:pt idx="70">
                  <c:v>0.17409719915732919</c:v>
                </c:pt>
                <c:pt idx="71">
                  <c:v>0.15745808016856394</c:v>
                </c:pt>
                <c:pt idx="72">
                  <c:v>0.13629664332472199</c:v>
                </c:pt>
                <c:pt idx="73">
                  <c:v>0.11644980247845876</c:v>
                </c:pt>
                <c:pt idx="74">
                  <c:v>9.8999637270530766E-2</c:v>
                </c:pt>
                <c:pt idx="75">
                  <c:v>8.1507169984093616E-2</c:v>
                </c:pt>
                <c:pt idx="76">
                  <c:v>6.727210783956887E-2</c:v>
                </c:pt>
                <c:pt idx="77">
                  <c:v>5.6947976146349825E-2</c:v>
                </c:pt>
                <c:pt idx="78">
                  <c:v>5.3634700126992209E-2</c:v>
                </c:pt>
                <c:pt idx="79">
                  <c:v>5.5724400651520942E-2</c:v>
                </c:pt>
                <c:pt idx="80">
                  <c:v>5.8889955391099126E-2</c:v>
                </c:pt>
                <c:pt idx="81">
                  <c:v>6.083422738363943E-2</c:v>
                </c:pt>
                <c:pt idx="82">
                  <c:v>6.48037865815419E-2</c:v>
                </c:pt>
                <c:pt idx="83">
                  <c:v>6.6496081581931543E-2</c:v>
                </c:pt>
                <c:pt idx="84">
                  <c:v>6.6680304739798218E-2</c:v>
                </c:pt>
                <c:pt idx="85">
                  <c:v>6.8310369050794226E-2</c:v>
                </c:pt>
                <c:pt idx="86">
                  <c:v>7.3158221325110517E-2</c:v>
                </c:pt>
                <c:pt idx="87">
                  <c:v>7.9282957625133585E-2</c:v>
                </c:pt>
                <c:pt idx="88">
                  <c:v>8.1717645411295767E-2</c:v>
                </c:pt>
                <c:pt idx="89">
                  <c:v>8.3918763269698354E-2</c:v>
                </c:pt>
                <c:pt idx="90">
                  <c:v>8.8379080662808182E-2</c:v>
                </c:pt>
                <c:pt idx="91">
                  <c:v>9.4617890343872788E-2</c:v>
                </c:pt>
                <c:pt idx="92">
                  <c:v>0.10940593048916405</c:v>
                </c:pt>
                <c:pt idx="93">
                  <c:v>0.13522874561754705</c:v>
                </c:pt>
                <c:pt idx="94">
                  <c:v>0.16694423225995803</c:v>
                </c:pt>
                <c:pt idx="95">
                  <c:v>0.1968000818455537</c:v>
                </c:pt>
                <c:pt idx="96">
                  <c:v>0.22491260422217302</c:v>
                </c:pt>
                <c:pt idx="97">
                  <c:v>0.25233927907434117</c:v>
                </c:pt>
                <c:pt idx="98">
                  <c:v>0.27859954738543041</c:v>
                </c:pt>
                <c:pt idx="99">
                  <c:v>0.30004306921825818</c:v>
                </c:pt>
                <c:pt idx="100">
                  <c:v>0.31825502557440177</c:v>
                </c:pt>
                <c:pt idx="101">
                  <c:v>0.3278155619240411</c:v>
                </c:pt>
                <c:pt idx="102">
                  <c:v>0.32544026146512361</c:v>
                </c:pt>
                <c:pt idx="103">
                  <c:v>0.31353068528366873</c:v>
                </c:pt>
                <c:pt idx="104">
                  <c:v>0.2957144737590619</c:v>
                </c:pt>
                <c:pt idx="105">
                  <c:v>0.27684922217050095</c:v>
                </c:pt>
                <c:pt idx="106">
                  <c:v>0.25576987496206305</c:v>
                </c:pt>
                <c:pt idx="107">
                  <c:v>0.23685617747525706</c:v>
                </c:pt>
                <c:pt idx="108">
                  <c:v>0.21783698149994915</c:v>
                </c:pt>
                <c:pt idx="109">
                  <c:v>0.20260261160234852</c:v>
                </c:pt>
                <c:pt idx="110">
                  <c:v>0.18704599684414913</c:v>
                </c:pt>
                <c:pt idx="111">
                  <c:v>0.16848570984875214</c:v>
                </c:pt>
                <c:pt idx="112">
                  <c:v>0.14528129983527222</c:v>
                </c:pt>
                <c:pt idx="113">
                  <c:v>0.12324221472322124</c:v>
                </c:pt>
                <c:pt idx="114">
                  <c:v>9.8819360017430899E-2</c:v>
                </c:pt>
                <c:pt idx="115">
                  <c:v>7.6031535875600423E-2</c:v>
                </c:pt>
                <c:pt idx="116">
                  <c:v>5.7044787117189806E-2</c:v>
                </c:pt>
                <c:pt idx="117">
                  <c:v>4.3698941298418482E-2</c:v>
                </c:pt>
                <c:pt idx="118">
                  <c:v>3.5605525840750593E-2</c:v>
                </c:pt>
                <c:pt idx="119">
                  <c:v>3.1785526631490577E-2</c:v>
                </c:pt>
                <c:pt idx="120">
                  <c:v>2.7900032091162062E-2</c:v>
                </c:pt>
                <c:pt idx="121">
                  <c:v>2.5868566328708615E-2</c:v>
                </c:pt>
                <c:pt idx="122">
                  <c:v>2.8078042013829414E-2</c:v>
                </c:pt>
                <c:pt idx="123">
                  <c:v>3.2765837733847523E-2</c:v>
                </c:pt>
                <c:pt idx="124">
                  <c:v>3.8686574468800194E-2</c:v>
                </c:pt>
                <c:pt idx="125">
                  <c:v>4.5300633733062326E-2</c:v>
                </c:pt>
                <c:pt idx="126">
                  <c:v>5.3813814817834926E-2</c:v>
                </c:pt>
                <c:pt idx="127">
                  <c:v>6.1512503642488212E-2</c:v>
                </c:pt>
                <c:pt idx="128">
                  <c:v>6.5604200516959962E-2</c:v>
                </c:pt>
                <c:pt idx="129">
                  <c:v>7.3612396502702682E-2</c:v>
                </c:pt>
                <c:pt idx="130">
                  <c:v>8.4764151124171336E-2</c:v>
                </c:pt>
                <c:pt idx="131">
                  <c:v>9.7427527665655322E-2</c:v>
                </c:pt>
                <c:pt idx="132">
                  <c:v>0.1112692764917764</c:v>
                </c:pt>
                <c:pt idx="133">
                  <c:v>0.12167951051170378</c:v>
                </c:pt>
                <c:pt idx="134">
                  <c:v>0.13007314860075203</c:v>
                </c:pt>
                <c:pt idx="135">
                  <c:v>0.13566863123534889</c:v>
                </c:pt>
                <c:pt idx="136">
                  <c:v>0.13731230194560248</c:v>
                </c:pt>
                <c:pt idx="137">
                  <c:v>0.13703719201203704</c:v>
                </c:pt>
                <c:pt idx="138">
                  <c:v>0.13621877873809488</c:v>
                </c:pt>
                <c:pt idx="139">
                  <c:v>0.13399454508343284</c:v>
                </c:pt>
                <c:pt idx="140">
                  <c:v>0.12750948458951314</c:v>
                </c:pt>
                <c:pt idx="141">
                  <c:v>0.11728634894112017</c:v>
                </c:pt>
                <c:pt idx="142">
                  <c:v>0.11041335597874827</c:v>
                </c:pt>
                <c:pt idx="143">
                  <c:v>0.10447245354814083</c:v>
                </c:pt>
                <c:pt idx="144">
                  <c:v>9.9189085473296593E-2</c:v>
                </c:pt>
                <c:pt idx="145">
                  <c:v>9.3251928972430564E-2</c:v>
                </c:pt>
                <c:pt idx="146">
                  <c:v>8.7801406895248901E-2</c:v>
                </c:pt>
                <c:pt idx="147">
                  <c:v>8.4017859330643721E-2</c:v>
                </c:pt>
                <c:pt idx="148">
                  <c:v>7.9371455300201149E-2</c:v>
                </c:pt>
                <c:pt idx="149">
                  <c:v>7.4885074766726581E-2</c:v>
                </c:pt>
                <c:pt idx="150">
                  <c:v>7.1680308225661016E-2</c:v>
                </c:pt>
                <c:pt idx="151">
                  <c:v>6.7688016146433452E-2</c:v>
                </c:pt>
                <c:pt idx="152">
                  <c:v>6.3097582024314008E-2</c:v>
                </c:pt>
                <c:pt idx="153">
                  <c:v>6.4451292269121274E-2</c:v>
                </c:pt>
                <c:pt idx="154">
                  <c:v>7.0589169062088342E-2</c:v>
                </c:pt>
                <c:pt idx="155">
                  <c:v>7.7168950049798471E-2</c:v>
                </c:pt>
                <c:pt idx="156">
                  <c:v>8.8450770332750547E-2</c:v>
                </c:pt>
                <c:pt idx="157">
                  <c:v>0.10108900809570448</c:v>
                </c:pt>
                <c:pt idx="158">
                  <c:v>0.12086398963155173</c:v>
                </c:pt>
                <c:pt idx="159">
                  <c:v>0.1442786656918198</c:v>
                </c:pt>
                <c:pt idx="160">
                  <c:v>0.15597391104926786</c:v>
                </c:pt>
                <c:pt idx="161">
                  <c:v>0.15648326923282163</c:v>
                </c:pt>
                <c:pt idx="162">
                  <c:v>0.14576911179181601</c:v>
                </c:pt>
                <c:pt idx="163">
                  <c:v>0.1268137913025997</c:v>
                </c:pt>
                <c:pt idx="164">
                  <c:v>0.10547177848675415</c:v>
                </c:pt>
                <c:pt idx="165">
                  <c:v>8.526721097336952E-2</c:v>
                </c:pt>
                <c:pt idx="166">
                  <c:v>6.8395373488500236E-2</c:v>
                </c:pt>
                <c:pt idx="167">
                  <c:v>5.4021901009910347E-2</c:v>
                </c:pt>
                <c:pt idx="168">
                  <c:v>4.4716504526134328E-2</c:v>
                </c:pt>
                <c:pt idx="169">
                  <c:v>4.0090375308852379E-2</c:v>
                </c:pt>
                <c:pt idx="170">
                  <c:v>4.7642272518862841E-2</c:v>
                </c:pt>
                <c:pt idx="171">
                  <c:v>6.0248577385070293E-2</c:v>
                </c:pt>
                <c:pt idx="172">
                  <c:v>7.3788827587223882E-2</c:v>
                </c:pt>
                <c:pt idx="173">
                  <c:v>0.11096809861022892</c:v>
                </c:pt>
                <c:pt idx="174">
                  <c:v>0.151508371100116</c:v>
                </c:pt>
                <c:pt idx="175">
                  <c:v>0.18961067382367838</c:v>
                </c:pt>
                <c:pt idx="176">
                  <c:v>0.22551034333423856</c:v>
                </c:pt>
                <c:pt idx="177">
                  <c:v>0.25476174646154442</c:v>
                </c:pt>
                <c:pt idx="178">
                  <c:v>0.27884889369418464</c:v>
                </c:pt>
                <c:pt idx="179">
                  <c:v>0.29588641437166158</c:v>
                </c:pt>
                <c:pt idx="180">
                  <c:v>0.30342787421125039</c:v>
                </c:pt>
                <c:pt idx="181">
                  <c:v>0.30903589090339473</c:v>
                </c:pt>
                <c:pt idx="182">
                  <c:v>0.31259327023857075</c:v>
                </c:pt>
                <c:pt idx="183">
                  <c:v>0.31540230024471227</c:v>
                </c:pt>
                <c:pt idx="184">
                  <c:v>0.3160784389554222</c:v>
                </c:pt>
                <c:pt idx="185">
                  <c:v>0.31689548994978933</c:v>
                </c:pt>
                <c:pt idx="186">
                  <c:v>0.31942892434059089</c:v>
                </c:pt>
                <c:pt idx="187">
                  <c:v>0.31946505393068697</c:v>
                </c:pt>
                <c:pt idx="188">
                  <c:v>0.31577000436477848</c:v>
                </c:pt>
                <c:pt idx="189">
                  <c:v>0.30426445193334295</c:v>
                </c:pt>
                <c:pt idx="190">
                  <c:v>0.29000670569215176</c:v>
                </c:pt>
                <c:pt idx="191">
                  <c:v>0.27219583844850453</c:v>
                </c:pt>
                <c:pt idx="192">
                  <c:v>0.24465356569484004</c:v>
                </c:pt>
                <c:pt idx="193">
                  <c:v>0.21859888768165356</c:v>
                </c:pt>
                <c:pt idx="194">
                  <c:v>0.19641827749810331</c:v>
                </c:pt>
                <c:pt idx="195">
                  <c:v>0.1807313525792226</c:v>
                </c:pt>
                <c:pt idx="196">
                  <c:v>0.16984404331467584</c:v>
                </c:pt>
                <c:pt idx="197">
                  <c:v>0.1635845594055973</c:v>
                </c:pt>
                <c:pt idx="198">
                  <c:v>0.15826646704810138</c:v>
                </c:pt>
                <c:pt idx="199">
                  <c:v>0.15026559938316281</c:v>
                </c:pt>
                <c:pt idx="200">
                  <c:v>0.14273422721079149</c:v>
                </c:pt>
                <c:pt idx="201">
                  <c:v>0.13636433331354253</c:v>
                </c:pt>
                <c:pt idx="202">
                  <c:v>0.12899056420713467</c:v>
                </c:pt>
                <c:pt idx="203">
                  <c:v>0.12283512089610402</c:v>
                </c:pt>
                <c:pt idx="204">
                  <c:v>0.1165287480556973</c:v>
                </c:pt>
                <c:pt idx="205">
                  <c:v>0.11545773067214546</c:v>
                </c:pt>
                <c:pt idx="206">
                  <c:v>0.12097109715135115</c:v>
                </c:pt>
                <c:pt idx="207">
                  <c:v>0.13212076456750332</c:v>
                </c:pt>
                <c:pt idx="208">
                  <c:v>0.14416255652501403</c:v>
                </c:pt>
                <c:pt idx="209">
                  <c:v>0.1561227769208744</c:v>
                </c:pt>
                <c:pt idx="210">
                  <c:v>0.16130547019313451</c:v>
                </c:pt>
                <c:pt idx="211">
                  <c:v>0.16176035178574774</c:v>
                </c:pt>
                <c:pt idx="212">
                  <c:v>0.16125256479643787</c:v>
                </c:pt>
                <c:pt idx="213">
                  <c:v>0.15964094345027077</c:v>
                </c:pt>
                <c:pt idx="214">
                  <c:v>0.15434583925367845</c:v>
                </c:pt>
                <c:pt idx="215">
                  <c:v>0.14778460120728754</c:v>
                </c:pt>
                <c:pt idx="216">
                  <c:v>0.13963917413563207</c:v>
                </c:pt>
                <c:pt idx="217">
                  <c:v>0.13013090641796984</c:v>
                </c:pt>
                <c:pt idx="218">
                  <c:v>0.11917256023520542</c:v>
                </c:pt>
                <c:pt idx="219">
                  <c:v>0.10585318345202011</c:v>
                </c:pt>
                <c:pt idx="220">
                  <c:v>9.5020892862442807E-2</c:v>
                </c:pt>
                <c:pt idx="221">
                  <c:v>8.81728085268597E-2</c:v>
                </c:pt>
                <c:pt idx="222">
                  <c:v>8.9244928979971661E-2</c:v>
                </c:pt>
                <c:pt idx="223">
                  <c:v>9.4064405826222386E-2</c:v>
                </c:pt>
                <c:pt idx="224">
                  <c:v>0.11129553084301028</c:v>
                </c:pt>
                <c:pt idx="225">
                  <c:v>0.13195820421459792</c:v>
                </c:pt>
                <c:pt idx="226">
                  <c:v>0.15067552398119144</c:v>
                </c:pt>
                <c:pt idx="227">
                  <c:v>0.16605120016946878</c:v>
                </c:pt>
                <c:pt idx="228">
                  <c:v>0.1759142980408536</c:v>
                </c:pt>
                <c:pt idx="229">
                  <c:v>0.18092560198351332</c:v>
                </c:pt>
                <c:pt idx="230">
                  <c:v>0.17887040125822035</c:v>
                </c:pt>
                <c:pt idx="231">
                  <c:v>0.16698069439443522</c:v>
                </c:pt>
                <c:pt idx="232">
                  <c:v>0.15698726872811428</c:v>
                </c:pt>
                <c:pt idx="233">
                  <c:v>0.14739119656811778</c:v>
                </c:pt>
                <c:pt idx="234">
                  <c:v>0.1358181231029382</c:v>
                </c:pt>
                <c:pt idx="235">
                  <c:v>0.12138849626492897</c:v>
                </c:pt>
                <c:pt idx="236">
                  <c:v>0.11346585687644914</c:v>
                </c:pt>
                <c:pt idx="237">
                  <c:v>0.10802339161373425</c:v>
                </c:pt>
                <c:pt idx="238">
                  <c:v>0.10704634217783188</c:v>
                </c:pt>
                <c:pt idx="239">
                  <c:v>0.10676083723702097</c:v>
                </c:pt>
                <c:pt idx="240">
                  <c:v>0.1055636069686926</c:v>
                </c:pt>
                <c:pt idx="241">
                  <c:v>0.10234073162716895</c:v>
                </c:pt>
                <c:pt idx="242">
                  <c:v>9.921981185510198E-2</c:v>
                </c:pt>
                <c:pt idx="243">
                  <c:v>9.4504816013526505E-2</c:v>
                </c:pt>
                <c:pt idx="244">
                  <c:v>9.009880973144449E-2</c:v>
                </c:pt>
                <c:pt idx="245">
                  <c:v>8.256166148609706E-2</c:v>
                </c:pt>
                <c:pt idx="246">
                  <c:v>7.2949820837920454E-2</c:v>
                </c:pt>
                <c:pt idx="247">
                  <c:v>6.6842440824028238E-2</c:v>
                </c:pt>
                <c:pt idx="248">
                  <c:v>6.5492562745004784E-2</c:v>
                </c:pt>
                <c:pt idx="249">
                  <c:v>6.89606166663492E-2</c:v>
                </c:pt>
                <c:pt idx="250">
                  <c:v>7.1735059803424733E-2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BF-487C-92D3-291FC75D2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261264"/>
        <c:axId val="823264144"/>
      </c:lineChart>
      <c:dateAx>
        <c:axId val="823261264"/>
        <c:scaling>
          <c:orientation val="minMax"/>
          <c:max val="46068"/>
          <c:min val="45931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264144"/>
        <c:crosses val="autoZero"/>
        <c:auto val="1"/>
        <c:lblOffset val="100"/>
        <c:baseTimeUnit val="days"/>
      </c:dateAx>
      <c:valAx>
        <c:axId val="823264144"/>
        <c:scaling>
          <c:orientation val="minMax"/>
          <c:max val="0.4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261264"/>
        <c:crosses val="autoZero"/>
        <c:crossBetween val="between"/>
      </c:valAx>
      <c:valAx>
        <c:axId val="666094576"/>
        <c:scaling>
          <c:orientation val="minMax"/>
          <c:max val="0.60000000000000009"/>
          <c:min val="-0.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82560"/>
        <c:crosses val="max"/>
        <c:crossBetween val="between"/>
      </c:valAx>
      <c:dateAx>
        <c:axId val="3625825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6609457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Forecast!$B$2:$B$120</c:f>
              <c:numCache>
                <c:formatCode>General</c:formatCode>
                <c:ptCount val="119"/>
                <c:pt idx="0">
                  <c:v>11.6625</c:v>
                </c:pt>
                <c:pt idx="1">
                  <c:v>11.575899999999999</c:v>
                </c:pt>
                <c:pt idx="2">
                  <c:v>11.052325</c:v>
                </c:pt>
                <c:pt idx="3">
                  <c:v>11.087759999999999</c:v>
                </c:pt>
                <c:pt idx="4">
                  <c:v>11.670400000000001</c:v>
                </c:pt>
                <c:pt idx="5">
                  <c:v>12.19792</c:v>
                </c:pt>
                <c:pt idx="6">
                  <c:v>12.40854</c:v>
                </c:pt>
                <c:pt idx="7">
                  <c:v>11.970075000000001</c:v>
                </c:pt>
                <c:pt idx="8">
                  <c:v>12.034559999999999</c:v>
                </c:pt>
                <c:pt idx="9">
                  <c:v>12.26092</c:v>
                </c:pt>
                <c:pt idx="10">
                  <c:v>11.95384</c:v>
                </c:pt>
                <c:pt idx="11">
                  <c:v>12.442</c:v>
                </c:pt>
                <c:pt idx="12">
                  <c:v>12.7156</c:v>
                </c:pt>
                <c:pt idx="13">
                  <c:v>13.130940000000001</c:v>
                </c:pt>
                <c:pt idx="14">
                  <c:v>12.92426</c:v>
                </c:pt>
                <c:pt idx="15">
                  <c:v>11.920360000000001</c:v>
                </c:pt>
                <c:pt idx="16">
                  <c:v>12.7156</c:v>
                </c:pt>
                <c:pt idx="17">
                  <c:v>12.20778</c:v>
                </c:pt>
                <c:pt idx="18">
                  <c:v>11.995200000000001</c:v>
                </c:pt>
                <c:pt idx="19">
                  <c:v>12.15264</c:v>
                </c:pt>
                <c:pt idx="20">
                  <c:v>11.92826</c:v>
                </c:pt>
                <c:pt idx="21">
                  <c:v>11.598549999999999</c:v>
                </c:pt>
                <c:pt idx="22">
                  <c:v>11.91058</c:v>
                </c:pt>
                <c:pt idx="23">
                  <c:v>11.853439999999999</c:v>
                </c:pt>
                <c:pt idx="24">
                  <c:v>11.664975</c:v>
                </c:pt>
                <c:pt idx="25">
                  <c:v>12.046340000000001</c:v>
                </c:pt>
                <c:pt idx="26">
                  <c:v>12.63195</c:v>
                </c:pt>
                <c:pt idx="27">
                  <c:v>13.09944</c:v>
                </c:pt>
                <c:pt idx="28">
                  <c:v>14.099360000000001</c:v>
                </c:pt>
                <c:pt idx="29">
                  <c:v>12.59158</c:v>
                </c:pt>
                <c:pt idx="30">
                  <c:v>10.50906</c:v>
                </c:pt>
                <c:pt idx="31">
                  <c:v>9.7414000000000005</c:v>
                </c:pt>
                <c:pt idx="32">
                  <c:v>10.068160000000001</c:v>
                </c:pt>
                <c:pt idx="33">
                  <c:v>10.71574</c:v>
                </c:pt>
                <c:pt idx="34">
                  <c:v>10.9421</c:v>
                </c:pt>
                <c:pt idx="35">
                  <c:v>10.648825</c:v>
                </c:pt>
                <c:pt idx="36">
                  <c:v>10.38114</c:v>
                </c:pt>
                <c:pt idx="37">
                  <c:v>10.72362</c:v>
                </c:pt>
                <c:pt idx="38">
                  <c:v>10.56222</c:v>
                </c:pt>
                <c:pt idx="39">
                  <c:v>10.3949</c:v>
                </c:pt>
                <c:pt idx="40">
                  <c:v>10.43228</c:v>
                </c:pt>
                <c:pt idx="41">
                  <c:v>10.818099999999999</c:v>
                </c:pt>
                <c:pt idx="42">
                  <c:v>10.896840000000001</c:v>
                </c:pt>
                <c:pt idx="43">
                  <c:v>10.385059999999999</c:v>
                </c:pt>
                <c:pt idx="44">
                  <c:v>10.6449</c:v>
                </c:pt>
                <c:pt idx="45">
                  <c:v>10.926360000000001</c:v>
                </c:pt>
                <c:pt idx="46">
                  <c:v>10.820079999999999</c:v>
                </c:pt>
                <c:pt idx="47">
                  <c:v>11.005600000000001</c:v>
                </c:pt>
                <c:pt idx="48">
                  <c:v>10.528740000000001</c:v>
                </c:pt>
                <c:pt idx="49">
                  <c:v>10.30434</c:v>
                </c:pt>
                <c:pt idx="50">
                  <c:v>9.6981199999999994</c:v>
                </c:pt>
                <c:pt idx="51">
                  <c:v>9.8467249999999993</c:v>
                </c:pt>
                <c:pt idx="52">
                  <c:v>9.6720249999999997</c:v>
                </c:pt>
                <c:pt idx="53">
                  <c:v>9.6129750000000005</c:v>
                </c:pt>
                <c:pt idx="54">
                  <c:v>9.7689799999999991</c:v>
                </c:pt>
                <c:pt idx="55">
                  <c:v>10.023875</c:v>
                </c:pt>
                <c:pt idx="56">
                  <c:v>10.02092</c:v>
                </c:pt>
                <c:pt idx="57">
                  <c:v>9.5583399999999994</c:v>
                </c:pt>
                <c:pt idx="58">
                  <c:v>9.1548400000000001</c:v>
                </c:pt>
                <c:pt idx="59">
                  <c:v>9.3249999999999993</c:v>
                </c:pt>
                <c:pt idx="60">
                  <c:v>9.4160000000000004</c:v>
                </c:pt>
                <c:pt idx="61">
                  <c:v>9.5340000000000007</c:v>
                </c:pt>
                <c:pt idx="62">
                  <c:v>9.6999999999999993</c:v>
                </c:pt>
                <c:pt idx="63">
                  <c:v>10.01</c:v>
                </c:pt>
                <c:pt idx="64">
                  <c:v>10.092000000000001</c:v>
                </c:pt>
                <c:pt idx="65">
                  <c:v>9.847999999999999</c:v>
                </c:pt>
                <c:pt idx="66">
                  <c:v>9.18</c:v>
                </c:pt>
                <c:pt idx="67">
                  <c:v>9.5474999999999994</c:v>
                </c:pt>
                <c:pt idx="68">
                  <c:v>9.8000000000000007</c:v>
                </c:pt>
                <c:pt idx="69">
                  <c:v>10.128</c:v>
                </c:pt>
                <c:pt idx="70">
                  <c:v>10.32</c:v>
                </c:pt>
                <c:pt idx="71">
                  <c:v>10.67</c:v>
                </c:pt>
                <c:pt idx="72">
                  <c:v>10.55</c:v>
                </c:pt>
                <c:pt idx="73">
                  <c:v>10.27</c:v>
                </c:pt>
                <c:pt idx="74">
                  <c:v>10.154</c:v>
                </c:pt>
                <c:pt idx="75">
                  <c:v>10.512</c:v>
                </c:pt>
                <c:pt idx="76">
                  <c:v>10.515000000000001</c:v>
                </c:pt>
                <c:pt idx="77">
                  <c:v>10.678000000000001</c:v>
                </c:pt>
                <c:pt idx="78">
                  <c:v>11.445</c:v>
                </c:pt>
                <c:pt idx="79">
                  <c:v>11.757999999999999</c:v>
                </c:pt>
                <c:pt idx="80">
                  <c:v>11.4</c:v>
                </c:pt>
                <c:pt idx="81">
                  <c:v>11.322000000000001</c:v>
                </c:pt>
                <c:pt idx="82">
                  <c:v>11.023999999999999</c:v>
                </c:pt>
                <c:pt idx="83">
                  <c:v>11.164</c:v>
                </c:pt>
                <c:pt idx="84">
                  <c:v>11.342000000000001</c:v>
                </c:pt>
                <c:pt idx="85">
                  <c:v>11.52</c:v>
                </c:pt>
                <c:pt idx="86">
                  <c:v>11.81</c:v>
                </c:pt>
                <c:pt idx="87">
                  <c:v>11.69</c:v>
                </c:pt>
                <c:pt idx="88">
                  <c:v>11.608000000000001</c:v>
                </c:pt>
                <c:pt idx="89">
                  <c:v>11.661999999999999</c:v>
                </c:pt>
                <c:pt idx="90">
                  <c:v>11.73</c:v>
                </c:pt>
                <c:pt idx="91">
                  <c:v>12.242000000000001</c:v>
                </c:pt>
                <c:pt idx="92">
                  <c:v>11.853999999999999</c:v>
                </c:pt>
                <c:pt idx="93">
                  <c:v>11.722</c:v>
                </c:pt>
                <c:pt idx="94">
                  <c:v>12.632</c:v>
                </c:pt>
                <c:pt idx="95">
                  <c:v>13.164</c:v>
                </c:pt>
                <c:pt idx="96">
                  <c:v>13.048</c:v>
                </c:pt>
                <c:pt idx="97">
                  <c:v>13.276</c:v>
                </c:pt>
                <c:pt idx="98">
                  <c:v>12.808</c:v>
                </c:pt>
                <c:pt idx="99">
                  <c:v>13.15</c:v>
                </c:pt>
                <c:pt idx="100">
                  <c:v>13.076000000000001</c:v>
                </c:pt>
                <c:pt idx="101">
                  <c:v>13.404</c:v>
                </c:pt>
                <c:pt idx="102">
                  <c:v>13.484</c:v>
                </c:pt>
                <c:pt idx="103">
                  <c:v>13.355</c:v>
                </c:pt>
                <c:pt idx="104">
                  <c:v>13.2425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F9-4676-8D9B-DF4B0D414B6B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Jan-26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Forecast!$C$2:$C$120</c:f>
              <c:numCache>
                <c:formatCode>General</c:formatCode>
                <c:ptCount val="119"/>
                <c:pt idx="105">
                  <c:v>13.922000000000001</c:v>
                </c:pt>
                <c:pt idx="106">
                  <c:v>13.852</c:v>
                </c:pt>
                <c:pt idx="107">
                  <c:v>13.58</c:v>
                </c:pt>
                <c:pt idx="108">
                  <c:v>13.814</c:v>
                </c:pt>
                <c:pt idx="109">
                  <c:v>13.776</c:v>
                </c:pt>
                <c:pt idx="110">
                  <c:v>13.776</c:v>
                </c:pt>
                <c:pt idx="111">
                  <c:v>13.826000000000001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F9-4676-8D9B-DF4B0D414B6B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Forecast!$D$2:$D$120</c:f>
              <c:numCache>
                <c:formatCode>General</c:formatCode>
                <c:ptCount val="119"/>
                <c:pt idx="105">
                  <c:v>13.573230573750191</c:v>
                </c:pt>
                <c:pt idx="106">
                  <c:v>13.288154028890251</c:v>
                </c:pt>
                <c:pt idx="107">
                  <c:v>12.954897437339927</c:v>
                </c:pt>
                <c:pt idx="108">
                  <c:v>12.834001190007045</c:v>
                </c:pt>
                <c:pt idx="109">
                  <c:v>12.646223556919345</c:v>
                </c:pt>
                <c:pt idx="110">
                  <c:v>12.914146155353494</c:v>
                </c:pt>
                <c:pt idx="111">
                  <c:v>13.081425979006651</c:v>
                </c:pt>
                <c:pt idx="112">
                  <c:v>13.100705290504974</c:v>
                </c:pt>
                <c:pt idx="113">
                  <c:v>13.106546955823179</c:v>
                </c:pt>
                <c:pt idx="114">
                  <c:v>13.055322035709073</c:v>
                </c:pt>
                <c:pt idx="115">
                  <c:v>13.283291023306278</c:v>
                </c:pt>
                <c:pt idx="116">
                  <c:v>13.567377126403672</c:v>
                </c:pt>
                <c:pt idx="117">
                  <c:v>13.364408995615634</c:v>
                </c:pt>
                <c:pt idx="118">
                  <c:v>14.058386326177496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F9-4676-8D9B-DF4B0D414B6B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Forecast!$E$2:$E$120</c:f>
              <c:numCache>
                <c:formatCode>General</c:formatCode>
                <c:ptCount val="119"/>
                <c:pt idx="105">
                  <c:v>13.5308047765783</c:v>
                </c:pt>
                <c:pt idx="106">
                  <c:v>13.4076340455377</c:v>
                </c:pt>
                <c:pt idx="107">
                  <c:v>13.258119600864701</c:v>
                </c:pt>
                <c:pt idx="108">
                  <c:v>13.330594842903601</c:v>
                </c:pt>
                <c:pt idx="109">
                  <c:v>13.3461309467612</c:v>
                </c:pt>
                <c:pt idx="110">
                  <c:v>13.298527768781801</c:v>
                </c:pt>
                <c:pt idx="111">
                  <c:v>13.414747795551399</c:v>
                </c:pt>
                <c:pt idx="112">
                  <c:v>13.513520631819601</c:v>
                </c:pt>
                <c:pt idx="113">
                  <c:v>13.803751369496901</c:v>
                </c:pt>
                <c:pt idx="114">
                  <c:v>13.9405480842044</c:v>
                </c:pt>
                <c:pt idx="115">
                  <c:v>14.401604281742101</c:v>
                </c:pt>
                <c:pt idx="116">
                  <c:v>14.312079429637</c:v>
                </c:pt>
                <c:pt idx="117">
                  <c:v>13.7604433440273</c:v>
                </c:pt>
                <c:pt idx="118">
                  <c:v>14.054913243488601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F9-4676-8D9B-DF4B0D414B6B}"/>
            </c:ext>
          </c:extLst>
        </c:ser>
        <c:ser>
          <c:idx val="4"/>
          <c:order val="4"/>
          <c:tx>
            <c:strRef>
              <c:f>Forecast!$F$1</c:f>
              <c:strCache>
                <c:ptCount val="1"/>
                <c:pt idx="0">
                  <c:v>GS Simple ML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Forecast!$F$2:$F$120</c:f>
              <c:numCache>
                <c:formatCode>General</c:formatCode>
                <c:ptCount val="119"/>
                <c:pt idx="105">
                  <c:v>13.327014</c:v>
                </c:pt>
                <c:pt idx="106">
                  <c:v>13.339311</c:v>
                </c:pt>
                <c:pt idx="107">
                  <c:v>13.357758</c:v>
                </c:pt>
                <c:pt idx="108">
                  <c:v>13.374674000000001</c:v>
                </c:pt>
                <c:pt idx="109">
                  <c:v>13.391069</c:v>
                </c:pt>
                <c:pt idx="110">
                  <c:v>13.407285999999999</c:v>
                </c:pt>
                <c:pt idx="111">
                  <c:v>13.823093</c:v>
                </c:pt>
                <c:pt idx="112">
                  <c:v>13.439579</c:v>
                </c:pt>
                <c:pt idx="113">
                  <c:v>13.938418</c:v>
                </c:pt>
                <c:pt idx="114">
                  <c:v>13.471833999999999</c:v>
                </c:pt>
                <c:pt idx="115">
                  <c:v>13.852399999999999</c:v>
                </c:pt>
                <c:pt idx="116">
                  <c:v>13.504085</c:v>
                </c:pt>
                <c:pt idx="117">
                  <c:v>13.520210000000001</c:v>
                </c:pt>
                <c:pt idx="118">
                  <c:v>13.536334999999999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F9-4676-8D9B-DF4B0D414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546383"/>
        <c:axId val="1865538703"/>
      </c:lineChart>
      <c:dateAx>
        <c:axId val="1865546383"/>
        <c:scaling>
          <c:orientation val="minMax"/>
          <c:min val="45717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538703"/>
        <c:crosses val="autoZero"/>
        <c:auto val="1"/>
        <c:lblOffset val="100"/>
        <c:baseTimeUnit val="days"/>
      </c:dateAx>
      <c:valAx>
        <c:axId val="1865538703"/>
        <c:scaling>
          <c:orientation val="minMax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54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yyyy\-mm\-dd;@</c:formatCode>
                <c:ptCount val="105"/>
                <c:pt idx="0">
                  <c:v>36553</c:v>
                </c:pt>
                <c:pt idx="1">
                  <c:v>36644</c:v>
                </c:pt>
                <c:pt idx="2">
                  <c:v>36731</c:v>
                </c:pt>
                <c:pt idx="3">
                  <c:v>36829</c:v>
                </c:pt>
                <c:pt idx="4">
                  <c:v>36917</c:v>
                </c:pt>
                <c:pt idx="5">
                  <c:v>37011</c:v>
                </c:pt>
                <c:pt idx="6">
                  <c:v>37104</c:v>
                </c:pt>
                <c:pt idx="7">
                  <c:v>37195</c:v>
                </c:pt>
                <c:pt idx="8">
                  <c:v>37284</c:v>
                </c:pt>
                <c:pt idx="9">
                  <c:v>37377</c:v>
                </c:pt>
                <c:pt idx="10">
                  <c:v>37468</c:v>
                </c:pt>
                <c:pt idx="11">
                  <c:v>37559</c:v>
                </c:pt>
                <c:pt idx="12">
                  <c:v>37650</c:v>
                </c:pt>
                <c:pt idx="13">
                  <c:v>37741</c:v>
                </c:pt>
                <c:pt idx="14">
                  <c:v>37832</c:v>
                </c:pt>
                <c:pt idx="15">
                  <c:v>37923</c:v>
                </c:pt>
                <c:pt idx="16">
                  <c:v>38014</c:v>
                </c:pt>
                <c:pt idx="17">
                  <c:v>38105</c:v>
                </c:pt>
                <c:pt idx="18">
                  <c:v>38196</c:v>
                </c:pt>
                <c:pt idx="19">
                  <c:v>38288</c:v>
                </c:pt>
                <c:pt idx="20">
                  <c:v>38378</c:v>
                </c:pt>
                <c:pt idx="21">
                  <c:v>38470</c:v>
                </c:pt>
                <c:pt idx="22">
                  <c:v>38562</c:v>
                </c:pt>
                <c:pt idx="23">
                  <c:v>38653</c:v>
                </c:pt>
                <c:pt idx="24">
                  <c:v>38743</c:v>
                </c:pt>
                <c:pt idx="25">
                  <c:v>38835</c:v>
                </c:pt>
                <c:pt idx="26">
                  <c:v>38929</c:v>
                </c:pt>
                <c:pt idx="27">
                  <c:v>40935</c:v>
                </c:pt>
                <c:pt idx="28">
                  <c:v>41029</c:v>
                </c:pt>
                <c:pt idx="29">
                  <c:v>41122</c:v>
                </c:pt>
                <c:pt idx="30">
                  <c:v>41213</c:v>
                </c:pt>
                <c:pt idx="31">
                  <c:v>41302</c:v>
                </c:pt>
                <c:pt idx="32">
                  <c:v>41395</c:v>
                </c:pt>
                <c:pt idx="33">
                  <c:v>41486</c:v>
                </c:pt>
                <c:pt idx="34">
                  <c:v>41577</c:v>
                </c:pt>
                <c:pt idx="35">
                  <c:v>41668</c:v>
                </c:pt>
                <c:pt idx="36">
                  <c:v>41759</c:v>
                </c:pt>
                <c:pt idx="37">
                  <c:v>41850</c:v>
                </c:pt>
                <c:pt idx="38">
                  <c:v>41941</c:v>
                </c:pt>
                <c:pt idx="39">
                  <c:v>42032</c:v>
                </c:pt>
                <c:pt idx="40">
                  <c:v>42123</c:v>
                </c:pt>
                <c:pt idx="41">
                  <c:v>42214</c:v>
                </c:pt>
                <c:pt idx="42">
                  <c:v>42305</c:v>
                </c:pt>
                <c:pt idx="43">
                  <c:v>42396</c:v>
                </c:pt>
                <c:pt idx="44">
                  <c:v>42487</c:v>
                </c:pt>
                <c:pt idx="45">
                  <c:v>42577</c:v>
                </c:pt>
                <c:pt idx="46">
                  <c:v>42668</c:v>
                </c:pt>
                <c:pt idx="47">
                  <c:v>42753</c:v>
                </c:pt>
                <c:pt idx="48">
                  <c:v>42843</c:v>
                </c:pt>
                <c:pt idx="49">
                  <c:v>42936</c:v>
                </c:pt>
                <c:pt idx="50">
                  <c:v>43028</c:v>
                </c:pt>
                <c:pt idx="51">
                  <c:v>43129</c:v>
                </c:pt>
                <c:pt idx="52">
                  <c:v>43209</c:v>
                </c:pt>
                <c:pt idx="53">
                  <c:v>43301</c:v>
                </c:pt>
                <c:pt idx="54">
                  <c:v>43395</c:v>
                </c:pt>
                <c:pt idx="55">
                  <c:v>43495</c:v>
                </c:pt>
                <c:pt idx="56">
                  <c:v>43578</c:v>
                </c:pt>
                <c:pt idx="57">
                  <c:v>43668</c:v>
                </c:pt>
                <c:pt idx="58">
                  <c:v>43759</c:v>
                </c:pt>
                <c:pt idx="59">
                  <c:v>43859</c:v>
                </c:pt>
                <c:pt idx="60">
                  <c:v>44518</c:v>
                </c:pt>
                <c:pt idx="61">
                  <c:v>44589</c:v>
                </c:pt>
                <c:pt idx="62">
                  <c:v>44676</c:v>
                </c:pt>
                <c:pt idx="63">
                  <c:v>44783</c:v>
                </c:pt>
                <c:pt idx="64">
                  <c:v>44879</c:v>
                </c:pt>
                <c:pt idx="65">
                  <c:v>44967</c:v>
                </c:pt>
                <c:pt idx="66">
                  <c:v>45041</c:v>
                </c:pt>
                <c:pt idx="67">
                  <c:v>45131</c:v>
                </c:pt>
                <c:pt idx="68">
                  <c:v>45230</c:v>
                </c:pt>
                <c:pt idx="69">
                  <c:v>45337</c:v>
                </c:pt>
                <c:pt idx="70">
                  <c:v>45419</c:v>
                </c:pt>
                <c:pt idx="71">
                  <c:v>45511</c:v>
                </c:pt>
                <c:pt idx="72">
                  <c:v>45603</c:v>
                </c:pt>
                <c:pt idx="73">
                  <c:v>45706</c:v>
                </c:pt>
                <c:pt idx="74">
                  <c:v>45789</c:v>
                </c:pt>
                <c:pt idx="75">
                  <c:v>45880</c:v>
                </c:pt>
                <c:pt idx="76">
                  <c:v>45968</c:v>
                </c:pt>
              </c:numCache>
            </c:numRef>
          </c:cat>
          <c:val>
            <c:numRef>
              <c:f>Dividends!$B$2:$B$106</c:f>
              <c:numCache>
                <c:formatCode>General</c:formatCode>
                <c:ptCount val="105"/>
                <c:pt idx="0">
                  <c:v>0.27477200000000002</c:v>
                </c:pt>
                <c:pt idx="1">
                  <c:v>0.27477200000000002</c:v>
                </c:pt>
                <c:pt idx="2">
                  <c:v>0.28601300000000002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0.15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0.125</c:v>
                </c:pt>
                <c:pt idx="36">
                  <c:v>0.125</c:v>
                </c:pt>
                <c:pt idx="37">
                  <c:v>0.125</c:v>
                </c:pt>
                <c:pt idx="38">
                  <c:v>0.125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  <c:pt idx="43">
                  <c:v>0.4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0.2</c:v>
                </c:pt>
                <c:pt idx="48">
                  <c:v>0.15</c:v>
                </c:pt>
                <c:pt idx="49">
                  <c:v>0.15</c:v>
                </c:pt>
                <c:pt idx="50">
                  <c:v>0.15</c:v>
                </c:pt>
                <c:pt idx="51">
                  <c:v>0.28000000000000003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0.15</c:v>
                </c:pt>
                <c:pt idx="56">
                  <c:v>0.15</c:v>
                </c:pt>
                <c:pt idx="57">
                  <c:v>0.15</c:v>
                </c:pt>
                <c:pt idx="58">
                  <c:v>0.15</c:v>
                </c:pt>
                <c:pt idx="59">
                  <c:v>0.15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0.15</c:v>
                </c:pt>
                <c:pt idx="64">
                  <c:v>0.15</c:v>
                </c:pt>
                <c:pt idx="65">
                  <c:v>0.8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0.33</c:v>
                </c:pt>
                <c:pt idx="70">
                  <c:v>0.15</c:v>
                </c:pt>
                <c:pt idx="71">
                  <c:v>0.15</c:v>
                </c:pt>
                <c:pt idx="72">
                  <c:v>0.15</c:v>
                </c:pt>
                <c:pt idx="73">
                  <c:v>0.3</c:v>
                </c:pt>
                <c:pt idx="74">
                  <c:v>0.15</c:v>
                </c:pt>
                <c:pt idx="75">
                  <c:v>0.15</c:v>
                </c:pt>
                <c:pt idx="76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7-4296-AF50-4F1C46ED9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377743"/>
        <c:axId val="1851383023"/>
      </c:barChart>
      <c:dateAx>
        <c:axId val="1851377743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83023"/>
        <c:crosses val="autoZero"/>
        <c:auto val="1"/>
        <c:lblOffset val="100"/>
        <c:baseTimeUnit val="months"/>
      </c:dateAx>
      <c:valAx>
        <c:axId val="1851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7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581026</xdr:colOff>
      <xdr:row>68</xdr:row>
      <xdr:rowOff>171450</xdr:rowOff>
    </xdr:from>
    <xdr:to>
      <xdr:col>12</xdr:col>
      <xdr:colOff>485775</xdr:colOff>
      <xdr:row>82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D29365-5F82-4227-A024-BBD5DCBDA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552451</xdr:colOff>
      <xdr:row>0</xdr:row>
      <xdr:rowOff>123825</xdr:rowOff>
    </xdr:from>
    <xdr:to>
      <xdr:col>12</xdr:col>
      <xdr:colOff>419101</xdr:colOff>
      <xdr:row>14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CD0601A-744A-4594-B356-A03AC0BE0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542925</xdr:colOff>
      <xdr:row>15</xdr:row>
      <xdr:rowOff>152400</xdr:rowOff>
    </xdr:from>
    <xdr:to>
      <xdr:col>12</xdr:col>
      <xdr:colOff>428625</xdr:colOff>
      <xdr:row>30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A390FA-9C94-4D4D-8783-79C927504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533400</xdr:colOff>
      <xdr:row>31</xdr:row>
      <xdr:rowOff>152400</xdr:rowOff>
    </xdr:from>
    <xdr:to>
      <xdr:col>12</xdr:col>
      <xdr:colOff>419100</xdr:colOff>
      <xdr:row>46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B0256C2-E8AE-4A11-9C2E-E4019F416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561976</xdr:colOff>
      <xdr:row>47</xdr:row>
      <xdr:rowOff>19050</xdr:rowOff>
    </xdr:from>
    <xdr:to>
      <xdr:col>12</xdr:col>
      <xdr:colOff>447676</xdr:colOff>
      <xdr:row>65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85735A6-90AE-4082-A810-C8F0ADF93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581025</xdr:colOff>
      <xdr:row>85</xdr:row>
      <xdr:rowOff>9525</xdr:rowOff>
    </xdr:from>
    <xdr:to>
      <xdr:col>12</xdr:col>
      <xdr:colOff>495300</xdr:colOff>
      <xdr:row>99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9E847F-181A-4BCD-AEAE-8D3DC4A44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2</xdr:row>
      <xdr:rowOff>23812</xdr:rowOff>
    </xdr:from>
    <xdr:to>
      <xdr:col>13</xdr:col>
      <xdr:colOff>600075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DC942A-F548-960B-1DD4-7EF34544E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3C2AC7A-88E8-4427-9862-2FF8371FF113}" autoFormatId="16" applyNumberFormats="0" applyBorderFormats="0" applyFontFormats="0" applyPatternFormats="0" applyAlignmentFormats="0" applyWidthHeightFormats="0">
  <queryTableRefresh nextId="3">
    <queryTableFields count="2">
      <queryTableField id="1" name="Week" tableColumnId="1"/>
      <queryTableField id="2" name="Averag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D3114E-A20C-43AC-9871-41D65D9340B0}" autoFormatId="16" applyNumberFormats="0" applyBorderFormats="0" applyFontFormats="0" applyPatternFormats="0" applyAlignmentFormats="0" applyWidthHeightFormats="0">
  <queryTableRefresh nextId="7" unboundColumnsRight="4">
    <queryTableFields count="6">
      <queryTableField id="1" name="Week" tableColumnId="1"/>
      <queryTableField id="2" name="Average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251">
    <v t="i">0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90</v>
    <v t="i">91</v>
    <v t="i">94</v>
    <v t="i">95</v>
    <v t="i">96</v>
    <v t="i">97</v>
    <v t="i">98</v>
    <v t="i">102</v>
    <v t="i">103</v>
    <v t="i">104</v>
    <v t="i">105</v>
    <v t="i">108</v>
    <v t="i">109</v>
    <v t="i">110</v>
    <v t="i">111</v>
    <v t="i">112</v>
    <v t="i">115</v>
    <v t="i">116</v>
    <v t="i">117</v>
    <v t="i">118</v>
    <v t="i">119</v>
    <v t="i">122</v>
    <v t="i">123</v>
    <v t="i">124</v>
    <v t="i">126</v>
    <v t="i">129</v>
    <v t="i">130</v>
    <v t="i">131</v>
    <v t="i">132</v>
    <v t="i">133</v>
    <v t="i">136</v>
    <v t="i">137</v>
    <v t="i">138</v>
    <v t="i">139</v>
    <v t="i">143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171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217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269</v>
    <v t="i">270</v>
    <v t="i">271</v>
    <v t="i">272</v>
    <v t="i">273</v>
    <v t="i">276</v>
    <v t="i">277</v>
    <v t="i">278</v>
    <v t="i">279</v>
    <v t="i">280</v>
    <v t="i">283</v>
    <v t="i">284</v>
    <v t="i">285</v>
    <v t="i">287</v>
    <v t="i">290</v>
    <v t="i">291</v>
    <v t="i">292</v>
    <v t="i">293</v>
    <v t="i">294</v>
    <v t="i">297</v>
    <v t="i">298</v>
    <v t="i">299</v>
    <v t="i">300</v>
    <v t="i">301</v>
    <v t="i">304</v>
    <v t="i">305</v>
    <v t="i">306</v>
    <v t="i">307</v>
    <v t="i">308</v>
    <v t="i">311</v>
    <v t="i">312</v>
    <v t="i">313</v>
    <v t="i">315</v>
    <v t="i">318</v>
    <v t="i">319</v>
    <v t="i">320</v>
    <v t="i">322</v>
    <v t="i">325</v>
    <v t="i">326</v>
    <v t="i">327</v>
    <v t="i">328</v>
    <v t="i">329</v>
    <v t="i">332</v>
    <v t="i">333</v>
    <v t="i">334</v>
    <v t="i">335</v>
    <v t="i">336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51">
    <v>9.33</v>
    <v>9.2899999999999991</v>
    <v>9.34</v>
    <v>9.39</v>
    <v>9.2799999999999994</v>
    <v>9.35</v>
    <v>9.42</v>
    <v>9.4700000000000006</v>
    <v>9.2899999999999991</v>
    <v>9.5500000000000007</v>
    <v>9.39</v>
    <v>9.1199999999999992</v>
    <v>9.65</v>
    <v>9.61</v>
    <v>9.9</v>
    <v>9.9600000000000009</v>
    <v>9.69</v>
    <v>9.59</v>
    <v>9.5299999999999994</v>
    <v>9.73</v>
    <v>9.92</v>
    <v>9.9499999999999993</v>
    <v>10.17</v>
    <v>10.01</v>
    <v>10</v>
    <v>10.25</v>
    <v>10.29</v>
    <v>10.3</v>
    <v>9.9</v>
    <v>9.7200000000000006</v>
    <v>10.029999999999999</v>
    <v>9.94</v>
    <v>10.15</v>
    <v>9.5399999999999991</v>
    <v>9.58</v>
    <v>9.24</v>
    <v>8.69</v>
    <v>9.5</v>
    <v>9.14</v>
    <v>9.33</v>
    <v>9.7100000000000009</v>
    <v>9.4499999999999993</v>
    <v>9.4</v>
    <v>9.6300000000000008</v>
    <v>9.4700000000000006</v>
    <v>9.65</v>
    <v>9.7799999999999994</v>
    <v>10.06</v>
    <v>10.039999999999999</v>
    <v>10.02</v>
    <v>10.15</v>
    <v>10.01</v>
    <v>10.18</v>
    <v>10.28</v>
    <v>10.17</v>
    <v>10.44</v>
    <v>10.28</v>
    <v>10.28</v>
    <v>10.43</v>
    <v>10.55</v>
    <v>10.6</v>
    <v>10.65</v>
    <v>10.75</v>
    <v>10.8</v>
    <v>10.75</v>
    <v>10.72</v>
    <v>10.48</v>
    <v>10.44</v>
    <v>10.36</v>
    <v>10.31</v>
    <v>10.17</v>
    <v>10.220000000000001</v>
    <v>10.38</v>
    <v>9.98</v>
    <v>10.19</v>
    <v>10.24</v>
    <v>10.1</v>
    <v>10.26</v>
    <v>10.34</v>
    <v>10.6</v>
    <v>10.66</v>
    <v>10.53</v>
    <v>10.43</v>
    <v>10.62</v>
    <v>10.42</v>
    <v>10.43</v>
    <v>10.59</v>
    <v>10.75</v>
    <v>10.73</v>
    <v>10.48</v>
    <v>10.63</v>
    <v>10.8</v>
    <v>10.85</v>
    <v>11.35</v>
    <v>11.77</v>
    <v>11.81</v>
    <v>11.59</v>
    <v>11.68</v>
    <v>11.83</v>
    <v>11.91</v>
    <v>11.78</v>
    <v>11.88</v>
    <v>11.57</v>
    <v>11.24</v>
    <v>11.15</v>
    <v>11.16</v>
    <v>11.31</v>
    <v>11.19</v>
    <v>11.38</v>
    <v>11.26</v>
    <v>11.47</v>
    <v>11.28</v>
    <v>11.08</v>
    <v>10.87</v>
    <v>11.07</v>
    <v>10.82</v>
    <v>10.95</v>
    <v>11.06</v>
    <v>11.21</v>
    <v>11.28</v>
    <v>11.32</v>
    <v>11.14</v>
    <v>11.25</v>
    <v>11.44</v>
    <v>11.44</v>
    <v>11.44</v>
    <v>11.46</v>
    <v>11.58</v>
    <v>11.49</v>
    <v>11.33</v>
    <v>11.74</v>
    <v>11.82</v>
    <v>11.84</v>
    <v>11.91</v>
    <v>11.71</v>
    <v>11.77</v>
    <v>11.72</v>
    <v>11.62</v>
    <v>11.68</v>
    <v>11.74</v>
    <v>11.69</v>
    <v>11.49</v>
    <v>11.42</v>
    <v>11.76</v>
    <v>11.68</v>
    <v>11.68</v>
    <v>11.61</v>
    <v>11.66</v>
    <v>11.74</v>
    <v>11.62</v>
    <v>11.66</v>
    <v>11.73</v>
    <v>11.63</v>
    <v>11.62</v>
    <v>12.01</v>
    <v>12.09</v>
    <v>11.96</v>
    <v>12.27</v>
    <v>12.22</v>
    <v>12.67</v>
    <v>12.7</v>
    <v>11.92</v>
    <v>11.74</v>
    <v>11.5</v>
    <v>11.41</v>
    <v>11.54</v>
    <v>11.65</v>
    <v>11.76</v>
    <v>11.74</v>
    <v>11.92</v>
    <v>11.99</v>
    <v>12.56</v>
    <v>12.43</v>
    <v>12.34</v>
    <v>13.84</v>
    <v>13.26</v>
    <v>13.13</v>
    <v>13.24</v>
    <v>13.06</v>
    <v>13.13</v>
    <v>13.01</v>
    <v>12.79</v>
    <v>13.11</v>
    <v>13.12</v>
    <v>13.21</v>
    <v>13.16</v>
    <v>13.3</v>
    <v>13.45</v>
    <v>13.28</v>
    <v>13.19</v>
    <v>12.88</v>
    <v>13.02</v>
    <v>12.9</v>
    <v>12.41</v>
    <v>12.83</v>
    <v>12.96</v>
    <v>13.17</v>
    <v>13.19</v>
    <v>13.28</v>
    <v>13.16</v>
    <v>12.96</v>
    <v>13.09</v>
    <v>13.14</v>
    <v>13.03</v>
    <v>13.14</v>
    <v>13.08</v>
    <v>13.41</v>
    <v>13.63</v>
    <v>13.76</v>
    <v>13.65</v>
    <v>13.67</v>
    <v>13.31</v>
    <v>13.32</v>
    <v>13.47</v>
    <v>13.46</v>
    <v>13.29</v>
    <v>13.36</v>
    <v>13.31</v>
    <v>13.28</v>
    <v>13.23</v>
    <v>13.12</v>
    <v>13.34</v>
    <v>13.47</v>
    <v>13.8</v>
    <v>13.74</v>
    <v>14.4</v>
    <v>14.2</v>
    <v>14.03</v>
    <v>13.98</v>
    <v>13.84</v>
    <v>13.81</v>
    <v>13.6</v>
    <v>13.28</v>
    <v>13.77</v>
    <v>13.71</v>
    <v>13.56</v>
    <v>13.44</v>
    <v>13.93</v>
    <v>13.82</v>
    <v>14</v>
    <v>13.88</v>
    <v>13.81</v>
    <v>13.73</v>
    <v>13.82</v>
    <v>13.72</v>
    <v>13.8</v>
    <v>13.59</v>
    <v>13.57</v>
    <v>13.85</v>
    <v>14</v>
    <v>14.12</v>
  </a>
  <a r="1" c="251">
    <v>54642783</v>
    <v>62175764</v>
    <v>50191726</v>
    <v>39787792</v>
    <v>58437662</v>
    <v>72562637</v>
    <v>88876827</v>
    <v>87948083</v>
    <v>70518755</v>
    <v>137992574</v>
    <v>154435905</v>
    <v>167499954</v>
    <v>157774904</v>
    <v>136680746</v>
    <v>150644884</v>
    <v>167183809</v>
    <v>210126974</v>
    <v>129994592</v>
    <v>137747632</v>
    <v>91313759</v>
    <v>98583068</v>
    <v>102730930</v>
    <v>124697379</v>
    <v>109103733</v>
    <v>240638631</v>
    <v>102847191</v>
    <v>83674856</v>
    <v>140975582</v>
    <v>229032469</v>
    <v>136868327</v>
    <v>139951868</v>
    <v>135388684</v>
    <v>136908485</v>
    <v>220270980</v>
    <v>177466228</v>
    <v>274938497</v>
    <v>199286778</v>
    <v>199662988</v>
    <v>163535434</v>
    <v>146073701</v>
    <v>189955001</v>
    <v>125469023</v>
    <v>133804943</v>
    <v>129204565</v>
    <v>94138882</v>
    <v>121387081</v>
    <v>158691527</v>
    <v>87031042</v>
    <v>88682432</v>
    <v>77051524</v>
    <v>141980313</v>
    <v>136406235</v>
    <v>126532486</v>
    <v>82228655</v>
    <v>105766259</v>
    <v>131814035</v>
    <v>116936644</v>
    <v>107173416</v>
    <v>76350701</v>
    <v>102035764</v>
    <v>83671012</v>
    <v>84453089</v>
    <v>71096528</v>
    <v>64913005</v>
    <v>60195734</v>
    <v>61063828</v>
    <v>89090498</v>
    <v>94081143</v>
    <v>80519024</v>
    <v>89066847</v>
    <v>102335584</v>
    <v>101688883</v>
    <v>152191621</v>
    <v>170340783</v>
    <v>121584328</v>
    <v>123191229</v>
    <v>133269444</v>
    <v>105916694</v>
    <v>63638928</v>
    <v>87955501</v>
    <v>93094876</v>
    <v>76393291</v>
    <v>90106172</v>
    <v>75195179</v>
    <v>100969375</v>
    <v>82770168</v>
    <v>116743402</v>
    <v>77576511</v>
    <v>77244413</v>
    <v>91927326</v>
    <v>88416356</v>
    <v>182008244</v>
    <v>88472231</v>
    <v>140150738</v>
    <v>122331588</v>
    <v>60311463</v>
    <v>73842100</v>
    <v>74190215</v>
    <v>63886882</v>
    <v>67263023</v>
    <v>65340737</v>
    <v>62098074</v>
    <v>65101902</v>
    <v>107978145</v>
    <v>70345257</v>
    <v>68812553</v>
    <v>65515630</v>
    <v>79403755</v>
    <v>76163207</v>
    <v>63557796</v>
    <v>52312257</v>
    <v>54173647</v>
    <v>58371483</v>
    <v>79866858</v>
    <v>101090884</v>
    <v>73541489</v>
    <v>56696828</v>
    <v>58864252</v>
    <v>59519843</v>
    <v>71774972</v>
    <v>48465317</v>
    <v>84332966</v>
    <v>64021039</v>
    <v>63823345</v>
    <v>52469244</v>
    <v>46141355</v>
    <v>37113805</v>
    <v>58020177</v>
    <v>46469853</v>
    <v>51779301</v>
    <v>58538704</v>
    <v>45038754</v>
    <v>48613273</v>
    <v>40381477</v>
    <v>47723668</v>
    <v>44069734</v>
    <v>57704182</v>
    <v>47728660</v>
    <v>33136650</v>
    <v>47547831</v>
    <v>39734522</v>
    <v>41262743</v>
    <v>47021328</v>
    <v>64196118</v>
    <v>50100809</v>
    <v>47942431</v>
    <v>58064970</v>
    <v>68585945</v>
    <v>55040063</v>
    <v>71676341</v>
    <v>58432710</v>
    <v>55667552</v>
    <v>60193780</v>
    <v>67656337</v>
    <v>117681848</v>
    <v>83325012</v>
    <v>70765048</v>
    <v>73578427</v>
    <v>74530532</v>
    <v>100778558</v>
    <v>90544937</v>
    <v>154390154</v>
    <v>78469653</v>
    <v>70320483</v>
    <v>84595402</v>
    <v>73939384</v>
    <v>89117946</v>
    <v>88960726</v>
    <v>108701202</v>
    <v>107633522</v>
    <v>77878936</v>
    <v>297153158</v>
    <v>415062173</v>
    <v>479840312</v>
    <v>298366862</v>
    <v>140859004</v>
    <v>96738451</v>
    <v>127512240</v>
    <v>80766301</v>
    <v>68861988</v>
    <v>80419403</v>
    <v>70360611</v>
    <v>79134307</v>
    <v>82291049</v>
    <v>80011318</v>
    <v>62051157</v>
    <v>79742405</v>
    <v>61840461</v>
    <v>71481613</v>
    <v>67932422</v>
    <v>73404381</v>
    <v>70215400</v>
    <v>49619260</v>
    <v>95861863</v>
    <v>74048860</v>
    <v>52936240</v>
    <v>52884970</v>
    <v>44942203</v>
    <v>29536180</v>
    <v>51593955</v>
    <v>57641703</v>
    <v>45364666</v>
    <v>47554803</v>
    <v>54099362</v>
    <v>45580830</v>
    <v>33349986</v>
    <v>72210701</v>
    <v>59012304</v>
    <v>48337280</v>
    <v>53577255</v>
    <v>69408875</v>
    <v>58320635</v>
    <v>52604828</v>
    <v>61640571</v>
    <v>31106109</v>
    <v>25440833</v>
    <v>14227582</v>
    <v>22471423</v>
    <v>24398306</v>
    <v>23002807</v>
    <v>26302260</v>
    <v>46366861</v>
    <v>50135246</v>
    <v>84534703</v>
    <v>50608950</v>
    <v>154276839</v>
    <v>68436178</v>
    <v>53443964</v>
    <v>58867535</v>
    <v>65318552</v>
    <v>44241477</v>
    <v>60750836</v>
    <v>67018098</v>
    <v>58160147</v>
    <v>38170250</v>
    <v>39702051</v>
    <v>59170963</v>
    <v>100003667</v>
    <v>48751764</v>
    <v>84803904</v>
    <v>66996343</v>
    <v>54218120</v>
    <v>76637980</v>
    <v>70488674</v>
    <v>79719943</v>
    <v>55588190</v>
    <v>59777960</v>
    <v>80827666</v>
    <v>129595007</v>
    <v>133257187</v>
    <v>87400202</v>
  </a>
</arrayData>
</file>

<file path=xl/richData/rdrichvalue.xml><?xml version="1.0" encoding="utf-8"?>
<rvData xmlns="http://schemas.microsoft.com/office/spreadsheetml/2017/richdata" count="700">
  <rv s="0">
    <fb>45702</fb>
    <v>0</v>
  </rv>
  <rv s="0">
    <fb>9.33</fb>
    <v>1</v>
  </rv>
  <rv s="0">
    <fb>54642783</fb>
    <v>2</v>
  </rv>
  <rv s="0">
    <fb>45706</fb>
    <v>0</v>
  </rv>
  <rv s="0">
    <fb>9.2899999999999991</fb>
    <v>1</v>
  </rv>
  <rv s="0">
    <fb>62175764</fb>
    <v>2</v>
  </rv>
  <rv s="0">
    <fb>45707</fb>
    <v>0</v>
  </rv>
  <rv s="0">
    <fb>9.34</fb>
    <v>1</v>
  </rv>
  <rv s="0">
    <fb>50191726</fb>
    <v>2</v>
  </rv>
  <rv s="0">
    <fb>45708</fb>
    <v>0</v>
  </rv>
  <rv s="0">
    <fb>9.39</fb>
    <v>1</v>
  </rv>
  <rv s="0">
    <fb>39787792</fb>
    <v>2</v>
  </rv>
  <rv s="0">
    <fb>45709</fb>
    <v>0</v>
  </rv>
  <rv s="0">
    <fb>9.2799999999999994</fb>
    <v>1</v>
  </rv>
  <rv s="0">
    <fb>58437662</fb>
    <v>2</v>
  </rv>
  <rv s="0">
    <fb>45712</fb>
    <v>0</v>
  </rv>
  <rv s="0">
    <fb>9.35</fb>
    <v>1</v>
  </rv>
  <rv s="0">
    <fb>72562637</fb>
    <v>2</v>
  </rv>
  <rv s="0">
    <fb>45713</fb>
    <v>0</v>
  </rv>
  <rv s="0">
    <fb>9.42</fb>
    <v>1</v>
  </rv>
  <rv s="0">
    <fb>88876827</fb>
    <v>2</v>
  </rv>
  <rv s="0">
    <fb>45714</fb>
    <v>0</v>
  </rv>
  <rv s="0">
    <fb>9.4700000000000006</fb>
    <v>1</v>
  </rv>
  <rv s="0">
    <fb>87948083</fb>
    <v>2</v>
  </rv>
  <rv s="0">
    <fb>45715</fb>
    <v>0</v>
  </rv>
  <rv s="0">
    <fb>70518755</fb>
    <v>2</v>
  </rv>
  <rv s="0">
    <fb>45716</fb>
    <v>0</v>
  </rv>
  <rv s="0">
    <fb>9.5500000000000007</fb>
    <v>1</v>
  </rv>
  <rv s="0">
    <fb>137992574</fb>
    <v>2</v>
  </rv>
  <rv s="0">
    <fb>45719</fb>
    <v>0</v>
  </rv>
  <rv s="0">
    <fb>154435905</fb>
    <v>2</v>
  </rv>
  <rv s="0">
    <fb>45720</fb>
    <v>0</v>
  </rv>
  <rv s="0">
    <fb>9.1199999999999992</fb>
    <v>1</v>
  </rv>
  <rv s="0">
    <fb>167499954</fb>
    <v>2</v>
  </rv>
  <rv s="0">
    <fb>45721</fb>
    <v>0</v>
  </rv>
  <rv s="0">
    <fb>9.65</fb>
    <v>1</v>
  </rv>
  <rv s="0">
    <fb>157774904</fb>
    <v>2</v>
  </rv>
  <rv s="0">
    <fb>45722</fb>
    <v>0</v>
  </rv>
  <rv s="0">
    <fb>9.61</fb>
    <v>1</v>
  </rv>
  <rv s="0">
    <fb>136680746</fb>
    <v>2</v>
  </rv>
  <rv s="0">
    <fb>45723</fb>
    <v>0</v>
  </rv>
  <rv s="0">
    <fb>9.9</fb>
    <v>1</v>
  </rv>
  <rv s="0">
    <fb>150644884</fb>
    <v>2</v>
  </rv>
  <rv s="0">
    <fb>45726</fb>
    <v>0</v>
  </rv>
  <rv s="0">
    <fb>9.9600000000000009</fb>
    <v>1</v>
  </rv>
  <rv s="0">
    <fb>167183809</fb>
    <v>2</v>
  </rv>
  <rv s="0">
    <fb>45727</fb>
    <v>0</v>
  </rv>
  <rv s="0">
    <fb>9.69</fb>
    <v>1</v>
  </rv>
  <rv s="0">
    <fb>210126974</fb>
    <v>2</v>
  </rv>
  <rv s="0">
    <fb>45728</fb>
    <v>0</v>
  </rv>
  <rv s="0">
    <fb>9.59</fb>
    <v>1</v>
  </rv>
  <rv s="0">
    <fb>129994592</fb>
    <v>2</v>
  </rv>
  <rv s="0">
    <fb>45729</fb>
    <v>0</v>
  </rv>
  <rv s="0">
    <fb>9.5299999999999994</fb>
    <v>1</v>
  </rv>
  <rv s="0">
    <fb>137747632</fb>
    <v>2</v>
  </rv>
  <rv s="0">
    <fb>45730</fb>
    <v>0</v>
  </rv>
  <rv s="0">
    <fb>9.73</fb>
    <v>1</v>
  </rv>
  <rv s="0">
    <fb>91313759</fb>
    <v>2</v>
  </rv>
  <rv s="0">
    <fb>45733</fb>
    <v>0</v>
  </rv>
  <rv s="0">
    <fb>9.92</fb>
    <v>1</v>
  </rv>
  <rv s="0">
    <fb>98583068</fb>
    <v>2</v>
  </rv>
  <rv s="0">
    <fb>45734</fb>
    <v>0</v>
  </rv>
  <rv s="0">
    <fb>9.9499999999999993</fb>
    <v>1</v>
  </rv>
  <rv s="0">
    <fb>102730930</fb>
    <v>2</v>
  </rv>
  <rv s="0">
    <fb>45735</fb>
    <v>0</v>
  </rv>
  <rv s="0">
    <fb>10.17</fb>
    <v>1</v>
  </rv>
  <rv s="0">
    <fb>124697379</fb>
    <v>2</v>
  </rv>
  <rv s="0">
    <fb>45736</fb>
    <v>0</v>
  </rv>
  <rv s="0">
    <fb>10.01</fb>
    <v>1</v>
  </rv>
  <rv s="0">
    <fb>109103733</fb>
    <v>2</v>
  </rv>
  <rv s="0">
    <fb>45737</fb>
    <v>0</v>
  </rv>
  <rv s="0">
    <fb>10</fb>
    <v>1</v>
  </rv>
  <rv s="0">
    <fb>240638631</fb>
    <v>2</v>
  </rv>
  <rv s="0">
    <fb>45740</fb>
    <v>0</v>
  </rv>
  <rv s="0">
    <fb>10.25</fb>
    <v>1</v>
  </rv>
  <rv s="0">
    <fb>102847191</fb>
    <v>2</v>
  </rv>
  <rv s="0">
    <fb>45741</fb>
    <v>0</v>
  </rv>
  <rv s="0">
    <fb>10.29</fb>
    <v>1</v>
  </rv>
  <rv s="0">
    <fb>83674856</fb>
    <v>2</v>
  </rv>
  <rv s="0">
    <fb>45742</fb>
    <v>0</v>
  </rv>
  <rv s="0">
    <fb>10.3</fb>
    <v>1</v>
  </rv>
  <rv s="0">
    <fb>140975582</fb>
    <v>2</v>
  </rv>
  <rv s="0">
    <fb>45743</fb>
    <v>0</v>
  </rv>
  <rv s="0">
    <fb>229032469</fb>
    <v>2</v>
  </rv>
  <rv s="0">
    <fb>45744</fb>
    <v>0</v>
  </rv>
  <rv s="0">
    <fb>9.7200000000000006</fb>
    <v>1</v>
  </rv>
  <rv s="0">
    <fb>136868327</fb>
    <v>2</v>
  </rv>
  <rv s="0">
    <fb>45747</fb>
    <v>0</v>
  </rv>
  <rv s="0">
    <fb>10.029999999999999</fb>
    <v>1</v>
  </rv>
  <rv s="0">
    <fb>139951868</fb>
    <v>2</v>
  </rv>
  <rv s="0">
    <fb>45748</fb>
    <v>0</v>
  </rv>
  <rv s="0">
    <fb>9.94</fb>
    <v>1</v>
  </rv>
  <rv s="0">
    <fb>135388684</fb>
    <v>2</v>
  </rv>
  <rv s="0">
    <fb>45749</fb>
    <v>0</v>
  </rv>
  <rv s="0">
    <fb>10.15</fb>
    <v>1</v>
  </rv>
  <rv s="0">
    <fb>136908485</fb>
    <v>2</v>
  </rv>
  <rv s="0">
    <fb>45750</fb>
    <v>0</v>
  </rv>
  <rv s="0">
    <fb>9.5399999999999991</fb>
    <v>1</v>
  </rv>
  <rv s="0">
    <fb>220270980</fb>
    <v>2</v>
  </rv>
  <rv s="0">
    <fb>45751</fb>
    <v>0</v>
  </rv>
  <rv s="0">
    <fb>9.58</fb>
    <v>1</v>
  </rv>
  <rv s="0">
    <fb>177466228</fb>
    <v>2</v>
  </rv>
  <rv s="0">
    <fb>45754</fb>
    <v>0</v>
  </rv>
  <rv s="0">
    <fb>9.24</fb>
    <v>1</v>
  </rv>
  <rv s="0">
    <fb>274938497</fb>
    <v>2</v>
  </rv>
  <rv s="0">
    <fb>45755</fb>
    <v>0</v>
  </rv>
  <rv s="0">
    <fb>8.69</fb>
    <v>1</v>
  </rv>
  <rv s="0">
    <fb>199286778</fb>
    <v>2</v>
  </rv>
  <rv s="0">
    <fb>45756</fb>
    <v>0</v>
  </rv>
  <rv s="0">
    <fb>9.5</fb>
    <v>1</v>
  </rv>
  <rv s="0">
    <fb>199662988</fb>
    <v>2</v>
  </rv>
  <rv s="0">
    <fb>45757</fb>
    <v>0</v>
  </rv>
  <rv s="0">
    <fb>9.14</fb>
    <v>1</v>
  </rv>
  <rv s="0">
    <fb>163535434</fb>
    <v>2</v>
  </rv>
  <rv s="0">
    <fb>45758</fb>
    <v>0</v>
  </rv>
  <rv s="0">
    <fb>146073701</fb>
    <v>2</v>
  </rv>
  <rv s="0">
    <fb>45761</fb>
    <v>0</v>
  </rv>
  <rv s="0">
    <fb>9.7100000000000009</fb>
    <v>1</v>
  </rv>
  <rv s="0">
    <fb>189955001</fb>
    <v>2</v>
  </rv>
  <rv s="0">
    <fb>45762</fb>
    <v>0</v>
  </rv>
  <rv s="0">
    <fb>9.4499999999999993</fb>
    <v>1</v>
  </rv>
  <rv s="0">
    <fb>125469023</fb>
    <v>2</v>
  </rv>
  <rv s="0">
    <fb>45763</fb>
    <v>0</v>
  </rv>
  <rv s="0">
    <fb>9.4</fb>
    <v>1</v>
  </rv>
  <rv s="0">
    <fb>133804943</fb>
    <v>2</v>
  </rv>
  <rv s="0">
    <fb>45764</fb>
    <v>0</v>
  </rv>
  <rv s="0">
    <fb>9.6300000000000008</fb>
    <v>1</v>
  </rv>
  <rv s="0">
    <fb>129204565</fb>
    <v>2</v>
  </rv>
  <rv s="0">
    <fb>45768</fb>
    <v>0</v>
  </rv>
  <rv s="0">
    <fb>94138882</fb>
    <v>2</v>
  </rv>
  <rv s="0">
    <fb>45769</fb>
    <v>0</v>
  </rv>
  <rv s="0">
    <fb>121387081</fb>
    <v>2</v>
  </rv>
  <rv s="0">
    <fb>45770</fb>
    <v>0</v>
  </rv>
  <rv s="0">
    <fb>9.7799999999999994</fb>
    <v>1</v>
  </rv>
  <rv s="0">
    <fb>158691527</fb>
    <v>2</v>
  </rv>
  <rv s="0">
    <fb>45771</fb>
    <v>0</v>
  </rv>
  <rv s="0">
    <fb>10.06</fb>
    <v>1</v>
  </rv>
  <rv s="0">
    <fb>87031042</fb>
    <v>2</v>
  </rv>
  <rv s="0">
    <fb>45772</fb>
    <v>0</v>
  </rv>
  <rv s="0">
    <fb>10.039999999999999</fb>
    <v>1</v>
  </rv>
  <rv s="0">
    <fb>88682432</fb>
    <v>2</v>
  </rv>
  <rv s="0">
    <fb>45775</fb>
    <v>0</v>
  </rv>
  <rv s="0">
    <fb>10.02</fb>
    <v>1</v>
  </rv>
  <rv s="0">
    <fb>77051524</fb>
    <v>2</v>
  </rv>
  <rv s="0">
    <fb>45776</fb>
    <v>0</v>
  </rv>
  <rv s="0">
    <fb>141980313</fb>
    <v>2</v>
  </rv>
  <rv s="0">
    <fb>45777</fb>
    <v>0</v>
  </rv>
  <rv s="0">
    <fb>136406235</fb>
    <v>2</v>
  </rv>
  <rv s="0">
    <fb>45778</fb>
    <v>0</v>
  </rv>
  <rv s="0">
    <fb>10.18</fb>
    <v>1</v>
  </rv>
  <rv s="0">
    <fb>126532486</fb>
    <v>2</v>
  </rv>
  <rv s="0">
    <fb>45779</fb>
    <v>0</v>
  </rv>
  <rv s="0">
    <fb>10.28</fb>
    <v>1</v>
  </rv>
  <rv s="0">
    <fb>82228655</fb>
    <v>2</v>
  </rv>
  <rv s="0">
    <fb>45782</fb>
    <v>0</v>
  </rv>
  <rv s="0">
    <fb>105766259</fb>
    <v>2</v>
  </rv>
  <rv s="0">
    <fb>45783</fb>
    <v>0</v>
  </rv>
  <rv s="0">
    <fb>10.44</fb>
    <v>1</v>
  </rv>
  <rv s="0">
    <fb>131814035</fb>
    <v>2</v>
  </rv>
  <rv s="0">
    <fb>45784</fb>
    <v>0</v>
  </rv>
  <rv s="0">
    <fb>116936644</fb>
    <v>2</v>
  </rv>
  <rv s="0">
    <fb>45785</fb>
    <v>0</v>
  </rv>
  <rv s="0">
    <fb>107173416</fb>
    <v>2</v>
  </rv>
  <rv s="0">
    <fb>45786</fb>
    <v>0</v>
  </rv>
  <rv s="0">
    <fb>10.43</fb>
    <v>1</v>
  </rv>
  <rv s="0">
    <fb>76350701</fb>
    <v>2</v>
  </rv>
  <rv s="0">
    <fb>45789</fb>
    <v>0</v>
  </rv>
  <rv s="0">
    <fb>10.55</fb>
    <v>1</v>
  </rv>
  <rv s="0">
    <fb>102035764</fb>
    <v>2</v>
  </rv>
  <rv s="0">
    <fb>45790</fb>
    <v>0</v>
  </rv>
  <rv s="0">
    <fb>10.6</fb>
    <v>1</v>
  </rv>
  <rv s="0">
    <fb>83671012</fb>
    <v>2</v>
  </rv>
  <rv s="0">
    <fb>45791</fb>
    <v>0</v>
  </rv>
  <rv s="0">
    <fb>10.65</fb>
    <v>1</v>
  </rv>
  <rv s="0">
    <fb>84453089</fb>
    <v>2</v>
  </rv>
  <rv s="0">
    <fb>45792</fb>
    <v>0</v>
  </rv>
  <rv s="0">
    <fb>10.75</fb>
    <v>1</v>
  </rv>
  <rv s="0">
    <fb>71096528</fb>
    <v>2</v>
  </rv>
  <rv s="0">
    <fb>45793</fb>
    <v>0</v>
  </rv>
  <rv s="0">
    <fb>10.8</fb>
    <v>1</v>
  </rv>
  <rv s="0">
    <fb>64913005</fb>
    <v>2</v>
  </rv>
  <rv s="0">
    <fb>45796</fb>
    <v>0</v>
  </rv>
  <rv s="0">
    <fb>60195734</fb>
    <v>2</v>
  </rv>
  <rv s="0">
    <fb>45797</fb>
    <v>0</v>
  </rv>
  <rv s="0">
    <fb>10.72</fb>
    <v>1</v>
  </rv>
  <rv s="0">
    <fb>61063828</fb>
    <v>2</v>
  </rv>
  <rv s="0">
    <fb>45798</fb>
    <v>0</v>
  </rv>
  <rv s="0">
    <fb>10.48</fb>
    <v>1</v>
  </rv>
  <rv s="0">
    <fb>89090498</fb>
    <v>2</v>
  </rv>
  <rv s="0">
    <fb>45799</fb>
    <v>0</v>
  </rv>
  <rv s="0">
    <fb>94081143</fb>
    <v>2</v>
  </rv>
  <rv s="0">
    <fb>45800</fb>
    <v>0</v>
  </rv>
  <rv s="0">
    <fb>10.36</fb>
    <v>1</v>
  </rv>
  <rv s="0">
    <fb>80519024</fb>
    <v>2</v>
  </rv>
  <rv s="0">
    <fb>45804</fb>
    <v>0</v>
  </rv>
  <rv s="0">
    <fb>10.31</fb>
    <v>1</v>
  </rv>
  <rv s="0">
    <fb>89066847</fb>
    <v>2</v>
  </rv>
  <rv s="0">
    <fb>45805</fb>
    <v>0</v>
  </rv>
  <rv s="0">
    <fb>102335584</fb>
    <v>2</v>
  </rv>
  <rv s="0">
    <fb>45806</fb>
    <v>0</v>
  </rv>
  <rv s="0">
    <fb>10.220000000000001</fb>
    <v>1</v>
  </rv>
  <rv s="0">
    <fb>101688883</fb>
    <v>2</v>
  </rv>
  <rv s="0">
    <fb>45807</fb>
    <v>0</v>
  </rv>
  <rv s="0">
    <fb>10.38</fb>
    <v>1</v>
  </rv>
  <rv s="0">
    <fb>152191621</fb>
    <v>2</v>
  </rv>
  <rv s="0">
    <fb>45810</fb>
    <v>0</v>
  </rv>
  <rv s="0">
    <fb>9.98</fb>
    <v>1</v>
  </rv>
  <rv s="0">
    <fb>170340783</fb>
    <v>2</v>
  </rv>
  <rv s="0">
    <fb>45811</fb>
    <v>0</v>
  </rv>
  <rv s="0">
    <fb>10.19</fb>
    <v>1</v>
  </rv>
  <rv s="0">
    <fb>121584328</fb>
    <v>2</v>
  </rv>
  <rv s="0">
    <fb>45812</fb>
    <v>0</v>
  </rv>
  <rv s="0">
    <fb>10.24</fb>
    <v>1</v>
  </rv>
  <rv s="0">
    <fb>123191229</fb>
    <v>2</v>
  </rv>
  <rv s="0">
    <fb>45813</fb>
    <v>0</v>
  </rv>
  <rv s="0">
    <fb>10.1</fb>
    <v>1</v>
  </rv>
  <rv s="0">
    <fb>133269444</fb>
    <v>2</v>
  </rv>
  <rv s="0">
    <fb>45814</fb>
    <v>0</v>
  </rv>
  <rv s="0">
    <fb>10.26</fb>
    <v>1</v>
  </rv>
  <rv s="0">
    <fb>105916694</fb>
    <v>2</v>
  </rv>
  <rv s="0">
    <fb>45817</fb>
    <v>0</v>
  </rv>
  <rv s="0">
    <fb>10.34</fb>
    <v>1</v>
  </rv>
  <rv s="0">
    <fb>63638928</fb>
    <v>2</v>
  </rv>
  <rv s="0">
    <fb>45818</fb>
    <v>0</v>
  </rv>
  <rv s="0">
    <fb>87955501</fb>
    <v>2</v>
  </rv>
  <rv s="0">
    <fb>45819</fb>
    <v>0</v>
  </rv>
  <rv s="0">
    <fb>10.66</fb>
    <v>1</v>
  </rv>
  <rv s="0">
    <fb>93094876</fb>
    <v>2</v>
  </rv>
  <rv s="0">
    <fb>45820</fb>
    <v>0</v>
  </rv>
  <rv s="0">
    <fb>10.53</fb>
    <v>1</v>
  </rv>
  <rv s="0">
    <fb>76393291</fb>
    <v>2</v>
  </rv>
  <rv s="0">
    <fb>45821</fb>
    <v>0</v>
  </rv>
  <rv s="0">
    <fb>90106172</fb>
    <v>2</v>
  </rv>
  <rv s="0">
    <fb>45824</fb>
    <v>0</v>
  </rv>
  <rv s="0">
    <fb>10.62</fb>
    <v>1</v>
  </rv>
  <rv s="0">
    <fb>75195179</fb>
    <v>2</v>
  </rv>
  <rv s="0">
    <fb>45825</fb>
    <v>0</v>
  </rv>
  <rv s="0">
    <fb>10.42</fb>
    <v>1</v>
  </rv>
  <rv s="0">
    <fb>100969375</fb>
    <v>2</v>
  </rv>
  <rv s="0">
    <fb>45826</fb>
    <v>0</v>
  </rv>
  <rv s="0">
    <fb>82770168</fb>
    <v>2</v>
  </rv>
  <rv s="0">
    <fb>45828</fb>
    <v>0</v>
  </rv>
  <rv s="0">
    <fb>10.59</fb>
    <v>1</v>
  </rv>
  <rv s="0">
    <fb>116743402</fb>
    <v>2</v>
  </rv>
  <rv s="0">
    <fb>45831</fb>
    <v>0</v>
  </rv>
  <rv s="0">
    <fb>77576511</fb>
    <v>2</v>
  </rv>
  <rv s="0">
    <fb>45832</fb>
    <v>0</v>
  </rv>
  <rv s="0">
    <fb>10.73</fb>
    <v>1</v>
  </rv>
  <rv s="0">
    <fb>77244413</fb>
    <v>2</v>
  </rv>
  <rv s="0">
    <fb>45833</fb>
    <v>0</v>
  </rv>
  <rv s="0">
    <fb>91927326</fb>
    <v>2</v>
  </rv>
  <rv s="0">
    <fb>45834</fb>
    <v>0</v>
  </rv>
  <rv s="0">
    <fb>10.63</fb>
    <v>1</v>
  </rv>
  <rv s="0">
    <fb>88416356</fb>
    <v>2</v>
  </rv>
  <rv s="0">
    <fb>45835</fb>
    <v>0</v>
  </rv>
  <rv s="0">
    <fb>182008244</fb>
    <v>2</v>
  </rv>
  <rv s="0">
    <fb>45838</fb>
    <v>0</v>
  </rv>
  <rv s="0">
    <fb>10.85</fb>
    <v>1</v>
  </rv>
  <rv s="0">
    <fb>88472231</fb>
    <v>2</v>
  </rv>
  <rv s="0">
    <fb>45839</fb>
    <v>0</v>
  </rv>
  <rv s="0">
    <fb>11.35</fb>
    <v>1</v>
  </rv>
  <rv s="0">
    <fb>140150738</fb>
    <v>2</v>
  </rv>
  <rv s="0">
    <fb>45840</fb>
    <v>0</v>
  </rv>
  <rv s="0">
    <fb>11.77</fb>
    <v>1</v>
  </rv>
  <rv s="0">
    <fb>122331588</fb>
    <v>2</v>
  </rv>
  <rv s="0">
    <fb>45841</fb>
    <v>0</v>
  </rv>
  <rv s="0">
    <fb>11.81</fb>
    <v>1</v>
  </rv>
  <rv s="0">
    <fb>60311463</fb>
    <v>2</v>
  </rv>
  <rv s="0">
    <fb>45845</fb>
    <v>0</v>
  </rv>
  <rv s="0">
    <fb>11.59</fb>
    <v>1</v>
  </rv>
  <rv s="0">
    <fb>73842100</fb>
    <v>2</v>
  </rv>
  <rv s="0">
    <fb>45846</fb>
    <v>0</v>
  </rv>
  <rv s="0">
    <fb>11.68</fb>
    <v>1</v>
  </rv>
  <rv s="0">
    <fb>74190215</fb>
    <v>2</v>
  </rv>
  <rv s="0">
    <fb>45847</fb>
    <v>0</v>
  </rv>
  <rv s="0">
    <fb>11.83</fb>
    <v>1</v>
  </rv>
  <rv s="0">
    <fb>63886882</fb>
    <v>2</v>
  </rv>
  <rv s="0">
    <fb>45848</fb>
    <v>0</v>
  </rv>
  <rv s="0">
    <fb>11.91</fb>
    <v>1</v>
  </rv>
  <rv s="0">
    <fb>67263023</fb>
    <v>2</v>
  </rv>
  <rv s="0">
    <fb>45849</fb>
    <v>0</v>
  </rv>
  <rv s="0">
    <fb>11.78</fb>
    <v>1</v>
  </rv>
  <rv s="0">
    <fb>65340737</fb>
    <v>2</v>
  </rv>
  <rv s="0">
    <fb>45852</fb>
    <v>0</v>
  </rv>
  <rv s="0">
    <fb>11.88</fb>
    <v>1</v>
  </rv>
  <rv s="0">
    <fb>62098074</fb>
    <v>2</v>
  </rv>
  <rv s="0">
    <fb>45853</fb>
    <v>0</v>
  </rv>
  <rv s="0">
    <fb>11.57</fb>
    <v>1</v>
  </rv>
  <rv s="0">
    <fb>65101902</fb>
    <v>2</v>
  </rv>
  <rv s="0">
    <fb>45854</fb>
    <v>0</v>
  </rv>
  <rv s="0">
    <fb>11.24</fb>
    <v>1</v>
  </rv>
  <rv s="0">
    <fb>107978145</fb>
    <v>2</v>
  </rv>
  <rv s="0">
    <fb>45855</fb>
    <v>0</v>
  </rv>
  <rv s="0">
    <fb>11.15</fb>
    <v>1</v>
  </rv>
  <rv s="0">
    <fb>70345257</fb>
    <v>2</v>
  </rv>
  <rv s="0">
    <fb>45856</fb>
    <v>0</v>
  </rv>
  <rv s="0">
    <fb>11.16</fb>
    <v>1</v>
  </rv>
  <rv s="0">
    <fb>68812553</fb>
    <v>2</v>
  </rv>
  <rv s="0">
    <fb>45859</fb>
    <v>0</v>
  </rv>
  <rv s="0">
    <fb>11.31</fb>
    <v>1</v>
  </rv>
  <rv s="0">
    <fb>65515630</fb>
    <v>2</v>
  </rv>
  <rv s="0">
    <fb>45860</fb>
    <v>0</v>
  </rv>
  <rv s="0">
    <fb>11.19</fb>
    <v>1</v>
  </rv>
  <rv s="0">
    <fb>79403755</fb>
    <v>2</v>
  </rv>
  <rv s="0">
    <fb>45861</fb>
    <v>0</v>
  </rv>
  <rv s="0">
    <fb>11.38</fb>
    <v>1</v>
  </rv>
  <rv s="0">
    <fb>76163207</fb>
    <v>2</v>
  </rv>
  <rv s="0">
    <fb>45862</fb>
    <v>0</v>
  </rv>
  <rv s="0">
    <fb>11.26</fb>
    <v>1</v>
  </rv>
  <rv s="0">
    <fb>63557796</fb>
    <v>2</v>
  </rv>
  <rv s="0">
    <fb>45863</fb>
    <v>0</v>
  </rv>
  <rv s="0">
    <fb>11.47</fb>
    <v>1</v>
  </rv>
  <rv s="0">
    <fb>52312257</fb>
    <v>2</v>
  </rv>
  <rv s="0">
    <fb>45866</fb>
    <v>0</v>
  </rv>
  <rv s="0">
    <fb>11.28</fb>
    <v>1</v>
  </rv>
  <rv s="0">
    <fb>54173647</fb>
    <v>2</v>
  </rv>
  <rv s="0">
    <fb>45867</fb>
    <v>0</v>
  </rv>
  <rv s="0">
    <fb>11.08</fb>
    <v>1</v>
  </rv>
  <rv s="0">
    <fb>58371483</fb>
    <v>2</v>
  </rv>
  <rv s="0">
    <fb>45868</fb>
    <v>0</v>
  </rv>
  <rv s="0">
    <fb>10.87</fb>
    <v>1</v>
  </rv>
  <rv s="0">
    <fb>79866858</fb>
    <v>2</v>
  </rv>
  <rv s="0">
    <fb>45869</fb>
    <v>0</v>
  </rv>
  <rv s="0">
    <fb>11.07</fb>
    <v>1</v>
  </rv>
  <rv s="0">
    <fb>101090884</fb>
    <v>2</v>
  </rv>
  <rv s="0">
    <fb>45870</fb>
    <v>0</v>
  </rv>
  <rv s="0">
    <fb>10.82</fb>
    <v>1</v>
  </rv>
  <rv s="0">
    <fb>73541489</fb>
    <v>2</v>
  </rv>
  <rv s="0">
    <fb>45873</fb>
    <v>0</v>
  </rv>
  <rv s="0">
    <fb>10.95</fb>
    <v>1</v>
  </rv>
  <rv s="0">
    <fb>56696828</fb>
    <v>2</v>
  </rv>
  <rv s="0">
    <fb>45874</fb>
    <v>0</v>
  </rv>
  <rv s="0">
    <fb>11.06</fb>
    <v>1</v>
  </rv>
  <rv s="0">
    <fb>58864252</fb>
    <v>2</v>
  </rv>
  <rv s="0">
    <fb>45875</fb>
    <v>0</v>
  </rv>
  <rv s="0">
    <fb>11.21</fb>
    <v>1</v>
  </rv>
  <rv s="0">
    <fb>59519843</fb>
    <v>2</v>
  </rv>
  <rv s="0">
    <fb>45876</fb>
    <v>0</v>
  </rv>
  <rv s="0">
    <fb>71774972</fb>
    <v>2</v>
  </rv>
  <rv s="0">
    <fb>45877</fb>
    <v>0</v>
  </rv>
  <rv s="0">
    <fb>11.32</fb>
    <v>1</v>
  </rv>
  <rv s="0">
    <fb>48465317</fb>
    <v>2</v>
  </rv>
  <rv s="0">
    <fb>45880</fb>
    <v>0</v>
  </rv>
  <rv s="0">
    <fb>11.14</fb>
    <v>1</v>
  </rv>
  <rv s="0">
    <fb>84332966</fb>
    <v>2</v>
  </rv>
  <rv s="0">
    <fb>45881</fb>
    <v>0</v>
  </rv>
  <rv s="0">
    <fb>11.25</fb>
    <v>1</v>
  </rv>
  <rv s="0">
    <fb>64021039</fb>
    <v>2</v>
  </rv>
  <rv s="0">
    <fb>45882</fb>
    <v>0</v>
  </rv>
  <rv s="0">
    <fb>11.44</fb>
    <v>1</v>
  </rv>
  <rv s="0">
    <fb>63823345</fb>
    <v>2</v>
  </rv>
  <rv s="0">
    <fb>45883</fb>
    <v>0</v>
  </rv>
  <rv s="0">
    <fb>52469244</fb>
    <v>2</v>
  </rv>
  <rv s="0">
    <fb>45884</fb>
    <v>0</v>
  </rv>
  <rv s="0">
    <fb>46141355</fb>
    <v>2</v>
  </rv>
  <rv s="0">
    <fb>45887</fb>
    <v>0</v>
  </rv>
  <rv s="0">
    <fb>11.46</fb>
    <v>1</v>
  </rv>
  <rv s="0">
    <fb>37113805</fb>
    <v>2</v>
  </rv>
  <rv s="0">
    <fb>45888</fb>
    <v>0</v>
  </rv>
  <rv s="0">
    <fb>11.58</fb>
    <v>1</v>
  </rv>
  <rv s="0">
    <fb>58020177</fb>
    <v>2</v>
  </rv>
  <rv s="0">
    <fb>45889</fb>
    <v>0</v>
  </rv>
  <rv s="0">
    <fb>11.49</fb>
    <v>1</v>
  </rv>
  <rv s="0">
    <fb>46469853</fb>
    <v>2</v>
  </rv>
  <rv s="0">
    <fb>45890</fb>
    <v>0</v>
  </rv>
  <rv s="0">
    <fb>11.33</fb>
    <v>1</v>
  </rv>
  <rv s="0">
    <fb>51779301</fb>
    <v>2</v>
  </rv>
  <rv s="0">
    <fb>45891</fb>
    <v>0</v>
  </rv>
  <rv s="0">
    <fb>11.74</fb>
    <v>1</v>
  </rv>
  <rv s="0">
    <fb>58538704</fb>
    <v>2</v>
  </rv>
  <rv s="0">
    <fb>45894</fb>
    <v>0</v>
  </rv>
  <rv s="0">
    <fb>11.82</fb>
    <v>1</v>
  </rv>
  <rv s="0">
    <fb>45038754</fb>
    <v>2</v>
  </rv>
  <rv s="0">
    <fb>45895</fb>
    <v>0</v>
  </rv>
  <rv s="0">
    <fb>11.84</fb>
    <v>1</v>
  </rv>
  <rv s="0">
    <fb>48613273</fb>
    <v>2</v>
  </rv>
  <rv s="0">
    <fb>45896</fb>
    <v>0</v>
  </rv>
  <rv s="0">
    <fb>40381477</fb>
    <v>2</v>
  </rv>
  <rv s="0">
    <fb>45897</fb>
    <v>0</v>
  </rv>
  <rv s="0">
    <fb>11.71</fb>
    <v>1</v>
  </rv>
  <rv s="0">
    <fb>47723668</fb>
    <v>2</v>
  </rv>
  <rv s="0">
    <fb>45898</fb>
    <v>0</v>
  </rv>
  <rv s="0">
    <fb>44069734</fb>
    <v>2</v>
  </rv>
  <rv s="0">
    <fb>45902</fb>
    <v>0</v>
  </rv>
  <rv s="0">
    <fb>11.72</fb>
    <v>1</v>
  </rv>
  <rv s="0">
    <fb>57704182</fb>
    <v>2</v>
  </rv>
  <rv s="0">
    <fb>45903</fb>
    <v>0</v>
  </rv>
  <rv s="0">
    <fb>11.62</fb>
    <v>1</v>
  </rv>
  <rv s="0">
    <fb>47728660</fb>
    <v>2</v>
  </rv>
  <rv s="0">
    <fb>45904</fb>
    <v>0</v>
  </rv>
  <rv s="0">
    <fb>33136650</fb>
    <v>2</v>
  </rv>
  <rv s="0">
    <fb>45905</fb>
    <v>0</v>
  </rv>
  <rv s="0">
    <fb>47547831</fb>
    <v>2</v>
  </rv>
  <rv s="0">
    <fb>45908</fb>
    <v>0</v>
  </rv>
  <rv s="0">
    <fb>11.69</fb>
    <v>1</v>
  </rv>
  <rv s="0">
    <fb>39734522</fb>
    <v>2</v>
  </rv>
  <rv s="0">
    <fb>45909</fb>
    <v>0</v>
  </rv>
  <rv s="0">
    <fb>41262743</fb>
    <v>2</v>
  </rv>
  <rv s="0">
    <fb>45910</fb>
    <v>0</v>
  </rv>
  <rv s="0">
    <fb>11.42</fb>
    <v>1</v>
  </rv>
  <rv s="0">
    <fb>47021328</fb>
    <v>2</v>
  </rv>
  <rv s="0">
    <fb>45911</fb>
    <v>0</v>
  </rv>
  <rv s="0">
    <fb>11.76</fb>
    <v>1</v>
  </rv>
  <rv s="0">
    <fb>64196118</fb>
    <v>2</v>
  </rv>
  <rv s="0">
    <fb>45912</fb>
    <v>0</v>
  </rv>
  <rv s="0">
    <fb>50100809</fb>
    <v>2</v>
  </rv>
  <rv s="0">
    <fb>45915</fb>
    <v>0</v>
  </rv>
  <rv s="0">
    <fb>47942431</fb>
    <v>2</v>
  </rv>
  <rv s="0">
    <fb>45916</fb>
    <v>0</v>
  </rv>
  <rv s="0">
    <fb>11.61</fb>
    <v>1</v>
  </rv>
  <rv s="0">
    <fb>58064970</fb>
    <v>2</v>
  </rv>
  <rv s="0">
    <fb>45917</fb>
    <v>0</v>
  </rv>
  <rv s="0">
    <fb>11.66</fb>
    <v>1</v>
  </rv>
  <rv s="0">
    <fb>68585945</fb>
    <v>2</v>
  </rv>
  <rv s="0">
    <fb>45918</fb>
    <v>0</v>
  </rv>
  <rv s="0">
    <fb>55040063</fb>
    <v>2</v>
  </rv>
  <rv s="0">
    <fb>45919</fb>
    <v>0</v>
  </rv>
  <rv s="0">
    <fb>71676341</fb>
    <v>2</v>
  </rv>
  <rv s="0">
    <fb>45922</fb>
    <v>0</v>
  </rv>
  <rv s="0">
    <fb>58432710</fb>
    <v>2</v>
  </rv>
  <rv s="0">
    <fb>45923</fb>
    <v>0</v>
  </rv>
  <rv s="0">
    <fb>11.73</fb>
    <v>1</v>
  </rv>
  <rv s="0">
    <fb>55667552</fb>
    <v>2</v>
  </rv>
  <rv s="0">
    <fb>45924</fb>
    <v>0</v>
  </rv>
  <rv s="0">
    <fb>11.63</fb>
    <v>1</v>
  </rv>
  <rv s="0">
    <fb>60193780</fb>
    <v>2</v>
  </rv>
  <rv s="0">
    <fb>45925</fb>
    <v>0</v>
  </rv>
  <rv s="0">
    <fb>67656337</fb>
    <v>2</v>
  </rv>
  <rv s="0">
    <fb>45926</fb>
    <v>0</v>
  </rv>
  <rv s="0">
    <fb>12.01</fb>
    <v>1</v>
  </rv>
  <rv s="0">
    <fb>117681848</fb>
    <v>2</v>
  </rv>
  <rv s="0">
    <fb>45929</fb>
    <v>0</v>
  </rv>
  <rv s="0">
    <fb>12.09</fb>
    <v>1</v>
  </rv>
  <rv s="0">
    <fb>83325012</fb>
    <v>2</v>
  </rv>
  <rv s="0">
    <fb>45930</fb>
    <v>0</v>
  </rv>
  <rv s="0">
    <fb>11.96</fb>
    <v>1</v>
  </rv>
  <rv s="0">
    <fb>70765048</fb>
    <v>2</v>
  </rv>
  <rv s="0">
    <fb>45931</fb>
    <v>0</v>
  </rv>
  <rv s="0">
    <fb>12.27</fb>
    <v>1</v>
  </rv>
  <rv s="0">
    <fb>73578427</fb>
    <v>2</v>
  </rv>
  <rv s="0">
    <fb>45932</fb>
    <v>0</v>
  </rv>
  <rv s="0">
    <fb>12.22</fb>
    <v>1</v>
  </rv>
  <rv s="0">
    <fb>74530532</fb>
    <v>2</v>
  </rv>
  <rv s="0">
    <fb>45933</fb>
    <v>0</v>
  </rv>
  <rv s="0">
    <fb>12.67</fb>
    <v>1</v>
  </rv>
  <rv s="0">
    <fb>100778558</fb>
    <v>2</v>
  </rv>
  <rv s="0">
    <fb>45936</fb>
    <v>0</v>
  </rv>
  <rv s="0">
    <fb>12.7</fb>
    <v>1</v>
  </rv>
  <rv s="0">
    <fb>90544937</fb>
    <v>2</v>
  </rv>
  <rv s="0">
    <fb>45937</fb>
    <v>0</v>
  </rv>
  <rv s="0">
    <fb>11.92</fb>
    <v>1</v>
  </rv>
  <rv s="0">
    <fb>154390154</fb>
    <v>2</v>
  </rv>
  <rv s="0">
    <fb>45938</fb>
    <v>0</v>
  </rv>
  <rv s="0">
    <fb>78469653</fb>
    <v>2</v>
  </rv>
  <rv s="0">
    <fb>45939</fb>
    <v>0</v>
  </rv>
  <rv s="0">
    <fb>11.5</fb>
    <v>1</v>
  </rv>
  <rv s="0">
    <fb>70320483</fb>
    <v>2</v>
  </rv>
  <rv s="0">
    <fb>45940</fb>
    <v>0</v>
  </rv>
  <rv s="0">
    <fb>11.41</fb>
    <v>1</v>
  </rv>
  <rv s="0">
    <fb>84595402</fb>
    <v>2</v>
  </rv>
  <rv s="0">
    <fb>45943</fb>
    <v>0</v>
  </rv>
  <rv s="0">
    <fb>11.54</fb>
    <v>1</v>
  </rv>
  <rv s="0">
    <fb>73939384</fb>
    <v>2</v>
  </rv>
  <rv s="0">
    <fb>45944</fb>
    <v>0</v>
  </rv>
  <rv s="0">
    <fb>11.65</fb>
    <v>1</v>
  </rv>
  <rv s="0">
    <fb>89117946</fb>
    <v>2</v>
  </rv>
  <rv s="0">
    <fb>45945</fb>
    <v>0</v>
  </rv>
  <rv s="0">
    <fb>88960726</fb>
    <v>2</v>
  </rv>
  <rv s="0">
    <fb>45946</fb>
    <v>0</v>
  </rv>
  <rv s="0">
    <fb>108701202</fb>
    <v>2</v>
  </rv>
  <rv s="0">
    <fb>45947</fb>
    <v>0</v>
  </rv>
  <rv s="0">
    <fb>107633522</fb>
    <v>2</v>
  </rv>
  <rv s="0">
    <fb>45950</fb>
    <v>0</v>
  </rv>
  <rv s="0">
    <fb>11.99</fb>
    <v>1</v>
  </rv>
  <rv s="0">
    <fb>77878936</fb>
    <v>2</v>
  </rv>
  <rv s="0">
    <fb>45951</fb>
    <v>0</v>
  </rv>
  <rv s="0">
    <fb>12.56</fb>
    <v>1</v>
  </rv>
  <rv s="0">
    <fb>297153158</fb>
    <v>2</v>
  </rv>
  <rv s="0">
    <fb>45952</fb>
    <v>0</v>
  </rv>
  <rv s="0">
    <fb>12.43</fb>
    <v>1</v>
  </rv>
  <rv s="0">
    <fb>415062173</fb>
    <v>2</v>
  </rv>
  <rv s="0">
    <fb>45953</fb>
    <v>0</v>
  </rv>
  <rv s="0">
    <fb>12.34</fb>
    <v>1</v>
  </rv>
  <rv s="0">
    <fb>479840312</fb>
    <v>2</v>
  </rv>
  <rv s="0">
    <fb>45954</fb>
    <v>0</v>
  </rv>
  <rv s="0">
    <fb>13.84</fb>
    <v>1</v>
  </rv>
  <rv s="0">
    <fb>298366862</fb>
    <v>2</v>
  </rv>
  <rv s="0">
    <fb>45957</fb>
    <v>0</v>
  </rv>
  <rv s="0">
    <fb>13.26</fb>
    <v>1</v>
  </rv>
  <rv s="0">
    <fb>140859004</fb>
    <v>2</v>
  </rv>
  <rv s="0">
    <fb>45958</fb>
    <v>0</v>
  </rv>
  <rv s="0">
    <fb>13.13</fb>
    <v>1</v>
  </rv>
  <rv s="0">
    <fb>96738451</fb>
    <v>2</v>
  </rv>
  <rv s="0">
    <fb>45959</fb>
    <v>0</v>
  </rv>
  <rv s="0">
    <fb>13.24</fb>
    <v>1</v>
  </rv>
  <rv s="0">
    <fb>127512240</fb>
    <v>2</v>
  </rv>
  <rv s="0">
    <fb>45960</fb>
    <v>0</v>
  </rv>
  <rv s="0">
    <fb>13.06</fb>
    <v>1</v>
  </rv>
  <rv s="0">
    <fb>80766301</fb>
    <v>2</v>
  </rv>
  <rv s="0">
    <fb>45961</fb>
    <v>0</v>
  </rv>
  <rv s="0">
    <fb>68861988</fb>
    <v>2</v>
  </rv>
  <rv s="0">
    <fb>45964</fb>
    <v>0</v>
  </rv>
  <rv s="0">
    <fb>13.01</fb>
    <v>1</v>
  </rv>
  <rv s="0">
    <fb>80419403</fb>
    <v>2</v>
  </rv>
  <rv s="0">
    <fb>45965</fb>
    <v>0</v>
  </rv>
  <rv s="0">
    <fb>12.79</fb>
    <v>1</v>
  </rv>
  <rv s="0">
    <fb>70360611</fb>
    <v>2</v>
  </rv>
  <rv s="0">
    <fb>45966</fb>
    <v>0</v>
  </rv>
  <rv s="0">
    <fb>13.11</fb>
    <v>1</v>
  </rv>
  <rv s="0">
    <fb>79134307</fb>
    <v>2</v>
  </rv>
  <rv s="0">
    <fb>45967</fb>
    <v>0</v>
  </rv>
  <rv s="0">
    <fb>13.12</fb>
    <v>1</v>
  </rv>
  <rv s="0">
    <fb>82291049</fb>
    <v>2</v>
  </rv>
  <rv s="0">
    <fb>45968</fb>
    <v>0</v>
  </rv>
  <rv s="0">
    <fb>13.21</fb>
    <v>1</v>
  </rv>
  <rv s="0">
    <fb>80011318</fb>
    <v>2</v>
  </rv>
  <rv s="0">
    <fb>45971</fb>
    <v>0</v>
  </rv>
  <rv s="0">
    <fb>13.16</fb>
    <v>1</v>
  </rv>
  <rv s="0">
    <fb>62051157</fb>
    <v>2</v>
  </rv>
  <rv s="0">
    <fb>45972</fb>
    <v>0</v>
  </rv>
  <rv s="0">
    <fb>13.3</fb>
    <v>1</v>
  </rv>
  <rv s="0">
    <fb>79742405</fb>
    <v>2</v>
  </rv>
  <rv s="0">
    <fb>45973</fb>
    <v>0</v>
  </rv>
  <rv s="0">
    <fb>13.45</fb>
    <v>1</v>
  </rv>
  <rv s="0">
    <fb>61840461</fb>
    <v>2</v>
  </rv>
  <rv s="0">
    <fb>45974</fb>
    <v>0</v>
  </rv>
  <rv s="0">
    <fb>13.28</fb>
    <v>1</v>
  </rv>
  <rv s="0">
    <fb>71481613</fb>
    <v>2</v>
  </rv>
  <rv s="0">
    <fb>45975</fb>
    <v>0</v>
  </rv>
  <rv s="0">
    <fb>13.19</fb>
    <v>1</v>
  </rv>
  <rv s="0">
    <fb>67932422</fb>
    <v>2</v>
  </rv>
  <rv s="0">
    <fb>45978</fb>
    <v>0</v>
  </rv>
  <rv s="0">
    <fb>12.88</fb>
    <v>1</v>
  </rv>
  <rv s="0">
    <fb>73404381</fb>
    <v>2</v>
  </rv>
  <rv s="0">
    <fb>45979</fb>
    <v>0</v>
  </rv>
  <rv s="0">
    <fb>13.02</fb>
    <v>1</v>
  </rv>
  <rv s="0">
    <fb>70215400</fb>
    <v>2</v>
  </rv>
  <rv s="0">
    <fb>45980</fb>
    <v>0</v>
  </rv>
  <rv s="0">
    <fb>12.9</fb>
    <v>1</v>
  </rv>
  <rv s="0">
    <fb>49619260</fb>
    <v>2</v>
  </rv>
  <rv s="0">
    <fb>45981</fb>
    <v>0</v>
  </rv>
  <rv s="0">
    <fb>12.41</fb>
    <v>1</v>
  </rv>
  <rv s="0">
    <fb>95861863</fb>
    <v>2</v>
  </rv>
  <rv s="0">
    <fb>45982</fb>
    <v>0</v>
  </rv>
  <rv s="0">
    <fb>12.83</fb>
    <v>1</v>
  </rv>
  <rv s="0">
    <fb>74048860</fb>
    <v>2</v>
  </rv>
  <rv s="0">
    <fb>45985</fb>
    <v>0</v>
  </rv>
  <rv s="0">
    <fb>12.96</fb>
    <v>1</v>
  </rv>
  <rv s="0">
    <fb>52936240</fb>
    <v>2</v>
  </rv>
  <rv s="0">
    <fb>45986</fb>
    <v>0</v>
  </rv>
  <rv s="0">
    <fb>13.17</fb>
    <v>1</v>
  </rv>
  <rv s="0">
    <fb>52884970</fb>
    <v>2</v>
  </rv>
  <rv s="0">
    <fb>45987</fb>
    <v>0</v>
  </rv>
  <rv s="0">
    <fb>44942203</fb>
    <v>2</v>
  </rv>
  <rv s="0">
    <fb>45989</fb>
    <v>0</v>
  </rv>
  <rv s="0">
    <fb>29536180</fb>
    <v>2</v>
  </rv>
  <rv s="0">
    <fb>45992</fb>
    <v>0</v>
  </rv>
  <rv s="0">
    <fb>51593955</fb>
    <v>2</v>
  </rv>
  <rv s="0">
    <fb>45993</fb>
    <v>0</v>
  </rv>
  <rv s="0">
    <fb>57641703</fb>
    <v>2</v>
  </rv>
  <rv s="0">
    <fb>45994</fb>
    <v>0</v>
  </rv>
  <rv s="0">
    <fb>13.09</fb>
    <v>1</v>
  </rv>
  <rv s="0">
    <fb>45364666</fb>
    <v>2</v>
  </rv>
  <rv s="0">
    <fb>45995</fb>
    <v>0</v>
  </rv>
  <rv s="0">
    <fb>13.14</fb>
    <v>1</v>
  </rv>
  <rv s="0">
    <fb>47554803</fb>
    <v>2</v>
  </rv>
  <rv s="0">
    <fb>45996</fb>
    <v>0</v>
  </rv>
  <rv s="0">
    <fb>13.03</fb>
    <v>1</v>
  </rv>
  <rv s="0">
    <fb>54099362</fb>
    <v>2</v>
  </rv>
  <rv s="0">
    <fb>45999</fb>
    <v>0</v>
  </rv>
  <rv s="0">
    <fb>45580830</fb>
    <v>2</v>
  </rv>
  <rv s="0">
    <fb>46000</fb>
    <v>0</v>
  </rv>
  <rv s="0">
    <fb>13.08</fb>
    <v>1</v>
  </rv>
  <rv s="0">
    <fb>33349986</fb>
    <v>2</v>
  </rv>
  <rv s="0">
    <fb>46001</fb>
    <v>0</v>
  </rv>
  <rv s="0">
    <fb>13.41</fb>
    <v>1</v>
  </rv>
  <rv s="0">
    <fb>72210701</fb>
    <v>2</v>
  </rv>
  <rv s="0">
    <fb>46002</fb>
    <v>0</v>
  </rv>
  <rv s="0">
    <fb>13.63</fb>
    <v>1</v>
  </rv>
  <rv s="0">
    <fb>59012304</fb>
    <v>2</v>
  </rv>
  <rv s="0">
    <fb>46003</fb>
    <v>0</v>
  </rv>
  <rv s="0">
    <fb>13.76</fb>
    <v>1</v>
  </rv>
  <rv s="0">
    <fb>48337280</fb>
    <v>2</v>
  </rv>
  <rv s="0">
    <fb>46006</fb>
    <v>0</v>
  </rv>
  <rv s="0">
    <fb>13.65</fb>
    <v>1</v>
  </rv>
  <rv s="0">
    <fb>53577255</fb>
    <v>2</v>
  </rv>
  <rv s="0">
    <fb>46007</fb>
    <v>0</v>
  </rv>
  <rv s="0">
    <fb>13.67</fb>
    <v>1</v>
  </rv>
  <rv s="0">
    <fb>69408875</fb>
    <v>2</v>
  </rv>
  <rv s="0">
    <fb>46008</fb>
    <v>0</v>
  </rv>
  <rv s="0">
    <fb>13.31</fb>
    <v>1</v>
  </rv>
  <rv s="0">
    <fb>58320635</fb>
    <v>2</v>
  </rv>
  <rv s="0">
    <fb>46009</fb>
    <v>0</v>
  </rv>
  <rv s="0">
    <fb>13.32</fb>
    <v>1</v>
  </rv>
  <rv s="0">
    <fb>52604828</fb>
    <v>2</v>
  </rv>
  <rv s="0">
    <fb>46010</fb>
    <v>0</v>
  </rv>
  <rv s="0">
    <fb>13.47</fb>
    <v>1</v>
  </rv>
  <rv s="0">
    <fb>61640571</fb>
    <v>2</v>
  </rv>
  <rv s="0">
    <fb>46013</fb>
    <v>0</v>
  </rv>
  <rv s="0">
    <fb>13.46</fb>
    <v>1</v>
  </rv>
  <rv s="0">
    <fb>31106109</fb>
    <v>2</v>
  </rv>
  <rv s="0">
    <fb>46014</fb>
    <v>0</v>
  </rv>
  <rv s="0">
    <fb>13.29</fb>
    <v>1</v>
  </rv>
  <rv s="0">
    <fb>25440833</fb>
    <v>2</v>
  </rv>
  <rv s="0">
    <fb>46015</fb>
    <v>0</v>
  </rv>
  <rv s="0">
    <fb>13.36</fb>
    <v>1</v>
  </rv>
  <rv s="0">
    <fb>14227582</fb>
    <v>2</v>
  </rv>
  <rv s="0">
    <fb>46017</fb>
    <v>0</v>
  </rv>
  <rv s="0">
    <fb>22471423</fb>
    <v>2</v>
  </rv>
  <rv s="0">
    <fb>46020</fb>
    <v>0</v>
  </rv>
  <rv s="0">
    <fb>24398306</fb>
    <v>2</v>
  </rv>
  <rv s="0">
    <fb>46021</fb>
    <v>0</v>
  </rv>
  <rv s="0">
    <fb>13.23</fb>
    <v>1</v>
  </rv>
  <rv s="0">
    <fb>23002807</fb>
    <v>2</v>
  </rv>
  <rv s="0">
    <fb>46022</fb>
    <v>0</v>
  </rv>
  <rv s="0">
    <fb>26302260</fb>
    <v>2</v>
  </rv>
  <rv s="0">
    <fb>46024</fb>
    <v>0</v>
  </rv>
  <rv s="0">
    <fb>13.34</fb>
    <v>1</v>
  </rv>
  <rv s="0">
    <fb>46366861</fb>
    <v>2</v>
  </rv>
  <rv s="0">
    <fb>46027</fb>
    <v>0</v>
  </rv>
  <rv s="0">
    <fb>50135246</fb>
    <v>2</v>
  </rv>
  <rv s="0">
    <fb>46028</fb>
    <v>0</v>
  </rv>
  <rv s="0">
    <fb>13.8</fb>
    <v>1</v>
  </rv>
  <rv s="0">
    <fb>84534703</fb>
    <v>2</v>
  </rv>
  <rv s="0">
    <fb>46029</fb>
    <v>0</v>
  </rv>
  <rv s="0">
    <fb>13.74</fb>
    <v>1</v>
  </rv>
  <rv s="0">
    <fb>50608950</fb>
    <v>2</v>
  </rv>
  <rv s="0">
    <fb>46030</fb>
    <v>0</v>
  </rv>
  <rv s="0">
    <fb>14.4</fb>
    <v>1</v>
  </rv>
  <rv s="0">
    <fb>154276839</fb>
    <v>2</v>
  </rv>
  <rv s="0">
    <fb>46031</fb>
    <v>0</v>
  </rv>
  <rv s="0">
    <fb>14.2</fb>
    <v>1</v>
  </rv>
  <rv s="0">
    <fb>68436178</fb>
    <v>2</v>
  </rv>
  <rv s="0">
    <fb>46034</fb>
    <v>0</v>
  </rv>
  <rv s="0">
    <fb>14.03</fb>
    <v>1</v>
  </rv>
  <rv s="0">
    <fb>53443964</fb>
    <v>2</v>
  </rv>
  <rv s="0">
    <fb>46035</fb>
    <v>0</v>
  </rv>
  <rv s="0">
    <fb>13.98</fb>
    <v>1</v>
  </rv>
  <rv s="0">
    <fb>58867535</fb>
    <v>2</v>
  </rv>
  <rv s="0">
    <fb>46036</fb>
    <v>0</v>
  </rv>
  <rv s="0">
    <fb>65318552</fb>
    <v>2</v>
  </rv>
  <rv s="0">
    <fb>46037</fb>
    <v>0</v>
  </rv>
  <rv s="0">
    <fb>13.81</fb>
    <v>1</v>
  </rv>
  <rv s="0">
    <fb>44241477</fb>
    <v>2</v>
  </rv>
  <rv s="0">
    <fb>46038</fb>
    <v>0</v>
  </rv>
  <rv s="0">
    <fb>13.6</fb>
    <v>1</v>
  </rv>
  <rv s="0">
    <fb>60750836</fb>
    <v>2</v>
  </rv>
  <rv s="0">
    <fb>46042</fb>
    <v>0</v>
  </rv>
  <rv s="0">
    <fb>67018098</fb>
    <v>2</v>
  </rv>
  <rv s="0">
    <fb>46043</fb>
    <v>0</v>
  </rv>
  <rv s="0">
    <fb>13.77</fb>
    <v>1</v>
  </rv>
  <rv s="0">
    <fb>58160147</fb>
    <v>2</v>
  </rv>
  <rv s="0">
    <fb>46044</fb>
    <v>0</v>
  </rv>
  <rv s="0">
    <fb>13.71</fb>
    <v>1</v>
  </rv>
  <rv s="0">
    <fb>38170250</fb>
    <v>2</v>
  </rv>
  <rv s="0">
    <fb>46045</fb>
    <v>0</v>
  </rv>
  <rv s="0">
    <fb>13.56</fb>
    <v>1</v>
  </rv>
  <rv s="0">
    <fb>39702051</fb>
    <v>2</v>
  </rv>
  <rv s="0">
    <fb>46048</fb>
    <v>0</v>
  </rv>
  <rv s="0">
    <fb>13.44</fb>
    <v>1</v>
  </rv>
  <rv s="0">
    <fb>59170963</fb>
    <v>2</v>
  </rv>
  <rv s="0">
    <fb>46049</fb>
    <v>0</v>
  </rv>
  <rv s="0">
    <fb>13.93</fb>
    <v>1</v>
  </rv>
  <rv s="0">
    <fb>100003667</fb>
    <v>2</v>
  </rv>
  <rv s="0">
    <fb>46050</fb>
    <v>0</v>
  </rv>
  <rv s="0">
    <fb>13.82</fb>
    <v>1</v>
  </rv>
  <rv s="0">
    <fb>48751764</fb>
    <v>2</v>
  </rv>
  <rv s="0">
    <fb>46051</fb>
    <v>0</v>
  </rv>
  <rv s="0">
    <fb>14</fb>
    <v>1</v>
  </rv>
  <rv s="0">
    <fb>84803904</fb>
    <v>2</v>
  </rv>
  <rv s="0">
    <fb>46052</fb>
    <v>0</v>
  </rv>
  <rv s="0">
    <fb>13.88</fb>
    <v>1</v>
  </rv>
  <rv s="0">
    <fb>66996343</fb>
    <v>2</v>
  </rv>
  <rv s="0">
    <fb>46055</fb>
    <v>0</v>
  </rv>
  <rv s="0">
    <fb>54218120</fb>
    <v>2</v>
  </rv>
  <rv s="0">
    <fb>46056</fb>
    <v>0</v>
  </rv>
  <rv s="0">
    <fb>13.73</fb>
    <v>1</v>
  </rv>
  <rv s="0">
    <fb>76637980</fb>
    <v>2</v>
  </rv>
  <rv s="0">
    <fb>46057</fb>
    <v>0</v>
  </rv>
  <rv s="0">
    <fb>70488674</fb>
    <v>2</v>
  </rv>
  <rv s="0">
    <fb>46058</fb>
    <v>0</v>
  </rv>
  <rv s="0">
    <fb>13.72</fb>
    <v>1</v>
  </rv>
  <rv s="0">
    <fb>79719943</fb>
    <v>2</v>
  </rv>
  <rv s="0">
    <fb>46059</fb>
    <v>0</v>
  </rv>
  <rv s="0">
    <fb>55588190</fb>
    <v>2</v>
  </rv>
  <rv s="0">
    <fb>46062</fb>
    <v>0</v>
  </rv>
  <rv s="0">
    <fb>13.59</fb>
    <v>1</v>
  </rv>
  <rv s="0">
    <fb>59777960</fb>
    <v>2</v>
  </rv>
  <rv s="0">
    <fb>46063</fb>
    <v>0</v>
  </rv>
  <rv s="0">
    <fb>13.57</fb>
    <v>1</v>
  </rv>
  <rv s="0">
    <fb>80827666</fb>
    <v>2</v>
  </rv>
  <rv s="0">
    <fb>46064</fb>
    <v>0</v>
  </rv>
  <rv s="0">
    <fb>13.85</fb>
    <v>1</v>
  </rv>
  <rv s="0">
    <fb>129595007</fb>
    <v>2</v>
  </rv>
  <rv s="0">
    <fb>46065</fb>
    <v>0</v>
  </rv>
  <rv s="0">
    <fb>133257187</fb>
    <v>2</v>
  </rv>
  <rv s="0">
    <fb>46066</fb>
    <v>0</v>
  </rv>
  <rv s="0">
    <fb>14.12</fb>
    <v>1</v>
  </rv>
  <rv s="0">
    <fb>87400202</fb>
    <v>2</v>
  </rv>
  <rv s="1">
    <v>3</v>
    <v>F</v>
    <v>Daily</v>
    <v>45702</v>
    <v>46067</v>
    <v>0</v>
    <v>1</v>
    <v>639065376000000000,639067124948355512,0</v>
    <v>0</v>
    <v>a1sjw7</v>
    <v>XNYS:F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467401-A2C9-40C6-9381-B6231337DCA4}" name="Weekly" displayName="Weekly" ref="A1:B54" tableType="queryTable" totalsRowShown="0">
  <autoFilter ref="A1:B54" xr:uid="{6D467401-A2C9-40C6-9381-B6231337DCA4}"/>
  <tableColumns count="2">
    <tableColumn id="1" xr3:uid="{28634F86-238B-4D21-9F4D-09C31CD917B3}" uniqueName="1" name="Week" queryTableFieldId="1" dataDxfId="1"/>
    <tableColumn id="2" xr3:uid="{949D2010-2F6F-484E-A9AB-C2703F3FD28E}" uniqueName="2" name="Averag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4ACA9-613F-47DA-8C3D-2E3A489DEBB8}" name="Table1" displayName="Table1" ref="A1:B252" totalsRowShown="0">
  <autoFilter ref="A1:B252" xr:uid="{3074ACA9-613F-47DA-8C3D-2E3A489DEBB8}"/>
  <tableColumns count="2">
    <tableColumn id="1" xr3:uid="{82D51C12-5F16-489F-AF18-369C0363863B}" name="Week" dataDxfId="2"/>
    <tableColumn id="2" xr3:uid="{495E3998-55FF-4E84-B0A7-E435CC69E6E2}" name="Clo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A2B4E8-F37F-4A57-8C08-872F1813DCF1}" name="Forecast" displayName="Forecast" ref="A1:F120" tableType="queryTable" totalsRowShown="0">
  <autoFilter ref="A1:F120" xr:uid="{1BA2B4E8-F37F-4A57-8C08-872F1813DCF1}"/>
  <tableColumns count="6">
    <tableColumn id="1" xr3:uid="{404DEEE5-4138-40A2-A8BD-E528E20FD39F}" uniqueName="1" name="Week" queryTableFieldId="1" dataDxfId="0"/>
    <tableColumn id="2" xr3:uid="{A69FD845-BAB8-49B6-86F8-95BFB11E461A}" uniqueName="2" name="Average" queryTableFieldId="2"/>
    <tableColumn id="3" xr3:uid="{ADA057F7-4686-4491-AABB-4BD385BB9AF4}" uniqueName="3" name="Jan-26" queryTableFieldId="3"/>
    <tableColumn id="4" xr3:uid="{71198E65-59F6-4074-B791-6A4212115EFF}" uniqueName="4" name="XL Forecast" queryTableFieldId="4"/>
    <tableColumn id="5" xr3:uid="{6A3C5D0D-CC8E-400F-89CE-B9255CA2811A}" uniqueName="5" name="Calc Forecast" queryTableFieldId="5"/>
    <tableColumn id="6" xr3:uid="{E7F23337-DB0B-4EBD-B0DD-0EC07E2F37CC}" uniqueName="6" name="GS Simple ML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252"/>
  <sheetViews>
    <sheetView topLeftCell="F241" zoomScale="70" zoomScaleNormal="70" workbookViewId="0">
      <selection activeCell="Y259" sqref="Y259"/>
    </sheetView>
  </sheetViews>
  <sheetFormatPr defaultRowHeight="15" x14ac:dyDescent="0.25"/>
  <cols>
    <col min="1" max="1" width="13.140625" style="20" customWidth="1"/>
    <col min="2" max="2" width="12" bestFit="1" customWidth="1"/>
    <col min="3" max="3" width="10.5703125" bestFit="1" customWidth="1"/>
    <col min="4" max="4" width="13.5703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7.7109375" style="18" bestFit="1" customWidth="1"/>
  </cols>
  <sheetData>
    <row r="1" spans="1:31" s="8" customFormat="1" x14ac:dyDescent="0.25">
      <c r="A1" s="19" t="s">
        <v>45</v>
      </c>
      <c r="B1" s="4" t="str" cm="1">
        <f t="array" aca="1" ref="B1:D252" ca="1">_xlfn.STOCKHISTORY("F",TODAY()-365,TODAY(),0,1,0,1,5)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45698</v>
      </c>
      <c r="B2" vm="1">
        <f ca="1"/>
        <v>45702</v>
      </c>
      <c r="C2" vm="2">
        <f ca="1"/>
        <v>9.33</v>
      </c>
      <c r="D2" vm="3">
        <f ca="1"/>
        <v>54642783</v>
      </c>
      <c r="E2">
        <f ca="1">C2*D2</f>
        <v>509817165.38999999</v>
      </c>
      <c r="F2">
        <f ca="1">SUM($E$2:E2)/SUM($D$2:D2)</f>
        <v>9.33</v>
      </c>
      <c r="G2">
        <f ca="1">_xlfn.STDEV.P($C$2:C2)</f>
        <v>0</v>
      </c>
      <c r="H2">
        <f ca="1">F2 + G2</f>
        <v>9.33</v>
      </c>
      <c r="I2">
        <f ca="1">F2 - G2</f>
        <v>9.33</v>
      </c>
      <c r="AC2" t="s">
        <v>39</v>
      </c>
      <c r="AD2">
        <f ca="1">MIN(C:C)</f>
        <v>8.69</v>
      </c>
      <c r="AE2" s="18">
        <f ca="1">MIN(D:D)</f>
        <v>14227582</v>
      </c>
    </row>
    <row r="3" spans="1:31" x14ac:dyDescent="0.25">
      <c r="A3" s="20">
        <f t="shared" ref="A3:A66" ca="1" si="0">B3 - WEEKDAY(B3, 2) + 1</f>
        <v>45705</v>
      </c>
      <c r="B3" vm="4">
        <f ca="1"/>
        <v>45706</v>
      </c>
      <c r="C3" vm="5">
        <f ca="1"/>
        <v>9.2899999999999991</v>
      </c>
      <c r="D3" vm="6">
        <f ca="1"/>
        <v>62175764</v>
      </c>
      <c r="E3">
        <f t="shared" ref="E3:E66" ca="1" si="1">C3*D3</f>
        <v>577612847.55999994</v>
      </c>
      <c r="F3">
        <f ca="1">SUM($E$2:E3)/SUM($D$2:D3)</f>
        <v>9.3087103107865214</v>
      </c>
      <c r="G3">
        <f ca="1">_xlfn.STDEV.P($C$2:C3)</f>
        <v>2.0000000000000462E-2</v>
      </c>
      <c r="H3">
        <f t="shared" ref="H3:H66" ca="1" si="2">F3 + G3</f>
        <v>9.3287103107865228</v>
      </c>
      <c r="I3">
        <f t="shared" ref="I3:I66" ca="1" si="3">F3 - G3</f>
        <v>9.2887103107865201</v>
      </c>
      <c r="N3">
        <f ca="1">C3-C2</f>
        <v>-4.0000000000000924E-2</v>
      </c>
      <c r="O3">
        <f ca="1">MAX(N3,0)</f>
        <v>0</v>
      </c>
      <c r="P3">
        <f ca="1">MAX(-N3,0)</f>
        <v>4.0000000000000924E-2</v>
      </c>
      <c r="AC3" t="s">
        <v>40</v>
      </c>
      <c r="AD3">
        <f ca="1">MAX(C:C)</f>
        <v>14.4</v>
      </c>
      <c r="AE3" s="18">
        <f ca="1">MAX(D:D)</f>
        <v>479840312</v>
      </c>
    </row>
    <row r="4" spans="1:31" x14ac:dyDescent="0.25">
      <c r="A4" s="20">
        <f t="shared" ca="1" si="0"/>
        <v>45705</v>
      </c>
      <c r="B4" vm="7">
        <f ca="1"/>
        <v>45707</v>
      </c>
      <c r="C4" vm="8">
        <f ca="1"/>
        <v>9.34</v>
      </c>
      <c r="D4" vm="9">
        <f ca="1"/>
        <v>50191726</v>
      </c>
      <c r="E4">
        <f t="shared" ca="1" si="1"/>
        <v>468790720.83999997</v>
      </c>
      <c r="F4">
        <f ca="1">SUM($E$2:E4)/SUM($D$2:D4)</f>
        <v>9.3181138251896627</v>
      </c>
      <c r="G4">
        <f ca="1">_xlfn.STDEV.P($C$2:C4)</f>
        <v>2.160246899469323E-2</v>
      </c>
      <c r="H4">
        <f t="shared" ca="1" si="2"/>
        <v>9.3397162941843561</v>
      </c>
      <c r="I4">
        <f t="shared" ca="1" si="3"/>
        <v>9.2965113561949693</v>
      </c>
      <c r="N4">
        <f t="shared" ref="N4:N67" ca="1" si="4">C4-C3</f>
        <v>5.0000000000000711E-2</v>
      </c>
      <c r="O4">
        <f t="shared" ref="O4:O67" ca="1" si="5">MAX(N4,0)</f>
        <v>5.0000000000000711E-2</v>
      </c>
      <c r="P4">
        <f t="shared" ref="P4:P67" ca="1" si="6">MAX(-N4,0)</f>
        <v>0</v>
      </c>
      <c r="AC4" t="s">
        <v>41</v>
      </c>
      <c r="AD4">
        <f ca="1">MEDIAN(C:C)</f>
        <v>11.57</v>
      </c>
      <c r="AE4" s="18">
        <f ca="1">MEDIAN(D:D)</f>
        <v>74530532</v>
      </c>
    </row>
    <row r="5" spans="1:31" x14ac:dyDescent="0.25">
      <c r="A5" s="20">
        <f t="shared" ca="1" si="0"/>
        <v>45705</v>
      </c>
      <c r="B5" vm="10">
        <f ca="1"/>
        <v>45708</v>
      </c>
      <c r="C5" vm="11">
        <f ca="1"/>
        <v>9.39</v>
      </c>
      <c r="D5" vm="12">
        <f ca="1"/>
        <v>39787792</v>
      </c>
      <c r="E5">
        <f t="shared" ca="1" si="1"/>
        <v>373607366.88</v>
      </c>
      <c r="F5">
        <f ca="1">SUM($E$2:E5)/SUM($D$2:D5)</f>
        <v>9.3319446710973804</v>
      </c>
      <c r="G5">
        <f ca="1">_xlfn.STDEV.P($C$2:C5)</f>
        <v>3.5619517121938005E-2</v>
      </c>
      <c r="H5">
        <f t="shared" ca="1" si="2"/>
        <v>9.367564188219319</v>
      </c>
      <c r="I5">
        <f t="shared" ca="1" si="3"/>
        <v>9.2963251539754417</v>
      </c>
      <c r="N5">
        <f t="shared" ca="1" si="4"/>
        <v>5.0000000000000711E-2</v>
      </c>
      <c r="O5">
        <f t="shared" ca="1" si="5"/>
        <v>5.0000000000000711E-2</v>
      </c>
      <c r="P5">
        <f t="shared" ca="1" si="6"/>
        <v>0</v>
      </c>
      <c r="AC5" t="s">
        <v>42</v>
      </c>
      <c r="AD5">
        <f ca="1">AVERAGE(C:C)</f>
        <v>11.585537848605584</v>
      </c>
      <c r="AE5" s="18">
        <f ca="1">AVERAGE(D:D)</f>
        <v>90190432.673306778</v>
      </c>
    </row>
    <row r="6" spans="1:31" x14ac:dyDescent="0.25">
      <c r="A6" s="20">
        <f t="shared" ca="1" si="0"/>
        <v>45705</v>
      </c>
      <c r="B6" vm="13">
        <f ca="1"/>
        <v>45709</v>
      </c>
      <c r="C6" vm="14">
        <f ca="1"/>
        <v>9.2799999999999994</v>
      </c>
      <c r="D6" vm="15">
        <f ca="1"/>
        <v>58437662</v>
      </c>
      <c r="E6">
        <f t="shared" ca="1" si="1"/>
        <v>542301503.36000001</v>
      </c>
      <c r="F6">
        <f ca="1">SUM($E$2:E6)/SUM($D$2:D6)</f>
        <v>9.320500039687337</v>
      </c>
      <c r="G6">
        <f ca="1">_xlfn.STDEV.P($C$2:C6)</f>
        <v>3.9293765408777485E-2</v>
      </c>
      <c r="H6">
        <f t="shared" ca="1" si="2"/>
        <v>9.359793805096114</v>
      </c>
      <c r="I6">
        <f t="shared" ca="1" si="3"/>
        <v>9.2812062742785599</v>
      </c>
      <c r="N6">
        <f t="shared" ca="1" si="4"/>
        <v>-0.11000000000000121</v>
      </c>
      <c r="O6">
        <f t="shared" ca="1" si="5"/>
        <v>0</v>
      </c>
      <c r="P6">
        <f t="shared" ca="1" si="6"/>
        <v>0.11000000000000121</v>
      </c>
    </row>
    <row r="7" spans="1:31" x14ac:dyDescent="0.25">
      <c r="A7" s="20">
        <f t="shared" ca="1" si="0"/>
        <v>45712</v>
      </c>
      <c r="B7" vm="16">
        <f ca="1"/>
        <v>45712</v>
      </c>
      <c r="C7" vm="17">
        <f ca="1"/>
        <v>9.35</v>
      </c>
      <c r="D7" vm="18">
        <f ca="1"/>
        <v>72562637</v>
      </c>
      <c r="E7">
        <f t="shared" ca="1" si="1"/>
        <v>678460655.94999993</v>
      </c>
      <c r="F7">
        <f ca="1">SUM($E$2:E7)/SUM($D$2:D7)</f>
        <v>9.3268369410456931</v>
      </c>
      <c r="G7">
        <f ca="1">_xlfn.STDEV.P($C$2:C7)</f>
        <v>3.6968455021365143E-2</v>
      </c>
      <c r="H7">
        <f t="shared" ca="1" si="2"/>
        <v>9.3638053960670575</v>
      </c>
      <c r="I7">
        <f t="shared" ca="1" si="3"/>
        <v>9.2898684860243286</v>
      </c>
      <c r="N7">
        <f t="shared" ca="1" si="4"/>
        <v>7.0000000000000284E-2</v>
      </c>
      <c r="O7">
        <f t="shared" ca="1" si="5"/>
        <v>7.0000000000000284E-2</v>
      </c>
      <c r="P7">
        <f t="shared" ca="1" si="6"/>
        <v>0</v>
      </c>
    </row>
    <row r="8" spans="1:31" x14ac:dyDescent="0.25">
      <c r="A8" s="20">
        <f t="shared" ca="1" si="0"/>
        <v>45712</v>
      </c>
      <c r="B8" vm="19">
        <f ca="1"/>
        <v>45713</v>
      </c>
      <c r="C8" vm="20">
        <f ca="1"/>
        <v>9.42</v>
      </c>
      <c r="D8" vm="21">
        <f ca="1"/>
        <v>88876827</v>
      </c>
      <c r="E8">
        <f t="shared" ca="1" si="1"/>
        <v>837219710.34000003</v>
      </c>
      <c r="F8">
        <f ca="1">SUM($E$2:E8)/SUM($D$2:D8)</f>
        <v>9.3462428902270052</v>
      </c>
      <c r="G8">
        <f ca="1">_xlfn.STDEV.P($C$2:C8)</f>
        <v>4.6510915988856621E-2</v>
      </c>
      <c r="H8">
        <f t="shared" ca="1" si="2"/>
        <v>9.3927538062158611</v>
      </c>
      <c r="I8">
        <f t="shared" ca="1" si="3"/>
        <v>9.2997319742381492</v>
      </c>
      <c r="N8">
        <f t="shared" ca="1" si="4"/>
        <v>7.0000000000000284E-2</v>
      </c>
      <c r="O8">
        <f t="shared" ca="1" si="5"/>
        <v>7.0000000000000284E-2</v>
      </c>
      <c r="P8">
        <f t="shared" ca="1" si="6"/>
        <v>0</v>
      </c>
    </row>
    <row r="9" spans="1:31" x14ac:dyDescent="0.25">
      <c r="A9" s="20">
        <f t="shared" ca="1" si="0"/>
        <v>45712</v>
      </c>
      <c r="B9" vm="22">
        <f ca="1"/>
        <v>45714</v>
      </c>
      <c r="C9" vm="23">
        <f ca="1"/>
        <v>9.4700000000000006</v>
      </c>
      <c r="D9" vm="24">
        <f ca="1"/>
        <v>87948083</v>
      </c>
      <c r="E9">
        <f t="shared" ca="1" si="1"/>
        <v>832868346.01000011</v>
      </c>
      <c r="F9">
        <f ca="1">SUM($E$2:E9)/SUM($D$2:D9)</f>
        <v>9.367392731503239</v>
      </c>
      <c r="G9">
        <f ca="1">_xlfn.STDEV.P($C$2:C9)</f>
        <v>6.0505681551405149E-2</v>
      </c>
      <c r="H9">
        <f t="shared" ca="1" si="2"/>
        <v>9.4278984130546437</v>
      </c>
      <c r="I9">
        <f t="shared" ca="1" si="3"/>
        <v>9.3068870499518344</v>
      </c>
      <c r="N9">
        <f t="shared" ca="1" si="4"/>
        <v>5.0000000000000711E-2</v>
      </c>
      <c r="O9">
        <f t="shared" ca="1" si="5"/>
        <v>5.0000000000000711E-2</v>
      </c>
      <c r="P9">
        <f t="shared" ca="1" si="6"/>
        <v>0</v>
      </c>
    </row>
    <row r="10" spans="1:31" x14ac:dyDescent="0.25">
      <c r="A10" s="20">
        <f t="shared" ca="1" si="0"/>
        <v>45712</v>
      </c>
      <c r="B10" vm="25">
        <f ca="1"/>
        <v>45715</v>
      </c>
      <c r="C10" vm="5">
        <f ca="1"/>
        <v>9.2899999999999991</v>
      </c>
      <c r="D10" vm="26">
        <f ca="1"/>
        <v>70518755</v>
      </c>
      <c r="E10">
        <f t="shared" ca="1" si="1"/>
        <v>655119233.94999993</v>
      </c>
      <c r="F10">
        <f ca="1">SUM($E$2:E10)/SUM($D$2:D10)</f>
        <v>9.3580656984049924</v>
      </c>
      <c r="G10">
        <f ca="1">_xlfn.STDEV.P($C$2:C10)</f>
        <v>6.0999898805826243E-2</v>
      </c>
      <c r="H10">
        <f t="shared" ca="1" si="2"/>
        <v>9.4190655972108193</v>
      </c>
      <c r="I10">
        <f t="shared" ca="1" si="3"/>
        <v>9.2970657995991655</v>
      </c>
      <c r="N10">
        <f t="shared" ca="1" si="4"/>
        <v>-0.18000000000000149</v>
      </c>
      <c r="O10">
        <f t="shared" ca="1" si="5"/>
        <v>0</v>
      </c>
      <c r="P10">
        <f t="shared" ca="1" si="6"/>
        <v>0.18000000000000149</v>
      </c>
    </row>
    <row r="11" spans="1:31" x14ac:dyDescent="0.25">
      <c r="A11" s="20">
        <f t="shared" ca="1" si="0"/>
        <v>45712</v>
      </c>
      <c r="B11" vm="27">
        <f ca="1"/>
        <v>45716</v>
      </c>
      <c r="C11" vm="28">
        <f ca="1"/>
        <v>9.5500000000000007</v>
      </c>
      <c r="D11" vm="29">
        <f ca="1"/>
        <v>137992574</v>
      </c>
      <c r="E11">
        <f t="shared" ca="1" si="1"/>
        <v>1317829081.7</v>
      </c>
      <c r="F11">
        <f ca="1">SUM($E$2:E11)/SUM($D$2:D11)</f>
        <v>9.394691671226802</v>
      </c>
      <c r="G11">
        <f ca="1">_xlfn.STDEV.P($C$2:C11)</f>
        <v>8.3120394609265916E-2</v>
      </c>
      <c r="H11">
        <f t="shared" ca="1" si="2"/>
        <v>9.4778120658360674</v>
      </c>
      <c r="I11">
        <f t="shared" ca="1" si="3"/>
        <v>9.3115712766175367</v>
      </c>
      <c r="N11">
        <f t="shared" ca="1" si="4"/>
        <v>0.26000000000000156</v>
      </c>
      <c r="O11">
        <f t="shared" ca="1" si="5"/>
        <v>0.26000000000000156</v>
      </c>
      <c r="P11">
        <f t="shared" ca="1" si="6"/>
        <v>0</v>
      </c>
    </row>
    <row r="12" spans="1:31" x14ac:dyDescent="0.25">
      <c r="A12" s="20">
        <f t="shared" ca="1" si="0"/>
        <v>45719</v>
      </c>
      <c r="B12" vm="30">
        <f ca="1"/>
        <v>45719</v>
      </c>
      <c r="C12" vm="11">
        <f ca="1"/>
        <v>9.39</v>
      </c>
      <c r="D12" vm="31">
        <f ca="1"/>
        <v>154435905</v>
      </c>
      <c r="E12">
        <f t="shared" ca="1" si="1"/>
        <v>1450153147.95</v>
      </c>
      <c r="F12">
        <f ca="1">SUM($E$2:E12)/SUM($D$2:D12)</f>
        <v>9.3938660253268207</v>
      </c>
      <c r="G12">
        <f ca="1">_xlfn.STDEV.P($C$2:C12)</f>
        <v>7.9440190090740395E-2</v>
      </c>
      <c r="H12">
        <f t="shared" ca="1" si="2"/>
        <v>9.4733062154175602</v>
      </c>
      <c r="I12">
        <f t="shared" ca="1" si="3"/>
        <v>9.3144258352360811</v>
      </c>
      <c r="N12">
        <f t="shared" ca="1" si="4"/>
        <v>-0.16000000000000014</v>
      </c>
      <c r="O12">
        <f t="shared" ca="1" si="5"/>
        <v>0</v>
      </c>
      <c r="P12">
        <f t="shared" ca="1" si="6"/>
        <v>0.16000000000000014</v>
      </c>
    </row>
    <row r="13" spans="1:31" x14ac:dyDescent="0.25">
      <c r="A13" s="20">
        <f t="shared" ca="1" si="0"/>
        <v>45719</v>
      </c>
      <c r="B13" vm="32">
        <f ca="1"/>
        <v>45720</v>
      </c>
      <c r="C13" vm="33">
        <f ca="1"/>
        <v>9.1199999999999992</v>
      </c>
      <c r="D13" vm="34">
        <f ca="1"/>
        <v>167499954</v>
      </c>
      <c r="E13">
        <f t="shared" ca="1" si="1"/>
        <v>1527599580.4799998</v>
      </c>
      <c r="F13">
        <f ca="1">SUM($E$2:E13)/SUM($D$2:D13)</f>
        <v>9.3499718111925745</v>
      </c>
      <c r="G13">
        <f ca="1">_xlfn.STDEV.P($C$2:C13)</f>
        <v>0.10326610716439827</v>
      </c>
      <c r="H13">
        <f t="shared" ca="1" si="2"/>
        <v>9.4532379183569724</v>
      </c>
      <c r="I13">
        <f t="shared" ca="1" si="3"/>
        <v>9.2467057040281766</v>
      </c>
      <c r="N13">
        <f t="shared" ca="1" si="4"/>
        <v>-0.27000000000000135</v>
      </c>
      <c r="O13">
        <f t="shared" ca="1" si="5"/>
        <v>0</v>
      </c>
      <c r="P13">
        <f t="shared" ca="1" si="6"/>
        <v>0.27000000000000135</v>
      </c>
      <c r="W13" s="9">
        <f ca="1">AVERAGE(C2:C13)</f>
        <v>9.3516666666666666</v>
      </c>
    </row>
    <row r="14" spans="1:31" x14ac:dyDescent="0.25">
      <c r="A14" s="20">
        <f t="shared" ca="1" si="0"/>
        <v>45719</v>
      </c>
      <c r="B14" vm="35">
        <f ca="1"/>
        <v>45721</v>
      </c>
      <c r="C14" vm="36">
        <f ca="1"/>
        <v>9.65</v>
      </c>
      <c r="D14" vm="37">
        <f ca="1"/>
        <v>157774904</v>
      </c>
      <c r="E14">
        <f t="shared" ca="1" si="1"/>
        <v>1522527823.6000001</v>
      </c>
      <c r="F14">
        <f ca="1">SUM($E$2:E14)/SUM($D$2:D14)</f>
        <v>9.3893259293730367</v>
      </c>
      <c r="G14">
        <f ca="1">_xlfn.STDEV.P($C$2:C14)</f>
        <v>0.12713502117617934</v>
      </c>
      <c r="H14">
        <f t="shared" ca="1" si="2"/>
        <v>9.5164609505492166</v>
      </c>
      <c r="I14">
        <f t="shared" ca="1" si="3"/>
        <v>9.2621909081968568</v>
      </c>
      <c r="N14">
        <f t="shared" ca="1" si="4"/>
        <v>0.53000000000000114</v>
      </c>
      <c r="O14">
        <f t="shared" ca="1" si="5"/>
        <v>0.53000000000000114</v>
      </c>
      <c r="P14">
        <f t="shared" ca="1" si="6"/>
        <v>0</v>
      </c>
      <c r="W14">
        <f ca="1">C14*(2/(12+1)) + W13*(1-(2/(12+1)))</f>
        <v>9.3975641025641021</v>
      </c>
    </row>
    <row r="15" spans="1:31" x14ac:dyDescent="0.25">
      <c r="A15" s="20">
        <f t="shared" ca="1" si="0"/>
        <v>45719</v>
      </c>
      <c r="B15" vm="38">
        <f ca="1"/>
        <v>45722</v>
      </c>
      <c r="C15" vm="39">
        <f ca="1"/>
        <v>9.61</v>
      </c>
      <c r="D15" vm="40">
        <f ca="1"/>
        <v>136680746</v>
      </c>
      <c r="E15">
        <f t="shared" ca="1" si="1"/>
        <v>1313501969.0599999</v>
      </c>
      <c r="F15">
        <f ca="1">SUM($E$2:E15)/SUM($D$2:D15)</f>
        <v>9.4118427704603036</v>
      </c>
      <c r="G15">
        <f ca="1">_xlfn.STDEV.P($C$2:C15)</f>
        <v>0.13668823456826062</v>
      </c>
      <c r="H15">
        <f t="shared" ca="1" si="2"/>
        <v>9.5485310050285648</v>
      </c>
      <c r="I15">
        <f t="shared" ca="1" si="3"/>
        <v>9.2751545358920424</v>
      </c>
      <c r="N15">
        <f t="shared" ca="1" si="4"/>
        <v>-4.0000000000000924E-2</v>
      </c>
      <c r="O15">
        <f t="shared" ca="1" si="5"/>
        <v>0</v>
      </c>
      <c r="P15">
        <f t="shared" ca="1" si="6"/>
        <v>4.0000000000000924E-2</v>
      </c>
      <c r="Q15" s="2">
        <f ca="1">AVERAGE(O3:O16)</f>
        <v>9.7857142857143309E-2</v>
      </c>
      <c r="R15" s="2">
        <f ca="1">AVERAGE(P3:P16)</f>
        <v>5.7142857142857571E-2</v>
      </c>
      <c r="S15">
        <f ca="1">IF(R15=0,NA(),Q15/R15)</f>
        <v>1.712499999999995</v>
      </c>
      <c r="T15">
        <f ca="1">100-(100/(1+S15))</f>
        <v>63.133640552995324</v>
      </c>
      <c r="U15">
        <f>70</f>
        <v>70</v>
      </c>
      <c r="V15">
        <f>30</f>
        <v>30</v>
      </c>
      <c r="W15">
        <f t="shared" ref="W15:W78" ca="1" si="7">C15*(2/(12+1)) + W14*(1-(2/(12+1)))</f>
        <v>9.4302465483234705</v>
      </c>
    </row>
    <row r="16" spans="1:31" x14ac:dyDescent="0.25">
      <c r="A16" s="20">
        <f t="shared" ca="1" si="0"/>
        <v>45719</v>
      </c>
      <c r="B16" vm="41">
        <f ca="1"/>
        <v>45723</v>
      </c>
      <c r="C16" vm="42">
        <f ca="1"/>
        <v>9.9</v>
      </c>
      <c r="D16" vm="43">
        <f ca="1"/>
        <v>150644884</v>
      </c>
      <c r="E16">
        <f t="shared" ca="1" si="1"/>
        <v>1491384351.6000001</v>
      </c>
      <c r="F16">
        <f ca="1">SUM($E$2:E16)/SUM($D$2:D16)</f>
        <v>9.4611917306904818</v>
      </c>
      <c r="G16">
        <f ca="1">_xlfn.STDEV.P($C$2:C16)</f>
        <v>0.18311623509551431</v>
      </c>
      <c r="H16">
        <f t="shared" ca="1" si="2"/>
        <v>9.6443079657859965</v>
      </c>
      <c r="I16">
        <f t="shared" ca="1" si="3"/>
        <v>9.2780754955949671</v>
      </c>
      <c r="N16">
        <f t="shared" ca="1" si="4"/>
        <v>0.29000000000000092</v>
      </c>
      <c r="O16">
        <f t="shared" ca="1" si="5"/>
        <v>0.29000000000000092</v>
      </c>
      <c r="P16">
        <f t="shared" ca="1" si="6"/>
        <v>0</v>
      </c>
      <c r="Q16">
        <f ca="1">(Q15*13+O16)/14</f>
        <v>0.11158163265306172</v>
      </c>
      <c r="R16">
        <f ca="1">(R15*13+P16)/14</f>
        <v>5.3061224489796319E-2</v>
      </c>
      <c r="S16">
        <f t="shared" ref="S16:S79" ca="1" si="8">IF(R16=0,NA(),Q16/R16)</f>
        <v>2.1028846153846086</v>
      </c>
      <c r="T16">
        <f t="shared" ref="T16:T79" ca="1" si="9">100-(100/(1+S16))</f>
        <v>67.771924387976384</v>
      </c>
      <c r="U16">
        <f>70</f>
        <v>70</v>
      </c>
      <c r="V16">
        <f>30</f>
        <v>30</v>
      </c>
      <c r="W16">
        <f t="shared" ca="1" si="7"/>
        <v>9.5025163101198604</v>
      </c>
    </row>
    <row r="17" spans="1:25" x14ac:dyDescent="0.25">
      <c r="A17" s="20">
        <f t="shared" ca="1" si="0"/>
        <v>45726</v>
      </c>
      <c r="B17" vm="44">
        <f ca="1"/>
        <v>45726</v>
      </c>
      <c r="C17" vm="45">
        <f ca="1"/>
        <v>9.9600000000000009</v>
      </c>
      <c r="D17" vm="46">
        <f ca="1"/>
        <v>167183809</v>
      </c>
      <c r="E17">
        <f t="shared" ca="1" si="1"/>
        <v>1665150737.6400001</v>
      </c>
      <c r="F17">
        <f ca="1">SUM($E$2:E17)/SUM($D$2:D17)</f>
        <v>9.5115084559760277</v>
      </c>
      <c r="G17">
        <f ca="1">_xlfn.STDEV.P($C$2:C17)</f>
        <v>0.21951295519854896</v>
      </c>
      <c r="H17">
        <f t="shared" ca="1" si="2"/>
        <v>9.7310214111745772</v>
      </c>
      <c r="I17">
        <f t="shared" ca="1" si="3"/>
        <v>9.2919955007774782</v>
      </c>
      <c r="N17">
        <f t="shared" ca="1" si="4"/>
        <v>6.0000000000000497E-2</v>
      </c>
      <c r="O17">
        <f t="shared" ca="1" si="5"/>
        <v>6.0000000000000497E-2</v>
      </c>
      <c r="P17">
        <f t="shared" ca="1" si="6"/>
        <v>0</v>
      </c>
      <c r="Q17">
        <f t="shared" ref="Q17:Q80" ca="1" si="10">(Q16*13+O17)/14</f>
        <v>0.1078972303207002</v>
      </c>
      <c r="R17">
        <f t="shared" ref="R17:R80" ca="1" si="11">(R16*13+P17)/14</f>
        <v>4.9271137026239434E-2</v>
      </c>
      <c r="S17">
        <f t="shared" ca="1" si="8"/>
        <v>2.1898668639053191</v>
      </c>
      <c r="T17">
        <f t="shared" ca="1" si="9"/>
        <v>68.650729241542365</v>
      </c>
      <c r="U17">
        <f>70</f>
        <v>70</v>
      </c>
      <c r="V17">
        <f>30</f>
        <v>30</v>
      </c>
      <c r="W17">
        <f t="shared" ca="1" si="7"/>
        <v>9.5728984162552671</v>
      </c>
    </row>
    <row r="18" spans="1:25" x14ac:dyDescent="0.25">
      <c r="A18" s="20">
        <f t="shared" ca="1" si="0"/>
        <v>45726</v>
      </c>
      <c r="B18" vm="47">
        <f ca="1"/>
        <v>45727</v>
      </c>
      <c r="C18" vm="48">
        <f ca="1"/>
        <v>9.69</v>
      </c>
      <c r="D18" vm="49">
        <f ca="1"/>
        <v>210126974</v>
      </c>
      <c r="E18">
        <f t="shared" ca="1" si="1"/>
        <v>2036130378.0599999</v>
      </c>
      <c r="F18">
        <f ca="1">SUM($E$2:E18)/SUM($D$2:D18)</f>
        <v>9.5315921261098406</v>
      </c>
      <c r="G18">
        <f ca="1">_xlfn.STDEV.P($C$2:C18)</f>
        <v>0.21980016088857562</v>
      </c>
      <c r="H18">
        <f t="shared" ca="1" si="2"/>
        <v>9.7513922869984171</v>
      </c>
      <c r="I18">
        <f t="shared" ca="1" si="3"/>
        <v>9.3117919652212642</v>
      </c>
      <c r="N18">
        <f t="shared" ca="1" si="4"/>
        <v>-0.27000000000000135</v>
      </c>
      <c r="O18">
        <f t="shared" ca="1" si="5"/>
        <v>0</v>
      </c>
      <c r="P18">
        <f t="shared" ca="1" si="6"/>
        <v>0.27000000000000135</v>
      </c>
      <c r="Q18">
        <f t="shared" ca="1" si="10"/>
        <v>0.10019028529779304</v>
      </c>
      <c r="R18">
        <f t="shared" ca="1" si="11"/>
        <v>6.5037484381508151E-2</v>
      </c>
      <c r="S18">
        <f t="shared" ca="1" si="8"/>
        <v>1.5405006243796193</v>
      </c>
      <c r="T18">
        <f t="shared" ca="1" si="9"/>
        <v>60.637679424141204</v>
      </c>
      <c r="U18">
        <f>70</f>
        <v>70</v>
      </c>
      <c r="V18">
        <f>30</f>
        <v>30</v>
      </c>
      <c r="W18">
        <f t="shared" ca="1" si="7"/>
        <v>9.5909140445236876</v>
      </c>
    </row>
    <row r="19" spans="1:25" x14ac:dyDescent="0.25">
      <c r="A19" s="20">
        <f t="shared" ca="1" si="0"/>
        <v>45726</v>
      </c>
      <c r="B19" vm="50">
        <f ca="1"/>
        <v>45728</v>
      </c>
      <c r="C19" vm="51">
        <f ca="1"/>
        <v>9.59</v>
      </c>
      <c r="D19" vm="52">
        <f ca="1"/>
        <v>129994592</v>
      </c>
      <c r="E19">
        <f t="shared" ca="1" si="1"/>
        <v>1246648137.28</v>
      </c>
      <c r="F19">
        <f ca="1">SUM($E$2:E19)/SUM($D$2:D19)</f>
        <v>9.5353932763242675</v>
      </c>
      <c r="G19">
        <f ca="1">_xlfn.STDEV.P($C$2:C19)</f>
        <v>0.21530053643141356</v>
      </c>
      <c r="H19">
        <f t="shared" ca="1" si="2"/>
        <v>9.7506938127556815</v>
      </c>
      <c r="I19">
        <f t="shared" ca="1" si="3"/>
        <v>9.3200927398928535</v>
      </c>
      <c r="N19">
        <f t="shared" ca="1" si="4"/>
        <v>-9.9999999999999645E-2</v>
      </c>
      <c r="O19">
        <f t="shared" ca="1" si="5"/>
        <v>0</v>
      </c>
      <c r="P19">
        <f t="shared" ca="1" si="6"/>
        <v>9.9999999999999645E-2</v>
      </c>
      <c r="Q19">
        <f t="shared" ca="1" si="10"/>
        <v>9.3033836347950691E-2</v>
      </c>
      <c r="R19">
        <f t="shared" ca="1" si="11"/>
        <v>6.7534806925686114E-2</v>
      </c>
      <c r="S19">
        <f t="shared" ca="1" si="8"/>
        <v>1.3775687024666137</v>
      </c>
      <c r="T19">
        <f t="shared" ca="1" si="9"/>
        <v>57.940226965363912</v>
      </c>
      <c r="U19">
        <f>70</f>
        <v>70</v>
      </c>
      <c r="V19">
        <f>30</f>
        <v>30</v>
      </c>
      <c r="W19">
        <f t="shared" ca="1" si="7"/>
        <v>9.5907734222892742</v>
      </c>
    </row>
    <row r="20" spans="1:25" x14ac:dyDescent="0.25">
      <c r="A20" s="20">
        <f t="shared" ca="1" si="0"/>
        <v>45726</v>
      </c>
      <c r="B20" vm="53">
        <f ca="1"/>
        <v>45729</v>
      </c>
      <c r="C20" vm="54">
        <f ca="1"/>
        <v>9.5299999999999994</v>
      </c>
      <c r="D20" vm="55">
        <f ca="1"/>
        <v>137747632</v>
      </c>
      <c r="E20">
        <f t="shared" ca="1" si="1"/>
        <v>1312734932.9599998</v>
      </c>
      <c r="F20">
        <f ca="1">SUM($E$2:E20)/SUM($D$2:D20)</f>
        <v>9.5350453451276582</v>
      </c>
      <c r="G20">
        <f ca="1">_xlfn.STDEV.P($C$2:C20)</f>
        <v>0.2098687097836657</v>
      </c>
      <c r="H20">
        <f t="shared" ca="1" si="2"/>
        <v>9.7449140549113231</v>
      </c>
      <c r="I20">
        <f t="shared" ca="1" si="3"/>
        <v>9.3251766353439933</v>
      </c>
      <c r="N20">
        <f t="shared" ca="1" si="4"/>
        <v>-6.0000000000000497E-2</v>
      </c>
      <c r="O20">
        <f t="shared" ca="1" si="5"/>
        <v>0</v>
      </c>
      <c r="P20">
        <f t="shared" ca="1" si="6"/>
        <v>6.0000000000000497E-2</v>
      </c>
      <c r="Q20">
        <f t="shared" ca="1" si="10"/>
        <v>8.6388562323097079E-2</v>
      </c>
      <c r="R20">
        <f t="shared" ca="1" si="11"/>
        <v>6.6996606430994282E-2</v>
      </c>
      <c r="S20">
        <f t="shared" ca="1" si="8"/>
        <v>1.289446838058526</v>
      </c>
      <c r="T20">
        <f t="shared" ca="1" si="9"/>
        <v>56.321326908467981</v>
      </c>
      <c r="U20">
        <f>70</f>
        <v>70</v>
      </c>
      <c r="V20">
        <f>30</f>
        <v>30</v>
      </c>
      <c r="W20">
        <f t="shared" ca="1" si="7"/>
        <v>9.5814236650140003</v>
      </c>
    </row>
    <row r="21" spans="1:25" x14ac:dyDescent="0.25">
      <c r="A21" s="20">
        <f t="shared" ca="1" si="0"/>
        <v>45726</v>
      </c>
      <c r="B21" vm="56">
        <f ca="1"/>
        <v>45730</v>
      </c>
      <c r="C21" vm="57">
        <f ca="1"/>
        <v>9.73</v>
      </c>
      <c r="D21" vm="58">
        <f ca="1"/>
        <v>91313759</v>
      </c>
      <c r="E21">
        <f t="shared" ca="1" si="1"/>
        <v>888482875.07000005</v>
      </c>
      <c r="F21">
        <f ca="1">SUM($E$2:E21)/SUM($D$2:D21)</f>
        <v>9.5430407371999451</v>
      </c>
      <c r="G21">
        <f ca="1">_xlfn.STDEV.P($C$2:C21)</f>
        <v>0.21159867674444499</v>
      </c>
      <c r="H21">
        <f t="shared" ca="1" si="2"/>
        <v>9.7546394139443908</v>
      </c>
      <c r="I21">
        <f t="shared" ca="1" si="3"/>
        <v>9.3314420604554993</v>
      </c>
      <c r="J21">
        <f ca="1">AVERAGE(C2:C21)</f>
        <v>9.4940000000000015</v>
      </c>
      <c r="K21">
        <f ca="1">_xlfn.STDEV.S(C2:C21)</f>
        <v>0.21709566166966487</v>
      </c>
      <c r="L21">
        <f ca="1">J21 + 2*K21</f>
        <v>9.9281913233393304</v>
      </c>
      <c r="M21">
        <f ca="1">J21-2*K21</f>
        <v>9.0598086766606727</v>
      </c>
      <c r="N21">
        <f t="shared" ca="1" si="4"/>
        <v>0.20000000000000107</v>
      </c>
      <c r="O21">
        <f t="shared" ca="1" si="5"/>
        <v>0.20000000000000107</v>
      </c>
      <c r="P21">
        <f t="shared" ca="1" si="6"/>
        <v>0</v>
      </c>
      <c r="Q21">
        <f t="shared" ca="1" si="10"/>
        <v>9.4503665014304503E-2</v>
      </c>
      <c r="R21">
        <f t="shared" ca="1" si="11"/>
        <v>6.2211134543066114E-2</v>
      </c>
      <c r="S21">
        <f t="shared" ca="1" si="8"/>
        <v>1.5190795941662765</v>
      </c>
      <c r="T21">
        <f t="shared" ca="1" si="9"/>
        <v>60.302961354781509</v>
      </c>
      <c r="U21">
        <f>70</f>
        <v>70</v>
      </c>
      <c r="V21">
        <f>30</f>
        <v>30</v>
      </c>
      <c r="W21">
        <f t="shared" ca="1" si="7"/>
        <v>9.6042815627041538</v>
      </c>
    </row>
    <row r="22" spans="1:25" x14ac:dyDescent="0.25">
      <c r="A22" s="20">
        <f t="shared" ca="1" si="0"/>
        <v>45733</v>
      </c>
      <c r="B22" vm="59">
        <f ca="1"/>
        <v>45733</v>
      </c>
      <c r="C22" vm="60">
        <f ca="1"/>
        <v>9.92</v>
      </c>
      <c r="D22" vm="61">
        <f ca="1"/>
        <v>98583068</v>
      </c>
      <c r="E22">
        <f t="shared" ca="1" si="1"/>
        <v>977944034.55999994</v>
      </c>
      <c r="F22">
        <f ca="1">SUM($E$2:E22)/SUM($D$2:D22)</f>
        <v>9.5590234767455069</v>
      </c>
      <c r="G22">
        <f ca="1">_xlfn.STDEV.P($C$2:C22)</f>
        <v>0.22554846229477499</v>
      </c>
      <c r="H22">
        <f t="shared" ca="1" si="2"/>
        <v>9.7845719390402817</v>
      </c>
      <c r="I22">
        <f t="shared" ca="1" si="3"/>
        <v>9.3334750144507321</v>
      </c>
      <c r="J22">
        <f t="shared" ref="J22:J85" ca="1" si="12">AVERAGE(C3:C22)</f>
        <v>9.5235000000000003</v>
      </c>
      <c r="K22">
        <f t="shared" ref="K22:K85" ca="1" si="13">_xlfn.STDEV.S(C3:C22)</f>
        <v>0.23313142893632957</v>
      </c>
      <c r="L22">
        <f t="shared" ref="L22:L85" ca="1" si="14">J22 + 2*K22</f>
        <v>9.9897628578726589</v>
      </c>
      <c r="M22">
        <f t="shared" ref="M22:M85" ca="1" si="15">J22-2*K22</f>
        <v>9.0572371421273417</v>
      </c>
      <c r="N22">
        <f t="shared" ca="1" si="4"/>
        <v>0.1899999999999995</v>
      </c>
      <c r="O22">
        <f t="shared" ca="1" si="5"/>
        <v>0.1899999999999995</v>
      </c>
      <c r="P22">
        <f t="shared" ca="1" si="6"/>
        <v>0</v>
      </c>
      <c r="Q22">
        <f t="shared" ca="1" si="10"/>
        <v>0.101324831798997</v>
      </c>
      <c r="R22">
        <f t="shared" ca="1" si="11"/>
        <v>5.776748207570425E-2</v>
      </c>
      <c r="S22">
        <f t="shared" ca="1" si="8"/>
        <v>1.7540115677226655</v>
      </c>
      <c r="T22">
        <f t="shared" ca="1" si="9"/>
        <v>63.68933189242501</v>
      </c>
      <c r="U22">
        <f>70</f>
        <v>70</v>
      </c>
      <c r="V22">
        <f>30</f>
        <v>30</v>
      </c>
      <c r="W22">
        <f t="shared" ca="1" si="7"/>
        <v>9.6528536299804379</v>
      </c>
    </row>
    <row r="23" spans="1:25" x14ac:dyDescent="0.25">
      <c r="A23" s="20">
        <f t="shared" ca="1" si="0"/>
        <v>45733</v>
      </c>
      <c r="B23" vm="62">
        <f ca="1"/>
        <v>45734</v>
      </c>
      <c r="C23" vm="63">
        <f ca="1"/>
        <v>9.9499999999999993</v>
      </c>
      <c r="D23" vm="64">
        <f ca="1"/>
        <v>102730930</v>
      </c>
      <c r="E23">
        <f t="shared" ca="1" si="1"/>
        <v>1022172753.4999999</v>
      </c>
      <c r="F23">
        <f ca="1">SUM($E$2:E23)/SUM($D$2:D23)</f>
        <v>9.5755670658162408</v>
      </c>
      <c r="G23">
        <f ca="1">_xlfn.STDEV.P($C$2:C23)</f>
        <v>0.2383210037458855</v>
      </c>
      <c r="H23">
        <f t="shared" ca="1" si="2"/>
        <v>9.8138880695621271</v>
      </c>
      <c r="I23">
        <f t="shared" ca="1" si="3"/>
        <v>9.3372460620703546</v>
      </c>
      <c r="J23">
        <f t="shared" ca="1" si="12"/>
        <v>9.556499999999998</v>
      </c>
      <c r="K23">
        <f t="shared" ca="1" si="13"/>
        <v>0.24476143057013072</v>
      </c>
      <c r="L23">
        <f t="shared" ca="1" si="14"/>
        <v>10.04602286114026</v>
      </c>
      <c r="M23">
        <f t="shared" ca="1" si="15"/>
        <v>9.0669771388597358</v>
      </c>
      <c r="N23">
        <f t="shared" ca="1" si="4"/>
        <v>2.9999999999999361E-2</v>
      </c>
      <c r="O23">
        <f t="shared" ca="1" si="5"/>
        <v>2.9999999999999361E-2</v>
      </c>
      <c r="P23">
        <f t="shared" ca="1" si="6"/>
        <v>0</v>
      </c>
      <c r="Q23">
        <f t="shared" ca="1" si="10"/>
        <v>9.6230200956211459E-2</v>
      </c>
      <c r="R23">
        <f t="shared" ca="1" si="11"/>
        <v>5.3641233356011085E-2</v>
      </c>
      <c r="S23">
        <f t="shared" ca="1" si="8"/>
        <v>1.7939595146431848</v>
      </c>
      <c r="T23">
        <f t="shared" ca="1" si="9"/>
        <v>64.208500704502541</v>
      </c>
      <c r="U23">
        <f>70</f>
        <v>70</v>
      </c>
      <c r="V23">
        <f>30</f>
        <v>30</v>
      </c>
      <c r="W23">
        <f t="shared" ca="1" si="7"/>
        <v>9.6985684561372931</v>
      </c>
    </row>
    <row r="24" spans="1:25" x14ac:dyDescent="0.25">
      <c r="A24" s="20">
        <f t="shared" ca="1" si="0"/>
        <v>45733</v>
      </c>
      <c r="B24" vm="65">
        <f ca="1"/>
        <v>45735</v>
      </c>
      <c r="C24" vm="66">
        <f ca="1"/>
        <v>10.17</v>
      </c>
      <c r="D24" vm="67">
        <f ca="1"/>
        <v>124697379</v>
      </c>
      <c r="E24">
        <f t="shared" ca="1" si="1"/>
        <v>1268172344.4300001</v>
      </c>
      <c r="F24">
        <f ca="1">SUM($E$2:E24)/SUM($D$2:D24)</f>
        <v>9.6046063613782593</v>
      </c>
      <c r="G24">
        <f ca="1">_xlfn.STDEV.P($C$2:C24)</f>
        <v>0.26672982868867029</v>
      </c>
      <c r="H24">
        <f t="shared" ca="1" si="2"/>
        <v>9.8713361900669288</v>
      </c>
      <c r="I24">
        <f t="shared" ca="1" si="3"/>
        <v>9.3378765326895898</v>
      </c>
      <c r="J24">
        <f t="shared" ca="1" si="12"/>
        <v>9.597999999999999</v>
      </c>
      <c r="K24">
        <f t="shared" ca="1" si="13"/>
        <v>0.27465959793322753</v>
      </c>
      <c r="L24">
        <f t="shared" ca="1" si="14"/>
        <v>10.147319195866453</v>
      </c>
      <c r="M24">
        <f t="shared" ca="1" si="15"/>
        <v>9.0486808041335447</v>
      </c>
      <c r="N24">
        <f t="shared" ca="1" si="4"/>
        <v>0.22000000000000064</v>
      </c>
      <c r="O24">
        <f t="shared" ca="1" si="5"/>
        <v>0.22000000000000064</v>
      </c>
      <c r="P24">
        <f t="shared" ca="1" si="6"/>
        <v>0</v>
      </c>
      <c r="Q24">
        <f t="shared" ca="1" si="10"/>
        <v>0.10507090088791068</v>
      </c>
      <c r="R24">
        <f t="shared" ca="1" si="11"/>
        <v>4.9809716687724583E-2</v>
      </c>
      <c r="S24">
        <f t="shared" ca="1" si="8"/>
        <v>2.1094458646821619</v>
      </c>
      <c r="T24">
        <f t="shared" ca="1" si="9"/>
        <v>67.839928928873093</v>
      </c>
      <c r="U24">
        <f>70</f>
        <v>70</v>
      </c>
      <c r="V24">
        <f>30</f>
        <v>30</v>
      </c>
      <c r="W24">
        <f t="shared" ca="1" si="7"/>
        <v>9.7710963859623252</v>
      </c>
    </row>
    <row r="25" spans="1:25" x14ac:dyDescent="0.25">
      <c r="A25" s="20">
        <f t="shared" ca="1" si="0"/>
        <v>45733</v>
      </c>
      <c r="B25" vm="68">
        <f ca="1"/>
        <v>45736</v>
      </c>
      <c r="C25" vm="69">
        <f ca="1"/>
        <v>10.01</v>
      </c>
      <c r="D25" vm="70">
        <f ca="1"/>
        <v>109103733</v>
      </c>
      <c r="E25">
        <f t="shared" ca="1" si="1"/>
        <v>1092128367.3299999</v>
      </c>
      <c r="F25">
        <f ca="1">SUM($E$2:E25)/SUM($D$2:D25)</f>
        <v>9.6212238398531476</v>
      </c>
      <c r="G25">
        <f ca="1">_xlfn.STDEV.P($C$2:C25)</f>
        <v>0.27605070739912196</v>
      </c>
      <c r="H25">
        <f t="shared" ca="1" si="2"/>
        <v>9.8972745472522696</v>
      </c>
      <c r="I25">
        <f t="shared" ca="1" si="3"/>
        <v>9.3451731324540255</v>
      </c>
      <c r="J25">
        <f t="shared" ca="1" si="12"/>
        <v>9.6289999999999978</v>
      </c>
      <c r="K25">
        <f t="shared" ca="1" si="13"/>
        <v>0.28475104546732916</v>
      </c>
      <c r="L25">
        <f t="shared" ca="1" si="14"/>
        <v>10.198502090934657</v>
      </c>
      <c r="M25">
        <f t="shared" ca="1" si="15"/>
        <v>9.0594979090653389</v>
      </c>
      <c r="N25">
        <f t="shared" ca="1" si="4"/>
        <v>-0.16000000000000014</v>
      </c>
      <c r="O25">
        <f t="shared" ca="1" si="5"/>
        <v>0</v>
      </c>
      <c r="P25">
        <f t="shared" ca="1" si="6"/>
        <v>0.16000000000000014</v>
      </c>
      <c r="Q25">
        <f t="shared" ca="1" si="10"/>
        <v>9.7565836538774195E-2</v>
      </c>
      <c r="R25">
        <f t="shared" ca="1" si="11"/>
        <v>5.768045121002998E-2</v>
      </c>
      <c r="S25">
        <f t="shared" ca="1" si="8"/>
        <v>1.6914887885240502</v>
      </c>
      <c r="T25">
        <f t="shared" ca="1" si="9"/>
        <v>62.845841890042692</v>
      </c>
      <c r="U25">
        <f>70</f>
        <v>70</v>
      </c>
      <c r="V25">
        <f>30</f>
        <v>30</v>
      </c>
      <c r="W25">
        <f t="shared" ca="1" si="7"/>
        <v>9.8078507881219679</v>
      </c>
    </row>
    <row r="26" spans="1:25" x14ac:dyDescent="0.25">
      <c r="A26" s="20">
        <f t="shared" ca="1" si="0"/>
        <v>45733</v>
      </c>
      <c r="B26" vm="71">
        <f ca="1"/>
        <v>45737</v>
      </c>
      <c r="C26" vm="72">
        <f ca="1"/>
        <v>10</v>
      </c>
      <c r="D26" vm="73">
        <f ca="1"/>
        <v>240638631</v>
      </c>
      <c r="E26">
        <f t="shared" ca="1" si="1"/>
        <v>2406386310</v>
      </c>
      <c r="F26">
        <f ca="1">SUM($E$2:E26)/SUM($D$2:D26)</f>
        <v>9.6526294297254811</v>
      </c>
      <c r="G26">
        <f ca="1">_xlfn.STDEV.P($C$2:C26)</f>
        <v>0.28269446404201137</v>
      </c>
      <c r="H26">
        <f t="shared" ca="1" si="2"/>
        <v>9.9353238937674924</v>
      </c>
      <c r="I26">
        <f t="shared" ca="1" si="3"/>
        <v>9.3699349656834698</v>
      </c>
      <c r="J26">
        <f t="shared" ca="1" si="12"/>
        <v>9.6649999999999974</v>
      </c>
      <c r="K26">
        <f t="shared" ca="1" si="13"/>
        <v>0.2838179549974727</v>
      </c>
      <c r="L26">
        <f t="shared" ca="1" si="14"/>
        <v>10.232635909994944</v>
      </c>
      <c r="M26">
        <f t="shared" ca="1" si="15"/>
        <v>9.0973640900050512</v>
      </c>
      <c r="N26">
        <f t="shared" ca="1" si="4"/>
        <v>-9.9999999999997868E-3</v>
      </c>
      <c r="O26">
        <f t="shared" ca="1" si="5"/>
        <v>0</v>
      </c>
      <c r="P26">
        <f t="shared" ca="1" si="6"/>
        <v>9.9999999999997868E-3</v>
      </c>
      <c r="Q26">
        <f t="shared" ca="1" si="10"/>
        <v>9.0596848214576031E-2</v>
      </c>
      <c r="R26">
        <f t="shared" ca="1" si="11"/>
        <v>5.427470469502782E-2</v>
      </c>
      <c r="S26">
        <f t="shared" ca="1" si="8"/>
        <v>1.6692278423925857</v>
      </c>
      <c r="T26">
        <f t="shared" ca="1" si="9"/>
        <v>62.535981975085299</v>
      </c>
      <c r="U26">
        <f>70</f>
        <v>70</v>
      </c>
      <c r="V26">
        <f>30</f>
        <v>30</v>
      </c>
      <c r="W26">
        <f t="shared" ca="1" si="7"/>
        <v>9.8374122053339725</v>
      </c>
    </row>
    <row r="27" spans="1:25" x14ac:dyDescent="0.25">
      <c r="A27" s="20">
        <f t="shared" ca="1" si="0"/>
        <v>45740</v>
      </c>
      <c r="B27" vm="74">
        <f ca="1"/>
        <v>45740</v>
      </c>
      <c r="C27" vm="75">
        <f ca="1"/>
        <v>10.25</v>
      </c>
      <c r="D27" vm="76">
        <f ca="1"/>
        <v>102847191</v>
      </c>
      <c r="E27">
        <f t="shared" ca="1" si="1"/>
        <v>1054183707.75</v>
      </c>
      <c r="F27">
        <f ca="1">SUM($E$2:E27)/SUM($D$2:D27)</f>
        <v>9.6730737058121292</v>
      </c>
      <c r="G27">
        <f ca="1">_xlfn.STDEV.P($C$2:C27)</f>
        <v>0.30430637006790606</v>
      </c>
      <c r="H27">
        <f t="shared" ca="1" si="2"/>
        <v>9.9773800758800348</v>
      </c>
      <c r="I27">
        <f t="shared" ca="1" si="3"/>
        <v>9.3687673357442236</v>
      </c>
      <c r="J27">
        <f t="shared" ca="1" si="12"/>
        <v>9.7099999999999973</v>
      </c>
      <c r="K27">
        <f t="shared" ca="1" si="13"/>
        <v>0.30201080496530175</v>
      </c>
      <c r="L27">
        <f t="shared" ca="1" si="14"/>
        <v>10.314021609930601</v>
      </c>
      <c r="M27">
        <f t="shared" ca="1" si="15"/>
        <v>9.105978390069394</v>
      </c>
      <c r="N27">
        <f t="shared" ca="1" si="4"/>
        <v>0.25</v>
      </c>
      <c r="O27">
        <f t="shared" ca="1" si="5"/>
        <v>0.25</v>
      </c>
      <c r="P27">
        <f t="shared" ca="1" si="6"/>
        <v>0</v>
      </c>
      <c r="Q27">
        <f t="shared" ca="1" si="10"/>
        <v>0.10198278762782061</v>
      </c>
      <c r="R27">
        <f t="shared" ca="1" si="11"/>
        <v>5.0397940073954407E-2</v>
      </c>
      <c r="S27">
        <f t="shared" ca="1" si="8"/>
        <v>2.0235507141397071</v>
      </c>
      <c r="T27">
        <f t="shared" ca="1" si="9"/>
        <v>66.926303060720102</v>
      </c>
      <c r="U27">
        <f>70</f>
        <v>70</v>
      </c>
      <c r="V27">
        <f>30</f>
        <v>30</v>
      </c>
      <c r="W27">
        <f t="shared" ca="1" si="7"/>
        <v>9.900887250667207</v>
      </c>
      <c r="X27" s="9">
        <f ca="1">AVERAGE(C2:C27)</f>
        <v>9.6223076923076913</v>
      </c>
      <c r="Y27">
        <f ca="1">W28-X28</f>
        <v>0.28898436879817879</v>
      </c>
    </row>
    <row r="28" spans="1:25" x14ac:dyDescent="0.25">
      <c r="A28" s="20">
        <f t="shared" ca="1" si="0"/>
        <v>45740</v>
      </c>
      <c r="B28" vm="77">
        <f ca="1"/>
        <v>45741</v>
      </c>
      <c r="C28" vm="78">
        <f ca="1"/>
        <v>10.29</v>
      </c>
      <c r="D28" vm="79">
        <f ca="1"/>
        <v>83674856</v>
      </c>
      <c r="E28">
        <f t="shared" ca="1" si="1"/>
        <v>861014268.23999989</v>
      </c>
      <c r="F28">
        <f ca="1">SUM($E$2:E28)/SUM($D$2:D28)</f>
        <v>9.6897860188064779</v>
      </c>
      <c r="G28">
        <f ca="1">_xlfn.STDEV.P($C$2:C28)</f>
        <v>0.32414919764201422</v>
      </c>
      <c r="H28">
        <f t="shared" ca="1" si="2"/>
        <v>10.013935216448493</v>
      </c>
      <c r="I28">
        <f t="shared" ca="1" si="3"/>
        <v>9.3656368211644629</v>
      </c>
      <c r="J28">
        <f t="shared" ca="1" si="12"/>
        <v>9.7534999999999989</v>
      </c>
      <c r="K28">
        <f t="shared" ca="1" si="13"/>
        <v>0.32015251299802</v>
      </c>
      <c r="L28">
        <f t="shared" ca="1" si="14"/>
        <v>10.39380502599604</v>
      </c>
      <c r="M28">
        <f t="shared" ca="1" si="15"/>
        <v>9.1131949740039584</v>
      </c>
      <c r="N28">
        <f t="shared" ca="1" si="4"/>
        <v>3.9999999999999147E-2</v>
      </c>
      <c r="O28">
        <f t="shared" ca="1" si="5"/>
        <v>3.9999999999999147E-2</v>
      </c>
      <c r="P28">
        <f t="shared" ca="1" si="6"/>
        <v>0</v>
      </c>
      <c r="Q28">
        <f t="shared" ca="1" si="10"/>
        <v>9.7555445654404785E-2</v>
      </c>
      <c r="R28">
        <f t="shared" ca="1" si="11"/>
        <v>4.6798087211529095E-2</v>
      </c>
      <c r="S28">
        <f t="shared" ca="1" si="8"/>
        <v>2.0846032705022868</v>
      </c>
      <c r="T28">
        <f t="shared" ca="1" si="9"/>
        <v>67.580920063111932</v>
      </c>
      <c r="U28">
        <f>70</f>
        <v>70</v>
      </c>
      <c r="V28">
        <f>30</f>
        <v>30</v>
      </c>
      <c r="W28">
        <f t="shared" ca="1" si="7"/>
        <v>9.9607507505645607</v>
      </c>
      <c r="X28">
        <f ca="1">C28*(2/(26+1)) + X27*(1-(2/(26+1)))</f>
        <v>9.6717663817663819</v>
      </c>
      <c r="Y28">
        <f t="shared" ref="Y28:Y91" ca="1" si="16">W29-X29</f>
        <v>0.29464073744615504</v>
      </c>
    </row>
    <row r="29" spans="1:25" x14ac:dyDescent="0.25">
      <c r="A29" s="20">
        <f t="shared" ca="1" si="0"/>
        <v>45740</v>
      </c>
      <c r="B29" vm="80">
        <f ca="1"/>
        <v>45742</v>
      </c>
      <c r="C29" vm="81">
        <f ca="1"/>
        <v>10.3</v>
      </c>
      <c r="D29" vm="82">
        <f ca="1"/>
        <v>140975582</v>
      </c>
      <c r="E29">
        <f t="shared" ca="1" si="1"/>
        <v>1452048494.6000001</v>
      </c>
      <c r="F29">
        <f ca="1">SUM($E$2:E29)/SUM($D$2:D29)</f>
        <v>9.7164209685284177</v>
      </c>
      <c r="G29">
        <f ca="1">_xlfn.STDEV.P($C$2:C29)</f>
        <v>0.34059278306733259</v>
      </c>
      <c r="H29">
        <f t="shared" ca="1" si="2"/>
        <v>10.057013751595751</v>
      </c>
      <c r="I29">
        <f t="shared" ca="1" si="3"/>
        <v>9.375828185461085</v>
      </c>
      <c r="J29">
        <f t="shared" ca="1" si="12"/>
        <v>9.7949999999999982</v>
      </c>
      <c r="K29">
        <f t="shared" ca="1" si="13"/>
        <v>0.3349234005120072</v>
      </c>
      <c r="L29">
        <f t="shared" ca="1" si="14"/>
        <v>10.464846801024013</v>
      </c>
      <c r="M29">
        <f t="shared" ca="1" si="15"/>
        <v>9.1251531989759833</v>
      </c>
      <c r="N29">
        <f t="shared" ca="1" si="4"/>
        <v>1.0000000000001563E-2</v>
      </c>
      <c r="O29">
        <f t="shared" ca="1" si="5"/>
        <v>1.0000000000001563E-2</v>
      </c>
      <c r="P29">
        <f t="shared" ca="1" si="6"/>
        <v>0</v>
      </c>
      <c r="Q29">
        <f t="shared" ca="1" si="10"/>
        <v>9.1301485250518843E-2</v>
      </c>
      <c r="R29">
        <f t="shared" ca="1" si="11"/>
        <v>4.3455366696419875E-2</v>
      </c>
      <c r="S29">
        <f t="shared" ca="1" si="8"/>
        <v>2.1010404972152918</v>
      </c>
      <c r="T29">
        <f t="shared" ca="1" si="9"/>
        <v>67.752759085281497</v>
      </c>
      <c r="U29">
        <f>70</f>
        <v>70</v>
      </c>
      <c r="V29">
        <f>30</f>
        <v>30</v>
      </c>
      <c r="W29">
        <f t="shared" ca="1" si="7"/>
        <v>10.012942942785397</v>
      </c>
      <c r="X29">
        <f t="shared" ref="X29:X92" ca="1" si="17">C29*(2/(26+1)) + X28*(1-(2/(26+1)))</f>
        <v>9.7183022053392421</v>
      </c>
      <c r="Y29">
        <f t="shared" ca="1" si="16"/>
        <v>0.2638058041937601</v>
      </c>
    </row>
    <row r="30" spans="1:25" x14ac:dyDescent="0.25">
      <c r="A30" s="20">
        <f t="shared" ca="1" si="0"/>
        <v>45740</v>
      </c>
      <c r="B30" vm="83">
        <f ca="1"/>
        <v>45743</v>
      </c>
      <c r="C30" vm="42">
        <f ca="1"/>
        <v>9.9</v>
      </c>
      <c r="D30" vm="84">
        <f ca="1"/>
        <v>229032469</v>
      </c>
      <c r="E30">
        <f t="shared" ca="1" si="1"/>
        <v>2267421443.0999999</v>
      </c>
      <c r="F30">
        <f ca="1">SUM($E$2:E30)/SUM($D$2:D30)</f>
        <v>9.7285770042205773</v>
      </c>
      <c r="G30">
        <f ca="1">_xlfn.STDEV.P($C$2:C30)</f>
        <v>0.33728192408415858</v>
      </c>
      <c r="H30">
        <f t="shared" ca="1" si="2"/>
        <v>10.065858928304737</v>
      </c>
      <c r="I30">
        <f t="shared" ca="1" si="3"/>
        <v>9.3912950801364179</v>
      </c>
      <c r="J30">
        <f t="shared" ca="1" si="12"/>
        <v>9.8255000000000017</v>
      </c>
      <c r="K30">
        <f t="shared" ca="1" si="13"/>
        <v>0.31361181167336899</v>
      </c>
      <c r="L30">
        <f t="shared" ca="1" si="14"/>
        <v>10.45272362334674</v>
      </c>
      <c r="M30">
        <f t="shared" ca="1" si="15"/>
        <v>9.1982763766532631</v>
      </c>
      <c r="N30">
        <f t="shared" ca="1" si="4"/>
        <v>-0.40000000000000036</v>
      </c>
      <c r="O30">
        <f t="shared" ca="1" si="5"/>
        <v>0</v>
      </c>
      <c r="P30">
        <f t="shared" ca="1" si="6"/>
        <v>0.40000000000000036</v>
      </c>
      <c r="Q30">
        <f t="shared" ca="1" si="10"/>
        <v>8.4779950589767505E-2</v>
      </c>
      <c r="R30">
        <f t="shared" ca="1" si="11"/>
        <v>6.8922840503818486E-2</v>
      </c>
      <c r="S30">
        <f t="shared" ca="1" si="8"/>
        <v>1.230070466771759</v>
      </c>
      <c r="T30">
        <f t="shared" ca="1" si="9"/>
        <v>55.158367643530298</v>
      </c>
      <c r="U30">
        <f>70</f>
        <v>70</v>
      </c>
      <c r="V30">
        <f>30</f>
        <v>30</v>
      </c>
      <c r="W30">
        <f t="shared" ca="1" si="7"/>
        <v>9.995567105433798</v>
      </c>
      <c r="X30">
        <f t="shared" ca="1" si="17"/>
        <v>9.7317613012400379</v>
      </c>
      <c r="Y30">
        <f t="shared" ca="1" si="16"/>
        <v>0.22228207239551345</v>
      </c>
    </row>
    <row r="31" spans="1:25" x14ac:dyDescent="0.25">
      <c r="A31" s="20">
        <f t="shared" ca="1" si="0"/>
        <v>45740</v>
      </c>
      <c r="B31" vm="85">
        <f ca="1"/>
        <v>45744</v>
      </c>
      <c r="C31" vm="86">
        <f ca="1"/>
        <v>9.7200000000000006</v>
      </c>
      <c r="D31" vm="87">
        <f ca="1"/>
        <v>136868327</v>
      </c>
      <c r="E31">
        <f t="shared" ca="1" si="1"/>
        <v>1330360138.4400001</v>
      </c>
      <c r="F31">
        <f ca="1">SUM($E$2:E31)/SUM($D$2:D31)</f>
        <v>9.7282505243956052</v>
      </c>
      <c r="G31">
        <f ca="1">_xlfn.STDEV.P($C$2:C31)</f>
        <v>0.33169748600527904</v>
      </c>
      <c r="H31">
        <f t="shared" ca="1" si="2"/>
        <v>10.059948010400884</v>
      </c>
      <c r="I31">
        <f t="shared" ca="1" si="3"/>
        <v>9.3965530383903264</v>
      </c>
      <c r="J31">
        <f t="shared" ca="1" si="12"/>
        <v>9.8339999999999996</v>
      </c>
      <c r="K31">
        <f t="shared" ca="1" si="13"/>
        <v>0.30800546816745428</v>
      </c>
      <c r="L31">
        <f t="shared" ca="1" si="14"/>
        <v>10.450010936334909</v>
      </c>
      <c r="M31">
        <f t="shared" ca="1" si="15"/>
        <v>9.2179890636650903</v>
      </c>
      <c r="N31">
        <f t="shared" ca="1" si="4"/>
        <v>-0.17999999999999972</v>
      </c>
      <c r="O31">
        <f t="shared" ca="1" si="5"/>
        <v>0</v>
      </c>
      <c r="P31">
        <f t="shared" ca="1" si="6"/>
        <v>0.17999999999999972</v>
      </c>
      <c r="Q31">
        <f t="shared" ca="1" si="10"/>
        <v>7.8724239833355539E-2</v>
      </c>
      <c r="R31">
        <f t="shared" ca="1" si="11"/>
        <v>7.6856923324974291E-2</v>
      </c>
      <c r="S31">
        <f t="shared" ca="1" si="8"/>
        <v>1.0242960090984343</v>
      </c>
      <c r="T31">
        <f t="shared" ca="1" si="9"/>
        <v>50.600110087389226</v>
      </c>
      <c r="U31">
        <f>70</f>
        <v>70</v>
      </c>
      <c r="V31">
        <f>30</f>
        <v>30</v>
      </c>
      <c r="W31">
        <f t="shared" ca="1" si="7"/>
        <v>9.9531721661362909</v>
      </c>
      <c r="X31">
        <f t="shared" ca="1" si="17"/>
        <v>9.7308900937407774</v>
      </c>
      <c r="Y31">
        <f t="shared" ca="1" si="16"/>
        <v>0.21194544979124075</v>
      </c>
    </row>
    <row r="32" spans="1:25" x14ac:dyDescent="0.25">
      <c r="A32" s="20">
        <f t="shared" ca="1" si="0"/>
        <v>45747</v>
      </c>
      <c r="B32" vm="88">
        <f ca="1"/>
        <v>45747</v>
      </c>
      <c r="C32" vm="89">
        <f ca="1"/>
        <v>10.029999999999999</v>
      </c>
      <c r="D32" vm="90">
        <f ca="1"/>
        <v>139951868</v>
      </c>
      <c r="E32">
        <f t="shared" ca="1" si="1"/>
        <v>1403717236.04</v>
      </c>
      <c r="F32">
        <f ca="1">SUM($E$2:E32)/SUM($D$2:D32)</f>
        <v>9.7395552492822564</v>
      </c>
      <c r="G32">
        <f ca="1">_xlfn.STDEV.P($C$2:C32)</f>
        <v>0.33212274099863986</v>
      </c>
      <c r="H32">
        <f t="shared" ca="1" si="2"/>
        <v>10.071677990280897</v>
      </c>
      <c r="I32">
        <f t="shared" ca="1" si="3"/>
        <v>9.4074325082836161</v>
      </c>
      <c r="J32">
        <f t="shared" ca="1" si="12"/>
        <v>9.8660000000000014</v>
      </c>
      <c r="K32">
        <f t="shared" ca="1" si="13"/>
        <v>0.29229401203870786</v>
      </c>
      <c r="L32">
        <f t="shared" ca="1" si="14"/>
        <v>10.450588024077417</v>
      </c>
      <c r="M32">
        <f t="shared" ca="1" si="15"/>
        <v>9.2814119759225857</v>
      </c>
      <c r="N32">
        <f t="shared" ca="1" si="4"/>
        <v>0.30999999999999872</v>
      </c>
      <c r="O32">
        <f t="shared" ca="1" si="5"/>
        <v>0.30999999999999872</v>
      </c>
      <c r="P32">
        <f t="shared" ca="1" si="6"/>
        <v>0</v>
      </c>
      <c r="Q32">
        <f t="shared" ca="1" si="10"/>
        <v>9.5243936988115757E-2</v>
      </c>
      <c r="R32">
        <f t="shared" ca="1" si="11"/>
        <v>7.1367143087476131E-2</v>
      </c>
      <c r="S32">
        <f t="shared" ca="1" si="8"/>
        <v>1.3345628375704119</v>
      </c>
      <c r="T32">
        <f t="shared" ca="1" si="9"/>
        <v>57.16542798048205</v>
      </c>
      <c r="U32">
        <f>70</f>
        <v>70</v>
      </c>
      <c r="V32">
        <f>30</f>
        <v>30</v>
      </c>
      <c r="W32">
        <f t="shared" ca="1" si="7"/>
        <v>9.9649918328845537</v>
      </c>
      <c r="X32">
        <f t="shared" ca="1" si="17"/>
        <v>9.753046383093313</v>
      </c>
      <c r="Y32">
        <f t="shared" ca="1" si="16"/>
        <v>0.19425213635722471</v>
      </c>
    </row>
    <row r="33" spans="1:27" x14ac:dyDescent="0.25">
      <c r="A33" s="20">
        <f t="shared" ca="1" si="0"/>
        <v>45747</v>
      </c>
      <c r="B33" vm="91">
        <f ca="1"/>
        <v>45748</v>
      </c>
      <c r="C33" vm="92">
        <f ca="1"/>
        <v>9.94</v>
      </c>
      <c r="D33" vm="93">
        <f ca="1"/>
        <v>135388684</v>
      </c>
      <c r="E33">
        <f t="shared" ca="1" si="1"/>
        <v>1345763518.96</v>
      </c>
      <c r="F33">
        <f ca="1">SUM($E$2:E33)/SUM($D$2:D33)</f>
        <v>9.7465657730057451</v>
      </c>
      <c r="G33">
        <f ca="1">_xlfn.STDEV.P($C$2:C33)</f>
        <v>0.32975132676002994</v>
      </c>
      <c r="H33">
        <f t="shared" ca="1" si="2"/>
        <v>10.076317099765776</v>
      </c>
      <c r="I33">
        <f t="shared" ca="1" si="3"/>
        <v>9.4168144462457146</v>
      </c>
      <c r="J33">
        <f t="shared" ca="1" si="12"/>
        <v>9.907</v>
      </c>
      <c r="K33">
        <f t="shared" ca="1" si="13"/>
        <v>0.23380378638147797</v>
      </c>
      <c r="L33">
        <f t="shared" ca="1" si="14"/>
        <v>10.374607572762956</v>
      </c>
      <c r="M33">
        <f t="shared" ca="1" si="15"/>
        <v>9.4393924272370437</v>
      </c>
      <c r="N33">
        <f t="shared" ca="1" si="4"/>
        <v>-8.9999999999999858E-2</v>
      </c>
      <c r="O33">
        <f t="shared" ca="1" si="5"/>
        <v>0</v>
      </c>
      <c r="P33">
        <f t="shared" ca="1" si="6"/>
        <v>8.9999999999999858E-2</v>
      </c>
      <c r="Q33">
        <f t="shared" ca="1" si="10"/>
        <v>8.8440798631821776E-2</v>
      </c>
      <c r="R33">
        <f t="shared" ca="1" si="11"/>
        <v>7.2698061438370681E-2</v>
      </c>
      <c r="S33">
        <f t="shared" ca="1" si="8"/>
        <v>1.2165496146936037</v>
      </c>
      <c r="T33">
        <f t="shared" ca="1" si="9"/>
        <v>54.884835720754609</v>
      </c>
      <c r="U33">
        <f>70</f>
        <v>70</v>
      </c>
      <c r="V33">
        <f>30</f>
        <v>30</v>
      </c>
      <c r="W33">
        <f t="shared" ca="1" si="7"/>
        <v>9.9611469355177</v>
      </c>
      <c r="X33">
        <f t="shared" ca="1" si="17"/>
        <v>9.7668947991604753</v>
      </c>
      <c r="Y33">
        <f t="shared" ca="1" si="16"/>
        <v>0.19492829094473763</v>
      </c>
    </row>
    <row r="34" spans="1:27" x14ac:dyDescent="0.25">
      <c r="A34" s="20">
        <f t="shared" ca="1" si="0"/>
        <v>45747</v>
      </c>
      <c r="B34" vm="94">
        <f ca="1"/>
        <v>45749</v>
      </c>
      <c r="C34" vm="95">
        <f ca="1"/>
        <v>10.15</v>
      </c>
      <c r="D34" vm="96">
        <f ca="1"/>
        <v>136908485</v>
      </c>
      <c r="E34">
        <f t="shared" ca="1" si="1"/>
        <v>1389621122.75</v>
      </c>
      <c r="F34">
        <f ca="1">SUM($E$2:E34)/SUM($D$2:D34)</f>
        <v>9.7603468134101181</v>
      </c>
      <c r="G34">
        <f ca="1">_xlfn.STDEV.P($C$2:C34)</f>
        <v>0.33380297494026562</v>
      </c>
      <c r="H34">
        <f t="shared" ca="1" si="2"/>
        <v>10.094149788350384</v>
      </c>
      <c r="I34">
        <f t="shared" ca="1" si="3"/>
        <v>9.4265438384698523</v>
      </c>
      <c r="J34">
        <f t="shared" ca="1" si="12"/>
        <v>9.9320000000000004</v>
      </c>
      <c r="K34">
        <f t="shared" ca="1" si="13"/>
        <v>0.23159856376247703</v>
      </c>
      <c r="L34">
        <f t="shared" ca="1" si="14"/>
        <v>10.395197127524954</v>
      </c>
      <c r="M34">
        <f t="shared" ca="1" si="15"/>
        <v>9.468802872475047</v>
      </c>
      <c r="N34">
        <f t="shared" ca="1" si="4"/>
        <v>0.21000000000000085</v>
      </c>
      <c r="O34">
        <f t="shared" ca="1" si="5"/>
        <v>0.21000000000000085</v>
      </c>
      <c r="P34">
        <f t="shared" ca="1" si="6"/>
        <v>0</v>
      </c>
      <c r="Q34">
        <f t="shared" ca="1" si="10"/>
        <v>9.7123598729548857E-2</v>
      </c>
      <c r="R34">
        <f t="shared" ca="1" si="11"/>
        <v>6.7505342764201351E-2</v>
      </c>
      <c r="S34">
        <f t="shared" ca="1" si="8"/>
        <v>1.4387542489607847</v>
      </c>
      <c r="T34">
        <f t="shared" ca="1" si="9"/>
        <v>58.995458422015034</v>
      </c>
      <c r="U34">
        <f>70</f>
        <v>70</v>
      </c>
      <c r="V34">
        <f>30</f>
        <v>30</v>
      </c>
      <c r="W34">
        <f t="shared" ca="1" si="7"/>
        <v>9.9902012531303619</v>
      </c>
      <c r="X34">
        <f t="shared" ca="1" si="17"/>
        <v>9.7952729621856243</v>
      </c>
      <c r="Y34">
        <f t="shared" ca="1" si="16"/>
        <v>0.1445756680039576</v>
      </c>
    </row>
    <row r="35" spans="1:27" x14ac:dyDescent="0.25">
      <c r="A35" s="20">
        <f t="shared" ca="1" si="0"/>
        <v>45747</v>
      </c>
      <c r="B35" vm="97">
        <f ca="1"/>
        <v>45750</v>
      </c>
      <c r="C35" vm="98">
        <f ca="1"/>
        <v>9.5399999999999991</v>
      </c>
      <c r="D35" vm="99">
        <f ca="1"/>
        <v>220270980</v>
      </c>
      <c r="E35">
        <f t="shared" ca="1" si="1"/>
        <v>2101385149.1999998</v>
      </c>
      <c r="F35">
        <f ca="1">SUM($E$2:E35)/SUM($D$2:D35)</f>
        <v>9.7488677219834674</v>
      </c>
      <c r="G35">
        <f ca="1">_xlfn.STDEV.P($C$2:C35)</f>
        <v>0.33014532293530291</v>
      </c>
      <c r="H35">
        <f t="shared" ca="1" si="2"/>
        <v>10.079013044918771</v>
      </c>
      <c r="I35">
        <f t="shared" ca="1" si="3"/>
        <v>9.4187223990481641</v>
      </c>
      <c r="J35">
        <f t="shared" ca="1" si="12"/>
        <v>9.9285000000000014</v>
      </c>
      <c r="K35">
        <f t="shared" ca="1" si="13"/>
        <v>0.23718247472313278</v>
      </c>
      <c r="L35">
        <f t="shared" ca="1" si="14"/>
        <v>10.402864949446267</v>
      </c>
      <c r="M35">
        <f t="shared" ca="1" si="15"/>
        <v>9.4541350505537363</v>
      </c>
      <c r="N35">
        <f t="shared" ca="1" si="4"/>
        <v>-0.61000000000000121</v>
      </c>
      <c r="O35">
        <f t="shared" ca="1" si="5"/>
        <v>0</v>
      </c>
      <c r="P35">
        <f t="shared" ca="1" si="6"/>
        <v>0.61000000000000121</v>
      </c>
      <c r="Q35">
        <f t="shared" ca="1" si="10"/>
        <v>9.0186198820295368E-2</v>
      </c>
      <c r="R35">
        <f t="shared" ca="1" si="11"/>
        <v>0.10625496113818704</v>
      </c>
      <c r="S35">
        <f t="shared" ca="1" si="8"/>
        <v>0.848771651264416</v>
      </c>
      <c r="T35">
        <f t="shared" ca="1" si="9"/>
        <v>45.910031705858437</v>
      </c>
      <c r="U35">
        <f>70</f>
        <v>70</v>
      </c>
      <c r="V35">
        <f>30</f>
        <v>30</v>
      </c>
      <c r="W35">
        <f t="shared" ca="1" si="7"/>
        <v>9.9209395218795358</v>
      </c>
      <c r="X35">
        <f t="shared" ca="1" si="17"/>
        <v>9.7763638538755782</v>
      </c>
      <c r="Y35">
        <f t="shared" ca="1" si="16"/>
        <v>0.10666890452609401</v>
      </c>
    </row>
    <row r="36" spans="1:27" x14ac:dyDescent="0.25">
      <c r="A36" s="20">
        <f t="shared" ca="1" si="0"/>
        <v>45747</v>
      </c>
      <c r="B36" vm="100">
        <f ca="1"/>
        <v>45751</v>
      </c>
      <c r="C36" vm="101">
        <f ca="1"/>
        <v>9.58</v>
      </c>
      <c r="D36" vm="102">
        <f ca="1"/>
        <v>177466228</v>
      </c>
      <c r="E36">
        <f t="shared" ca="1" si="1"/>
        <v>1700126464.24</v>
      </c>
      <c r="F36">
        <f ca="1">SUM($E$2:E36)/SUM($D$2:D36)</f>
        <v>9.7420655158124791</v>
      </c>
      <c r="G36">
        <f ca="1">_xlfn.STDEV.P($C$2:C36)</f>
        <v>0.32608575308858095</v>
      </c>
      <c r="H36">
        <f t="shared" ca="1" si="2"/>
        <v>10.06815126890106</v>
      </c>
      <c r="I36">
        <f t="shared" ca="1" si="3"/>
        <v>9.4159797627238984</v>
      </c>
      <c r="J36">
        <f t="shared" ca="1" si="12"/>
        <v>9.9125000000000014</v>
      </c>
      <c r="K36">
        <f t="shared" ca="1" si="13"/>
        <v>0.24967083593361383</v>
      </c>
      <c r="L36">
        <f t="shared" ca="1" si="14"/>
        <v>10.411841671867229</v>
      </c>
      <c r="M36">
        <f t="shared" ca="1" si="15"/>
        <v>9.4131583281327735</v>
      </c>
      <c r="N36">
        <f t="shared" ca="1" si="4"/>
        <v>4.0000000000000924E-2</v>
      </c>
      <c r="O36">
        <f t="shared" ca="1" si="5"/>
        <v>4.0000000000000924E-2</v>
      </c>
      <c r="P36">
        <f t="shared" ca="1" si="6"/>
        <v>0</v>
      </c>
      <c r="Q36">
        <f t="shared" ca="1" si="10"/>
        <v>8.6601470333131481E-2</v>
      </c>
      <c r="R36">
        <f t="shared" ca="1" si="11"/>
        <v>9.8665321056887967E-2</v>
      </c>
      <c r="S36">
        <f t="shared" ca="1" si="8"/>
        <v>0.87772957514828565</v>
      </c>
      <c r="T36">
        <f t="shared" ca="1" si="9"/>
        <v>46.744195051567566</v>
      </c>
      <c r="U36">
        <f>70</f>
        <v>70</v>
      </c>
      <c r="V36">
        <f>30</f>
        <v>30</v>
      </c>
      <c r="W36">
        <f t="shared" ca="1" si="7"/>
        <v>9.8684872877442213</v>
      </c>
      <c r="X36">
        <f t="shared" ca="1" si="17"/>
        <v>9.7618183832181273</v>
      </c>
      <c r="Y36">
        <f t="shared" ca="1" si="16"/>
        <v>4.863176613715936E-2</v>
      </c>
      <c r="Z36" s="9">
        <f ca="1">AVERAGE(Y28:Y36)</f>
        <v>0.18685898108842697</v>
      </c>
    </row>
    <row r="37" spans="1:27" x14ac:dyDescent="0.25">
      <c r="A37" s="20">
        <f t="shared" ca="1" si="0"/>
        <v>45754</v>
      </c>
      <c r="B37" vm="103">
        <f ca="1"/>
        <v>45754</v>
      </c>
      <c r="C37" vm="104">
        <f ca="1"/>
        <v>9.24</v>
      </c>
      <c r="D37" vm="105">
        <f ca="1"/>
        <v>274938497</v>
      </c>
      <c r="E37">
        <f t="shared" ca="1" si="1"/>
        <v>2540431712.2800002</v>
      </c>
      <c r="F37">
        <f ca="1">SUM($E$2:E37)/SUM($D$2:D37)</f>
        <v>9.7125742741604473</v>
      </c>
      <c r="G37">
        <f ca="1">_xlfn.STDEV.P($C$2:C37)</f>
        <v>0.33043216651329016</v>
      </c>
      <c r="H37">
        <f t="shared" ca="1" si="2"/>
        <v>10.043006440673738</v>
      </c>
      <c r="I37">
        <f t="shared" ca="1" si="3"/>
        <v>9.3821421076471569</v>
      </c>
      <c r="J37">
        <f t="shared" ca="1" si="12"/>
        <v>9.8765000000000018</v>
      </c>
      <c r="K37">
        <f t="shared" ca="1" si="13"/>
        <v>0.29095622749099131</v>
      </c>
      <c r="L37">
        <f t="shared" ca="1" si="14"/>
        <v>10.458412454981984</v>
      </c>
      <c r="M37">
        <f t="shared" ca="1" si="15"/>
        <v>9.29458754501802</v>
      </c>
      <c r="N37">
        <f t="shared" ca="1" si="4"/>
        <v>-0.33999999999999986</v>
      </c>
      <c r="O37">
        <f t="shared" ca="1" si="5"/>
        <v>0</v>
      </c>
      <c r="P37">
        <f t="shared" ca="1" si="6"/>
        <v>0.33999999999999986</v>
      </c>
      <c r="Q37">
        <f t="shared" ca="1" si="10"/>
        <v>8.0415651023622095E-2</v>
      </c>
      <c r="R37">
        <f t="shared" ca="1" si="11"/>
        <v>0.11590351240996739</v>
      </c>
      <c r="S37">
        <f t="shared" ca="1" si="8"/>
        <v>0.69381547937201737</v>
      </c>
      <c r="T37">
        <f t="shared" ca="1" si="9"/>
        <v>40.961691980123462</v>
      </c>
      <c r="U37">
        <f>70</f>
        <v>70</v>
      </c>
      <c r="V37">
        <f>30</f>
        <v>30</v>
      </c>
      <c r="W37">
        <f t="shared" ca="1" si="7"/>
        <v>9.7717969357835734</v>
      </c>
      <c r="X37">
        <f t="shared" ca="1" si="17"/>
        <v>9.7231651696464141</v>
      </c>
      <c r="Y37">
        <f t="shared" ca="1" si="16"/>
        <v>-4.1267778368558439E-2</v>
      </c>
      <c r="Z37">
        <f ca="1">Y37*(2/(9+1)) + Z36*(1-(2/(9+1)))</f>
        <v>0.14123362919702989</v>
      </c>
      <c r="AA37">
        <f ca="1">Y37-Z37</f>
        <v>-0.18250140756558833</v>
      </c>
    </row>
    <row r="38" spans="1:27" x14ac:dyDescent="0.25">
      <c r="A38" s="20">
        <f t="shared" ca="1" si="0"/>
        <v>45754</v>
      </c>
      <c r="B38" vm="106">
        <f ca="1"/>
        <v>45755</v>
      </c>
      <c r="C38" vm="107">
        <f ca="1"/>
        <v>8.69</v>
      </c>
      <c r="D38" vm="108">
        <f ca="1"/>
        <v>199286778</v>
      </c>
      <c r="E38">
        <f t="shared" ca="1" si="1"/>
        <v>1731802100.8199999</v>
      </c>
      <c r="F38">
        <f ca="1">SUM($E$2:E38)/SUM($D$2:D38)</f>
        <v>9.6708141004080357</v>
      </c>
      <c r="G38">
        <f ca="1">_xlfn.STDEV.P($C$2:C38)</f>
        <v>0.36410832477364047</v>
      </c>
      <c r="H38">
        <f t="shared" ca="1" si="2"/>
        <v>10.034922425181676</v>
      </c>
      <c r="I38">
        <f t="shared" ca="1" si="3"/>
        <v>9.3067057756343949</v>
      </c>
      <c r="J38">
        <f t="shared" ca="1" si="12"/>
        <v>9.8265000000000011</v>
      </c>
      <c r="K38">
        <f t="shared" ca="1" si="13"/>
        <v>0.39279397304841368</v>
      </c>
      <c r="L38">
        <f t="shared" ca="1" si="14"/>
        <v>10.612087946096828</v>
      </c>
      <c r="M38">
        <f t="shared" ca="1" si="15"/>
        <v>9.040912053903174</v>
      </c>
      <c r="N38">
        <f t="shared" ca="1" si="4"/>
        <v>-0.55000000000000071</v>
      </c>
      <c r="O38">
        <f t="shared" ca="1" si="5"/>
        <v>0</v>
      </c>
      <c r="P38">
        <f t="shared" ca="1" si="6"/>
        <v>0.55000000000000071</v>
      </c>
      <c r="Q38">
        <f t="shared" ca="1" si="10"/>
        <v>7.4671675950506236E-2</v>
      </c>
      <c r="R38">
        <f t="shared" ca="1" si="11"/>
        <v>0.14691040438068409</v>
      </c>
      <c r="S38">
        <f t="shared" ca="1" si="8"/>
        <v>0.50828037854291097</v>
      </c>
      <c r="T38">
        <f t="shared" ca="1" si="9"/>
        <v>33.699329764797454</v>
      </c>
      <c r="U38">
        <f>70</f>
        <v>70</v>
      </c>
      <c r="V38">
        <f>30</f>
        <v>30</v>
      </c>
      <c r="W38">
        <f t="shared" ca="1" si="7"/>
        <v>9.6053666379707145</v>
      </c>
      <c r="X38">
        <f t="shared" ca="1" si="17"/>
        <v>9.646634416339273</v>
      </c>
      <c r="Y38">
        <f t="shared" ca="1" si="16"/>
        <v>-4.6616221746328179E-2</v>
      </c>
      <c r="Z38">
        <f t="shared" ref="Z38:Z101" ca="1" si="18">Y38*(2/(9+1)) + Z37*(1-(2/(9+1)))</f>
        <v>0.10366365900835828</v>
      </c>
      <c r="AA38">
        <f t="shared" ref="AA38:AA101" ca="1" si="19">Y38-Z38</f>
        <v>-0.15027988075468646</v>
      </c>
    </row>
    <row r="39" spans="1:27" x14ac:dyDescent="0.25">
      <c r="A39" s="20">
        <f t="shared" ca="1" si="0"/>
        <v>45754</v>
      </c>
      <c r="B39" vm="109">
        <f ca="1"/>
        <v>45756</v>
      </c>
      <c r="C39" vm="110">
        <f ca="1"/>
        <v>9.5</v>
      </c>
      <c r="D39" vm="111">
        <f ca="1"/>
        <v>199662988</v>
      </c>
      <c r="E39">
        <f t="shared" ca="1" si="1"/>
        <v>1896798386</v>
      </c>
      <c r="F39">
        <f ca="1">SUM($E$2:E39)/SUM($D$2:D39)</f>
        <v>9.6640998921112988</v>
      </c>
      <c r="G39">
        <f ca="1">_xlfn.STDEV.P($C$2:C39)</f>
        <v>0.3602407628270517</v>
      </c>
      <c r="H39">
        <f t="shared" ca="1" si="2"/>
        <v>10.024340654938351</v>
      </c>
      <c r="I39">
        <f t="shared" ca="1" si="3"/>
        <v>9.3038591292842465</v>
      </c>
      <c r="J39">
        <f t="shared" ca="1" si="12"/>
        <v>9.8219999999999992</v>
      </c>
      <c r="K39">
        <f t="shared" ca="1" si="13"/>
        <v>0.39614723472333796</v>
      </c>
      <c r="L39">
        <f t="shared" ca="1" si="14"/>
        <v>10.614294469446675</v>
      </c>
      <c r="M39">
        <f t="shared" ca="1" si="15"/>
        <v>9.0297055305533238</v>
      </c>
      <c r="N39">
        <f t="shared" ca="1" si="4"/>
        <v>0.8100000000000005</v>
      </c>
      <c r="O39">
        <f t="shared" ca="1" si="5"/>
        <v>0.8100000000000005</v>
      </c>
      <c r="P39">
        <f t="shared" ca="1" si="6"/>
        <v>0</v>
      </c>
      <c r="Q39">
        <f t="shared" ca="1" si="10"/>
        <v>0.12719512766832725</v>
      </c>
      <c r="R39">
        <f t="shared" ca="1" si="11"/>
        <v>0.13641680406777809</v>
      </c>
      <c r="S39">
        <f t="shared" ca="1" si="8"/>
        <v>0.9324007297893514</v>
      </c>
      <c r="T39">
        <f t="shared" ca="1" si="9"/>
        <v>48.250899278587589</v>
      </c>
      <c r="U39">
        <f>70</f>
        <v>70</v>
      </c>
      <c r="V39">
        <f>30</f>
        <v>30</v>
      </c>
      <c r="W39">
        <f t="shared" ca="1" si="7"/>
        <v>9.5891563859752207</v>
      </c>
      <c r="X39">
        <f t="shared" ca="1" si="17"/>
        <v>9.6357726077215489</v>
      </c>
      <c r="Y39">
        <f t="shared" ca="1" si="16"/>
        <v>-7.8993307335789353E-2</v>
      </c>
      <c r="Z39">
        <f t="shared" ca="1" si="18"/>
        <v>6.7132265739528754E-2</v>
      </c>
      <c r="AA39">
        <f t="shared" ca="1" si="19"/>
        <v>-0.14612557307531809</v>
      </c>
    </row>
    <row r="40" spans="1:27" x14ac:dyDescent="0.25">
      <c r="A40" s="20">
        <f t="shared" ca="1" si="0"/>
        <v>45754</v>
      </c>
      <c r="B40" vm="112">
        <f ca="1"/>
        <v>45757</v>
      </c>
      <c r="C40" vm="113">
        <f ca="1"/>
        <v>9.14</v>
      </c>
      <c r="D40" vm="114">
        <f ca="1"/>
        <v>163535434</v>
      </c>
      <c r="E40">
        <f t="shared" ca="1" si="1"/>
        <v>1494713866.76</v>
      </c>
      <c r="F40">
        <f ca="1">SUM($E$2:E40)/SUM($D$2:D40)</f>
        <v>9.6477529016970625</v>
      </c>
      <c r="G40">
        <f ca="1">_xlfn.STDEV.P($C$2:C40)</f>
        <v>0.36494899808487741</v>
      </c>
      <c r="H40">
        <f t="shared" ca="1" si="2"/>
        <v>10.012701899781939</v>
      </c>
      <c r="I40">
        <f t="shared" ca="1" si="3"/>
        <v>9.2828039036121854</v>
      </c>
      <c r="J40">
        <f t="shared" ca="1" si="12"/>
        <v>9.8025000000000002</v>
      </c>
      <c r="K40">
        <f t="shared" ca="1" si="13"/>
        <v>0.42014878317091436</v>
      </c>
      <c r="L40">
        <f t="shared" ca="1" si="14"/>
        <v>10.642797566341828</v>
      </c>
      <c r="M40">
        <f t="shared" ca="1" si="15"/>
        <v>8.962202433658172</v>
      </c>
      <c r="N40">
        <f t="shared" ca="1" si="4"/>
        <v>-0.35999999999999943</v>
      </c>
      <c r="O40">
        <f t="shared" ca="1" si="5"/>
        <v>0</v>
      </c>
      <c r="P40">
        <f t="shared" ca="1" si="6"/>
        <v>0.35999999999999943</v>
      </c>
      <c r="Q40">
        <f t="shared" ca="1" si="10"/>
        <v>0.11810976140630387</v>
      </c>
      <c r="R40">
        <f t="shared" ca="1" si="11"/>
        <v>0.15238703234865106</v>
      </c>
      <c r="S40">
        <f t="shared" ca="1" si="8"/>
        <v>0.77506438432423075</v>
      </c>
      <c r="T40">
        <f t="shared" ca="1" si="9"/>
        <v>43.664015298199942</v>
      </c>
      <c r="U40">
        <f>70</f>
        <v>70</v>
      </c>
      <c r="V40">
        <f>30</f>
        <v>30</v>
      </c>
      <c r="W40">
        <f t="shared" ca="1" si="7"/>
        <v>9.520055403517496</v>
      </c>
      <c r="X40">
        <f t="shared" ca="1" si="17"/>
        <v>9.5990487108532854</v>
      </c>
      <c r="Y40">
        <f t="shared" ca="1" si="16"/>
        <v>-8.8303066047354051E-2</v>
      </c>
      <c r="Z40">
        <f t="shared" ca="1" si="18"/>
        <v>3.6045199382152199E-2</v>
      </c>
      <c r="AA40">
        <f t="shared" ca="1" si="19"/>
        <v>-0.12434826542950625</v>
      </c>
    </row>
    <row r="41" spans="1:27" x14ac:dyDescent="0.25">
      <c r="A41" s="20">
        <f t="shared" ca="1" si="0"/>
        <v>45754</v>
      </c>
      <c r="B41" vm="115">
        <f ca="1"/>
        <v>45758</v>
      </c>
      <c r="C41" vm="2">
        <f ca="1"/>
        <v>9.33</v>
      </c>
      <c r="D41" vm="116">
        <f ca="1"/>
        <v>146073701</v>
      </c>
      <c r="E41">
        <f t="shared" ca="1" si="1"/>
        <v>1362867630.3299999</v>
      </c>
      <c r="F41">
        <f ca="1">SUM($E$2:E41)/SUM($D$2:D41)</f>
        <v>9.6391402003722906</v>
      </c>
      <c r="G41">
        <f ca="1">_xlfn.STDEV.P($C$2:C41)</f>
        <v>0.36372302305463156</v>
      </c>
      <c r="H41">
        <f t="shared" ca="1" si="2"/>
        <v>10.002863223426923</v>
      </c>
      <c r="I41">
        <f t="shared" ca="1" si="3"/>
        <v>9.2754171773176584</v>
      </c>
      <c r="J41">
        <f t="shared" ca="1" si="12"/>
        <v>9.7825000000000006</v>
      </c>
      <c r="K41">
        <f t="shared" ca="1" si="13"/>
        <v>0.43310233384149222</v>
      </c>
      <c r="L41">
        <f t="shared" ca="1" si="14"/>
        <v>10.648704667682985</v>
      </c>
      <c r="M41">
        <f t="shared" ca="1" si="15"/>
        <v>8.9162953323170164</v>
      </c>
      <c r="N41">
        <f t="shared" ca="1" si="4"/>
        <v>0.1899999999999995</v>
      </c>
      <c r="O41">
        <f t="shared" ca="1" si="5"/>
        <v>0.1899999999999995</v>
      </c>
      <c r="P41">
        <f t="shared" ca="1" si="6"/>
        <v>0</v>
      </c>
      <c r="Q41">
        <f t="shared" ca="1" si="10"/>
        <v>0.12324477844871071</v>
      </c>
      <c r="R41">
        <f t="shared" ca="1" si="11"/>
        <v>0.14150224432374742</v>
      </c>
      <c r="S41">
        <f t="shared" ca="1" si="8"/>
        <v>0.87097401908859562</v>
      </c>
      <c r="T41">
        <f t="shared" ca="1" si="9"/>
        <v>46.551903457904331</v>
      </c>
      <c r="U41">
        <f>70</f>
        <v>70</v>
      </c>
      <c r="V41">
        <f>30</f>
        <v>30</v>
      </c>
      <c r="W41">
        <f t="shared" ca="1" si="7"/>
        <v>9.4908161106686499</v>
      </c>
      <c r="X41">
        <f t="shared" ca="1" si="17"/>
        <v>9.579119176716004</v>
      </c>
      <c r="Y41">
        <f t="shared" ca="1" si="16"/>
        <v>-6.4277343487498584E-2</v>
      </c>
      <c r="Z41">
        <f t="shared" ca="1" si="18"/>
        <v>1.5980690808222044E-2</v>
      </c>
      <c r="AA41">
        <f t="shared" ca="1" si="19"/>
        <v>-8.0258034295720621E-2</v>
      </c>
    </row>
    <row r="42" spans="1:27" x14ac:dyDescent="0.25">
      <c r="A42" s="20">
        <f t="shared" ca="1" si="0"/>
        <v>45761</v>
      </c>
      <c r="B42" vm="117">
        <f ca="1"/>
        <v>45761</v>
      </c>
      <c r="C42" vm="118">
        <f ca="1"/>
        <v>9.7100000000000009</v>
      </c>
      <c r="D42" vm="119">
        <f ca="1"/>
        <v>189955001</v>
      </c>
      <c r="E42">
        <f t="shared" ca="1" si="1"/>
        <v>1844463059.7100003</v>
      </c>
      <c r="F42">
        <f ca="1">SUM($E$2:E42)/SUM($D$2:D42)</f>
        <v>9.6415527945857846</v>
      </c>
      <c r="G42">
        <f ca="1">_xlfn.STDEV.P($C$2:C42)</f>
        <v>0.35943044376129168</v>
      </c>
      <c r="H42">
        <f t="shared" ca="1" si="2"/>
        <v>10.000983238347077</v>
      </c>
      <c r="I42">
        <f t="shared" ca="1" si="3"/>
        <v>9.2821223508244923</v>
      </c>
      <c r="J42">
        <f t="shared" ca="1" si="12"/>
        <v>9.772000000000002</v>
      </c>
      <c r="K42">
        <f t="shared" ca="1" si="13"/>
        <v>0.43213789222276822</v>
      </c>
      <c r="L42">
        <f t="shared" ca="1" si="14"/>
        <v>10.636275784445539</v>
      </c>
      <c r="M42">
        <f t="shared" ca="1" si="15"/>
        <v>8.9077242155544649</v>
      </c>
      <c r="N42">
        <f t="shared" ca="1" si="4"/>
        <v>0.38000000000000078</v>
      </c>
      <c r="O42">
        <f t="shared" ca="1" si="5"/>
        <v>0.38000000000000078</v>
      </c>
      <c r="P42">
        <f t="shared" ca="1" si="6"/>
        <v>0</v>
      </c>
      <c r="Q42">
        <f t="shared" ca="1" si="10"/>
        <v>0.14158443713094571</v>
      </c>
      <c r="R42">
        <f t="shared" ca="1" si="11"/>
        <v>0.13139494115776545</v>
      </c>
      <c r="S42">
        <f t="shared" ca="1" si="8"/>
        <v>1.0775486170426132</v>
      </c>
      <c r="T42">
        <f t="shared" ca="1" si="9"/>
        <v>51.866349032856895</v>
      </c>
      <c r="U42">
        <f>70</f>
        <v>70</v>
      </c>
      <c r="V42">
        <f>30</f>
        <v>30</v>
      </c>
      <c r="W42">
        <f t="shared" ca="1" si="7"/>
        <v>9.5245367090273199</v>
      </c>
      <c r="X42">
        <f t="shared" ca="1" si="17"/>
        <v>9.5888140525148184</v>
      </c>
      <c r="Y42">
        <f t="shared" ca="1" si="16"/>
        <v>-6.5462007083196383E-2</v>
      </c>
      <c r="Z42">
        <f t="shared" ca="1" si="18"/>
        <v>-3.0784877006164064E-4</v>
      </c>
      <c r="AA42">
        <f t="shared" ca="1" si="19"/>
        <v>-6.5154158313134744E-2</v>
      </c>
    </row>
    <row r="43" spans="1:27" x14ac:dyDescent="0.25">
      <c r="A43" s="20">
        <f t="shared" ca="1" si="0"/>
        <v>45761</v>
      </c>
      <c r="B43" vm="120">
        <f ca="1"/>
        <v>45762</v>
      </c>
      <c r="C43" vm="121">
        <f ca="1"/>
        <v>9.4499999999999993</v>
      </c>
      <c r="D43" vm="122">
        <f ca="1"/>
        <v>125469023</v>
      </c>
      <c r="E43">
        <f t="shared" ca="1" si="1"/>
        <v>1185682267.3499999</v>
      </c>
      <c r="F43">
        <f ca="1">SUM($E$2:E43)/SUM($D$2:D43)</f>
        <v>9.6373397117890818</v>
      </c>
      <c r="G43">
        <f ca="1">_xlfn.STDEV.P($C$2:C43)</f>
        <v>0.35630512860637004</v>
      </c>
      <c r="H43">
        <f t="shared" ca="1" si="2"/>
        <v>9.9936448403954525</v>
      </c>
      <c r="I43">
        <f t="shared" ca="1" si="3"/>
        <v>9.281034583182711</v>
      </c>
      <c r="J43">
        <f t="shared" ca="1" si="12"/>
        <v>9.7470000000000034</v>
      </c>
      <c r="K43">
        <f t="shared" ca="1" si="13"/>
        <v>0.43574618396734732</v>
      </c>
      <c r="L43">
        <f t="shared" ca="1" si="14"/>
        <v>10.618492367934698</v>
      </c>
      <c r="M43">
        <f t="shared" ca="1" si="15"/>
        <v>8.8755076320653092</v>
      </c>
      <c r="N43">
        <f t="shared" ca="1" si="4"/>
        <v>-0.26000000000000156</v>
      </c>
      <c r="O43">
        <f t="shared" ca="1" si="5"/>
        <v>0</v>
      </c>
      <c r="P43">
        <f t="shared" ca="1" si="6"/>
        <v>0.26000000000000156</v>
      </c>
      <c r="Q43">
        <f t="shared" ca="1" si="10"/>
        <v>0.13147126305016385</v>
      </c>
      <c r="R43">
        <f t="shared" ca="1" si="11"/>
        <v>0.14058101678935375</v>
      </c>
      <c r="S43">
        <f t="shared" ca="1" si="8"/>
        <v>0.93519926127124309</v>
      </c>
      <c r="T43">
        <f t="shared" ca="1" si="9"/>
        <v>48.325734718238039</v>
      </c>
      <c r="U43">
        <f>70</f>
        <v>70</v>
      </c>
      <c r="V43">
        <f>30</f>
        <v>30</v>
      </c>
      <c r="W43">
        <f t="shared" ca="1" si="7"/>
        <v>9.5130695230231161</v>
      </c>
      <c r="X43">
        <f t="shared" ca="1" si="17"/>
        <v>9.5785315301063125</v>
      </c>
      <c r="Y43">
        <f t="shared" ca="1" si="16"/>
        <v>-6.9632760531868954E-2</v>
      </c>
      <c r="Z43">
        <f t="shared" ca="1" si="18"/>
        <v>-1.4172831122423105E-2</v>
      </c>
      <c r="AA43">
        <f t="shared" ca="1" si="19"/>
        <v>-5.545992940944585E-2</v>
      </c>
    </row>
    <row r="44" spans="1:27" x14ac:dyDescent="0.25">
      <c r="A44" s="20">
        <f t="shared" ca="1" si="0"/>
        <v>45761</v>
      </c>
      <c r="B44" vm="123">
        <f ca="1"/>
        <v>45763</v>
      </c>
      <c r="C44" vm="124">
        <f ca="1"/>
        <v>9.4</v>
      </c>
      <c r="D44" vm="125">
        <f ca="1"/>
        <v>133804943</v>
      </c>
      <c r="E44">
        <f t="shared" ca="1" si="1"/>
        <v>1257766464.2</v>
      </c>
      <c r="F44">
        <f ca="1">SUM($E$2:E44)/SUM($D$2:D44)</f>
        <v>9.6319003426464302</v>
      </c>
      <c r="G44">
        <f ca="1">_xlfn.STDEV.P($C$2:C44)</f>
        <v>0.35392155220652938</v>
      </c>
      <c r="H44">
        <f t="shared" ca="1" si="2"/>
        <v>9.9858218948529593</v>
      </c>
      <c r="I44">
        <f t="shared" ca="1" si="3"/>
        <v>9.2779787904399011</v>
      </c>
      <c r="J44">
        <f t="shared" ca="1" si="12"/>
        <v>9.708499999999999</v>
      </c>
      <c r="K44">
        <f t="shared" ca="1" si="13"/>
        <v>0.43038874716262104</v>
      </c>
      <c r="L44">
        <f t="shared" ca="1" si="14"/>
        <v>10.569277494325242</v>
      </c>
      <c r="M44">
        <f t="shared" ca="1" si="15"/>
        <v>8.8477225056747564</v>
      </c>
      <c r="N44">
        <f t="shared" ca="1" si="4"/>
        <v>-4.9999999999998934E-2</v>
      </c>
      <c r="O44">
        <f t="shared" ca="1" si="5"/>
        <v>0</v>
      </c>
      <c r="P44">
        <f t="shared" ca="1" si="6"/>
        <v>4.9999999999998934E-2</v>
      </c>
      <c r="Q44">
        <f t="shared" ca="1" si="10"/>
        <v>0.12208045854658071</v>
      </c>
      <c r="R44">
        <f t="shared" ca="1" si="11"/>
        <v>0.13411094416154271</v>
      </c>
      <c r="S44">
        <f t="shared" ca="1" si="8"/>
        <v>0.91029452748859385</v>
      </c>
      <c r="T44">
        <f t="shared" ca="1" si="9"/>
        <v>47.652051261714618</v>
      </c>
      <c r="U44">
        <f>70</f>
        <v>70</v>
      </c>
      <c r="V44">
        <f>30</f>
        <v>30</v>
      </c>
      <c r="W44">
        <f t="shared" ca="1" si="7"/>
        <v>9.4956742117887902</v>
      </c>
      <c r="X44">
        <f t="shared" ca="1" si="17"/>
        <v>9.5653069723206592</v>
      </c>
      <c r="Y44">
        <f t="shared" ca="1" si="16"/>
        <v>-5.3759330777618075E-2</v>
      </c>
      <c r="Z44">
        <f t="shared" ca="1" si="18"/>
        <v>-2.2090131053462102E-2</v>
      </c>
      <c r="AA44">
        <f t="shared" ca="1" si="19"/>
        <v>-3.1669199724155973E-2</v>
      </c>
    </row>
    <row r="45" spans="1:27" x14ac:dyDescent="0.25">
      <c r="A45" s="20">
        <f t="shared" ca="1" si="0"/>
        <v>45761</v>
      </c>
      <c r="B45" vm="126">
        <f ca="1"/>
        <v>45764</v>
      </c>
      <c r="C45" vm="127">
        <f ca="1"/>
        <v>9.6300000000000008</v>
      </c>
      <c r="D45" vm="128">
        <f ca="1"/>
        <v>129204565</v>
      </c>
      <c r="E45">
        <f t="shared" ca="1" si="1"/>
        <v>1244239960.95</v>
      </c>
      <c r="F45">
        <f ca="1">SUM($E$2:E45)/SUM($D$2:D45)</f>
        <v>9.6318591983584856</v>
      </c>
      <c r="G45">
        <f ca="1">_xlfn.STDEV.P($C$2:C45)</f>
        <v>0.34987660162353873</v>
      </c>
      <c r="H45">
        <f t="shared" ca="1" si="2"/>
        <v>9.9817357999820242</v>
      </c>
      <c r="I45">
        <f t="shared" ca="1" si="3"/>
        <v>9.281982596734947</v>
      </c>
      <c r="J45">
        <f t="shared" ca="1" si="12"/>
        <v>9.6894999999999989</v>
      </c>
      <c r="K45">
        <f t="shared" ca="1" si="13"/>
        <v>0.4247287059809009</v>
      </c>
      <c r="L45">
        <f t="shared" ca="1" si="14"/>
        <v>10.538957411961801</v>
      </c>
      <c r="M45">
        <f t="shared" ca="1" si="15"/>
        <v>8.8400425880381963</v>
      </c>
      <c r="N45">
        <f t="shared" ca="1" si="4"/>
        <v>0.23000000000000043</v>
      </c>
      <c r="O45">
        <f t="shared" ca="1" si="5"/>
        <v>0.23000000000000043</v>
      </c>
      <c r="P45">
        <f t="shared" ca="1" si="6"/>
        <v>0</v>
      </c>
      <c r="Q45">
        <f t="shared" ca="1" si="10"/>
        <v>0.12978899722182496</v>
      </c>
      <c r="R45">
        <f t="shared" ca="1" si="11"/>
        <v>0.12453159100714681</v>
      </c>
      <c r="S45">
        <f t="shared" ca="1" si="8"/>
        <v>1.0422174499832451</v>
      </c>
      <c r="T45">
        <f t="shared" ca="1" si="9"/>
        <v>51.033617893716254</v>
      </c>
      <c r="U45">
        <f>70</f>
        <v>70</v>
      </c>
      <c r="V45">
        <f>30</f>
        <v>30</v>
      </c>
      <c r="W45">
        <f t="shared" ca="1" si="7"/>
        <v>9.5163397176674369</v>
      </c>
      <c r="X45">
        <f t="shared" ca="1" si="17"/>
        <v>9.570099048445055</v>
      </c>
      <c r="Y45">
        <f t="shared" ca="1" si="16"/>
        <v>-5.3473773781805178E-2</v>
      </c>
      <c r="Z45">
        <f t="shared" ca="1" si="18"/>
        <v>-2.8366859599130718E-2</v>
      </c>
      <c r="AA45">
        <f t="shared" ca="1" si="19"/>
        <v>-2.510691418267446E-2</v>
      </c>
    </row>
    <row r="46" spans="1:27" x14ac:dyDescent="0.25">
      <c r="A46" s="20">
        <f t="shared" ca="1" si="0"/>
        <v>45768</v>
      </c>
      <c r="B46" vm="129">
        <f ca="1"/>
        <v>45768</v>
      </c>
      <c r="C46" vm="23">
        <f ca="1"/>
        <v>9.4700000000000006</v>
      </c>
      <c r="D46" vm="130">
        <f ca="1"/>
        <v>94138882</v>
      </c>
      <c r="E46">
        <f t="shared" ca="1" si="1"/>
        <v>891495212.54000008</v>
      </c>
      <c r="F46">
        <f ca="1">SUM($E$2:E46)/SUM($D$2:D46)</f>
        <v>9.6293455258930631</v>
      </c>
      <c r="G46">
        <f ca="1">_xlfn.STDEV.P($C$2:C46)</f>
        <v>0.34677021245619355</v>
      </c>
      <c r="H46">
        <f t="shared" ca="1" si="2"/>
        <v>9.9761157383492574</v>
      </c>
      <c r="I46">
        <f t="shared" ca="1" si="3"/>
        <v>9.2825753134368689</v>
      </c>
      <c r="J46">
        <f t="shared" ca="1" si="12"/>
        <v>9.6630000000000003</v>
      </c>
      <c r="K46">
        <f t="shared" ca="1" si="13"/>
        <v>0.42085251823562037</v>
      </c>
      <c r="L46">
        <f t="shared" ca="1" si="14"/>
        <v>10.504705036471242</v>
      </c>
      <c r="M46">
        <f t="shared" ca="1" si="15"/>
        <v>8.821294963528759</v>
      </c>
      <c r="N46">
        <f t="shared" ca="1" si="4"/>
        <v>-0.16000000000000014</v>
      </c>
      <c r="O46">
        <f t="shared" ca="1" si="5"/>
        <v>0</v>
      </c>
      <c r="P46">
        <f t="shared" ca="1" si="6"/>
        <v>0.16000000000000014</v>
      </c>
      <c r="Q46">
        <f t="shared" ca="1" si="10"/>
        <v>0.12051835456312318</v>
      </c>
      <c r="R46">
        <f t="shared" ca="1" si="11"/>
        <v>0.12706504879235062</v>
      </c>
      <c r="S46">
        <f t="shared" ca="1" si="8"/>
        <v>0.94847761606005421</v>
      </c>
      <c r="T46">
        <f t="shared" ca="1" si="9"/>
        <v>48.677881041196471</v>
      </c>
      <c r="U46">
        <f>70</f>
        <v>70</v>
      </c>
      <c r="V46">
        <f>30</f>
        <v>30</v>
      </c>
      <c r="W46">
        <f t="shared" ca="1" si="7"/>
        <v>9.509210530333986</v>
      </c>
      <c r="X46">
        <f t="shared" ca="1" si="17"/>
        <v>9.5626843041157912</v>
      </c>
      <c r="Y46">
        <f t="shared" ca="1" si="16"/>
        <v>-3.8281684696405804E-2</v>
      </c>
      <c r="Z46">
        <f t="shared" ca="1" si="18"/>
        <v>-3.0349824618585736E-2</v>
      </c>
      <c r="AA46">
        <f t="shared" ca="1" si="19"/>
        <v>-7.9318600778200687E-3</v>
      </c>
    </row>
    <row r="47" spans="1:27" x14ac:dyDescent="0.25">
      <c r="A47" s="20">
        <f t="shared" ca="1" si="0"/>
        <v>45768</v>
      </c>
      <c r="B47" vm="131">
        <f ca="1"/>
        <v>45769</v>
      </c>
      <c r="C47" vm="36">
        <f ca="1"/>
        <v>9.65</v>
      </c>
      <c r="D47" vm="132">
        <f ca="1"/>
        <v>121387081</v>
      </c>
      <c r="E47">
        <f t="shared" ca="1" si="1"/>
        <v>1171385331.6500001</v>
      </c>
      <c r="F47">
        <f ca="1">SUM($E$2:E47)/SUM($D$2:D47)</f>
        <v>9.6297510139028901</v>
      </c>
      <c r="G47">
        <f ca="1">_xlfn.STDEV.P($C$2:C47)</f>
        <v>0.34299746205942411</v>
      </c>
      <c r="H47">
        <f t="shared" ca="1" si="2"/>
        <v>9.9727484759623142</v>
      </c>
      <c r="I47">
        <f t="shared" ca="1" si="3"/>
        <v>9.2867535518434661</v>
      </c>
      <c r="J47">
        <f t="shared" ca="1" si="12"/>
        <v>9.6329999999999991</v>
      </c>
      <c r="K47">
        <f t="shared" ca="1" si="13"/>
        <v>0.39754642231409509</v>
      </c>
      <c r="L47">
        <f t="shared" ca="1" si="14"/>
        <v>10.428092844628189</v>
      </c>
      <c r="M47">
        <f t="shared" ca="1" si="15"/>
        <v>8.8379071553718092</v>
      </c>
      <c r="N47">
        <f t="shared" ca="1" si="4"/>
        <v>0.17999999999999972</v>
      </c>
      <c r="O47">
        <f t="shared" ca="1" si="5"/>
        <v>0.17999999999999972</v>
      </c>
      <c r="P47">
        <f t="shared" ca="1" si="6"/>
        <v>0</v>
      </c>
      <c r="Q47">
        <f t="shared" ca="1" si="10"/>
        <v>0.12476704352290006</v>
      </c>
      <c r="R47">
        <f t="shared" ca="1" si="11"/>
        <v>0.11798897387861129</v>
      </c>
      <c r="S47">
        <f t="shared" ca="1" si="8"/>
        <v>1.0574466360836576</v>
      </c>
      <c r="T47">
        <f t="shared" ca="1" si="9"/>
        <v>51.396066247263818</v>
      </c>
      <c r="U47">
        <f>70</f>
        <v>70</v>
      </c>
      <c r="V47">
        <f>30</f>
        <v>30</v>
      </c>
      <c r="W47">
        <f t="shared" ca="1" si="7"/>
        <v>9.5308704487441425</v>
      </c>
      <c r="X47">
        <f t="shared" ca="1" si="17"/>
        <v>9.5691521334405483</v>
      </c>
      <c r="Y47">
        <f t="shared" ca="1" si="16"/>
        <v>-1.5572421912159129E-2</v>
      </c>
      <c r="Z47">
        <f t="shared" ca="1" si="18"/>
        <v>-2.7394344077300417E-2</v>
      </c>
      <c r="AA47">
        <f t="shared" ca="1" si="19"/>
        <v>1.1821922165141288E-2</v>
      </c>
    </row>
    <row r="48" spans="1:27" x14ac:dyDescent="0.25">
      <c r="A48" s="20">
        <f t="shared" ca="1" si="0"/>
        <v>45768</v>
      </c>
      <c r="B48" vm="133">
        <f ca="1"/>
        <v>45770</v>
      </c>
      <c r="C48" vm="134">
        <f ca="1"/>
        <v>9.7799999999999994</v>
      </c>
      <c r="D48" vm="135">
        <f ca="1"/>
        <v>158691527</v>
      </c>
      <c r="E48">
        <f t="shared" ca="1" si="1"/>
        <v>1552003134.0599999</v>
      </c>
      <c r="F48">
        <f ca="1">SUM($E$2:E48)/SUM($D$2:D48)</f>
        <v>9.6335106954715464</v>
      </c>
      <c r="G48">
        <f ca="1">_xlfn.STDEV.P($C$2:C48)</f>
        <v>0.34004686386476846</v>
      </c>
      <c r="H48">
        <f t="shared" ca="1" si="2"/>
        <v>9.9735575593363155</v>
      </c>
      <c r="I48">
        <f t="shared" ca="1" si="3"/>
        <v>9.2934638316067772</v>
      </c>
      <c r="J48">
        <f t="shared" ca="1" si="12"/>
        <v>9.6074999999999982</v>
      </c>
      <c r="K48">
        <f t="shared" ca="1" si="13"/>
        <v>0.36848016443079723</v>
      </c>
      <c r="L48">
        <f t="shared" ca="1" si="14"/>
        <v>10.344460328861592</v>
      </c>
      <c r="M48">
        <f t="shared" ca="1" si="15"/>
        <v>8.8705396711384044</v>
      </c>
      <c r="N48">
        <f t="shared" ca="1" si="4"/>
        <v>0.12999999999999901</v>
      </c>
      <c r="O48">
        <f t="shared" ca="1" si="5"/>
        <v>0.12999999999999901</v>
      </c>
      <c r="P48">
        <f t="shared" ca="1" si="6"/>
        <v>0</v>
      </c>
      <c r="Q48">
        <f t="shared" ca="1" si="10"/>
        <v>0.12514082612840713</v>
      </c>
      <c r="R48">
        <f t="shared" ca="1" si="11"/>
        <v>0.10956119003013906</v>
      </c>
      <c r="S48">
        <f t="shared" ca="1" si="8"/>
        <v>1.1422003183242377</v>
      </c>
      <c r="T48">
        <f t="shared" ca="1" si="9"/>
        <v>53.319024768782498</v>
      </c>
      <c r="U48">
        <f>70</f>
        <v>70</v>
      </c>
      <c r="V48">
        <f>30</f>
        <v>30</v>
      </c>
      <c r="W48">
        <f t="shared" ca="1" si="7"/>
        <v>9.5691980720142737</v>
      </c>
      <c r="X48">
        <f t="shared" ca="1" si="17"/>
        <v>9.5847704939264329</v>
      </c>
      <c r="Y48">
        <f t="shared" ca="1" si="16"/>
        <v>2.4733381373643226E-2</v>
      </c>
      <c r="Z48">
        <f t="shared" ca="1" si="18"/>
        <v>-1.6968798987111688E-2</v>
      </c>
      <c r="AA48">
        <f t="shared" ca="1" si="19"/>
        <v>4.1702180360754917E-2</v>
      </c>
    </row>
    <row r="49" spans="1:27" x14ac:dyDescent="0.25">
      <c r="A49" s="20">
        <f t="shared" ca="1" si="0"/>
        <v>45768</v>
      </c>
      <c r="B49" vm="136">
        <f ca="1"/>
        <v>45771</v>
      </c>
      <c r="C49" vm="137">
        <f ca="1"/>
        <v>10.06</v>
      </c>
      <c r="D49" vm="138">
        <f ca="1"/>
        <v>87031042</v>
      </c>
      <c r="E49">
        <f t="shared" ca="1" si="1"/>
        <v>875532282.5200001</v>
      </c>
      <c r="F49">
        <f ca="1">SUM($E$2:E49)/SUM($D$2:D49)</f>
        <v>9.6392843215540616</v>
      </c>
      <c r="G49">
        <f ca="1">_xlfn.STDEV.P($C$2:C49)</f>
        <v>0.34203943080034244</v>
      </c>
      <c r="H49">
        <f t="shared" ca="1" si="2"/>
        <v>9.9813237523544043</v>
      </c>
      <c r="I49">
        <f t="shared" ca="1" si="3"/>
        <v>9.2972448907537188</v>
      </c>
      <c r="J49">
        <f t="shared" ca="1" si="12"/>
        <v>9.5954999999999995</v>
      </c>
      <c r="K49">
        <f t="shared" ca="1" si="13"/>
        <v>0.34808460858940904</v>
      </c>
      <c r="L49">
        <f t="shared" ca="1" si="14"/>
        <v>10.291669217178818</v>
      </c>
      <c r="M49">
        <f t="shared" ca="1" si="15"/>
        <v>8.8993307828211812</v>
      </c>
      <c r="N49">
        <f t="shared" ca="1" si="4"/>
        <v>0.28000000000000114</v>
      </c>
      <c r="O49">
        <f t="shared" ca="1" si="5"/>
        <v>0.28000000000000114</v>
      </c>
      <c r="P49">
        <f t="shared" ca="1" si="6"/>
        <v>0</v>
      </c>
      <c r="Q49">
        <f t="shared" ca="1" si="10"/>
        <v>0.13620219569066386</v>
      </c>
      <c r="R49">
        <f t="shared" ca="1" si="11"/>
        <v>0.10173539074227199</v>
      </c>
      <c r="S49">
        <f t="shared" ca="1" si="8"/>
        <v>1.3387887410361181</v>
      </c>
      <c r="T49">
        <f t="shared" ca="1" si="9"/>
        <v>57.242824781301742</v>
      </c>
      <c r="U49">
        <f>70</f>
        <v>70</v>
      </c>
      <c r="V49">
        <f>30</f>
        <v>30</v>
      </c>
      <c r="W49">
        <f t="shared" ca="1" si="7"/>
        <v>9.6447060609351549</v>
      </c>
      <c r="X49">
        <f t="shared" ca="1" si="17"/>
        <v>9.6199726795615117</v>
      </c>
      <c r="Y49">
        <f t="shared" ca="1" si="16"/>
        <v>5.4434698690171146E-2</v>
      </c>
      <c r="Z49">
        <f t="shared" ca="1" si="18"/>
        <v>-2.6880994516551224E-3</v>
      </c>
      <c r="AA49">
        <f t="shared" ca="1" si="19"/>
        <v>5.7122798141826268E-2</v>
      </c>
    </row>
    <row r="50" spans="1:27" x14ac:dyDescent="0.25">
      <c r="A50" s="20">
        <f t="shared" ca="1" si="0"/>
        <v>45768</v>
      </c>
      <c r="B50" vm="139">
        <f ca="1"/>
        <v>45772</v>
      </c>
      <c r="C50" vm="140">
        <f ca="1"/>
        <v>10.039999999999999</v>
      </c>
      <c r="D50" vm="141">
        <f ca="1"/>
        <v>88682432</v>
      </c>
      <c r="E50">
        <f t="shared" ca="1" si="1"/>
        <v>890371617.27999997</v>
      </c>
      <c r="F50">
        <f ca="1">SUM($E$2:E50)/SUM($D$2:D50)</f>
        <v>9.644736754748898</v>
      </c>
      <c r="G50">
        <f ca="1">_xlfn.STDEV.P($C$2:C50)</f>
        <v>0.34324249481340585</v>
      </c>
      <c r="H50">
        <f t="shared" ca="1" si="2"/>
        <v>9.9879792495623043</v>
      </c>
      <c r="I50">
        <f t="shared" ca="1" si="3"/>
        <v>9.3014942599354917</v>
      </c>
      <c r="J50">
        <f t="shared" ca="1" si="12"/>
        <v>9.6024999999999991</v>
      </c>
      <c r="K50">
        <f t="shared" ca="1" si="13"/>
        <v>0.35585146221126407</v>
      </c>
      <c r="L50">
        <f t="shared" ca="1" si="14"/>
        <v>10.314202924422528</v>
      </c>
      <c r="M50">
        <f t="shared" ca="1" si="15"/>
        <v>8.8907970755774706</v>
      </c>
      <c r="N50">
        <f t="shared" ca="1" si="4"/>
        <v>-2.000000000000135E-2</v>
      </c>
      <c r="O50">
        <f t="shared" ca="1" si="5"/>
        <v>0</v>
      </c>
      <c r="P50">
        <f t="shared" ca="1" si="6"/>
        <v>2.000000000000135E-2</v>
      </c>
      <c r="Q50">
        <f t="shared" ca="1" si="10"/>
        <v>0.12647346742704502</v>
      </c>
      <c r="R50">
        <f t="shared" ca="1" si="11"/>
        <v>9.5897148546395514E-2</v>
      </c>
      <c r="S50">
        <f t="shared" ca="1" si="8"/>
        <v>1.3188449223373573</v>
      </c>
      <c r="T50">
        <f t="shared" ca="1" si="9"/>
        <v>56.875080762536868</v>
      </c>
      <c r="U50">
        <f>70</f>
        <v>70</v>
      </c>
      <c r="V50">
        <f>30</f>
        <v>30</v>
      </c>
      <c r="W50">
        <f t="shared" ca="1" si="7"/>
        <v>9.7055205130989783</v>
      </c>
      <c r="X50">
        <f t="shared" ca="1" si="17"/>
        <v>9.6510858144088072</v>
      </c>
      <c r="Y50">
        <f t="shared" ca="1" si="16"/>
        <v>7.5489181502947034E-2</v>
      </c>
      <c r="Z50">
        <f t="shared" ca="1" si="18"/>
        <v>1.2947356739265309E-2</v>
      </c>
      <c r="AA50">
        <f t="shared" ca="1" si="19"/>
        <v>6.2541824763681725E-2</v>
      </c>
    </row>
    <row r="51" spans="1:27" x14ac:dyDescent="0.25">
      <c r="A51" s="20">
        <f t="shared" ca="1" si="0"/>
        <v>45775</v>
      </c>
      <c r="B51" vm="142">
        <f ca="1"/>
        <v>45775</v>
      </c>
      <c r="C51" vm="143">
        <f ca="1"/>
        <v>10.02</v>
      </c>
      <c r="D51" vm="144">
        <f ca="1"/>
        <v>77051524</v>
      </c>
      <c r="E51">
        <f t="shared" ca="1" si="1"/>
        <v>772056270.48000002</v>
      </c>
      <c r="F51">
        <f ca="1">SUM($E$2:E51)/SUM($D$2:D51)</f>
        <v>9.6491213498095583</v>
      </c>
      <c r="G51">
        <f ca="1">_xlfn.STDEV.P($C$2:C51)</f>
        <v>0.34377457730320898</v>
      </c>
      <c r="H51">
        <f t="shared" ca="1" si="2"/>
        <v>9.9928959271127678</v>
      </c>
      <c r="I51">
        <f t="shared" ca="1" si="3"/>
        <v>9.3053467725063488</v>
      </c>
      <c r="J51">
        <f t="shared" ca="1" si="12"/>
        <v>9.6175000000000015</v>
      </c>
      <c r="K51">
        <f t="shared" ca="1" si="13"/>
        <v>0.36720673941757137</v>
      </c>
      <c r="L51">
        <f t="shared" ca="1" si="14"/>
        <v>10.351913478835144</v>
      </c>
      <c r="M51">
        <f t="shared" ca="1" si="15"/>
        <v>8.8830865211648593</v>
      </c>
      <c r="N51">
        <f t="shared" ca="1" si="4"/>
        <v>-1.9999999999999574E-2</v>
      </c>
      <c r="O51">
        <f t="shared" ca="1" si="5"/>
        <v>0</v>
      </c>
      <c r="P51">
        <f t="shared" ca="1" si="6"/>
        <v>1.9999999999999574E-2</v>
      </c>
      <c r="Q51">
        <f t="shared" ca="1" si="10"/>
        <v>0.11743964832511322</v>
      </c>
      <c r="R51">
        <f t="shared" ca="1" si="11"/>
        <v>9.0475923650224374E-2</v>
      </c>
      <c r="S51">
        <f t="shared" ca="1" si="8"/>
        <v>1.2980209937301035</v>
      </c>
      <c r="T51">
        <f t="shared" ca="1" si="9"/>
        <v>56.484296587002923</v>
      </c>
      <c r="U51">
        <f>70</f>
        <v>70</v>
      </c>
      <c r="V51">
        <f>30</f>
        <v>30</v>
      </c>
      <c r="W51">
        <f t="shared" ca="1" si="7"/>
        <v>9.7539019726222129</v>
      </c>
      <c r="X51">
        <f t="shared" ca="1" si="17"/>
        <v>9.6784127911192659</v>
      </c>
      <c r="Y51">
        <f t="shared" ca="1" si="16"/>
        <v>0.10149495371805095</v>
      </c>
      <c r="Z51">
        <f t="shared" ca="1" si="18"/>
        <v>3.0656876135022437E-2</v>
      </c>
      <c r="AA51">
        <f t="shared" ca="1" si="19"/>
        <v>7.0838077583028514E-2</v>
      </c>
    </row>
    <row r="52" spans="1:27" x14ac:dyDescent="0.25">
      <c r="A52" s="20">
        <f t="shared" ca="1" si="0"/>
        <v>45775</v>
      </c>
      <c r="B52" vm="145">
        <f ca="1"/>
        <v>45776</v>
      </c>
      <c r="C52" vm="95">
        <f ca="1"/>
        <v>10.15</v>
      </c>
      <c r="D52" vm="146">
        <f ca="1"/>
        <v>141980313</v>
      </c>
      <c r="E52">
        <f t="shared" ca="1" si="1"/>
        <v>1441100176.95</v>
      </c>
      <c r="F52">
        <f ca="1">SUM($E$2:E52)/SUM($D$2:D52)</f>
        <v>9.659677895431809</v>
      </c>
      <c r="G52">
        <f ca="1">_xlfn.STDEV.P($C$2:C52)</f>
        <v>0.3472429997628107</v>
      </c>
      <c r="H52">
        <f t="shared" ca="1" si="2"/>
        <v>10.00692089519462</v>
      </c>
      <c r="I52">
        <f t="shared" ca="1" si="3"/>
        <v>9.3124348956689982</v>
      </c>
      <c r="J52">
        <f t="shared" ca="1" si="12"/>
        <v>9.6235000000000017</v>
      </c>
      <c r="K52">
        <f t="shared" ca="1" si="13"/>
        <v>0.37519503700005641</v>
      </c>
      <c r="L52">
        <f t="shared" ca="1" si="14"/>
        <v>10.373890074000114</v>
      </c>
      <c r="M52">
        <f t="shared" ca="1" si="15"/>
        <v>8.8731099259998896</v>
      </c>
      <c r="N52">
        <f t="shared" ca="1" si="4"/>
        <v>0.13000000000000078</v>
      </c>
      <c r="O52">
        <f t="shared" ca="1" si="5"/>
        <v>0.13000000000000078</v>
      </c>
      <c r="P52">
        <f t="shared" ca="1" si="6"/>
        <v>0</v>
      </c>
      <c r="Q52">
        <f t="shared" ca="1" si="10"/>
        <v>0.1183368163018909</v>
      </c>
      <c r="R52">
        <f t="shared" ca="1" si="11"/>
        <v>8.4013357675208344E-2</v>
      </c>
      <c r="S52">
        <f t="shared" ca="1" si="8"/>
        <v>1.4085476354769133</v>
      </c>
      <c r="T52">
        <f t="shared" ca="1" si="9"/>
        <v>58.48120314207565</v>
      </c>
      <c r="U52">
        <f>70</f>
        <v>70</v>
      </c>
      <c r="V52">
        <f>30</f>
        <v>30</v>
      </c>
      <c r="W52">
        <f t="shared" ca="1" si="7"/>
        <v>9.8148401306803343</v>
      </c>
      <c r="X52">
        <f t="shared" ca="1" si="17"/>
        <v>9.7133451769622834</v>
      </c>
      <c r="Y52">
        <f t="shared" ca="1" si="16"/>
        <v>0.10954511766187203</v>
      </c>
      <c r="Z52">
        <f t="shared" ca="1" si="18"/>
        <v>4.6434524440392359E-2</v>
      </c>
      <c r="AA52">
        <f t="shared" ca="1" si="19"/>
        <v>6.3110593221479661E-2</v>
      </c>
    </row>
    <row r="53" spans="1:27" x14ac:dyDescent="0.25">
      <c r="A53" s="20">
        <f t="shared" ca="1" si="0"/>
        <v>45775</v>
      </c>
      <c r="B53" vm="147">
        <f ca="1"/>
        <v>45777</v>
      </c>
      <c r="C53" vm="69">
        <f ca="1"/>
        <v>10.01</v>
      </c>
      <c r="D53" vm="148">
        <f ca="1"/>
        <v>136406235</v>
      </c>
      <c r="E53">
        <f t="shared" ca="1" si="1"/>
        <v>1365426412.3499999</v>
      </c>
      <c r="F53">
        <f ca="1">SUM($E$2:E53)/SUM($D$2:D53)</f>
        <v>9.6666306504472477</v>
      </c>
      <c r="G53">
        <f ca="1">_xlfn.STDEV.P($C$2:C53)</f>
        <v>0.34714580092605435</v>
      </c>
      <c r="H53">
        <f t="shared" ca="1" si="2"/>
        <v>10.013776451373301</v>
      </c>
      <c r="I53">
        <f t="shared" ca="1" si="3"/>
        <v>9.3194848495211939</v>
      </c>
      <c r="J53">
        <f t="shared" ca="1" si="12"/>
        <v>9.6269999999999989</v>
      </c>
      <c r="K53">
        <f t="shared" ca="1" si="13"/>
        <v>0.37861381518987336</v>
      </c>
      <c r="L53">
        <f t="shared" ca="1" si="14"/>
        <v>10.384227630379746</v>
      </c>
      <c r="M53">
        <f t="shared" ca="1" si="15"/>
        <v>8.869772369620252</v>
      </c>
      <c r="N53">
        <f t="shared" ca="1" si="4"/>
        <v>-0.14000000000000057</v>
      </c>
      <c r="O53">
        <f t="shared" ca="1" si="5"/>
        <v>0</v>
      </c>
      <c r="P53">
        <f t="shared" ca="1" si="6"/>
        <v>0.14000000000000057</v>
      </c>
      <c r="Q53">
        <f t="shared" ca="1" si="10"/>
        <v>0.10988418656604156</v>
      </c>
      <c r="R53">
        <f t="shared" ca="1" si="11"/>
        <v>8.8012403555550636E-2</v>
      </c>
      <c r="S53">
        <f t="shared" ca="1" si="8"/>
        <v>1.2485079616839023</v>
      </c>
      <c r="T53">
        <f t="shared" ca="1" si="9"/>
        <v>55.526063636834877</v>
      </c>
      <c r="U53">
        <f>70</f>
        <v>70</v>
      </c>
      <c r="V53">
        <f>30</f>
        <v>30</v>
      </c>
      <c r="W53">
        <f t="shared" ca="1" si="7"/>
        <v>9.8448647259602815</v>
      </c>
      <c r="X53">
        <f t="shared" ca="1" si="17"/>
        <v>9.7353196082984095</v>
      </c>
      <c r="Y53">
        <f t="shared" ca="1" si="16"/>
        <v>0.12816510231686529</v>
      </c>
      <c r="Z53">
        <f t="shared" ca="1" si="18"/>
        <v>6.278064001568695E-2</v>
      </c>
      <c r="AA53">
        <f t="shared" ca="1" si="19"/>
        <v>6.5384462301178337E-2</v>
      </c>
    </row>
    <row r="54" spans="1:27" x14ac:dyDescent="0.25">
      <c r="A54" s="20">
        <f t="shared" ca="1" si="0"/>
        <v>45775</v>
      </c>
      <c r="B54" vm="149">
        <f ca="1"/>
        <v>45778</v>
      </c>
      <c r="C54" vm="150">
        <f ca="1"/>
        <v>10.18</v>
      </c>
      <c r="D54" vm="151">
        <f ca="1"/>
        <v>126532486</v>
      </c>
      <c r="E54">
        <f t="shared" ca="1" si="1"/>
        <v>1288100707.48</v>
      </c>
      <c r="F54">
        <f ca="1">SUM($E$2:E54)/SUM($D$2:D54)</f>
        <v>9.6759110018997916</v>
      </c>
      <c r="G54">
        <f ca="1">_xlfn.STDEV.P($C$2:C54)</f>
        <v>0.35075578267724072</v>
      </c>
      <c r="H54">
        <f t="shared" ca="1" si="2"/>
        <v>10.026666784577031</v>
      </c>
      <c r="I54">
        <f t="shared" ca="1" si="3"/>
        <v>9.3251552192225518</v>
      </c>
      <c r="J54">
        <f t="shared" ca="1" si="12"/>
        <v>9.6284999999999989</v>
      </c>
      <c r="K54">
        <f t="shared" ca="1" si="13"/>
        <v>0.38084773860428783</v>
      </c>
      <c r="L54">
        <f t="shared" ca="1" si="14"/>
        <v>10.390195477208575</v>
      </c>
      <c r="M54">
        <f t="shared" ca="1" si="15"/>
        <v>8.8668045227914227</v>
      </c>
      <c r="N54">
        <f t="shared" ca="1" si="4"/>
        <v>0.16999999999999993</v>
      </c>
      <c r="O54">
        <f t="shared" ca="1" si="5"/>
        <v>0.16999999999999993</v>
      </c>
      <c r="P54">
        <f t="shared" ca="1" si="6"/>
        <v>0</v>
      </c>
      <c r="Q54">
        <f t="shared" ca="1" si="10"/>
        <v>0.11417817323989574</v>
      </c>
      <c r="R54">
        <f t="shared" ca="1" si="11"/>
        <v>8.1725803301582731E-2</v>
      </c>
      <c r="S54">
        <f t="shared" ca="1" si="8"/>
        <v>1.3970884179450398</v>
      </c>
      <c r="T54">
        <f t="shared" ca="1" si="9"/>
        <v>58.28272363614883</v>
      </c>
      <c r="U54">
        <f>70</f>
        <v>70</v>
      </c>
      <c r="V54">
        <f>30</f>
        <v>30</v>
      </c>
      <c r="W54">
        <f t="shared" ca="1" si="7"/>
        <v>9.8964239988894676</v>
      </c>
      <c r="X54">
        <f t="shared" ca="1" si="17"/>
        <v>9.7682588965726023</v>
      </c>
      <c r="Y54">
        <f t="shared" ca="1" si="16"/>
        <v>0.1492700463933776</v>
      </c>
      <c r="Z54">
        <f t="shared" ca="1" si="18"/>
        <v>8.0078521291225085E-2</v>
      </c>
      <c r="AA54">
        <f t="shared" ca="1" si="19"/>
        <v>6.9191525102152512E-2</v>
      </c>
    </row>
    <row r="55" spans="1:27" x14ac:dyDescent="0.25">
      <c r="A55" s="20">
        <f t="shared" ca="1" si="0"/>
        <v>45775</v>
      </c>
      <c r="B55" vm="152">
        <f ca="1"/>
        <v>45779</v>
      </c>
      <c r="C55" vm="153">
        <f ca="1"/>
        <v>10.28</v>
      </c>
      <c r="D55" vm="154">
        <f ca="1"/>
        <v>82228655</v>
      </c>
      <c r="E55">
        <f t="shared" ca="1" si="1"/>
        <v>845310573.39999998</v>
      </c>
      <c r="F55">
        <f ca="1">SUM($E$2:E55)/SUM($D$2:D55)</f>
        <v>9.6829253013365086</v>
      </c>
      <c r="G55">
        <f ca="1">_xlfn.STDEV.P($C$2:C55)</f>
        <v>0.35676049686897826</v>
      </c>
      <c r="H55">
        <f t="shared" ca="1" si="2"/>
        <v>10.039685798205486</v>
      </c>
      <c r="I55">
        <f t="shared" ca="1" si="3"/>
        <v>9.3261648044675312</v>
      </c>
      <c r="J55">
        <f t="shared" ca="1" si="12"/>
        <v>9.6654999999999998</v>
      </c>
      <c r="K55">
        <f t="shared" ca="1" si="13"/>
        <v>0.40685539911555013</v>
      </c>
      <c r="L55">
        <f t="shared" ca="1" si="14"/>
        <v>10.479210798231101</v>
      </c>
      <c r="M55">
        <f t="shared" ca="1" si="15"/>
        <v>8.8517892017688986</v>
      </c>
      <c r="N55">
        <f t="shared" ca="1" si="4"/>
        <v>9.9999999999999645E-2</v>
      </c>
      <c r="O55">
        <f t="shared" ca="1" si="5"/>
        <v>9.9999999999999645E-2</v>
      </c>
      <c r="P55">
        <f t="shared" ca="1" si="6"/>
        <v>0</v>
      </c>
      <c r="Q55">
        <f t="shared" ca="1" si="10"/>
        <v>0.11316544657990316</v>
      </c>
      <c r="R55">
        <f t="shared" ca="1" si="11"/>
        <v>7.5888245922898251E-2</v>
      </c>
      <c r="S55">
        <f t="shared" ca="1" si="8"/>
        <v>1.4912117839023211</v>
      </c>
      <c r="T55">
        <f t="shared" ca="1" si="9"/>
        <v>59.858892509188237</v>
      </c>
      <c r="U55">
        <f>70</f>
        <v>70</v>
      </c>
      <c r="V55">
        <f>30</f>
        <v>30</v>
      </c>
      <c r="W55">
        <f t="shared" ca="1" si="7"/>
        <v>9.9554356913680095</v>
      </c>
      <c r="X55">
        <f t="shared" ca="1" si="17"/>
        <v>9.8061656449746319</v>
      </c>
      <c r="Y55">
        <f t="shared" ca="1" si="16"/>
        <v>0.15532924706422691</v>
      </c>
      <c r="Z55">
        <f t="shared" ca="1" si="18"/>
        <v>9.512866644582546E-2</v>
      </c>
      <c r="AA55">
        <f t="shared" ca="1" si="19"/>
        <v>6.0200580618401445E-2</v>
      </c>
    </row>
    <row r="56" spans="1:27" x14ac:dyDescent="0.25">
      <c r="A56" s="20">
        <f t="shared" ca="1" si="0"/>
        <v>45782</v>
      </c>
      <c r="B56" vm="155">
        <f ca="1"/>
        <v>45782</v>
      </c>
      <c r="C56" vm="66">
        <f ca="1"/>
        <v>10.17</v>
      </c>
      <c r="D56" vm="156">
        <f ca="1"/>
        <v>105766259</v>
      </c>
      <c r="E56">
        <f t="shared" ca="1" si="1"/>
        <v>1075642854.03</v>
      </c>
      <c r="F56">
        <f ca="1">SUM($E$2:E56)/SUM($D$2:D56)</f>
        <v>9.6900927508482422</v>
      </c>
      <c r="G56">
        <f ca="1">_xlfn.STDEV.P($C$2:C56)</f>
        <v>0.35922855819769317</v>
      </c>
      <c r="H56">
        <f t="shared" ca="1" si="2"/>
        <v>10.049321309045935</v>
      </c>
      <c r="I56">
        <f t="shared" ca="1" si="3"/>
        <v>9.3308641926505498</v>
      </c>
      <c r="J56">
        <f t="shared" ca="1" si="12"/>
        <v>9.6950000000000003</v>
      </c>
      <c r="K56">
        <f t="shared" ca="1" si="13"/>
        <v>0.4214573712600998</v>
      </c>
      <c r="L56">
        <f t="shared" ca="1" si="14"/>
        <v>10.537914742520201</v>
      </c>
      <c r="M56">
        <f t="shared" ca="1" si="15"/>
        <v>8.8520852574797999</v>
      </c>
      <c r="N56">
        <f t="shared" ca="1" si="4"/>
        <v>-0.10999999999999943</v>
      </c>
      <c r="O56">
        <f t="shared" ca="1" si="5"/>
        <v>0</v>
      </c>
      <c r="P56">
        <f t="shared" ca="1" si="6"/>
        <v>0.10999999999999943</v>
      </c>
      <c r="Q56">
        <f t="shared" ca="1" si="10"/>
        <v>0.10508220039562435</v>
      </c>
      <c r="R56">
        <f t="shared" ca="1" si="11"/>
        <v>7.8324799785548321E-2</v>
      </c>
      <c r="S56">
        <f t="shared" ca="1" si="8"/>
        <v>1.3416210533999096</v>
      </c>
      <c r="T56">
        <f t="shared" ca="1" si="9"/>
        <v>57.294541806922467</v>
      </c>
      <c r="U56">
        <f>70</f>
        <v>70</v>
      </c>
      <c r="V56">
        <f>30</f>
        <v>30</v>
      </c>
      <c r="W56">
        <f t="shared" ca="1" si="7"/>
        <v>9.9884455850037011</v>
      </c>
      <c r="X56">
        <f t="shared" ca="1" si="17"/>
        <v>9.8331163379394741</v>
      </c>
      <c r="Y56">
        <f t="shared" ca="1" si="16"/>
        <v>0.17984481172583955</v>
      </c>
      <c r="Z56">
        <f t="shared" ca="1" si="18"/>
        <v>0.11207189550182828</v>
      </c>
      <c r="AA56">
        <f t="shared" ca="1" si="19"/>
        <v>6.777291622401127E-2</v>
      </c>
    </row>
    <row r="57" spans="1:27" x14ac:dyDescent="0.25">
      <c r="A57" s="20">
        <f t="shared" ca="1" si="0"/>
        <v>45782</v>
      </c>
      <c r="B57" vm="157">
        <f ca="1"/>
        <v>45783</v>
      </c>
      <c r="C57" vm="158">
        <f ca="1"/>
        <v>10.44</v>
      </c>
      <c r="D57" vm="159">
        <f ca="1"/>
        <v>131814035</v>
      </c>
      <c r="E57">
        <f t="shared" ca="1" si="1"/>
        <v>1376138525.3999999</v>
      </c>
      <c r="F57">
        <f ca="1">SUM($E$2:E57)/SUM($D$2:D57)</f>
        <v>9.7035978760716066</v>
      </c>
      <c r="G57">
        <f ca="1">_xlfn.STDEV.P($C$2:C57)</f>
        <v>0.36922971218083583</v>
      </c>
      <c r="H57">
        <f t="shared" ca="1" si="2"/>
        <v>10.072827588252443</v>
      </c>
      <c r="I57">
        <f t="shared" ca="1" si="3"/>
        <v>9.3343681638907707</v>
      </c>
      <c r="J57">
        <f t="shared" ca="1" si="12"/>
        <v>9.754999999999999</v>
      </c>
      <c r="K57">
        <f t="shared" ca="1" si="13"/>
        <v>0.43835217756838762</v>
      </c>
      <c r="L57">
        <f t="shared" ca="1" si="14"/>
        <v>10.631704355136774</v>
      </c>
      <c r="M57">
        <f t="shared" ca="1" si="15"/>
        <v>8.8782956448632238</v>
      </c>
      <c r="N57">
        <f t="shared" ca="1" si="4"/>
        <v>0.26999999999999957</v>
      </c>
      <c r="O57">
        <f t="shared" ca="1" si="5"/>
        <v>0.26999999999999957</v>
      </c>
      <c r="P57">
        <f t="shared" ca="1" si="6"/>
        <v>0</v>
      </c>
      <c r="Q57">
        <f t="shared" ca="1" si="10"/>
        <v>0.1168620432245083</v>
      </c>
      <c r="R57">
        <f t="shared" ca="1" si="11"/>
        <v>7.2730171229437729E-2</v>
      </c>
      <c r="S57">
        <f t="shared" ca="1" si="8"/>
        <v>1.6067890567155447</v>
      </c>
      <c r="T57">
        <f t="shared" ca="1" si="9"/>
        <v>61.638629814567274</v>
      </c>
      <c r="U57">
        <f>70</f>
        <v>70</v>
      </c>
      <c r="V57">
        <f>30</f>
        <v>30</v>
      </c>
      <c r="W57">
        <f t="shared" ca="1" si="7"/>
        <v>10.057915495003131</v>
      </c>
      <c r="X57">
        <f t="shared" ca="1" si="17"/>
        <v>9.8780706832772918</v>
      </c>
      <c r="Y57">
        <f t="shared" ca="1" si="16"/>
        <v>0.18423911666897475</v>
      </c>
      <c r="Z57">
        <f t="shared" ca="1" si="18"/>
        <v>0.12650533973525757</v>
      </c>
      <c r="AA57">
        <f t="shared" ca="1" si="19"/>
        <v>5.7733776933717174E-2</v>
      </c>
    </row>
    <row r="58" spans="1:27" x14ac:dyDescent="0.25">
      <c r="A58" s="20">
        <f t="shared" ca="1" si="0"/>
        <v>45782</v>
      </c>
      <c r="B58" vm="160">
        <f ca="1"/>
        <v>45784</v>
      </c>
      <c r="C58" vm="153">
        <f ca="1"/>
        <v>10.28</v>
      </c>
      <c r="D58" vm="161">
        <f ca="1"/>
        <v>116936644</v>
      </c>
      <c r="E58">
        <f t="shared" ca="1" si="1"/>
        <v>1202108700.3199999</v>
      </c>
      <c r="F58">
        <f ca="1">SUM($E$2:E58)/SUM($D$2:D58)</f>
        <v>9.7126619193373021</v>
      </c>
      <c r="G58">
        <f ca="1">_xlfn.STDEV.P($C$2:C58)</f>
        <v>0.37345063122348421</v>
      </c>
      <c r="H58">
        <f t="shared" ca="1" si="2"/>
        <v>10.086112550560786</v>
      </c>
      <c r="I58">
        <f t="shared" ca="1" si="3"/>
        <v>9.3392112881138178</v>
      </c>
      <c r="J58">
        <f t="shared" ca="1" si="12"/>
        <v>9.8344999999999985</v>
      </c>
      <c r="K58">
        <f t="shared" ca="1" si="13"/>
        <v>0.3745801158068785</v>
      </c>
      <c r="L58">
        <f t="shared" ca="1" si="14"/>
        <v>10.583660231613756</v>
      </c>
      <c r="M58">
        <f t="shared" ca="1" si="15"/>
        <v>9.0853397683862411</v>
      </c>
      <c r="N58">
        <f t="shared" ca="1" si="4"/>
        <v>-0.16000000000000014</v>
      </c>
      <c r="O58">
        <f t="shared" ca="1" si="5"/>
        <v>0</v>
      </c>
      <c r="P58">
        <f t="shared" ca="1" si="6"/>
        <v>0.16000000000000014</v>
      </c>
      <c r="Q58">
        <f t="shared" ca="1" si="10"/>
        <v>0.10851475442275771</v>
      </c>
      <c r="R58">
        <f t="shared" ca="1" si="11"/>
        <v>7.8963730427335052E-2</v>
      </c>
      <c r="S58">
        <f t="shared" ca="1" si="8"/>
        <v>1.3742354095418079</v>
      </c>
      <c r="T58">
        <f t="shared" ca="1" si="9"/>
        <v>57.881177410584364</v>
      </c>
      <c r="U58">
        <f>70</f>
        <v>70</v>
      </c>
      <c r="V58">
        <f>30</f>
        <v>30</v>
      </c>
      <c r="W58">
        <f t="shared" ca="1" si="7"/>
        <v>10.092082341925726</v>
      </c>
      <c r="X58">
        <f t="shared" ca="1" si="17"/>
        <v>9.9078432252567517</v>
      </c>
      <c r="Y58">
        <f t="shared" ca="1" si="16"/>
        <v>0.18558235710397675</v>
      </c>
      <c r="Z58">
        <f t="shared" ca="1" si="18"/>
        <v>0.13832074320900142</v>
      </c>
      <c r="AA58">
        <f t="shared" ca="1" si="19"/>
        <v>4.7261613894975324E-2</v>
      </c>
    </row>
    <row r="59" spans="1:27" x14ac:dyDescent="0.25">
      <c r="A59" s="20">
        <f t="shared" ca="1" si="0"/>
        <v>45782</v>
      </c>
      <c r="B59" vm="162">
        <f ca="1"/>
        <v>45785</v>
      </c>
      <c r="C59" vm="153">
        <f ca="1"/>
        <v>10.28</v>
      </c>
      <c r="D59" vm="163">
        <f ca="1"/>
        <v>107173416</v>
      </c>
      <c r="E59">
        <f t="shared" ca="1" si="1"/>
        <v>1101742716.48</v>
      </c>
      <c r="F59">
        <f ca="1">SUM($E$2:E59)/SUM($D$2:D59)</f>
        <v>9.7207223877452513</v>
      </c>
      <c r="G59">
        <f ca="1">_xlfn.STDEV.P($C$2:C59)</f>
        <v>0.37723306584800376</v>
      </c>
      <c r="H59">
        <f t="shared" ca="1" si="2"/>
        <v>10.097955453593254</v>
      </c>
      <c r="I59">
        <f t="shared" ca="1" si="3"/>
        <v>9.3434893218972483</v>
      </c>
      <c r="J59">
        <f t="shared" ca="1" si="12"/>
        <v>9.8734999999999999</v>
      </c>
      <c r="K59">
        <f t="shared" ca="1" si="13"/>
        <v>0.3785050232580523</v>
      </c>
      <c r="L59">
        <f t="shared" ca="1" si="14"/>
        <v>10.630510046516104</v>
      </c>
      <c r="M59">
        <f t="shared" ca="1" si="15"/>
        <v>9.1164899534838959</v>
      </c>
      <c r="N59">
        <f t="shared" ca="1" si="4"/>
        <v>0</v>
      </c>
      <c r="O59">
        <f t="shared" ca="1" si="5"/>
        <v>0</v>
      </c>
      <c r="P59">
        <f t="shared" ca="1" si="6"/>
        <v>0</v>
      </c>
      <c r="Q59">
        <f t="shared" ca="1" si="10"/>
        <v>0.10076370053541786</v>
      </c>
      <c r="R59">
        <f t="shared" ca="1" si="11"/>
        <v>7.3323463968239702E-2</v>
      </c>
      <c r="S59">
        <f t="shared" ca="1" si="8"/>
        <v>1.3742354095418077</v>
      </c>
      <c r="T59">
        <f t="shared" ca="1" si="9"/>
        <v>57.88117741058435</v>
      </c>
      <c r="U59">
        <f>70</f>
        <v>70</v>
      </c>
      <c r="V59">
        <f>30</f>
        <v>30</v>
      </c>
      <c r="W59">
        <f t="shared" ca="1" si="7"/>
        <v>10.120992750860228</v>
      </c>
      <c r="X59">
        <f t="shared" ca="1" si="17"/>
        <v>9.9354103937562517</v>
      </c>
      <c r="Y59">
        <f t="shared" ca="1" si="16"/>
        <v>0.19648566676554324</v>
      </c>
      <c r="Z59">
        <f t="shared" ca="1" si="18"/>
        <v>0.14995372792030981</v>
      </c>
      <c r="AA59">
        <f t="shared" ca="1" si="19"/>
        <v>4.6531938845233434E-2</v>
      </c>
    </row>
    <row r="60" spans="1:27" x14ac:dyDescent="0.25">
      <c r="A60" s="20">
        <f t="shared" ca="1" si="0"/>
        <v>45782</v>
      </c>
      <c r="B60" vm="164">
        <f ca="1"/>
        <v>45786</v>
      </c>
      <c r="C60" vm="165">
        <f ca="1"/>
        <v>10.43</v>
      </c>
      <c r="D60" vm="166">
        <f ca="1"/>
        <v>76350701</v>
      </c>
      <c r="E60">
        <f t="shared" ca="1" si="1"/>
        <v>796337811.42999995</v>
      </c>
      <c r="F60">
        <f ca="1">SUM($E$2:E60)/SUM($D$2:D60)</f>
        <v>9.7278293980175192</v>
      </c>
      <c r="G60">
        <f ca="1">_xlfn.STDEV.P($C$2:C60)</f>
        <v>0.3846828889118224</v>
      </c>
      <c r="H60">
        <f t="shared" ca="1" si="2"/>
        <v>10.112512286929341</v>
      </c>
      <c r="I60">
        <f t="shared" ca="1" si="3"/>
        <v>9.3431465091056971</v>
      </c>
      <c r="J60">
        <f t="shared" ca="1" si="12"/>
        <v>9.9380000000000006</v>
      </c>
      <c r="K60">
        <f t="shared" ca="1" si="13"/>
        <v>0.3561874137083037</v>
      </c>
      <c r="L60">
        <f t="shared" ca="1" si="14"/>
        <v>10.650374827416607</v>
      </c>
      <c r="M60">
        <f t="shared" ca="1" si="15"/>
        <v>9.2256251725833938</v>
      </c>
      <c r="N60">
        <f t="shared" ca="1" si="4"/>
        <v>0.15000000000000036</v>
      </c>
      <c r="O60">
        <f t="shared" ca="1" si="5"/>
        <v>0.15000000000000036</v>
      </c>
      <c r="P60">
        <f t="shared" ca="1" si="6"/>
        <v>0</v>
      </c>
      <c r="Q60">
        <f t="shared" ca="1" si="10"/>
        <v>0.10428057906860233</v>
      </c>
      <c r="R60">
        <f t="shared" ca="1" si="11"/>
        <v>6.808607368479401E-2</v>
      </c>
      <c r="S60">
        <f t="shared" ca="1" si="8"/>
        <v>1.5315992452637464</v>
      </c>
      <c r="T60">
        <f t="shared" ca="1" si="9"/>
        <v>60.499277211001917</v>
      </c>
      <c r="U60">
        <f>70</f>
        <v>70</v>
      </c>
      <c r="V60">
        <f>30</f>
        <v>30</v>
      </c>
      <c r="W60">
        <f t="shared" ca="1" si="7"/>
        <v>10.168532327650961</v>
      </c>
      <c r="X60">
        <f t="shared" ca="1" si="17"/>
        <v>9.9720466608854181</v>
      </c>
      <c r="Y60">
        <f t="shared" ca="1" si="16"/>
        <v>0.21236164252015577</v>
      </c>
      <c r="Z60">
        <f t="shared" ca="1" si="18"/>
        <v>0.16243531084027901</v>
      </c>
      <c r="AA60">
        <f t="shared" ca="1" si="19"/>
        <v>4.9926331679876756E-2</v>
      </c>
    </row>
    <row r="61" spans="1:27" x14ac:dyDescent="0.25">
      <c r="A61" s="20">
        <f t="shared" ca="1" si="0"/>
        <v>45789</v>
      </c>
      <c r="B61" vm="167">
        <f ca="1"/>
        <v>45789</v>
      </c>
      <c r="C61" vm="168">
        <f ca="1"/>
        <v>10.55</v>
      </c>
      <c r="D61" vm="169">
        <f ca="1"/>
        <v>102035764</v>
      </c>
      <c r="E61">
        <f t="shared" ca="1" si="1"/>
        <v>1076477310.2</v>
      </c>
      <c r="F61">
        <f ca="1">SUM($E$2:E61)/SUM($D$2:D61)</f>
        <v>9.7386935297404627</v>
      </c>
      <c r="G61">
        <f ca="1">_xlfn.STDEV.P($C$2:C61)</f>
        <v>0.39513636886523112</v>
      </c>
      <c r="H61">
        <f t="shared" ca="1" si="2"/>
        <v>10.133829898605693</v>
      </c>
      <c r="I61">
        <f t="shared" ca="1" si="3"/>
        <v>9.3435571608752319</v>
      </c>
      <c r="J61">
        <f t="shared" ca="1" si="12"/>
        <v>9.9990000000000006</v>
      </c>
      <c r="K61">
        <f t="shared" ca="1" si="13"/>
        <v>0.35101207056768058</v>
      </c>
      <c r="L61">
        <f t="shared" ca="1" si="14"/>
        <v>10.701024141135361</v>
      </c>
      <c r="M61">
        <f t="shared" ca="1" si="15"/>
        <v>9.2969758588646396</v>
      </c>
      <c r="N61">
        <f t="shared" ca="1" si="4"/>
        <v>0.12000000000000099</v>
      </c>
      <c r="O61">
        <f t="shared" ca="1" si="5"/>
        <v>0.12000000000000099</v>
      </c>
      <c r="P61">
        <f t="shared" ca="1" si="6"/>
        <v>0</v>
      </c>
      <c r="Q61">
        <f t="shared" ca="1" si="10"/>
        <v>0.10540339484941652</v>
      </c>
      <c r="R61">
        <f t="shared" ca="1" si="11"/>
        <v>6.3222782707308717E-2</v>
      </c>
      <c r="S61">
        <f t="shared" ca="1" si="8"/>
        <v>1.6671742421934177</v>
      </c>
      <c r="T61">
        <f t="shared" ca="1" si="9"/>
        <v>62.507136422492408</v>
      </c>
      <c r="U61">
        <f>70</f>
        <v>70</v>
      </c>
      <c r="V61">
        <f>30</f>
        <v>30</v>
      </c>
      <c r="W61">
        <f t="shared" ca="1" si="7"/>
        <v>10.227219661858506</v>
      </c>
      <c r="X61">
        <f t="shared" ca="1" si="17"/>
        <v>10.01485801933835</v>
      </c>
      <c r="Y61">
        <f t="shared" ca="1" si="16"/>
        <v>0.22636861335331204</v>
      </c>
      <c r="Z61">
        <f t="shared" ca="1" si="18"/>
        <v>0.17522197134288561</v>
      </c>
      <c r="AA61">
        <f t="shared" ca="1" si="19"/>
        <v>5.114664201042643E-2</v>
      </c>
    </row>
    <row r="62" spans="1:27" x14ac:dyDescent="0.25">
      <c r="A62" s="20">
        <f t="shared" ca="1" si="0"/>
        <v>45789</v>
      </c>
      <c r="B62" vm="170">
        <f ca="1"/>
        <v>45790</v>
      </c>
      <c r="C62" vm="171">
        <f ca="1"/>
        <v>10.6</v>
      </c>
      <c r="D62" vm="172">
        <f ca="1"/>
        <v>83671012</v>
      </c>
      <c r="E62">
        <f t="shared" ca="1" si="1"/>
        <v>886912727.19999993</v>
      </c>
      <c r="F62">
        <f ca="1">SUM($E$2:E62)/SUM($D$2:D62)</f>
        <v>9.7479263170668009</v>
      </c>
      <c r="G62">
        <f ca="1">_xlfn.STDEV.P($C$2:C62)</f>
        <v>0.40619140058627423</v>
      </c>
      <c r="H62">
        <f t="shared" ca="1" si="2"/>
        <v>10.154117717653076</v>
      </c>
      <c r="I62">
        <f t="shared" ca="1" si="3"/>
        <v>9.3417349164805259</v>
      </c>
      <c r="J62">
        <f t="shared" ca="1" si="12"/>
        <v>10.0435</v>
      </c>
      <c r="K62">
        <f t="shared" ca="1" si="13"/>
        <v>0.36842874052129149</v>
      </c>
      <c r="L62">
        <f t="shared" ca="1" si="14"/>
        <v>10.780357481042582</v>
      </c>
      <c r="M62">
        <f t="shared" ca="1" si="15"/>
        <v>9.3066425189574176</v>
      </c>
      <c r="N62">
        <f t="shared" ca="1" si="4"/>
        <v>4.9999999999998934E-2</v>
      </c>
      <c r="O62">
        <f t="shared" ca="1" si="5"/>
        <v>4.9999999999998934E-2</v>
      </c>
      <c r="P62">
        <f t="shared" ca="1" si="6"/>
        <v>0</v>
      </c>
      <c r="Q62">
        <f t="shared" ca="1" si="10"/>
        <v>0.10144600950302955</v>
      </c>
      <c r="R62">
        <f t="shared" ca="1" si="11"/>
        <v>5.8706869656786669E-2</v>
      </c>
      <c r="S62">
        <f t="shared" ca="1" si="8"/>
        <v>1.72800917671314</v>
      </c>
      <c r="T62">
        <f t="shared" ca="1" si="9"/>
        <v>63.343231814019902</v>
      </c>
      <c r="U62">
        <f>70</f>
        <v>70</v>
      </c>
      <c r="V62">
        <f>30</f>
        <v>30</v>
      </c>
      <c r="W62">
        <f t="shared" ca="1" si="7"/>
        <v>10.284570483111043</v>
      </c>
      <c r="X62">
        <f t="shared" ca="1" si="17"/>
        <v>10.058201869757731</v>
      </c>
      <c r="Y62">
        <f t="shared" ca="1" si="16"/>
        <v>0.23875164049207065</v>
      </c>
      <c r="Z62">
        <f t="shared" ca="1" si="18"/>
        <v>0.18792790517272262</v>
      </c>
      <c r="AA62">
        <f t="shared" ca="1" si="19"/>
        <v>5.0823735319348029E-2</v>
      </c>
    </row>
    <row r="63" spans="1:27" x14ac:dyDescent="0.25">
      <c r="A63" s="20">
        <f t="shared" ca="1" si="0"/>
        <v>45789</v>
      </c>
      <c r="B63" vm="173">
        <f ca="1"/>
        <v>45791</v>
      </c>
      <c r="C63" vm="174">
        <f ca="1"/>
        <v>10.65</v>
      </c>
      <c r="D63" vm="175">
        <f ca="1"/>
        <v>84453089</v>
      </c>
      <c r="E63">
        <f t="shared" ca="1" si="1"/>
        <v>899425397.85000002</v>
      </c>
      <c r="F63">
        <f ca="1">SUM($E$2:E63)/SUM($D$2:D63)</f>
        <v>9.757582021217857</v>
      </c>
      <c r="G63">
        <f ca="1">_xlfn.STDEV.P($C$2:C63)</f>
        <v>0.41779797855482176</v>
      </c>
      <c r="H63">
        <f t="shared" ca="1" si="2"/>
        <v>10.175379999772678</v>
      </c>
      <c r="I63">
        <f t="shared" ca="1" si="3"/>
        <v>9.3397840426630356</v>
      </c>
      <c r="J63">
        <f t="shared" ca="1" si="12"/>
        <v>10.1035</v>
      </c>
      <c r="K63">
        <f t="shared" ca="1" si="13"/>
        <v>0.36437798477607503</v>
      </c>
      <c r="L63">
        <f t="shared" ca="1" si="14"/>
        <v>10.832255969552151</v>
      </c>
      <c r="M63">
        <f t="shared" ca="1" si="15"/>
        <v>9.3747440304478502</v>
      </c>
      <c r="N63">
        <f t="shared" ca="1" si="4"/>
        <v>5.0000000000000711E-2</v>
      </c>
      <c r="O63">
        <f t="shared" ca="1" si="5"/>
        <v>5.0000000000000711E-2</v>
      </c>
      <c r="P63">
        <f t="shared" ca="1" si="6"/>
        <v>0</v>
      </c>
      <c r="Q63">
        <f t="shared" ca="1" si="10"/>
        <v>9.7771294538527495E-2</v>
      </c>
      <c r="R63">
        <f t="shared" ca="1" si="11"/>
        <v>5.4513521824159049E-2</v>
      </c>
      <c r="S63">
        <f t="shared" ca="1" si="8"/>
        <v>1.7935237215805357</v>
      </c>
      <c r="T63">
        <f t="shared" ca="1" si="9"/>
        <v>64.202917187536372</v>
      </c>
      <c r="U63">
        <f>70</f>
        <v>70</v>
      </c>
      <c r="V63">
        <f>30</f>
        <v>30</v>
      </c>
      <c r="W63">
        <f t="shared" ca="1" si="7"/>
        <v>10.340790408786267</v>
      </c>
      <c r="X63">
        <f t="shared" ca="1" si="17"/>
        <v>10.102038768294197</v>
      </c>
      <c r="Y63">
        <f t="shared" ca="1" si="16"/>
        <v>0.25370983394275548</v>
      </c>
      <c r="Z63">
        <f t="shared" ca="1" si="18"/>
        <v>0.20108429092672919</v>
      </c>
      <c r="AA63">
        <f t="shared" ca="1" si="19"/>
        <v>5.2625543016026288E-2</v>
      </c>
    </row>
    <row r="64" spans="1:27" x14ac:dyDescent="0.25">
      <c r="A64" s="20">
        <f t="shared" ca="1" si="0"/>
        <v>45789</v>
      </c>
      <c r="B64" vm="176">
        <f ca="1"/>
        <v>45792</v>
      </c>
      <c r="C64" vm="177">
        <f ca="1"/>
        <v>10.75</v>
      </c>
      <c r="D64" vm="178">
        <f ca="1"/>
        <v>71096528</v>
      </c>
      <c r="E64">
        <f t="shared" ca="1" si="1"/>
        <v>764287676</v>
      </c>
      <c r="F64">
        <f ca="1">SUM($E$2:E64)/SUM($D$2:D64)</f>
        <v>9.7664448732247742</v>
      </c>
      <c r="G64">
        <f ca="1">_xlfn.STDEV.P($C$2:C64)</f>
        <v>0.43161027277350339</v>
      </c>
      <c r="H64">
        <f t="shared" ca="1" si="2"/>
        <v>10.198055145998278</v>
      </c>
      <c r="I64">
        <f t="shared" ca="1" si="3"/>
        <v>9.3348346004512699</v>
      </c>
      <c r="J64">
        <f t="shared" ca="1" si="12"/>
        <v>10.171000000000003</v>
      </c>
      <c r="K64">
        <f t="shared" ca="1" si="13"/>
        <v>0.35203020205359459</v>
      </c>
      <c r="L64">
        <f t="shared" ca="1" si="14"/>
        <v>10.875060404107192</v>
      </c>
      <c r="M64">
        <f t="shared" ca="1" si="15"/>
        <v>9.4669395958928142</v>
      </c>
      <c r="N64">
        <f t="shared" ca="1" si="4"/>
        <v>9.9999999999999645E-2</v>
      </c>
      <c r="O64">
        <f t="shared" ca="1" si="5"/>
        <v>9.9999999999999645E-2</v>
      </c>
      <c r="P64">
        <f t="shared" ca="1" si="6"/>
        <v>0</v>
      </c>
      <c r="Q64">
        <f t="shared" ca="1" si="10"/>
        <v>9.7930487785775511E-2</v>
      </c>
      <c r="R64">
        <f t="shared" ca="1" si="11"/>
        <v>5.0619698836719115E-2</v>
      </c>
      <c r="S64">
        <f t="shared" ca="1" si="8"/>
        <v>1.9346319720641549</v>
      </c>
      <c r="T64">
        <f t="shared" ca="1" si="9"/>
        <v>65.924176880802463</v>
      </c>
      <c r="U64">
        <f>70</f>
        <v>70</v>
      </c>
      <c r="V64">
        <f>30</f>
        <v>30</v>
      </c>
      <c r="W64">
        <f t="shared" ca="1" si="7"/>
        <v>10.403745730511456</v>
      </c>
      <c r="X64">
        <f t="shared" ca="1" si="17"/>
        <v>10.150035896568701</v>
      </c>
      <c r="Y64">
        <f t="shared" ca="1" si="16"/>
        <v>0.26652654010562493</v>
      </c>
      <c r="Z64">
        <f t="shared" ca="1" si="18"/>
        <v>0.21417274076250836</v>
      </c>
      <c r="AA64">
        <f t="shared" ca="1" si="19"/>
        <v>5.2353799343116569E-2</v>
      </c>
    </row>
    <row r="65" spans="1:27" x14ac:dyDescent="0.25">
      <c r="A65" s="20">
        <f t="shared" ca="1" si="0"/>
        <v>45789</v>
      </c>
      <c r="B65" vm="179">
        <f ca="1"/>
        <v>45793</v>
      </c>
      <c r="C65" vm="180">
        <f ca="1"/>
        <v>10.8</v>
      </c>
      <c r="D65" vm="181">
        <f ca="1"/>
        <v>64913005</v>
      </c>
      <c r="E65">
        <f t="shared" ca="1" si="1"/>
        <v>701060454</v>
      </c>
      <c r="F65">
        <f ca="1">SUM($E$2:E65)/SUM($D$2:D65)</f>
        <v>9.7748041563081003</v>
      </c>
      <c r="G65">
        <f ca="1">_xlfn.STDEV.P($C$2:C65)</f>
        <v>0.44576213593792097</v>
      </c>
      <c r="H65">
        <f t="shared" ca="1" si="2"/>
        <v>10.220566292246021</v>
      </c>
      <c r="I65">
        <f t="shared" ca="1" si="3"/>
        <v>9.3290420203701796</v>
      </c>
      <c r="J65">
        <f t="shared" ca="1" si="12"/>
        <v>10.229500000000002</v>
      </c>
      <c r="K65">
        <f t="shared" ca="1" si="13"/>
        <v>0.35460096179404704</v>
      </c>
      <c r="L65">
        <f t="shared" ca="1" si="14"/>
        <v>10.938701923588095</v>
      </c>
      <c r="M65">
        <f t="shared" ca="1" si="15"/>
        <v>9.5202980764119083</v>
      </c>
      <c r="N65">
        <f t="shared" ca="1" si="4"/>
        <v>5.0000000000000711E-2</v>
      </c>
      <c r="O65">
        <f t="shared" ca="1" si="5"/>
        <v>5.0000000000000711E-2</v>
      </c>
      <c r="P65">
        <f t="shared" ca="1" si="6"/>
        <v>0</v>
      </c>
      <c r="Q65">
        <f t="shared" ca="1" si="10"/>
        <v>9.4506881515363031E-2</v>
      </c>
      <c r="R65">
        <f t="shared" ca="1" si="11"/>
        <v>4.7004006062667747E-2</v>
      </c>
      <c r="S65">
        <f t="shared" ca="1" si="8"/>
        <v>2.0106133377091822</v>
      </c>
      <c r="T65">
        <f t="shared" ca="1" si="9"/>
        <v>66.784176915893354</v>
      </c>
      <c r="U65">
        <f>70</f>
        <v>70</v>
      </c>
      <c r="V65">
        <f>30</f>
        <v>30</v>
      </c>
      <c r="W65">
        <f t="shared" ca="1" si="7"/>
        <v>10.464707925817386</v>
      </c>
      <c r="X65">
        <f t="shared" ca="1" si="17"/>
        <v>10.198181385711761</v>
      </c>
      <c r="Y65">
        <f t="shared" ca="1" si="16"/>
        <v>0.26954217553117132</v>
      </c>
      <c r="Z65">
        <f t="shared" ca="1" si="18"/>
        <v>0.22524662771624099</v>
      </c>
      <c r="AA65">
        <f t="shared" ca="1" si="19"/>
        <v>4.4295547814930336E-2</v>
      </c>
    </row>
    <row r="66" spans="1:27" x14ac:dyDescent="0.25">
      <c r="A66" s="20">
        <f t="shared" ca="1" si="0"/>
        <v>45796</v>
      </c>
      <c r="B66" vm="182">
        <f ca="1"/>
        <v>45796</v>
      </c>
      <c r="C66" vm="177">
        <f ca="1"/>
        <v>10.75</v>
      </c>
      <c r="D66" vm="183">
        <f ca="1"/>
        <v>60195734</v>
      </c>
      <c r="E66">
        <f t="shared" ca="1" si="1"/>
        <v>647104140.5</v>
      </c>
      <c r="F66">
        <f ca="1">SUM($E$2:E66)/SUM($D$2:D66)</f>
        <v>9.7820638135036919</v>
      </c>
      <c r="G66">
        <f ca="1">_xlfn.STDEV.P($C$2:C66)</f>
        <v>0.45697186996666261</v>
      </c>
      <c r="H66">
        <f t="shared" ca="1" si="2"/>
        <v>10.239035683470355</v>
      </c>
      <c r="I66">
        <f t="shared" ca="1" si="3"/>
        <v>9.3250919435370285</v>
      </c>
      <c r="J66">
        <f t="shared" ca="1" si="12"/>
        <v>10.2935</v>
      </c>
      <c r="K66">
        <f t="shared" ca="1" si="13"/>
        <v>0.32454462023936842</v>
      </c>
      <c r="L66">
        <f t="shared" ca="1" si="14"/>
        <v>10.942589240478737</v>
      </c>
      <c r="M66">
        <f t="shared" ca="1" si="15"/>
        <v>9.6444107595212625</v>
      </c>
      <c r="N66">
        <f t="shared" ca="1" si="4"/>
        <v>-5.0000000000000711E-2</v>
      </c>
      <c r="O66">
        <f t="shared" ca="1" si="5"/>
        <v>0</v>
      </c>
      <c r="P66">
        <f t="shared" ca="1" si="6"/>
        <v>5.0000000000000711E-2</v>
      </c>
      <c r="Q66">
        <f t="shared" ca="1" si="10"/>
        <v>8.7756389978551383E-2</v>
      </c>
      <c r="R66">
        <f t="shared" ca="1" si="11"/>
        <v>4.72180056296201E-2</v>
      </c>
      <c r="S66">
        <f t="shared" ca="1" si="8"/>
        <v>1.8585365647781902</v>
      </c>
      <c r="T66">
        <f t="shared" ca="1" si="9"/>
        <v>65.017064594463363</v>
      </c>
      <c r="U66">
        <f>70</f>
        <v>70</v>
      </c>
      <c r="V66">
        <f>30</f>
        <v>30</v>
      </c>
      <c r="W66">
        <f t="shared" ca="1" si="7"/>
        <v>10.508599014153171</v>
      </c>
      <c r="X66">
        <f t="shared" ca="1" si="17"/>
        <v>10.239056838622</v>
      </c>
      <c r="Y66">
        <f t="shared" ca="1" si="16"/>
        <v>0.2664399847616572</v>
      </c>
      <c r="Z66">
        <f t="shared" ca="1" si="18"/>
        <v>0.23348529912532423</v>
      </c>
      <c r="AA66">
        <f t="shared" ca="1" si="19"/>
        <v>3.295468563633297E-2</v>
      </c>
    </row>
    <row r="67" spans="1:27" x14ac:dyDescent="0.25">
      <c r="A67" s="20">
        <f t="shared" ref="A67:A130" ca="1" si="20">B67 - WEEKDAY(B67, 2) + 1</f>
        <v>45796</v>
      </c>
      <c r="B67" vm="184">
        <f ca="1"/>
        <v>45797</v>
      </c>
      <c r="C67" vm="185">
        <f ca="1"/>
        <v>10.72</v>
      </c>
      <c r="D67" vm="186">
        <f ca="1"/>
        <v>61063828</v>
      </c>
      <c r="E67">
        <f t="shared" ref="E67:E130" ca="1" si="21">C67*D67</f>
        <v>654604236.16000009</v>
      </c>
      <c r="F67">
        <f ca="1">SUM($E$2:E67)/SUM($D$2:D67)</f>
        <v>9.7890937038567127</v>
      </c>
      <c r="G67">
        <f ca="1">_xlfn.STDEV.P($C$2:C67)</f>
        <v>0.46629826072187935</v>
      </c>
      <c r="H67">
        <f t="shared" ref="H67:H130" ca="1" si="22">F67 + G67</f>
        <v>10.255391964578592</v>
      </c>
      <c r="I67">
        <f t="shared" ref="I67:I130" ca="1" si="23">F67 - G67</f>
        <v>9.322795443134833</v>
      </c>
      <c r="J67">
        <f t="shared" ca="1" si="12"/>
        <v>10.347000000000001</v>
      </c>
      <c r="K67">
        <f t="shared" ca="1" si="13"/>
        <v>0.30015960666566105</v>
      </c>
      <c r="L67">
        <f t="shared" ca="1" si="14"/>
        <v>10.947319213331323</v>
      </c>
      <c r="M67">
        <f t="shared" ca="1" si="15"/>
        <v>9.74668078666868</v>
      </c>
      <c r="N67">
        <f t="shared" ca="1" si="4"/>
        <v>-2.9999999999999361E-2</v>
      </c>
      <c r="O67">
        <f t="shared" ca="1" si="5"/>
        <v>0</v>
      </c>
      <c r="P67">
        <f t="shared" ca="1" si="6"/>
        <v>2.9999999999999361E-2</v>
      </c>
      <c r="Q67">
        <f t="shared" ca="1" si="10"/>
        <v>8.1488076408654853E-2</v>
      </c>
      <c r="R67">
        <f t="shared" ca="1" si="11"/>
        <v>4.5988148084647192E-2</v>
      </c>
      <c r="S67">
        <f t="shared" ca="1" si="8"/>
        <v>1.771936461948096</v>
      </c>
      <c r="T67">
        <f t="shared" ca="1" si="9"/>
        <v>63.924137016574775</v>
      </c>
      <c r="U67">
        <f>70</f>
        <v>70</v>
      </c>
      <c r="V67">
        <f>30</f>
        <v>30</v>
      </c>
      <c r="W67">
        <f t="shared" ca="1" si="7"/>
        <v>10.54112224274499</v>
      </c>
      <c r="X67">
        <f t="shared" ca="1" si="17"/>
        <v>10.274682257983333</v>
      </c>
      <c r="Y67">
        <f t="shared" ca="1" si="16"/>
        <v>0.24182784117002321</v>
      </c>
      <c r="Z67">
        <f t="shared" ca="1" si="18"/>
        <v>0.23515380753426404</v>
      </c>
      <c r="AA67">
        <f t="shared" ca="1" si="19"/>
        <v>6.6740336357591634E-3</v>
      </c>
    </row>
    <row r="68" spans="1:27" x14ac:dyDescent="0.25">
      <c r="A68" s="20">
        <f t="shared" ca="1" si="20"/>
        <v>45796</v>
      </c>
      <c r="B68" vm="187">
        <f ca="1"/>
        <v>45798</v>
      </c>
      <c r="C68" vm="188">
        <f ca="1"/>
        <v>10.48</v>
      </c>
      <c r="D68" vm="189">
        <f ca="1"/>
        <v>89090498</v>
      </c>
      <c r="E68">
        <f t="shared" ca="1" si="21"/>
        <v>933668419.04000008</v>
      </c>
      <c r="F68">
        <f ca="1">SUM($E$2:E68)/SUM($D$2:D68)</f>
        <v>9.7965671084787562</v>
      </c>
      <c r="G68">
        <f ca="1">_xlfn.STDEV.P($C$2:C68)</f>
        <v>0.46916352480726692</v>
      </c>
      <c r="H68">
        <f t="shared" ca="1" si="22"/>
        <v>10.265730633286022</v>
      </c>
      <c r="I68">
        <f t="shared" ca="1" si="23"/>
        <v>9.3274035836714901</v>
      </c>
      <c r="J68">
        <f t="shared" ca="1" si="12"/>
        <v>10.382000000000001</v>
      </c>
      <c r="K68">
        <f t="shared" ca="1" si="13"/>
        <v>0.26984595995727506</v>
      </c>
      <c r="L68">
        <f t="shared" ca="1" si="14"/>
        <v>10.921691919914551</v>
      </c>
      <c r="M68">
        <f t="shared" ca="1" si="15"/>
        <v>9.8423080800854521</v>
      </c>
      <c r="N68">
        <f t="shared" ref="N68:N131" ca="1" si="24">C68-C67</f>
        <v>-0.24000000000000021</v>
      </c>
      <c r="O68">
        <f t="shared" ref="O68:O131" ca="1" si="25">MAX(N68,0)</f>
        <v>0</v>
      </c>
      <c r="P68">
        <f t="shared" ref="P68:P131" ca="1" si="26">MAX(-N68,0)</f>
        <v>0.24000000000000021</v>
      </c>
      <c r="Q68">
        <f t="shared" ca="1" si="10"/>
        <v>7.5667499522322351E-2</v>
      </c>
      <c r="R68">
        <f t="shared" ca="1" si="11"/>
        <v>5.9846137507172402E-2</v>
      </c>
      <c r="S68">
        <f t="shared" ca="1" si="8"/>
        <v>1.2643673037922256</v>
      </c>
      <c r="T68">
        <f t="shared" ca="1" si="9"/>
        <v>55.837553460286216</v>
      </c>
      <c r="U68">
        <f>70</f>
        <v>70</v>
      </c>
      <c r="V68">
        <f>30</f>
        <v>30</v>
      </c>
      <c r="W68">
        <f t="shared" ca="1" si="7"/>
        <v>10.531718820784221</v>
      </c>
      <c r="X68">
        <f t="shared" ca="1" si="17"/>
        <v>10.289890979614198</v>
      </c>
      <c r="Y68">
        <f t="shared" ca="1" si="16"/>
        <v>0.21659806666182213</v>
      </c>
      <c r="Z68">
        <f t="shared" ca="1" si="18"/>
        <v>0.23144265935977568</v>
      </c>
      <c r="AA68">
        <f t="shared" ca="1" si="19"/>
        <v>-1.4844592697953546E-2</v>
      </c>
    </row>
    <row r="69" spans="1:27" x14ac:dyDescent="0.25">
      <c r="A69" s="20">
        <f t="shared" ca="1" si="20"/>
        <v>45796</v>
      </c>
      <c r="B69" vm="190">
        <f ca="1"/>
        <v>45799</v>
      </c>
      <c r="C69" vm="158">
        <f ca="1"/>
        <v>10.44</v>
      </c>
      <c r="D69" vm="191">
        <f ca="1"/>
        <v>94081143</v>
      </c>
      <c r="E69">
        <f t="shared" ca="1" si="21"/>
        <v>982207132.91999996</v>
      </c>
      <c r="F69">
        <f ca="1">SUM($E$2:E69)/SUM($D$2:D69)</f>
        <v>9.8038338729732875</v>
      </c>
      <c r="G69">
        <f ca="1">_xlfn.STDEV.P($C$2:C69)</f>
        <v>0.47100156480466493</v>
      </c>
      <c r="H69">
        <f t="shared" ca="1" si="22"/>
        <v>10.274835437777952</v>
      </c>
      <c r="I69">
        <f t="shared" ca="1" si="23"/>
        <v>9.3328323081686229</v>
      </c>
      <c r="J69">
        <f t="shared" ca="1" si="12"/>
        <v>10.401</v>
      </c>
      <c r="K69">
        <f t="shared" ca="1" si="13"/>
        <v>0.25914637197009588</v>
      </c>
      <c r="L69">
        <f t="shared" ca="1" si="14"/>
        <v>10.919292743940192</v>
      </c>
      <c r="M69">
        <f t="shared" ca="1" si="15"/>
        <v>9.8827072560598079</v>
      </c>
      <c r="N69">
        <f t="shared" ca="1" si="24"/>
        <v>-4.0000000000000924E-2</v>
      </c>
      <c r="O69">
        <f t="shared" ca="1" si="25"/>
        <v>0</v>
      </c>
      <c r="P69">
        <f t="shared" ca="1" si="26"/>
        <v>4.0000000000000924E-2</v>
      </c>
      <c r="Q69">
        <f t="shared" ca="1" si="10"/>
        <v>7.0262678127870751E-2</v>
      </c>
      <c r="R69">
        <f t="shared" ca="1" si="11"/>
        <v>5.8428556256660151E-2</v>
      </c>
      <c r="S69">
        <f t="shared" ca="1" si="8"/>
        <v>1.2025400357186073</v>
      </c>
      <c r="T69">
        <f t="shared" ca="1" si="9"/>
        <v>54.597874100675</v>
      </c>
      <c r="U69">
        <f>70</f>
        <v>70</v>
      </c>
      <c r="V69">
        <f>30</f>
        <v>30</v>
      </c>
      <c r="W69">
        <f t="shared" ca="1" si="7"/>
        <v>10.517608232971265</v>
      </c>
      <c r="X69">
        <f t="shared" ca="1" si="17"/>
        <v>10.301010166309442</v>
      </c>
      <c r="Y69">
        <f t="shared" ca="1" si="16"/>
        <v>0.1879810288942938</v>
      </c>
      <c r="Z69">
        <f t="shared" ca="1" si="18"/>
        <v>0.22275033326667931</v>
      </c>
      <c r="AA69">
        <f t="shared" ca="1" si="19"/>
        <v>-3.4769304372385512E-2</v>
      </c>
    </row>
    <row r="70" spans="1:27" x14ac:dyDescent="0.25">
      <c r="A70" s="20">
        <f t="shared" ca="1" si="20"/>
        <v>45796</v>
      </c>
      <c r="B70" vm="192">
        <f ca="1"/>
        <v>45800</v>
      </c>
      <c r="C70" vm="193">
        <f ca="1"/>
        <v>10.36</v>
      </c>
      <c r="D70" vm="194">
        <f ca="1"/>
        <v>80519024</v>
      </c>
      <c r="E70">
        <f t="shared" ca="1" si="21"/>
        <v>834177088.63999999</v>
      </c>
      <c r="F70">
        <f ca="1">SUM($E$2:E70)/SUM($D$2:D70)</f>
        <v>9.8091581503504504</v>
      </c>
      <c r="G70">
        <f ca="1">_xlfn.STDEV.P($C$2:C70)</f>
        <v>0.47133001694898091</v>
      </c>
      <c r="H70">
        <f t="shared" ca="1" si="22"/>
        <v>10.280488167299431</v>
      </c>
      <c r="I70">
        <f t="shared" ca="1" si="23"/>
        <v>9.3378281334014694</v>
      </c>
      <c r="J70">
        <f t="shared" ca="1" si="12"/>
        <v>10.416999999999998</v>
      </c>
      <c r="K70">
        <f t="shared" ca="1" si="13"/>
        <v>0.24518736122660009</v>
      </c>
      <c r="L70">
        <f t="shared" ca="1" si="14"/>
        <v>10.907374722453199</v>
      </c>
      <c r="M70">
        <f t="shared" ca="1" si="15"/>
        <v>9.9266252775467976</v>
      </c>
      <c r="N70">
        <f t="shared" ca="1" si="24"/>
        <v>-8.0000000000000071E-2</v>
      </c>
      <c r="O70">
        <f t="shared" ca="1" si="25"/>
        <v>0</v>
      </c>
      <c r="P70">
        <f t="shared" ca="1" si="26"/>
        <v>8.0000000000000071E-2</v>
      </c>
      <c r="Q70">
        <f t="shared" ca="1" si="10"/>
        <v>6.5243915404451416E-2</v>
      </c>
      <c r="R70">
        <f t="shared" ca="1" si="11"/>
        <v>5.9969373666898716E-2</v>
      </c>
      <c r="S70">
        <f t="shared" ca="1" si="8"/>
        <v>1.0879539240621432</v>
      </c>
      <c r="T70">
        <f t="shared" ca="1" si="9"/>
        <v>52.106222820545469</v>
      </c>
      <c r="U70">
        <f>70</f>
        <v>70</v>
      </c>
      <c r="V70">
        <f>30</f>
        <v>30</v>
      </c>
      <c r="W70">
        <f t="shared" ca="1" si="7"/>
        <v>10.493360812514148</v>
      </c>
      <c r="X70">
        <f t="shared" ca="1" si="17"/>
        <v>10.305379783619854</v>
      </c>
      <c r="Y70">
        <f t="shared" ca="1" si="16"/>
        <v>0.15942943487250538</v>
      </c>
      <c r="Z70">
        <f t="shared" ca="1" si="18"/>
        <v>0.21008615358784455</v>
      </c>
      <c r="AA70">
        <f t="shared" ca="1" si="19"/>
        <v>-5.0656718715339166E-2</v>
      </c>
    </row>
    <row r="71" spans="1:27" x14ac:dyDescent="0.25">
      <c r="A71" s="20">
        <f t="shared" ca="1" si="20"/>
        <v>45803</v>
      </c>
      <c r="B71" vm="195">
        <f ca="1"/>
        <v>45804</v>
      </c>
      <c r="C71" vm="196">
        <f ca="1"/>
        <v>10.31</v>
      </c>
      <c r="D71" vm="197">
        <f ca="1"/>
        <v>89066847</v>
      </c>
      <c r="E71">
        <f t="shared" ca="1" si="21"/>
        <v>918279192.57000005</v>
      </c>
      <c r="F71">
        <f ca="1">SUM($E$2:E71)/SUM($D$2:D71)</f>
        <v>9.8144062196550674</v>
      </c>
      <c r="G71">
        <f ca="1">_xlfn.STDEV.P($C$2:C71)</f>
        <v>0.47084944948638596</v>
      </c>
      <c r="H71">
        <f t="shared" ca="1" si="22"/>
        <v>10.285255669141453</v>
      </c>
      <c r="I71">
        <f t="shared" ca="1" si="23"/>
        <v>9.3435567701686821</v>
      </c>
      <c r="J71">
        <f t="shared" ca="1" si="12"/>
        <v>10.4315</v>
      </c>
      <c r="K71">
        <f t="shared" ca="1" si="13"/>
        <v>0.2284795280475741</v>
      </c>
      <c r="L71">
        <f t="shared" ca="1" si="14"/>
        <v>10.888459056095147</v>
      </c>
      <c r="M71">
        <f t="shared" ca="1" si="15"/>
        <v>9.9745409439048522</v>
      </c>
      <c r="N71">
        <f t="shared" ca="1" si="24"/>
        <v>-4.9999999999998934E-2</v>
      </c>
      <c r="O71">
        <f t="shared" ca="1" si="25"/>
        <v>0</v>
      </c>
      <c r="P71">
        <f t="shared" ca="1" si="26"/>
        <v>4.9999999999998934E-2</v>
      </c>
      <c r="Q71">
        <f t="shared" ca="1" si="10"/>
        <v>6.0583635732704887E-2</v>
      </c>
      <c r="R71">
        <f t="shared" ca="1" si="11"/>
        <v>5.9257275547834443E-2</v>
      </c>
      <c r="S71">
        <f t="shared" ca="1" si="8"/>
        <v>1.0223830773961209</v>
      </c>
      <c r="T71">
        <f t="shared" ca="1" si="9"/>
        <v>50.553383719590357</v>
      </c>
      <c r="U71">
        <f>70</f>
        <v>70</v>
      </c>
      <c r="V71">
        <f>30</f>
        <v>30</v>
      </c>
      <c r="W71">
        <f t="shared" ca="1" si="7"/>
        <v>10.46515145674274</v>
      </c>
      <c r="X71">
        <f t="shared" ca="1" si="17"/>
        <v>10.305722021870235</v>
      </c>
      <c r="Y71">
        <f t="shared" ca="1" si="16"/>
        <v>0.12407500155204332</v>
      </c>
      <c r="Z71">
        <f t="shared" ca="1" si="18"/>
        <v>0.19288392318068431</v>
      </c>
      <c r="AA71">
        <f t="shared" ca="1" si="19"/>
        <v>-6.8808921628640995E-2</v>
      </c>
    </row>
    <row r="72" spans="1:27" x14ac:dyDescent="0.25">
      <c r="A72" s="20">
        <f t="shared" ca="1" si="20"/>
        <v>45803</v>
      </c>
      <c r="B72" vm="198">
        <f ca="1"/>
        <v>45805</v>
      </c>
      <c r="C72" vm="66">
        <f ca="1"/>
        <v>10.17</v>
      </c>
      <c r="D72" vm="199">
        <f ca="1"/>
        <v>102335584</v>
      </c>
      <c r="E72">
        <f t="shared" ca="1" si="21"/>
        <v>1040752889.28</v>
      </c>
      <c r="F72">
        <f ca="1">SUM($E$2:E72)/SUM($D$2:D72)</f>
        <v>9.8186364715091461</v>
      </c>
      <c r="G72">
        <f ca="1">_xlfn.STDEV.P($C$2:C72)</f>
        <v>0.46879752222243726</v>
      </c>
      <c r="H72">
        <f t="shared" ca="1" si="22"/>
        <v>10.287433993731584</v>
      </c>
      <c r="I72">
        <f t="shared" ca="1" si="23"/>
        <v>9.349838949286708</v>
      </c>
      <c r="J72">
        <f t="shared" ca="1" si="12"/>
        <v>10.432499999999997</v>
      </c>
      <c r="K72">
        <f t="shared" ca="1" si="13"/>
        <v>0.22722293712980399</v>
      </c>
      <c r="L72">
        <f t="shared" ca="1" si="14"/>
        <v>10.886945874259606</v>
      </c>
      <c r="M72">
        <f t="shared" ca="1" si="15"/>
        <v>9.978054125740389</v>
      </c>
      <c r="N72">
        <f t="shared" ca="1" si="24"/>
        <v>-0.14000000000000057</v>
      </c>
      <c r="O72">
        <f t="shared" ca="1" si="25"/>
        <v>0</v>
      </c>
      <c r="P72">
        <f t="shared" ca="1" si="26"/>
        <v>0.14000000000000057</v>
      </c>
      <c r="Q72">
        <f t="shared" ca="1" si="10"/>
        <v>5.625623318036882E-2</v>
      </c>
      <c r="R72">
        <f t="shared" ca="1" si="11"/>
        <v>6.502461300870345E-2</v>
      </c>
      <c r="S72">
        <f t="shared" ca="1" si="8"/>
        <v>0.86515291021938112</v>
      </c>
      <c r="T72">
        <f t="shared" ca="1" si="9"/>
        <v>46.38509290466812</v>
      </c>
      <c r="U72">
        <f>70</f>
        <v>70</v>
      </c>
      <c r="V72">
        <f>30</f>
        <v>30</v>
      </c>
      <c r="W72">
        <f t="shared" ca="1" si="7"/>
        <v>10.419743540320781</v>
      </c>
      <c r="X72">
        <f t="shared" ca="1" si="17"/>
        <v>10.295668538768737</v>
      </c>
      <c r="Y72">
        <f t="shared" ca="1" si="16"/>
        <v>9.8950303063908507E-2</v>
      </c>
      <c r="Z72">
        <f t="shared" ca="1" si="18"/>
        <v>0.17409719915732919</v>
      </c>
      <c r="AA72">
        <f t="shared" ca="1" si="19"/>
        <v>-7.5146896093420679E-2</v>
      </c>
    </row>
    <row r="73" spans="1:27" x14ac:dyDescent="0.25">
      <c r="A73" s="20">
        <f t="shared" ca="1" si="20"/>
        <v>45803</v>
      </c>
      <c r="B73" vm="200">
        <f ca="1"/>
        <v>45806</v>
      </c>
      <c r="C73" vm="201">
        <f ca="1"/>
        <v>10.220000000000001</v>
      </c>
      <c r="D73" vm="202">
        <f ca="1"/>
        <v>101688883</v>
      </c>
      <c r="E73">
        <f t="shared" ca="1" si="21"/>
        <v>1039260384.2600001</v>
      </c>
      <c r="F73">
        <f ca="1">SUM($E$2:E73)/SUM($D$2:D73)</f>
        <v>9.8233256097427013</v>
      </c>
      <c r="G73">
        <f ca="1">_xlfn.STDEV.P($C$2:C73)</f>
        <v>0.46721957985776791</v>
      </c>
      <c r="H73">
        <f t="shared" ca="1" si="22"/>
        <v>10.290545189600468</v>
      </c>
      <c r="I73">
        <f t="shared" ca="1" si="23"/>
        <v>9.3561060298849341</v>
      </c>
      <c r="J73">
        <f t="shared" ca="1" si="12"/>
        <v>10.442999999999998</v>
      </c>
      <c r="K73">
        <f t="shared" ca="1" si="13"/>
        <v>0.21094025095672067</v>
      </c>
      <c r="L73">
        <f t="shared" ca="1" si="14"/>
        <v>10.86488050191344</v>
      </c>
      <c r="M73">
        <f t="shared" ca="1" si="15"/>
        <v>10.021119498086556</v>
      </c>
      <c r="N73">
        <f t="shared" ca="1" si="24"/>
        <v>5.0000000000000711E-2</v>
      </c>
      <c r="O73">
        <f t="shared" ca="1" si="25"/>
        <v>5.0000000000000711E-2</v>
      </c>
      <c r="P73">
        <f t="shared" ca="1" si="26"/>
        <v>0</v>
      </c>
      <c r="Q73">
        <f t="shared" ca="1" si="10"/>
        <v>5.5809359381771104E-2</v>
      </c>
      <c r="R73">
        <f t="shared" ca="1" si="11"/>
        <v>6.0379997793796061E-2</v>
      </c>
      <c r="S73">
        <f t="shared" ca="1" si="8"/>
        <v>0.92430211031749021</v>
      </c>
      <c r="T73">
        <f t="shared" ca="1" si="9"/>
        <v>48.033107969984492</v>
      </c>
      <c r="U73">
        <f>70</f>
        <v>70</v>
      </c>
      <c r="V73">
        <f>30</f>
        <v>30</v>
      </c>
      <c r="W73">
        <f t="shared" ca="1" si="7"/>
        <v>10.389013764886814</v>
      </c>
      <c r="X73">
        <f t="shared" ca="1" si="17"/>
        <v>10.290063461822905</v>
      </c>
      <c r="Y73">
        <f t="shared" ca="1" si="16"/>
        <v>9.0901604213502907E-2</v>
      </c>
      <c r="Z73">
        <f t="shared" ca="1" si="18"/>
        <v>0.15745808016856394</v>
      </c>
      <c r="AA73">
        <f t="shared" ca="1" si="19"/>
        <v>-6.6556475955061034E-2</v>
      </c>
    </row>
    <row r="74" spans="1:27" x14ac:dyDescent="0.25">
      <c r="A74" s="20">
        <f t="shared" ca="1" si="20"/>
        <v>45803</v>
      </c>
      <c r="B74" vm="203">
        <f ca="1"/>
        <v>45807</v>
      </c>
      <c r="C74" vm="204">
        <f ca="1"/>
        <v>10.38</v>
      </c>
      <c r="D74" vm="205">
        <f ca="1"/>
        <v>152191621</v>
      </c>
      <c r="E74">
        <f t="shared" ca="1" si="21"/>
        <v>1579749025.98</v>
      </c>
      <c r="F74">
        <f ca="1">SUM($E$2:E74)/SUM($D$2:D74)</f>
        <v>9.832891942999316</v>
      </c>
      <c r="G74">
        <f ca="1">_xlfn.STDEV.P($C$2:C74)</f>
        <v>0.46755417398501403</v>
      </c>
      <c r="H74">
        <f t="shared" ca="1" si="22"/>
        <v>10.300446116984331</v>
      </c>
      <c r="I74">
        <f t="shared" ca="1" si="23"/>
        <v>9.3653377690143014</v>
      </c>
      <c r="J74">
        <f t="shared" ca="1" si="12"/>
        <v>10.452999999999999</v>
      </c>
      <c r="K74">
        <f t="shared" ca="1" si="13"/>
        <v>0.20238316967678197</v>
      </c>
      <c r="L74">
        <f t="shared" ca="1" si="14"/>
        <v>10.857766339353564</v>
      </c>
      <c r="M74">
        <f t="shared" ca="1" si="15"/>
        <v>10.048233660646435</v>
      </c>
      <c r="N74">
        <f t="shared" ca="1" si="24"/>
        <v>0.16000000000000014</v>
      </c>
      <c r="O74">
        <f t="shared" ca="1" si="25"/>
        <v>0.16000000000000014</v>
      </c>
      <c r="P74">
        <f t="shared" ca="1" si="26"/>
        <v>0</v>
      </c>
      <c r="Q74">
        <f t="shared" ca="1" si="10"/>
        <v>6.3251547997358895E-2</v>
      </c>
      <c r="R74">
        <f t="shared" ca="1" si="11"/>
        <v>5.6067140808524915E-2</v>
      </c>
      <c r="S74">
        <f t="shared" ca="1" si="8"/>
        <v>1.1281393537325093</v>
      </c>
      <c r="T74">
        <f t="shared" ca="1" si="9"/>
        <v>53.010595934607558</v>
      </c>
      <c r="U74">
        <f>70</f>
        <v>70</v>
      </c>
      <c r="V74">
        <f>30</f>
        <v>30</v>
      </c>
      <c r="W74">
        <f t="shared" ca="1" si="7"/>
        <v>10.387627031827304</v>
      </c>
      <c r="X74">
        <f t="shared" ca="1" si="17"/>
        <v>10.296725427613801</v>
      </c>
      <c r="Y74">
        <f t="shared" ca="1" si="16"/>
        <v>5.1650895949354236E-2</v>
      </c>
      <c r="Z74">
        <f t="shared" ca="1" si="18"/>
        <v>0.13629664332472199</v>
      </c>
      <c r="AA74">
        <f t="shared" ca="1" si="19"/>
        <v>-8.4645747375367758E-2</v>
      </c>
    </row>
    <row r="75" spans="1:27" x14ac:dyDescent="0.25">
      <c r="A75" s="20">
        <f t="shared" ca="1" si="20"/>
        <v>45810</v>
      </c>
      <c r="B75" vm="206">
        <f ca="1"/>
        <v>45810</v>
      </c>
      <c r="C75" vm="207">
        <f ca="1"/>
        <v>9.98</v>
      </c>
      <c r="D75" vm="208">
        <f ca="1"/>
        <v>170340783</v>
      </c>
      <c r="E75">
        <f t="shared" ca="1" si="21"/>
        <v>1700001014.3400002</v>
      </c>
      <c r="F75">
        <f ca="1">SUM($E$2:E75)/SUM($D$2:D75)</f>
        <v>9.8356680402058601</v>
      </c>
      <c r="G75">
        <f ca="1">_xlfn.STDEV.P($C$2:C75)</f>
        <v>0.46449458854798098</v>
      </c>
      <c r="H75">
        <f t="shared" ca="1" si="22"/>
        <v>10.30016262875384</v>
      </c>
      <c r="I75">
        <f t="shared" ca="1" si="23"/>
        <v>9.3711734516578797</v>
      </c>
      <c r="J75">
        <f t="shared" ca="1" si="12"/>
        <v>10.437999999999999</v>
      </c>
      <c r="K75">
        <f t="shared" ca="1" si="13"/>
        <v>0.22565926806395065</v>
      </c>
      <c r="L75">
        <f t="shared" ca="1" si="14"/>
        <v>10.889318536127901</v>
      </c>
      <c r="M75">
        <f t="shared" ca="1" si="15"/>
        <v>9.9866814638720971</v>
      </c>
      <c r="N75">
        <f t="shared" ca="1" si="24"/>
        <v>-0.40000000000000036</v>
      </c>
      <c r="O75">
        <f t="shared" ca="1" si="25"/>
        <v>0</v>
      </c>
      <c r="P75">
        <f t="shared" ca="1" si="26"/>
        <v>0.40000000000000036</v>
      </c>
      <c r="Q75">
        <f t="shared" ca="1" si="10"/>
        <v>5.8733580283261831E-2</v>
      </c>
      <c r="R75">
        <f t="shared" ca="1" si="11"/>
        <v>8.0633773607916015E-2</v>
      </c>
      <c r="S75">
        <f t="shared" ca="1" si="8"/>
        <v>0.72839925077617618</v>
      </c>
      <c r="T75">
        <f t="shared" ca="1" si="9"/>
        <v>42.142997368754493</v>
      </c>
      <c r="U75">
        <f>70</f>
        <v>70</v>
      </c>
      <c r="V75">
        <f>30</f>
        <v>30</v>
      </c>
      <c r="W75">
        <f t="shared" ca="1" si="7"/>
        <v>10.324915180776948</v>
      </c>
      <c r="X75">
        <f t="shared" ca="1" si="17"/>
        <v>10.273264284827594</v>
      </c>
      <c r="Y75">
        <f t="shared" ca="1" si="16"/>
        <v>3.7062439093405786E-2</v>
      </c>
      <c r="Z75">
        <f t="shared" ca="1" si="18"/>
        <v>0.11644980247845876</v>
      </c>
      <c r="AA75">
        <f t="shared" ca="1" si="19"/>
        <v>-7.9387363385052978E-2</v>
      </c>
    </row>
    <row r="76" spans="1:27" x14ac:dyDescent="0.25">
      <c r="A76" s="20">
        <f t="shared" ca="1" si="20"/>
        <v>45810</v>
      </c>
      <c r="B76" vm="209">
        <f ca="1"/>
        <v>45811</v>
      </c>
      <c r="C76" vm="210">
        <f ca="1"/>
        <v>10.19</v>
      </c>
      <c r="D76" vm="211">
        <f ca="1"/>
        <v>121584328</v>
      </c>
      <c r="E76">
        <f t="shared" ca="1" si="21"/>
        <v>1238944302.3199999</v>
      </c>
      <c r="F76">
        <f ca="1">SUM($E$2:E76)/SUM($D$2:D76)</f>
        <v>9.8403773443167051</v>
      </c>
      <c r="G76">
        <f ca="1">_xlfn.STDEV.P($C$2:C76)</f>
        <v>0.46263907698718615</v>
      </c>
      <c r="H76">
        <f t="shared" ca="1" si="22"/>
        <v>10.303016421303891</v>
      </c>
      <c r="I76">
        <f t="shared" ca="1" si="23"/>
        <v>9.3777382673295193</v>
      </c>
      <c r="J76">
        <f t="shared" ca="1" si="12"/>
        <v>10.439</v>
      </c>
      <c r="K76">
        <f t="shared" ca="1" si="13"/>
        <v>0.22445020547293371</v>
      </c>
      <c r="L76">
        <f t="shared" ca="1" si="14"/>
        <v>10.887900410945868</v>
      </c>
      <c r="M76">
        <f t="shared" ca="1" si="15"/>
        <v>9.9900995890541324</v>
      </c>
      <c r="N76">
        <f t="shared" ca="1" si="24"/>
        <v>0.20999999999999908</v>
      </c>
      <c r="O76">
        <f t="shared" ca="1" si="25"/>
        <v>0.20999999999999908</v>
      </c>
      <c r="P76">
        <f t="shared" ca="1" si="26"/>
        <v>0</v>
      </c>
      <c r="Q76">
        <f t="shared" ca="1" si="10"/>
        <v>6.9538324548743063E-2</v>
      </c>
      <c r="R76">
        <f t="shared" ca="1" si="11"/>
        <v>7.487421835020773E-2</v>
      </c>
      <c r="S76">
        <f t="shared" ca="1" si="8"/>
        <v>0.92873523197922159</v>
      </c>
      <c r="T76">
        <f t="shared" ca="1" si="9"/>
        <v>48.15255181636185</v>
      </c>
      <c r="U76">
        <f>70</f>
        <v>70</v>
      </c>
      <c r="V76">
        <f>30</f>
        <v>30</v>
      </c>
      <c r="W76">
        <f t="shared" ca="1" si="7"/>
        <v>10.304158999118956</v>
      </c>
      <c r="X76">
        <f t="shared" ca="1" si="17"/>
        <v>10.26709656002555</v>
      </c>
      <c r="Y76">
        <f t="shared" ca="1" si="16"/>
        <v>2.9198976438818747E-2</v>
      </c>
      <c r="Z76">
        <f t="shared" ca="1" si="18"/>
        <v>9.8999637270530766E-2</v>
      </c>
      <c r="AA76">
        <f t="shared" ca="1" si="19"/>
        <v>-6.9800660831712019E-2</v>
      </c>
    </row>
    <row r="77" spans="1:27" x14ac:dyDescent="0.25">
      <c r="A77" s="20">
        <f t="shared" ca="1" si="20"/>
        <v>45810</v>
      </c>
      <c r="B77" vm="212">
        <f ca="1"/>
        <v>45812</v>
      </c>
      <c r="C77" vm="213">
        <f ca="1"/>
        <v>10.24</v>
      </c>
      <c r="D77" vm="214">
        <f ca="1"/>
        <v>123191229</v>
      </c>
      <c r="E77">
        <f t="shared" ca="1" si="21"/>
        <v>1261478184.96</v>
      </c>
      <c r="F77">
        <f ca="1">SUM($E$2:E77)/SUM($D$2:D77)</f>
        <v>9.8456872815177281</v>
      </c>
      <c r="G77">
        <f ca="1">_xlfn.STDEV.P($C$2:C77)</f>
        <v>0.46123980444256552</v>
      </c>
      <c r="H77">
        <f t="shared" ca="1" si="22"/>
        <v>10.306927085960293</v>
      </c>
      <c r="I77">
        <f t="shared" ca="1" si="23"/>
        <v>9.3844474770751631</v>
      </c>
      <c r="J77">
        <f t="shared" ca="1" si="12"/>
        <v>10.428999999999998</v>
      </c>
      <c r="K77">
        <f t="shared" ca="1" si="13"/>
        <v>0.22881617535756341</v>
      </c>
      <c r="L77">
        <f t="shared" ca="1" si="14"/>
        <v>10.886632350715125</v>
      </c>
      <c r="M77">
        <f t="shared" ca="1" si="15"/>
        <v>9.971367649284872</v>
      </c>
      <c r="N77">
        <f t="shared" ca="1" si="24"/>
        <v>5.0000000000000711E-2</v>
      </c>
      <c r="O77">
        <f t="shared" ca="1" si="25"/>
        <v>5.0000000000000711E-2</v>
      </c>
      <c r="P77">
        <f t="shared" ca="1" si="26"/>
        <v>0</v>
      </c>
      <c r="Q77">
        <f t="shared" ca="1" si="10"/>
        <v>6.814272993811861E-2</v>
      </c>
      <c r="R77">
        <f t="shared" ca="1" si="11"/>
        <v>6.9526059896621459E-2</v>
      </c>
      <c r="S77">
        <f t="shared" ca="1" si="8"/>
        <v>0.98010343228769581</v>
      </c>
      <c r="T77">
        <f t="shared" ca="1" si="9"/>
        <v>49.497587666687771</v>
      </c>
      <c r="U77">
        <f>70</f>
        <v>70</v>
      </c>
      <c r="V77">
        <f>30</f>
        <v>30</v>
      </c>
      <c r="W77">
        <f t="shared" ca="1" si="7"/>
        <v>10.294288383869885</v>
      </c>
      <c r="X77">
        <f t="shared" ca="1" si="17"/>
        <v>10.265089407431066</v>
      </c>
      <c r="Y77">
        <f t="shared" ca="1" si="16"/>
        <v>1.1537300838345033E-2</v>
      </c>
      <c r="Z77">
        <f t="shared" ca="1" si="18"/>
        <v>8.1507169984093616E-2</v>
      </c>
      <c r="AA77">
        <f t="shared" ca="1" si="19"/>
        <v>-6.9969869145748584E-2</v>
      </c>
    </row>
    <row r="78" spans="1:27" x14ac:dyDescent="0.25">
      <c r="A78" s="20">
        <f t="shared" ca="1" si="20"/>
        <v>45810</v>
      </c>
      <c r="B78" vm="215">
        <f ca="1"/>
        <v>45813</v>
      </c>
      <c r="C78" vm="216">
        <f ca="1"/>
        <v>10.1</v>
      </c>
      <c r="D78" vm="217">
        <f ca="1"/>
        <v>133269444</v>
      </c>
      <c r="E78">
        <f t="shared" ca="1" si="21"/>
        <v>1346021384.3999999</v>
      </c>
      <c r="F78">
        <f ca="1">SUM($E$2:E78)/SUM($D$2:D78)</f>
        <v>9.849291074839746</v>
      </c>
      <c r="G78">
        <f ca="1">_xlfn.STDEV.P($C$2:C78)</f>
        <v>0.45878310370541414</v>
      </c>
      <c r="H78">
        <f t="shared" ca="1" si="22"/>
        <v>10.30807417854516</v>
      </c>
      <c r="I78">
        <f t="shared" ca="1" si="23"/>
        <v>9.3905079711343316</v>
      </c>
      <c r="J78">
        <f t="shared" ca="1" si="12"/>
        <v>10.419999999999998</v>
      </c>
      <c r="K78">
        <f t="shared" ca="1" si="13"/>
        <v>0.2383275057562598</v>
      </c>
      <c r="L78">
        <f t="shared" ca="1" si="14"/>
        <v>10.896655011512518</v>
      </c>
      <c r="M78">
        <f t="shared" ca="1" si="15"/>
        <v>9.9433449884874783</v>
      </c>
      <c r="N78">
        <f t="shared" ca="1" si="24"/>
        <v>-0.14000000000000057</v>
      </c>
      <c r="O78">
        <f t="shared" ca="1" si="25"/>
        <v>0</v>
      </c>
      <c r="P78">
        <f t="shared" ca="1" si="26"/>
        <v>0.14000000000000057</v>
      </c>
      <c r="Q78">
        <f t="shared" ca="1" si="10"/>
        <v>6.3275392085395857E-2</v>
      </c>
      <c r="R78">
        <f t="shared" ca="1" si="11"/>
        <v>7.4559912761148553E-2</v>
      </c>
      <c r="S78">
        <f t="shared" ca="1" si="8"/>
        <v>0.84865163788613229</v>
      </c>
      <c r="T78">
        <f t="shared" ca="1" si="9"/>
        <v>45.906520216893611</v>
      </c>
      <c r="U78">
        <f>70</f>
        <v>70</v>
      </c>
      <c r="V78">
        <f>30</f>
        <v>30</v>
      </c>
      <c r="W78">
        <f t="shared" ca="1" si="7"/>
        <v>10.264397863274517</v>
      </c>
      <c r="X78">
        <f t="shared" ca="1" si="17"/>
        <v>10.252860562436172</v>
      </c>
      <c r="Y78">
        <f t="shared" ca="1" si="16"/>
        <v>1.0331859261469845E-2</v>
      </c>
      <c r="Z78">
        <f t="shared" ca="1" si="18"/>
        <v>6.727210783956887E-2</v>
      </c>
      <c r="AA78">
        <f t="shared" ca="1" si="19"/>
        <v>-5.6940248578099026E-2</v>
      </c>
    </row>
    <row r="79" spans="1:27" x14ac:dyDescent="0.25">
      <c r="A79" s="20">
        <f t="shared" ca="1" si="20"/>
        <v>45810</v>
      </c>
      <c r="B79" vm="218">
        <f ca="1"/>
        <v>45814</v>
      </c>
      <c r="C79" vm="219">
        <f ca="1"/>
        <v>10.26</v>
      </c>
      <c r="D79" vm="220">
        <f ca="1"/>
        <v>105916694</v>
      </c>
      <c r="E79">
        <f t="shared" ca="1" si="21"/>
        <v>1086705280.4400001</v>
      </c>
      <c r="F79">
        <f ca="1">SUM($E$2:E79)/SUM($D$2:D79)</f>
        <v>9.8538650728000157</v>
      </c>
      <c r="G79">
        <f ca="1">_xlfn.STDEV.P($C$2:C79)</f>
        <v>0.45758335627745833</v>
      </c>
      <c r="H79">
        <f t="shared" ca="1" si="22"/>
        <v>10.311448429077474</v>
      </c>
      <c r="I79">
        <f t="shared" ca="1" si="23"/>
        <v>9.3962817165225569</v>
      </c>
      <c r="J79">
        <f t="shared" ca="1" si="12"/>
        <v>10.418999999999999</v>
      </c>
      <c r="K79">
        <f t="shared" ca="1" si="13"/>
        <v>0.23898689680002397</v>
      </c>
      <c r="L79">
        <f t="shared" ca="1" si="14"/>
        <v>10.896973793600047</v>
      </c>
      <c r="M79">
        <f t="shared" ca="1" si="15"/>
        <v>9.9410262063999504</v>
      </c>
      <c r="N79">
        <f t="shared" ca="1" si="24"/>
        <v>0.16000000000000014</v>
      </c>
      <c r="O79">
        <f t="shared" ca="1" si="25"/>
        <v>0.16000000000000014</v>
      </c>
      <c r="P79">
        <f t="shared" ca="1" si="26"/>
        <v>0</v>
      </c>
      <c r="Q79">
        <f t="shared" ca="1" si="10"/>
        <v>7.0184292650724733E-2</v>
      </c>
      <c r="R79">
        <f t="shared" ca="1" si="11"/>
        <v>6.9234204706780794E-2</v>
      </c>
      <c r="S79">
        <f t="shared" ca="1" si="8"/>
        <v>1.0137228115491141</v>
      </c>
      <c r="T79">
        <f t="shared" ca="1" si="9"/>
        <v>50.340732385569929</v>
      </c>
      <c r="U79">
        <f>70</f>
        <v>70</v>
      </c>
      <c r="V79">
        <f>30</f>
        <v>30</v>
      </c>
      <c r="W79">
        <f t="shared" ref="W79:W142" ca="1" si="27">C79*(2/(12+1)) + W78*(1-(2/(12+1)))</f>
        <v>10.263721268924593</v>
      </c>
      <c r="X79">
        <f t="shared" ca="1" si="17"/>
        <v>10.253389409663123</v>
      </c>
      <c r="Y79">
        <f t="shared" ca="1" si="16"/>
        <v>1.5651449373473625E-2</v>
      </c>
      <c r="Z79">
        <f t="shared" ca="1" si="18"/>
        <v>5.6947976146349825E-2</v>
      </c>
      <c r="AA79">
        <f t="shared" ca="1" si="19"/>
        <v>-4.1296526772876201E-2</v>
      </c>
    </row>
    <row r="80" spans="1:27" x14ac:dyDescent="0.25">
      <c r="A80" s="20">
        <f t="shared" ca="1" si="20"/>
        <v>45817</v>
      </c>
      <c r="B80" vm="221">
        <f ca="1"/>
        <v>45817</v>
      </c>
      <c r="C80" vm="222">
        <f ca="1"/>
        <v>10.34</v>
      </c>
      <c r="D80" vm="223">
        <f ca="1"/>
        <v>63638928</v>
      </c>
      <c r="E80">
        <f t="shared" ca="1" si="21"/>
        <v>658026515.51999998</v>
      </c>
      <c r="F80">
        <f ca="1">SUM($E$2:E80)/SUM($D$2:D80)</f>
        <v>9.8570963983103592</v>
      </c>
      <c r="G80">
        <f ca="1">_xlfn.STDEV.P($C$2:C80)</f>
        <v>0.45722275951511743</v>
      </c>
      <c r="H80">
        <f t="shared" ca="1" si="22"/>
        <v>10.314319157825476</v>
      </c>
      <c r="I80">
        <f t="shared" ca="1" si="23"/>
        <v>9.399873638795242</v>
      </c>
      <c r="J80">
        <f t="shared" ca="1" si="12"/>
        <v>10.4145</v>
      </c>
      <c r="K80">
        <f t="shared" ca="1" si="13"/>
        <v>0.23961537161832819</v>
      </c>
      <c r="L80">
        <f t="shared" ca="1" si="14"/>
        <v>10.893730743236656</v>
      </c>
      <c r="M80">
        <f t="shared" ca="1" si="15"/>
        <v>9.9352692567633447</v>
      </c>
      <c r="N80">
        <f t="shared" ca="1" si="24"/>
        <v>8.0000000000000071E-2</v>
      </c>
      <c r="O80">
        <f t="shared" ca="1" si="25"/>
        <v>8.0000000000000071E-2</v>
      </c>
      <c r="P80">
        <f t="shared" ca="1" si="26"/>
        <v>0</v>
      </c>
      <c r="Q80">
        <f t="shared" ca="1" si="10"/>
        <v>7.0885414604244398E-2</v>
      </c>
      <c r="R80">
        <f t="shared" ca="1" si="11"/>
        <v>6.428890437058217E-2</v>
      </c>
      <c r="S80">
        <f t="shared" ref="S80:S143" ca="1" si="28">IF(R80=0,NA(),Q80/R80)</f>
        <v>1.1026072896753349</v>
      </c>
      <c r="T80">
        <f t="shared" ref="T80:T143" ca="1" si="29">100-(100/(1+S80))</f>
        <v>52.440001282673634</v>
      </c>
      <c r="U80">
        <f>70</f>
        <v>70</v>
      </c>
      <c r="V80">
        <f>30</f>
        <v>30</v>
      </c>
      <c r="W80">
        <f t="shared" ca="1" si="27"/>
        <v>10.275456458320809</v>
      </c>
      <c r="X80">
        <f t="shared" ca="1" si="17"/>
        <v>10.259805008947335</v>
      </c>
      <c r="Y80">
        <f t="shared" ca="1" si="16"/>
        <v>4.0381596049561708E-2</v>
      </c>
      <c r="Z80">
        <f t="shared" ca="1" si="18"/>
        <v>5.3634700126992209E-2</v>
      </c>
      <c r="AA80">
        <f t="shared" ca="1" si="19"/>
        <v>-1.3253104077430501E-2</v>
      </c>
    </row>
    <row r="81" spans="1:27" x14ac:dyDescent="0.25">
      <c r="A81" s="20">
        <f t="shared" ca="1" si="20"/>
        <v>45817</v>
      </c>
      <c r="B81" vm="224">
        <f ca="1"/>
        <v>45818</v>
      </c>
      <c r="C81" vm="171">
        <f ca="1"/>
        <v>10.6</v>
      </c>
      <c r="D81" vm="225">
        <f ca="1"/>
        <v>87955501</v>
      </c>
      <c r="E81">
        <f t="shared" ca="1" si="21"/>
        <v>932328310.60000002</v>
      </c>
      <c r="F81">
        <f ca="1">SUM($E$2:E81)/SUM($D$2:D81)</f>
        <v>9.8638591733387067</v>
      </c>
      <c r="G81">
        <f ca="1">_xlfn.STDEV.P($C$2:C81)</f>
        <v>0.46069402467907045</v>
      </c>
      <c r="H81">
        <f t="shared" ca="1" si="22"/>
        <v>10.324553198017776</v>
      </c>
      <c r="I81">
        <f t="shared" ca="1" si="23"/>
        <v>9.403165148659637</v>
      </c>
      <c r="J81">
        <f t="shared" ca="1" si="12"/>
        <v>10.416999999999998</v>
      </c>
      <c r="K81">
        <f t="shared" ca="1" si="13"/>
        <v>0.24135800009638453</v>
      </c>
      <c r="L81">
        <f t="shared" ca="1" si="14"/>
        <v>10.899716000192766</v>
      </c>
      <c r="M81">
        <f t="shared" ca="1" si="15"/>
        <v>9.9342839998072296</v>
      </c>
      <c r="N81">
        <f t="shared" ca="1" si="24"/>
        <v>0.25999999999999979</v>
      </c>
      <c r="O81">
        <f t="shared" ca="1" si="25"/>
        <v>0.25999999999999979</v>
      </c>
      <c r="P81">
        <f t="shared" ca="1" si="26"/>
        <v>0</v>
      </c>
      <c r="Q81">
        <f t="shared" ref="Q81:Q144" ca="1" si="30">(Q80*13+O81)/14</f>
        <v>8.4393599275369782E-2</v>
      </c>
      <c r="R81">
        <f t="shared" ref="R81:R144" ca="1" si="31">(R80*13+P81)/14</f>
        <v>5.969683977268344E-2</v>
      </c>
      <c r="S81">
        <f t="shared" ca="1" si="28"/>
        <v>1.4137029631171076</v>
      </c>
      <c r="T81">
        <f t="shared" ca="1" si="29"/>
        <v>58.569881411233027</v>
      </c>
      <c r="U81">
        <f>70</f>
        <v>70</v>
      </c>
      <c r="V81">
        <f>30</f>
        <v>30</v>
      </c>
      <c r="W81">
        <f t="shared" ca="1" si="27"/>
        <v>10.32538623396376</v>
      </c>
      <c r="X81">
        <f t="shared" ca="1" si="17"/>
        <v>10.285004637914199</v>
      </c>
      <c r="Y81">
        <f t="shared" ca="1" si="16"/>
        <v>6.4083202749635859E-2</v>
      </c>
      <c r="Z81">
        <f t="shared" ca="1" si="18"/>
        <v>5.5724400651520942E-2</v>
      </c>
      <c r="AA81">
        <f t="shared" ca="1" si="19"/>
        <v>8.3588020981149175E-3</v>
      </c>
    </row>
    <row r="82" spans="1:27" x14ac:dyDescent="0.25">
      <c r="A82" s="20">
        <f t="shared" ca="1" si="20"/>
        <v>45817</v>
      </c>
      <c r="B82" vm="226">
        <f ca="1"/>
        <v>45819</v>
      </c>
      <c r="C82" vm="227">
        <f ca="1"/>
        <v>10.66</v>
      </c>
      <c r="D82" vm="228">
        <f ca="1"/>
        <v>93094876</v>
      </c>
      <c r="E82">
        <f t="shared" ca="1" si="21"/>
        <v>992391378.15999997</v>
      </c>
      <c r="F82">
        <f ca="1">SUM($E$2:E82)/SUM($D$2:D82)</f>
        <v>9.8714568483346312</v>
      </c>
      <c r="G82">
        <f ca="1">_xlfn.STDEV.P($C$2:C82)</f>
        <v>0.4650155977737086</v>
      </c>
      <c r="H82">
        <f t="shared" ca="1" si="22"/>
        <v>10.33647244610834</v>
      </c>
      <c r="I82">
        <f t="shared" ca="1" si="23"/>
        <v>9.4064412505609223</v>
      </c>
      <c r="J82">
        <f t="shared" ca="1" si="12"/>
        <v>10.419999999999998</v>
      </c>
      <c r="K82">
        <f t="shared" ca="1" si="13"/>
        <v>0.24410955262793499</v>
      </c>
      <c r="L82">
        <f t="shared" ca="1" si="14"/>
        <v>10.908219105255869</v>
      </c>
      <c r="M82">
        <f t="shared" ca="1" si="15"/>
        <v>9.9317808947441275</v>
      </c>
      <c r="N82">
        <f t="shared" ca="1" si="24"/>
        <v>6.0000000000000497E-2</v>
      </c>
      <c r="O82">
        <f t="shared" ca="1" si="25"/>
        <v>6.0000000000000497E-2</v>
      </c>
      <c r="P82">
        <f t="shared" ca="1" si="26"/>
        <v>0</v>
      </c>
      <c r="Q82">
        <f t="shared" ca="1" si="30"/>
        <v>8.2651199327129124E-2</v>
      </c>
      <c r="R82">
        <f t="shared" ca="1" si="31"/>
        <v>5.543277978892034E-2</v>
      </c>
      <c r="S82">
        <f t="shared" ca="1" si="28"/>
        <v>1.4910166807771938</v>
      </c>
      <c r="T82">
        <f t="shared" ca="1" si="29"/>
        <v>59.855748549704558</v>
      </c>
      <c r="U82">
        <f>70</f>
        <v>70</v>
      </c>
      <c r="V82">
        <f>30</f>
        <v>30</v>
      </c>
      <c r="W82">
        <f t="shared" ca="1" si="27"/>
        <v>10.376865274892413</v>
      </c>
      <c r="X82">
        <f t="shared" ca="1" si="17"/>
        <v>10.312782072142777</v>
      </c>
      <c r="Y82">
        <f t="shared" ca="1" si="16"/>
        <v>7.1552174349411857E-2</v>
      </c>
      <c r="Z82">
        <f t="shared" ca="1" si="18"/>
        <v>5.8889955391099126E-2</v>
      </c>
      <c r="AA82">
        <f t="shared" ca="1" si="19"/>
        <v>1.2662218958312731E-2</v>
      </c>
    </row>
    <row r="83" spans="1:27" x14ac:dyDescent="0.25">
      <c r="A83" s="20">
        <f t="shared" ca="1" si="20"/>
        <v>45817</v>
      </c>
      <c r="B83" vm="229">
        <f ca="1"/>
        <v>45820</v>
      </c>
      <c r="C83" vm="230">
        <f ca="1"/>
        <v>10.53</v>
      </c>
      <c r="D83" vm="231">
        <f ca="1"/>
        <v>76393291</v>
      </c>
      <c r="E83">
        <f t="shared" ca="1" si="21"/>
        <v>804421354.2299999</v>
      </c>
      <c r="F83">
        <f ca="1">SUM($E$2:E83)/SUM($D$2:D83)</f>
        <v>9.876573864156919</v>
      </c>
      <c r="G83">
        <f ca="1">_xlfn.STDEV.P($C$2:C83)</f>
        <v>0.46680518326125253</v>
      </c>
      <c r="H83">
        <f t="shared" ca="1" si="22"/>
        <v>10.343379047418171</v>
      </c>
      <c r="I83">
        <f t="shared" ca="1" si="23"/>
        <v>9.4097686808956666</v>
      </c>
      <c r="J83">
        <f t="shared" ca="1" si="12"/>
        <v>10.414</v>
      </c>
      <c r="K83">
        <f t="shared" ca="1" si="13"/>
        <v>0.23959175805172392</v>
      </c>
      <c r="L83">
        <f t="shared" ca="1" si="14"/>
        <v>10.893183516103447</v>
      </c>
      <c r="M83">
        <f t="shared" ca="1" si="15"/>
        <v>9.9348164838965527</v>
      </c>
      <c r="N83">
        <f t="shared" ca="1" si="24"/>
        <v>-0.13000000000000078</v>
      </c>
      <c r="O83">
        <f t="shared" ca="1" si="25"/>
        <v>0</v>
      </c>
      <c r="P83">
        <f t="shared" ca="1" si="26"/>
        <v>0.13000000000000078</v>
      </c>
      <c r="Q83">
        <f t="shared" ca="1" si="30"/>
        <v>7.6747542232334182E-2</v>
      </c>
      <c r="R83">
        <f t="shared" ca="1" si="31"/>
        <v>6.0759009803997517E-2</v>
      </c>
      <c r="S83">
        <f t="shared" ca="1" si="28"/>
        <v>1.2631466918225638</v>
      </c>
      <c r="T83">
        <f t="shared" ca="1" si="29"/>
        <v>55.813734760839687</v>
      </c>
      <c r="U83">
        <f>70</f>
        <v>70</v>
      </c>
      <c r="V83">
        <f>30</f>
        <v>30</v>
      </c>
      <c r="W83">
        <f t="shared" ca="1" si="27"/>
        <v>10.400424463370502</v>
      </c>
      <c r="X83">
        <f t="shared" ca="1" si="17"/>
        <v>10.32887228902109</v>
      </c>
      <c r="Y83">
        <f t="shared" ca="1" si="16"/>
        <v>6.8611315353800606E-2</v>
      </c>
      <c r="Z83">
        <f t="shared" ca="1" si="18"/>
        <v>6.083422738363943E-2</v>
      </c>
      <c r="AA83">
        <f t="shared" ca="1" si="19"/>
        <v>7.7770879701611756E-3</v>
      </c>
    </row>
    <row r="84" spans="1:27" x14ac:dyDescent="0.25">
      <c r="A84" s="20">
        <f t="shared" ca="1" si="20"/>
        <v>45817</v>
      </c>
      <c r="B84" vm="232">
        <f ca="1"/>
        <v>45821</v>
      </c>
      <c r="C84" vm="165">
        <f ca="1"/>
        <v>10.43</v>
      </c>
      <c r="D84" vm="233">
        <f ca="1"/>
        <v>90106172</v>
      </c>
      <c r="E84">
        <f t="shared" ca="1" si="21"/>
        <v>939807373.95999992</v>
      </c>
      <c r="F84">
        <f ca="1">SUM($E$2:E84)/SUM($D$2:D84)</f>
        <v>9.8815999434182462</v>
      </c>
      <c r="G84">
        <f ca="1">_xlfn.STDEV.P($C$2:C84)</f>
        <v>0.46706027888057261</v>
      </c>
      <c r="H84">
        <f t="shared" ca="1" si="22"/>
        <v>10.348660222298818</v>
      </c>
      <c r="I84">
        <f t="shared" ca="1" si="23"/>
        <v>9.4145396645376742</v>
      </c>
      <c r="J84">
        <f t="shared" ca="1" si="12"/>
        <v>10.398</v>
      </c>
      <c r="K84">
        <f t="shared" ca="1" si="13"/>
        <v>0.22628812560422545</v>
      </c>
      <c r="L84">
        <f t="shared" ca="1" si="14"/>
        <v>10.85057625120845</v>
      </c>
      <c r="M84">
        <f t="shared" ca="1" si="15"/>
        <v>9.9454237487915496</v>
      </c>
      <c r="N84">
        <f t="shared" ca="1" si="24"/>
        <v>-9.9999999999999645E-2</v>
      </c>
      <c r="O84">
        <f t="shared" ca="1" si="25"/>
        <v>0</v>
      </c>
      <c r="P84">
        <f t="shared" ca="1" si="26"/>
        <v>9.9999999999999645E-2</v>
      </c>
      <c r="Q84">
        <f t="shared" ca="1" si="30"/>
        <v>7.1265574930024597E-2</v>
      </c>
      <c r="R84">
        <f t="shared" ca="1" si="31"/>
        <v>6.3561937675140526E-2</v>
      </c>
      <c r="S84">
        <f t="shared" ca="1" si="28"/>
        <v>1.1211989051412605</v>
      </c>
      <c r="T84">
        <f t="shared" ca="1" si="29"/>
        <v>52.856849134880846</v>
      </c>
      <c r="U84">
        <f>70</f>
        <v>70</v>
      </c>
      <c r="V84">
        <f>30</f>
        <v>30</v>
      </c>
      <c r="W84">
        <f t="shared" ca="1" si="27"/>
        <v>10.404974545928885</v>
      </c>
      <c r="X84">
        <f t="shared" ca="1" si="17"/>
        <v>10.336363230575085</v>
      </c>
      <c r="Y84">
        <f t="shared" ca="1" si="16"/>
        <v>8.0682023373151779E-2</v>
      </c>
      <c r="Z84">
        <f t="shared" ca="1" si="18"/>
        <v>6.48037865815419E-2</v>
      </c>
      <c r="AA84">
        <f t="shared" ca="1" si="19"/>
        <v>1.5878236791609879E-2</v>
      </c>
    </row>
    <row r="85" spans="1:27" x14ac:dyDescent="0.25">
      <c r="A85" s="20">
        <f t="shared" ca="1" si="20"/>
        <v>45824</v>
      </c>
      <c r="B85" vm="234">
        <f ca="1"/>
        <v>45824</v>
      </c>
      <c r="C85" vm="235">
        <f ca="1"/>
        <v>10.62</v>
      </c>
      <c r="D85" vm="236">
        <f ca="1"/>
        <v>75195179</v>
      </c>
      <c r="E85">
        <f t="shared" ca="1" si="21"/>
        <v>798572800.9799999</v>
      </c>
      <c r="F85">
        <f ca="1">SUM($E$2:E85)/SUM($D$2:D85)</f>
        <v>9.8871540957992821</v>
      </c>
      <c r="G85">
        <f ca="1">_xlfn.STDEV.P($C$2:C85)</f>
        <v>0.47000125138541365</v>
      </c>
      <c r="H85">
        <f t="shared" ca="1" si="22"/>
        <v>10.357155347184696</v>
      </c>
      <c r="I85">
        <f t="shared" ca="1" si="23"/>
        <v>9.4171528444138684</v>
      </c>
      <c r="J85">
        <f t="shared" ca="1" si="12"/>
        <v>10.388999999999999</v>
      </c>
      <c r="K85">
        <f t="shared" ca="1" si="13"/>
        <v>0.21262519531845353</v>
      </c>
      <c r="L85">
        <f t="shared" ca="1" si="14"/>
        <v>10.814250390636907</v>
      </c>
      <c r="M85">
        <f t="shared" ca="1" si="15"/>
        <v>9.9637496093630915</v>
      </c>
      <c r="N85">
        <f t="shared" ca="1" si="24"/>
        <v>0.1899999999999995</v>
      </c>
      <c r="O85">
        <f t="shared" ca="1" si="25"/>
        <v>0.1899999999999995</v>
      </c>
      <c r="P85">
        <f t="shared" ca="1" si="26"/>
        <v>0</v>
      </c>
      <c r="Q85">
        <f t="shared" ca="1" si="30"/>
        <v>7.9746605292165665E-2</v>
      </c>
      <c r="R85">
        <f t="shared" ca="1" si="31"/>
        <v>5.9021799269773349E-2</v>
      </c>
      <c r="S85">
        <f t="shared" ca="1" si="28"/>
        <v>1.3511381604560138</v>
      </c>
      <c r="T85">
        <f t="shared" ca="1" si="29"/>
        <v>57.467408048617372</v>
      </c>
      <c r="U85">
        <f>70</f>
        <v>70</v>
      </c>
      <c r="V85">
        <f>30</f>
        <v>30</v>
      </c>
      <c r="W85">
        <f t="shared" ca="1" si="27"/>
        <v>10.438055385016749</v>
      </c>
      <c r="X85">
        <f t="shared" ca="1" si="17"/>
        <v>10.357373361643598</v>
      </c>
      <c r="Y85">
        <f t="shared" ca="1" si="16"/>
        <v>7.3265261583490116E-2</v>
      </c>
      <c r="Z85">
        <f t="shared" ca="1" si="18"/>
        <v>6.6496081581931543E-2</v>
      </c>
      <c r="AA85">
        <f t="shared" ca="1" si="19"/>
        <v>6.7691800015585724E-3</v>
      </c>
    </row>
    <row r="86" spans="1:27" x14ac:dyDescent="0.25">
      <c r="A86" s="20">
        <f t="shared" ca="1" si="20"/>
        <v>45824</v>
      </c>
      <c r="B86" vm="237">
        <f ca="1"/>
        <v>45825</v>
      </c>
      <c r="C86" vm="238">
        <f ca="1"/>
        <v>10.42</v>
      </c>
      <c r="D86" vm="239">
        <f ca="1"/>
        <v>100969375</v>
      </c>
      <c r="E86">
        <f t="shared" ca="1" si="21"/>
        <v>1052100887.5</v>
      </c>
      <c r="F86">
        <f ca="1">SUM($E$2:E86)/SUM($D$2:D86)</f>
        <v>9.8924820803511704</v>
      </c>
      <c r="G86">
        <f ca="1">_xlfn.STDEV.P($C$2:C86)</f>
        <v>0.46992871431717431</v>
      </c>
      <c r="H86">
        <f t="shared" ca="1" si="22"/>
        <v>10.362410794668344</v>
      </c>
      <c r="I86">
        <f t="shared" ca="1" si="23"/>
        <v>9.4225533660339966</v>
      </c>
      <c r="J86">
        <f t="shared" ref="J86:J149" ca="1" si="32">AVERAGE(C67:C86)</f>
        <v>10.372499999999999</v>
      </c>
      <c r="K86">
        <f t="shared" ref="K86:K149" ca="1" si="33">_xlfn.STDEV.S(C67:C86)</f>
        <v>0.19522928490421332</v>
      </c>
      <c r="L86">
        <f t="shared" ref="L86:L149" ca="1" si="34">J86 + 2*K86</f>
        <v>10.762958569808426</v>
      </c>
      <c r="M86">
        <f t="shared" ref="M86:M149" ca="1" si="35">J86-2*K86</f>
        <v>9.9820414301915719</v>
      </c>
      <c r="N86">
        <f t="shared" ca="1" si="24"/>
        <v>-0.19999999999999929</v>
      </c>
      <c r="O86">
        <f t="shared" ca="1" si="25"/>
        <v>0</v>
      </c>
      <c r="P86">
        <f t="shared" ca="1" si="26"/>
        <v>0.19999999999999929</v>
      </c>
      <c r="Q86">
        <f t="shared" ca="1" si="30"/>
        <v>7.4050419199868114E-2</v>
      </c>
      <c r="R86">
        <f t="shared" ca="1" si="31"/>
        <v>6.9091670750503778E-2</v>
      </c>
      <c r="S86">
        <f t="shared" ca="1" si="28"/>
        <v>1.0717705679353278</v>
      </c>
      <c r="T86">
        <f t="shared" ca="1" si="29"/>
        <v>51.732107045203676</v>
      </c>
      <c r="U86">
        <f>70</f>
        <v>70</v>
      </c>
      <c r="V86">
        <f>30</f>
        <v>30</v>
      </c>
      <c r="W86">
        <f t="shared" ca="1" si="27"/>
        <v>10.43527763347571</v>
      </c>
      <c r="X86">
        <f t="shared" ca="1" si="17"/>
        <v>10.36201237189222</v>
      </c>
      <c r="Y86">
        <f t="shared" ca="1" si="16"/>
        <v>6.7417197371264947E-2</v>
      </c>
      <c r="Z86">
        <f t="shared" ca="1" si="18"/>
        <v>6.6680304739798218E-2</v>
      </c>
      <c r="AA86">
        <f t="shared" ca="1" si="19"/>
        <v>7.3689263146672901E-4</v>
      </c>
    </row>
    <row r="87" spans="1:27" x14ac:dyDescent="0.25">
      <c r="A87" s="20">
        <f t="shared" ca="1" si="20"/>
        <v>45824</v>
      </c>
      <c r="B87" vm="240">
        <f ca="1"/>
        <v>45826</v>
      </c>
      <c r="C87" vm="165">
        <f ca="1"/>
        <v>10.43</v>
      </c>
      <c r="D87" vm="241">
        <f ca="1"/>
        <v>82770168</v>
      </c>
      <c r="E87">
        <f t="shared" ca="1" si="21"/>
        <v>863292852.24000001</v>
      </c>
      <c r="F87">
        <f ca="1">SUM($E$2:E87)/SUM($D$2:D87)</f>
        <v>9.8968521978806123</v>
      </c>
      <c r="G87">
        <f ca="1">_xlfn.STDEV.P($C$2:C87)</f>
        <v>0.46990994845168688</v>
      </c>
      <c r="H87">
        <f t="shared" ca="1" si="22"/>
        <v>10.366762146332299</v>
      </c>
      <c r="I87">
        <f t="shared" ca="1" si="23"/>
        <v>9.4269422494289259</v>
      </c>
      <c r="J87">
        <f t="shared" ca="1" si="32"/>
        <v>10.358000000000001</v>
      </c>
      <c r="K87">
        <f t="shared" ca="1" si="33"/>
        <v>0.17807745210264092</v>
      </c>
      <c r="L87">
        <f t="shared" ca="1" si="34"/>
        <v>10.714154904205282</v>
      </c>
      <c r="M87">
        <f t="shared" ca="1" si="35"/>
        <v>10.001845095794719</v>
      </c>
      <c r="N87">
        <f t="shared" ca="1" si="24"/>
        <v>9.9999999999997868E-3</v>
      </c>
      <c r="O87">
        <f t="shared" ca="1" si="25"/>
        <v>9.9999999999997868E-3</v>
      </c>
      <c r="P87">
        <f t="shared" ca="1" si="26"/>
        <v>0</v>
      </c>
      <c r="Q87">
        <f t="shared" ca="1" si="30"/>
        <v>6.9475389257020376E-2</v>
      </c>
      <c r="R87">
        <f t="shared" ca="1" si="31"/>
        <v>6.4156551411182081E-2</v>
      </c>
      <c r="S87">
        <f t="shared" ca="1" si="28"/>
        <v>1.0829040484384773</v>
      </c>
      <c r="T87">
        <f t="shared" ca="1" si="29"/>
        <v>51.990107237552046</v>
      </c>
      <c r="U87">
        <f>70</f>
        <v>70</v>
      </c>
      <c r="V87">
        <f>30</f>
        <v>30</v>
      </c>
      <c r="W87">
        <f t="shared" ca="1" si="27"/>
        <v>10.434465689864062</v>
      </c>
      <c r="X87">
        <f t="shared" ca="1" si="17"/>
        <v>10.367048492492797</v>
      </c>
      <c r="Y87">
        <f t="shared" ca="1" si="16"/>
        <v>7.4830626294778213E-2</v>
      </c>
      <c r="Z87">
        <f t="shared" ca="1" si="18"/>
        <v>6.8310369050794226E-2</v>
      </c>
      <c r="AA87">
        <f t="shared" ca="1" si="19"/>
        <v>6.5202572439839873E-3</v>
      </c>
    </row>
    <row r="88" spans="1:27" x14ac:dyDescent="0.25">
      <c r="A88" s="20">
        <f t="shared" ca="1" si="20"/>
        <v>45824</v>
      </c>
      <c r="B88" vm="242">
        <f ca="1"/>
        <v>45828</v>
      </c>
      <c r="C88" vm="243">
        <f ca="1"/>
        <v>10.59</v>
      </c>
      <c r="D88" vm="244">
        <f ca="1"/>
        <v>116743402</v>
      </c>
      <c r="E88">
        <f t="shared" ca="1" si="21"/>
        <v>1236312627.1800001</v>
      </c>
      <c r="F88">
        <f ca="1">SUM($E$2:E88)/SUM($D$2:D88)</f>
        <v>9.9047105721638751</v>
      </c>
      <c r="G88">
        <f ca="1">_xlfn.STDEV.P($C$2:C88)</f>
        <v>0.47193627458775234</v>
      </c>
      <c r="H88">
        <f t="shared" ca="1" si="22"/>
        <v>10.376646846751628</v>
      </c>
      <c r="I88">
        <f t="shared" ca="1" si="23"/>
        <v>9.4327742975761222</v>
      </c>
      <c r="J88">
        <f t="shared" ca="1" si="32"/>
        <v>10.3635</v>
      </c>
      <c r="K88">
        <f t="shared" ca="1" si="33"/>
        <v>0.18365514021207177</v>
      </c>
      <c r="L88">
        <f t="shared" ca="1" si="34"/>
        <v>10.730810280424144</v>
      </c>
      <c r="M88">
        <f t="shared" ca="1" si="35"/>
        <v>9.996189719575856</v>
      </c>
      <c r="N88">
        <f t="shared" ca="1" si="24"/>
        <v>0.16000000000000014</v>
      </c>
      <c r="O88">
        <f t="shared" ca="1" si="25"/>
        <v>0.16000000000000014</v>
      </c>
      <c r="P88">
        <f t="shared" ca="1" si="26"/>
        <v>0</v>
      </c>
      <c r="Q88">
        <f t="shared" ca="1" si="30"/>
        <v>7.5941432881518917E-2</v>
      </c>
      <c r="R88">
        <f t="shared" ca="1" si="31"/>
        <v>5.9573940596097649E-2</v>
      </c>
      <c r="S88">
        <f t="shared" ca="1" si="28"/>
        <v>1.2747424817235173</v>
      </c>
      <c r="T88">
        <f t="shared" ca="1" si="29"/>
        <v>56.038979883018484</v>
      </c>
      <c r="U88">
        <f>70</f>
        <v>70</v>
      </c>
      <c r="V88">
        <f>30</f>
        <v>30</v>
      </c>
      <c r="W88">
        <f t="shared" ca="1" si="27"/>
        <v>10.458394045269591</v>
      </c>
      <c r="X88">
        <f t="shared" ca="1" si="17"/>
        <v>10.383563418974813</v>
      </c>
      <c r="Y88">
        <f t="shared" ca="1" si="16"/>
        <v>9.2549630422375628E-2</v>
      </c>
      <c r="Z88">
        <f t="shared" ca="1" si="18"/>
        <v>7.3158221325110517E-2</v>
      </c>
      <c r="AA88">
        <f t="shared" ca="1" si="19"/>
        <v>1.9391409097265111E-2</v>
      </c>
    </row>
    <row r="89" spans="1:27" x14ac:dyDescent="0.25">
      <c r="A89" s="20">
        <f t="shared" ca="1" si="20"/>
        <v>45831</v>
      </c>
      <c r="B89" vm="245">
        <f ca="1"/>
        <v>45831</v>
      </c>
      <c r="C89" vm="177">
        <f ca="1"/>
        <v>10.75</v>
      </c>
      <c r="D89" vm="246">
        <f ca="1"/>
        <v>77576511</v>
      </c>
      <c r="E89">
        <f t="shared" ca="1" si="21"/>
        <v>833947493.25</v>
      </c>
      <c r="F89">
        <f ca="1">SUM($E$2:E89)/SUM($D$2:D89)</f>
        <v>9.9110310605887584</v>
      </c>
      <c r="G89">
        <f ca="1">_xlfn.STDEV.P($C$2:C89)</f>
        <v>0.47644495315663687</v>
      </c>
      <c r="H89">
        <f t="shared" ca="1" si="22"/>
        <v>10.387476013745395</v>
      </c>
      <c r="I89">
        <f t="shared" ca="1" si="23"/>
        <v>9.4345861074321213</v>
      </c>
      <c r="J89">
        <f t="shared" ca="1" si="32"/>
        <v>10.379000000000001</v>
      </c>
      <c r="K89">
        <f t="shared" ca="1" si="33"/>
        <v>0.20255993265152275</v>
      </c>
      <c r="L89">
        <f t="shared" ca="1" si="34"/>
        <v>10.784119865303047</v>
      </c>
      <c r="M89">
        <f t="shared" ca="1" si="35"/>
        <v>9.9738801346969552</v>
      </c>
      <c r="N89">
        <f t="shared" ca="1" si="24"/>
        <v>0.16000000000000014</v>
      </c>
      <c r="O89">
        <f t="shared" ca="1" si="25"/>
        <v>0.16000000000000014</v>
      </c>
      <c r="P89">
        <f t="shared" ca="1" si="26"/>
        <v>0</v>
      </c>
      <c r="Q89">
        <f t="shared" ca="1" si="30"/>
        <v>8.1945616247124722E-2</v>
      </c>
      <c r="R89">
        <f t="shared" ca="1" si="31"/>
        <v>5.5318659124947815E-2</v>
      </c>
      <c r="S89">
        <f t="shared" ca="1" si="28"/>
        <v>1.4813377175689455</v>
      </c>
      <c r="T89">
        <f t="shared" ca="1" si="29"/>
        <v>59.699157719661983</v>
      </c>
      <c r="U89">
        <f>70</f>
        <v>70</v>
      </c>
      <c r="V89">
        <f>30</f>
        <v>30</v>
      </c>
      <c r="W89">
        <f t="shared" ca="1" si="27"/>
        <v>10.503256499843499</v>
      </c>
      <c r="X89">
        <f t="shared" ca="1" si="17"/>
        <v>10.410706869421123</v>
      </c>
      <c r="Y89">
        <f t="shared" ca="1" si="16"/>
        <v>0.10378190282522581</v>
      </c>
      <c r="Z89">
        <f t="shared" ca="1" si="18"/>
        <v>7.9282957625133585E-2</v>
      </c>
      <c r="AA89">
        <f t="shared" ca="1" si="19"/>
        <v>2.4498945200092229E-2</v>
      </c>
    </row>
    <row r="90" spans="1:27" x14ac:dyDescent="0.25">
      <c r="A90" s="20">
        <f t="shared" ca="1" si="20"/>
        <v>45831</v>
      </c>
      <c r="B90" vm="247">
        <f ca="1"/>
        <v>45832</v>
      </c>
      <c r="C90" vm="248">
        <f ca="1"/>
        <v>10.73</v>
      </c>
      <c r="D90" vm="249">
        <f ca="1"/>
        <v>77244413</v>
      </c>
      <c r="E90">
        <f t="shared" ca="1" si="21"/>
        <v>828832551.49000001</v>
      </c>
      <c r="F90">
        <f ca="1">SUM($E$2:E90)/SUM($D$2:D90)</f>
        <v>9.9170834657633531</v>
      </c>
      <c r="G90">
        <f ca="1">_xlfn.STDEV.P($C$2:C90)</f>
        <v>0.48030289647742136</v>
      </c>
      <c r="H90">
        <f t="shared" ca="1" si="22"/>
        <v>10.397386362240775</v>
      </c>
      <c r="I90">
        <f t="shared" ca="1" si="23"/>
        <v>9.436780569285931</v>
      </c>
      <c r="J90">
        <f t="shared" ca="1" si="32"/>
        <v>10.397499999999999</v>
      </c>
      <c r="K90">
        <f t="shared" ca="1" si="33"/>
        <v>0.21710717702505702</v>
      </c>
      <c r="L90">
        <f t="shared" ca="1" si="34"/>
        <v>10.831714354050114</v>
      </c>
      <c r="M90">
        <f t="shared" ca="1" si="35"/>
        <v>9.9632856459498846</v>
      </c>
      <c r="N90">
        <f t="shared" ca="1" si="24"/>
        <v>-1.9999999999999574E-2</v>
      </c>
      <c r="O90">
        <f t="shared" ca="1" si="25"/>
        <v>0</v>
      </c>
      <c r="P90">
        <f t="shared" ca="1" si="26"/>
        <v>1.9999999999999574E-2</v>
      </c>
      <c r="Q90">
        <f t="shared" ca="1" si="30"/>
        <v>7.6092357943758668E-2</v>
      </c>
      <c r="R90">
        <f t="shared" ca="1" si="31"/>
        <v>5.2795897758880085E-2</v>
      </c>
      <c r="S90">
        <f t="shared" ca="1" si="28"/>
        <v>1.4412551196927075</v>
      </c>
      <c r="T90">
        <f t="shared" ca="1" si="29"/>
        <v>59.037464297222861</v>
      </c>
      <c r="U90">
        <f>70</f>
        <v>70</v>
      </c>
      <c r="V90">
        <f>30</f>
        <v>30</v>
      </c>
      <c r="W90">
        <f t="shared" ca="1" si="27"/>
        <v>10.538140115252192</v>
      </c>
      <c r="X90">
        <f t="shared" ca="1" si="17"/>
        <v>10.434358212426966</v>
      </c>
      <c r="Y90">
        <f t="shared" ca="1" si="16"/>
        <v>9.1456396555944508E-2</v>
      </c>
      <c r="Z90">
        <f t="shared" ca="1" si="18"/>
        <v>8.1717645411295767E-2</v>
      </c>
      <c r="AA90">
        <f t="shared" ca="1" si="19"/>
        <v>9.7387511446487413E-3</v>
      </c>
    </row>
    <row r="91" spans="1:27" x14ac:dyDescent="0.25">
      <c r="A91" s="20">
        <f t="shared" ca="1" si="20"/>
        <v>45831</v>
      </c>
      <c r="B91" vm="250">
        <f ca="1"/>
        <v>45833</v>
      </c>
      <c r="C91" vm="188">
        <f ca="1"/>
        <v>10.48</v>
      </c>
      <c r="D91" vm="251">
        <f ca="1"/>
        <v>91927326</v>
      </c>
      <c r="E91">
        <f t="shared" ca="1" si="21"/>
        <v>963398376.48000002</v>
      </c>
      <c r="F91">
        <f ca="1">SUM($E$2:E91)/SUM($D$2:D91)</f>
        <v>9.9219911789907993</v>
      </c>
      <c r="G91">
        <f ca="1">_xlfn.STDEV.P($C$2:C91)</f>
        <v>0.48039347298739271</v>
      </c>
      <c r="H91">
        <f t="shared" ca="1" si="22"/>
        <v>10.402384651978192</v>
      </c>
      <c r="I91">
        <f t="shared" ca="1" si="23"/>
        <v>9.4415977060034066</v>
      </c>
      <c r="J91">
        <f t="shared" ca="1" si="32"/>
        <v>10.405999999999999</v>
      </c>
      <c r="K91">
        <f t="shared" ca="1" si="33"/>
        <v>0.21682881921484801</v>
      </c>
      <c r="L91">
        <f t="shared" ca="1" si="34"/>
        <v>10.839657638429696</v>
      </c>
      <c r="M91">
        <f t="shared" ca="1" si="35"/>
        <v>9.972342361570302</v>
      </c>
      <c r="N91">
        <f t="shared" ca="1" si="24"/>
        <v>-0.25</v>
      </c>
      <c r="O91">
        <f t="shared" ca="1" si="25"/>
        <v>0</v>
      </c>
      <c r="P91">
        <f t="shared" ca="1" si="26"/>
        <v>0.25</v>
      </c>
      <c r="Q91">
        <f t="shared" ca="1" si="30"/>
        <v>7.065718951920448E-2</v>
      </c>
      <c r="R91">
        <f t="shared" ca="1" si="31"/>
        <v>6.6881905061817223E-2</v>
      </c>
      <c r="S91">
        <f t="shared" ca="1" si="28"/>
        <v>1.0564470233600234</v>
      </c>
      <c r="T91">
        <f t="shared" ca="1" si="29"/>
        <v>51.372440493696622</v>
      </c>
      <c r="U91">
        <f>70</f>
        <v>70</v>
      </c>
      <c r="V91">
        <f>30</f>
        <v>30</v>
      </c>
      <c r="W91">
        <f t="shared" ca="1" si="27"/>
        <v>10.529195482136469</v>
      </c>
      <c r="X91">
        <f t="shared" ca="1" si="17"/>
        <v>10.437739085580525</v>
      </c>
      <c r="Y91">
        <f t="shared" ca="1" si="16"/>
        <v>9.2723234703308677E-2</v>
      </c>
      <c r="Z91">
        <f t="shared" ca="1" si="18"/>
        <v>8.3918763269698354E-2</v>
      </c>
      <c r="AA91">
        <f t="shared" ca="1" si="19"/>
        <v>8.8044714336103225E-3</v>
      </c>
    </row>
    <row r="92" spans="1:27" x14ac:dyDescent="0.25">
      <c r="A92" s="20">
        <f t="shared" ca="1" si="20"/>
        <v>45831</v>
      </c>
      <c r="B92" vm="252">
        <f ca="1"/>
        <v>45834</v>
      </c>
      <c r="C92" vm="253">
        <f ca="1"/>
        <v>10.63</v>
      </c>
      <c r="D92" vm="254">
        <f ca="1"/>
        <v>88416356</v>
      </c>
      <c r="E92">
        <f t="shared" ca="1" si="21"/>
        <v>939865864.28000009</v>
      </c>
      <c r="F92">
        <f ca="1">SUM($E$2:E92)/SUM($D$2:D92)</f>
        <v>9.9278787381175899</v>
      </c>
      <c r="G92">
        <f ca="1">_xlfn.STDEV.P($C$2:C92)</f>
        <v>0.48232087443396504</v>
      </c>
      <c r="H92">
        <f t="shared" ca="1" si="22"/>
        <v>10.410199612551555</v>
      </c>
      <c r="I92">
        <f t="shared" ca="1" si="23"/>
        <v>9.445557863683625</v>
      </c>
      <c r="J92">
        <f t="shared" ca="1" si="32"/>
        <v>10.428999999999998</v>
      </c>
      <c r="K92">
        <f t="shared" ca="1" si="33"/>
        <v>0.21486593127122927</v>
      </c>
      <c r="L92">
        <f t="shared" ca="1" si="34"/>
        <v>10.858731862542458</v>
      </c>
      <c r="M92">
        <f t="shared" ca="1" si="35"/>
        <v>9.9992681374575394</v>
      </c>
      <c r="N92">
        <f t="shared" ca="1" si="24"/>
        <v>0.15000000000000036</v>
      </c>
      <c r="O92">
        <f t="shared" ca="1" si="25"/>
        <v>0.15000000000000036</v>
      </c>
      <c r="P92">
        <f t="shared" ca="1" si="26"/>
        <v>0</v>
      </c>
      <c r="Q92">
        <f t="shared" ca="1" si="30"/>
        <v>7.6324533124975627E-2</v>
      </c>
      <c r="R92">
        <f t="shared" ca="1" si="31"/>
        <v>6.2104626128830276E-2</v>
      </c>
      <c r="S92">
        <f t="shared" ca="1" si="28"/>
        <v>1.2289669527459592</v>
      </c>
      <c r="T92">
        <f t="shared" ca="1" si="29"/>
        <v>55.136167507191729</v>
      </c>
      <c r="U92">
        <f>70</f>
        <v>70</v>
      </c>
      <c r="V92">
        <f>30</f>
        <v>30</v>
      </c>
      <c r="W92">
        <f t="shared" ca="1" si="27"/>
        <v>10.54470386950009</v>
      </c>
      <c r="X92">
        <f t="shared" ca="1" si="17"/>
        <v>10.451980634796781</v>
      </c>
      <c r="Y92">
        <f t="shared" ref="Y92:Y155" ca="1" si="36">W93-X93</f>
        <v>0.10622035023524745</v>
      </c>
      <c r="Z92">
        <f t="shared" ca="1" si="18"/>
        <v>8.8379080662808182E-2</v>
      </c>
      <c r="AA92">
        <f t="shared" ca="1" si="19"/>
        <v>1.7841269572439269E-2</v>
      </c>
    </row>
    <row r="93" spans="1:27" x14ac:dyDescent="0.25">
      <c r="A93" s="20">
        <f t="shared" ca="1" si="20"/>
        <v>45831</v>
      </c>
      <c r="B93" vm="255">
        <f ca="1"/>
        <v>45835</v>
      </c>
      <c r="C93" vm="180">
        <f ca="1"/>
        <v>10.8</v>
      </c>
      <c r="D93" vm="256">
        <f ca="1"/>
        <v>182008244</v>
      </c>
      <c r="E93">
        <f t="shared" ca="1" si="21"/>
        <v>1965689035.2</v>
      </c>
      <c r="F93">
        <f ca="1">SUM($E$2:E93)/SUM($D$2:D93)</f>
        <v>9.9425565244371832</v>
      </c>
      <c r="G93">
        <f ca="1">_xlfn.STDEV.P($C$2:C93)</f>
        <v>0.48678849973911775</v>
      </c>
      <c r="H93">
        <f t="shared" ca="1" si="22"/>
        <v>10.429345024176301</v>
      </c>
      <c r="I93">
        <f t="shared" ca="1" si="23"/>
        <v>9.4557680246980649</v>
      </c>
      <c r="J93">
        <f t="shared" ca="1" si="32"/>
        <v>10.457999999999998</v>
      </c>
      <c r="K93">
        <f t="shared" ca="1" si="33"/>
        <v>0.22411463232250736</v>
      </c>
      <c r="L93">
        <f t="shared" ca="1" si="34"/>
        <v>10.906229264645013</v>
      </c>
      <c r="M93">
        <f t="shared" ca="1" si="35"/>
        <v>10.009770735354984</v>
      </c>
      <c r="N93">
        <f t="shared" ca="1" si="24"/>
        <v>0.16999999999999993</v>
      </c>
      <c r="O93">
        <f t="shared" ca="1" si="25"/>
        <v>0.16999999999999993</v>
      </c>
      <c r="P93">
        <f t="shared" ca="1" si="26"/>
        <v>0</v>
      </c>
      <c r="Q93">
        <f t="shared" ca="1" si="30"/>
        <v>8.301563790176307E-2</v>
      </c>
      <c r="R93">
        <f t="shared" ca="1" si="31"/>
        <v>5.7668581405342402E-2</v>
      </c>
      <c r="S93">
        <f t="shared" ca="1" si="28"/>
        <v>1.4395297383554595</v>
      </c>
      <c r="T93">
        <f t="shared" ca="1" si="29"/>
        <v>59.008493142038027</v>
      </c>
      <c r="U93">
        <f>70</f>
        <v>70</v>
      </c>
      <c r="V93">
        <f>30</f>
        <v>30</v>
      </c>
      <c r="W93">
        <f t="shared" ca="1" si="27"/>
        <v>10.583980197269305</v>
      </c>
      <c r="X93">
        <f t="shared" ref="X93:X156" ca="1" si="37">C93*(2/(26+1)) + X92*(1-(2/(26+1)))</f>
        <v>10.477759847034058</v>
      </c>
      <c r="Y93">
        <f t="shared" ca="1" si="36"/>
        <v>0.11957312906813122</v>
      </c>
      <c r="Z93">
        <f t="shared" ca="1" si="18"/>
        <v>9.4617890343872788E-2</v>
      </c>
      <c r="AA93">
        <f t="shared" ca="1" si="19"/>
        <v>2.4955238724258436E-2</v>
      </c>
    </row>
    <row r="94" spans="1:27" x14ac:dyDescent="0.25">
      <c r="A94" s="20">
        <f t="shared" ca="1" si="20"/>
        <v>45838</v>
      </c>
      <c r="B94" vm="257">
        <f ca="1"/>
        <v>45838</v>
      </c>
      <c r="C94" vm="258">
        <f ca="1"/>
        <v>10.85</v>
      </c>
      <c r="D94" vm="259">
        <f ca="1"/>
        <v>88472231</v>
      </c>
      <c r="E94">
        <f t="shared" ca="1" si="21"/>
        <v>959923706.35000002</v>
      </c>
      <c r="F94">
        <f ca="1">SUM($E$2:E94)/SUM($D$2:D94)</f>
        <v>9.9499199641380809</v>
      </c>
      <c r="G94">
        <f ca="1">_xlfn.STDEV.P($C$2:C94)</f>
        <v>0.49185421503926385</v>
      </c>
      <c r="H94">
        <f t="shared" ca="1" si="22"/>
        <v>10.441774179177346</v>
      </c>
      <c r="I94">
        <f t="shared" ca="1" si="23"/>
        <v>9.4580657490988163</v>
      </c>
      <c r="J94">
        <f t="shared" ca="1" si="32"/>
        <v>10.481499999999999</v>
      </c>
      <c r="K94">
        <f t="shared" ca="1" si="33"/>
        <v>0.23961097857283506</v>
      </c>
      <c r="L94">
        <f t="shared" ca="1" si="34"/>
        <v>10.960721957145669</v>
      </c>
      <c r="M94">
        <f t="shared" ca="1" si="35"/>
        <v>10.002278042854329</v>
      </c>
      <c r="N94">
        <f t="shared" ca="1" si="24"/>
        <v>4.9999999999998934E-2</v>
      </c>
      <c r="O94">
        <f t="shared" ca="1" si="25"/>
        <v>4.9999999999998934E-2</v>
      </c>
      <c r="P94">
        <f t="shared" ca="1" si="26"/>
        <v>0</v>
      </c>
      <c r="Q94">
        <f t="shared" ca="1" si="30"/>
        <v>8.0657378051637058E-2</v>
      </c>
      <c r="R94">
        <f t="shared" ca="1" si="31"/>
        <v>5.3549397019246513E-2</v>
      </c>
      <c r="S94">
        <f t="shared" ca="1" si="28"/>
        <v>1.5062238333448927</v>
      </c>
      <c r="T94">
        <f t="shared" ca="1" si="29"/>
        <v>60.099334038118798</v>
      </c>
      <c r="U94">
        <f>70</f>
        <v>70</v>
      </c>
      <c r="V94">
        <f>30</f>
        <v>30</v>
      </c>
      <c r="W94">
        <f t="shared" ca="1" si="27"/>
        <v>10.624906320766334</v>
      </c>
      <c r="X94">
        <f t="shared" ca="1" si="37"/>
        <v>10.505333191698202</v>
      </c>
      <c r="Y94">
        <f t="shared" ca="1" si="36"/>
        <v>0.16855809107032904</v>
      </c>
      <c r="Z94">
        <f t="shared" ca="1" si="18"/>
        <v>0.10940593048916405</v>
      </c>
      <c r="AA94">
        <f t="shared" ca="1" si="19"/>
        <v>5.9152160581164986E-2</v>
      </c>
    </row>
    <row r="95" spans="1:27" x14ac:dyDescent="0.25">
      <c r="A95" s="20">
        <f t="shared" ca="1" si="20"/>
        <v>45838</v>
      </c>
      <c r="B95" vm="260">
        <f ca="1"/>
        <v>45839</v>
      </c>
      <c r="C95" vm="261">
        <f ca="1"/>
        <v>11.35</v>
      </c>
      <c r="D95" vm="262">
        <f ca="1"/>
        <v>140150738</v>
      </c>
      <c r="E95">
        <f t="shared" ca="1" si="21"/>
        <v>1590710876.3</v>
      </c>
      <c r="F95">
        <f ca="1">SUM($E$2:E95)/SUM($D$2:D95)</f>
        <v>9.967688655124558</v>
      </c>
      <c r="G95">
        <f ca="1">_xlfn.STDEV.P($C$2:C95)</f>
        <v>0.5079290718744387</v>
      </c>
      <c r="H95">
        <f t="shared" ca="1" si="22"/>
        <v>10.475617726998998</v>
      </c>
      <c r="I95">
        <f t="shared" ca="1" si="23"/>
        <v>9.4597595832501185</v>
      </c>
      <c r="J95">
        <f t="shared" ca="1" si="32"/>
        <v>10.549999999999999</v>
      </c>
      <c r="K95">
        <f t="shared" ca="1" si="33"/>
        <v>0.28095701113384441</v>
      </c>
      <c r="L95">
        <f t="shared" ca="1" si="34"/>
        <v>11.111914022267687</v>
      </c>
      <c r="M95">
        <f t="shared" ca="1" si="35"/>
        <v>9.988085977732311</v>
      </c>
      <c r="N95">
        <f t="shared" ca="1" si="24"/>
        <v>0.5</v>
      </c>
      <c r="O95">
        <f t="shared" ca="1" si="25"/>
        <v>0.5</v>
      </c>
      <c r="P95">
        <f t="shared" ca="1" si="26"/>
        <v>0</v>
      </c>
      <c r="Q95">
        <f t="shared" ca="1" si="30"/>
        <v>0.11061042247652011</v>
      </c>
      <c r="R95">
        <f t="shared" ca="1" si="31"/>
        <v>4.9724440089300333E-2</v>
      </c>
      <c r="S95">
        <f t="shared" ca="1" si="28"/>
        <v>2.2244679332311112</v>
      </c>
      <c r="T95">
        <f t="shared" ca="1" si="29"/>
        <v>68.987131498686054</v>
      </c>
      <c r="U95">
        <f>70</f>
        <v>70</v>
      </c>
      <c r="V95">
        <f>30</f>
        <v>30</v>
      </c>
      <c r="W95">
        <f t="shared" ca="1" si="27"/>
        <v>10.736459194494589</v>
      </c>
      <c r="X95">
        <f t="shared" ca="1" si="37"/>
        <v>10.56790110342426</v>
      </c>
      <c r="Y95">
        <f t="shared" ca="1" si="36"/>
        <v>0.23852000613107904</v>
      </c>
      <c r="Z95">
        <f t="shared" ca="1" si="18"/>
        <v>0.13522874561754705</v>
      </c>
      <c r="AA95">
        <f t="shared" ca="1" si="19"/>
        <v>0.10329126051353199</v>
      </c>
    </row>
    <row r="96" spans="1:27" x14ac:dyDescent="0.25">
      <c r="A96" s="20">
        <f t="shared" ca="1" si="20"/>
        <v>45838</v>
      </c>
      <c r="B96" vm="263">
        <f ca="1"/>
        <v>45840</v>
      </c>
      <c r="C96" vm="264">
        <f ca="1"/>
        <v>11.77</v>
      </c>
      <c r="D96" vm="265">
        <f ca="1"/>
        <v>122331588</v>
      </c>
      <c r="E96">
        <f t="shared" ca="1" si="21"/>
        <v>1439842790.76</v>
      </c>
      <c r="F96">
        <f ca="1">SUM($E$2:E96)/SUM($D$2:D96)</f>
        <v>9.9874352002671749</v>
      </c>
      <c r="G96">
        <f ca="1">_xlfn.STDEV.P($C$2:C96)</f>
        <v>0.53543876434202153</v>
      </c>
      <c r="H96">
        <f t="shared" ca="1" si="22"/>
        <v>10.522873964609197</v>
      </c>
      <c r="I96">
        <f t="shared" ca="1" si="23"/>
        <v>9.4519964359251532</v>
      </c>
      <c r="J96">
        <f t="shared" ca="1" si="32"/>
        <v>10.629</v>
      </c>
      <c r="K96">
        <f t="shared" ca="1" si="33"/>
        <v>0.37931933498667958</v>
      </c>
      <c r="L96">
        <f t="shared" ca="1" si="34"/>
        <v>11.387638669973359</v>
      </c>
      <c r="M96">
        <f t="shared" ca="1" si="35"/>
        <v>9.8703613300266397</v>
      </c>
      <c r="N96">
        <f t="shared" ca="1" si="24"/>
        <v>0.41999999999999993</v>
      </c>
      <c r="O96">
        <f t="shared" ca="1" si="25"/>
        <v>0.41999999999999993</v>
      </c>
      <c r="P96">
        <f t="shared" ca="1" si="26"/>
        <v>0</v>
      </c>
      <c r="Q96">
        <f t="shared" ca="1" si="30"/>
        <v>0.13270967801391154</v>
      </c>
      <c r="R96">
        <f t="shared" ca="1" si="31"/>
        <v>4.6172694368636025E-2</v>
      </c>
      <c r="S96">
        <f t="shared" ca="1" si="28"/>
        <v>2.8742025958974131</v>
      </c>
      <c r="T96">
        <f t="shared" ca="1" si="29"/>
        <v>74.188236798484667</v>
      </c>
      <c r="U96">
        <f>70</f>
        <v>70</v>
      </c>
      <c r="V96">
        <f>30</f>
        <v>30</v>
      </c>
      <c r="W96">
        <f t="shared" ca="1" si="27"/>
        <v>10.895465472264654</v>
      </c>
      <c r="X96">
        <f t="shared" ca="1" si="37"/>
        <v>10.656945466133575</v>
      </c>
      <c r="Y96">
        <f t="shared" ca="1" si="36"/>
        <v>0.29380617882960181</v>
      </c>
      <c r="Z96">
        <f t="shared" ca="1" si="18"/>
        <v>0.16694423225995803</v>
      </c>
      <c r="AA96">
        <f t="shared" ca="1" si="19"/>
        <v>0.12686194656964378</v>
      </c>
    </row>
    <row r="97" spans="1:28" x14ac:dyDescent="0.25">
      <c r="A97" s="20">
        <f t="shared" ca="1" si="20"/>
        <v>45838</v>
      </c>
      <c r="B97" vm="266">
        <f ca="1"/>
        <v>45841</v>
      </c>
      <c r="C97" vm="267">
        <f ca="1"/>
        <v>11.81</v>
      </c>
      <c r="D97" vm="268">
        <f ca="1"/>
        <v>60311463</v>
      </c>
      <c r="E97">
        <f t="shared" ca="1" si="21"/>
        <v>712278378.02999997</v>
      </c>
      <c r="F97">
        <f ca="1">SUM($E$2:E97)/SUM($D$2:D97)</f>
        <v>9.9972270775385432</v>
      </c>
      <c r="G97">
        <f ca="1">_xlfn.STDEV.P($C$2:C97)</f>
        <v>0.56176985791682421</v>
      </c>
      <c r="H97">
        <f t="shared" ca="1" si="22"/>
        <v>10.558996935455367</v>
      </c>
      <c r="I97">
        <f t="shared" ca="1" si="23"/>
        <v>9.4354572196217195</v>
      </c>
      <c r="J97">
        <f t="shared" ca="1" si="32"/>
        <v>10.7075</v>
      </c>
      <c r="K97">
        <f t="shared" ca="1" si="33"/>
        <v>0.45037849579402017</v>
      </c>
      <c r="L97">
        <f t="shared" ca="1" si="34"/>
        <v>11.608256991588039</v>
      </c>
      <c r="M97">
        <f t="shared" ca="1" si="35"/>
        <v>9.80674300841196</v>
      </c>
      <c r="N97">
        <f t="shared" ca="1" si="24"/>
        <v>4.0000000000000924E-2</v>
      </c>
      <c r="O97">
        <f t="shared" ca="1" si="25"/>
        <v>4.0000000000000924E-2</v>
      </c>
      <c r="P97">
        <f t="shared" ca="1" si="26"/>
        <v>0</v>
      </c>
      <c r="Q97">
        <f t="shared" ca="1" si="30"/>
        <v>0.12608755815577505</v>
      </c>
      <c r="R97">
        <f t="shared" ca="1" si="31"/>
        <v>4.2874644770876311E-2</v>
      </c>
      <c r="S97">
        <f t="shared" ca="1" si="28"/>
        <v>2.9408420484785736</v>
      </c>
      <c r="T97">
        <f t="shared" ca="1" si="29"/>
        <v>74.624712492953975</v>
      </c>
      <c r="U97">
        <f>70</f>
        <v>70</v>
      </c>
      <c r="V97">
        <f>30</f>
        <v>30</v>
      </c>
      <c r="W97">
        <f t="shared" ca="1" si="27"/>
        <v>11.036163091916245</v>
      </c>
      <c r="X97">
        <f t="shared" ca="1" si="37"/>
        <v>10.742356913086644</v>
      </c>
      <c r="Y97">
        <f t="shared" ca="1" si="36"/>
        <v>0.31622348018793645</v>
      </c>
      <c r="Z97">
        <f t="shared" ca="1" si="18"/>
        <v>0.1968000818455537</v>
      </c>
      <c r="AA97">
        <f t="shared" ca="1" si="19"/>
        <v>0.11942339834238275</v>
      </c>
    </row>
    <row r="98" spans="1:28" x14ac:dyDescent="0.25">
      <c r="A98" s="20">
        <f t="shared" ca="1" si="20"/>
        <v>45845</v>
      </c>
      <c r="B98" vm="269">
        <f ca="1"/>
        <v>45845</v>
      </c>
      <c r="C98" vm="270">
        <f ca="1"/>
        <v>11.59</v>
      </c>
      <c r="D98" vm="271">
        <f ca="1"/>
        <v>73842100</v>
      </c>
      <c r="E98">
        <f t="shared" ca="1" si="21"/>
        <v>855829939</v>
      </c>
      <c r="F98">
        <f ca="1">SUM($E$2:E98)/SUM($D$2:D98)</f>
        <v>10.007635709021436</v>
      </c>
      <c r="G98">
        <f ca="1">_xlfn.STDEV.P($C$2:C98)</f>
        <v>0.57957862513956948</v>
      </c>
      <c r="H98">
        <f t="shared" ca="1" si="22"/>
        <v>10.587214334161006</v>
      </c>
      <c r="I98">
        <f t="shared" ca="1" si="23"/>
        <v>9.4280570838818658</v>
      </c>
      <c r="J98">
        <f t="shared" ca="1" si="32"/>
        <v>10.782</v>
      </c>
      <c r="K98">
        <f t="shared" ca="1" si="33"/>
        <v>0.46750851385436382</v>
      </c>
      <c r="L98">
        <f t="shared" ca="1" si="34"/>
        <v>11.717017027708728</v>
      </c>
      <c r="M98">
        <f t="shared" ca="1" si="35"/>
        <v>9.8469829722912721</v>
      </c>
      <c r="N98">
        <f t="shared" ca="1" si="24"/>
        <v>-0.22000000000000064</v>
      </c>
      <c r="O98">
        <f t="shared" ca="1" si="25"/>
        <v>0</v>
      </c>
      <c r="P98">
        <f t="shared" ca="1" si="26"/>
        <v>0.22000000000000064</v>
      </c>
      <c r="Q98">
        <f t="shared" ca="1" si="30"/>
        <v>0.11708130400179111</v>
      </c>
      <c r="R98">
        <f t="shared" ca="1" si="31"/>
        <v>5.5526455858670901E-2</v>
      </c>
      <c r="S98">
        <f t="shared" ca="1" si="28"/>
        <v>2.1085679284086329</v>
      </c>
      <c r="T98">
        <f t="shared" ca="1" si="29"/>
        <v>67.830846131391141</v>
      </c>
      <c r="U98">
        <f>70</f>
        <v>70</v>
      </c>
      <c r="V98">
        <f>30</f>
        <v>30</v>
      </c>
      <c r="W98">
        <f t="shared" ca="1" si="27"/>
        <v>11.121368770082977</v>
      </c>
      <c r="X98">
        <f t="shared" ca="1" si="37"/>
        <v>10.805145289895041</v>
      </c>
      <c r="Y98">
        <f t="shared" ca="1" si="36"/>
        <v>0.33736269372865024</v>
      </c>
      <c r="Z98">
        <f t="shared" ca="1" si="18"/>
        <v>0.22491260422217302</v>
      </c>
      <c r="AA98">
        <f t="shared" ca="1" si="19"/>
        <v>0.11245008950647722</v>
      </c>
    </row>
    <row r="99" spans="1:28" x14ac:dyDescent="0.25">
      <c r="A99" s="20">
        <f t="shared" ca="1" si="20"/>
        <v>45845</v>
      </c>
      <c r="B99" vm="272">
        <f ca="1"/>
        <v>45846</v>
      </c>
      <c r="C99" vm="273">
        <f ca="1"/>
        <v>11.68</v>
      </c>
      <c r="D99" vm="274">
        <f ca="1"/>
        <v>74190215</v>
      </c>
      <c r="E99">
        <f t="shared" ca="1" si="21"/>
        <v>866541711.19999993</v>
      </c>
      <c r="F99">
        <f ca="1">SUM($E$2:E99)/SUM($D$2:D99)</f>
        <v>10.018544361566358</v>
      </c>
      <c r="G99">
        <f ca="1">_xlfn.STDEV.P($C$2:C99)</f>
        <v>0.59846747394304012</v>
      </c>
      <c r="H99">
        <f t="shared" ca="1" si="22"/>
        <v>10.617011835509398</v>
      </c>
      <c r="I99">
        <f t="shared" ca="1" si="23"/>
        <v>9.420076887623317</v>
      </c>
      <c r="J99">
        <f t="shared" ca="1" si="32"/>
        <v>10.853000000000002</v>
      </c>
      <c r="K99">
        <f t="shared" ca="1" si="33"/>
        <v>0.49128296059238719</v>
      </c>
      <c r="L99">
        <f t="shared" ca="1" si="34"/>
        <v>11.835565921184775</v>
      </c>
      <c r="M99">
        <f t="shared" ca="1" si="35"/>
        <v>9.8704340788152276</v>
      </c>
      <c r="N99">
        <f t="shared" ca="1" si="24"/>
        <v>8.9999999999999858E-2</v>
      </c>
      <c r="O99">
        <f t="shared" ca="1" si="25"/>
        <v>8.9999999999999858E-2</v>
      </c>
      <c r="P99">
        <f t="shared" ca="1" si="26"/>
        <v>0</v>
      </c>
      <c r="Q99">
        <f t="shared" ca="1" si="30"/>
        <v>0.1151469251445203</v>
      </c>
      <c r="R99">
        <f t="shared" ca="1" si="31"/>
        <v>5.1560280440194409E-2</v>
      </c>
      <c r="S99">
        <f t="shared" ca="1" si="28"/>
        <v>2.2332486200900528</v>
      </c>
      <c r="T99">
        <f t="shared" ca="1" si="29"/>
        <v>69.071354618806026</v>
      </c>
      <c r="U99">
        <f>70</f>
        <v>70</v>
      </c>
      <c r="V99">
        <f>30</f>
        <v>30</v>
      </c>
      <c r="W99">
        <f t="shared" ca="1" si="27"/>
        <v>11.207312036224058</v>
      </c>
      <c r="X99">
        <f t="shared" ca="1" si="37"/>
        <v>10.869949342495408</v>
      </c>
      <c r="Y99">
        <f t="shared" ca="1" si="36"/>
        <v>0.3620459784830139</v>
      </c>
      <c r="Z99">
        <f t="shared" ca="1" si="18"/>
        <v>0.25233927907434117</v>
      </c>
      <c r="AA99">
        <f t="shared" ca="1" si="19"/>
        <v>0.10970669940867273</v>
      </c>
    </row>
    <row r="100" spans="1:28" x14ac:dyDescent="0.25">
      <c r="A100" s="20">
        <f t="shared" ca="1" si="20"/>
        <v>45845</v>
      </c>
      <c r="B100" vm="275">
        <f ca="1"/>
        <v>45847</v>
      </c>
      <c r="C100" vm="276">
        <f ca="1"/>
        <v>11.83</v>
      </c>
      <c r="D100" vm="277">
        <f ca="1"/>
        <v>63886882</v>
      </c>
      <c r="E100">
        <f t="shared" ca="1" si="21"/>
        <v>755781814.06000006</v>
      </c>
      <c r="F100">
        <f ca="1">SUM($E$2:E100)/SUM($D$2:D100)</f>
        <v>10.028662494435427</v>
      </c>
      <c r="G100">
        <f ca="1">_xlfn.STDEV.P($C$2:C100)</f>
        <v>0.62000924849354377</v>
      </c>
      <c r="H100">
        <f t="shared" ca="1" si="22"/>
        <v>10.64867174292897</v>
      </c>
      <c r="I100">
        <f t="shared" ca="1" si="23"/>
        <v>9.408653245941883</v>
      </c>
      <c r="J100">
        <f t="shared" ca="1" si="32"/>
        <v>10.927500000000002</v>
      </c>
      <c r="K100">
        <f t="shared" ca="1" si="33"/>
        <v>0.52144409802817893</v>
      </c>
      <c r="L100">
        <f t="shared" ca="1" si="34"/>
        <v>11.97038819605636</v>
      </c>
      <c r="M100">
        <f t="shared" ca="1" si="35"/>
        <v>9.8846118039436437</v>
      </c>
      <c r="N100">
        <f t="shared" ca="1" si="24"/>
        <v>0.15000000000000036</v>
      </c>
      <c r="O100">
        <f t="shared" ca="1" si="25"/>
        <v>0.15000000000000036</v>
      </c>
      <c r="P100">
        <f t="shared" ca="1" si="26"/>
        <v>0</v>
      </c>
      <c r="Q100">
        <f t="shared" ca="1" si="30"/>
        <v>0.1176364304913403</v>
      </c>
      <c r="R100">
        <f t="shared" ca="1" si="31"/>
        <v>4.7877403265894805E-2</v>
      </c>
      <c r="S100">
        <f t="shared" ca="1" si="28"/>
        <v>2.4570344769541403</v>
      </c>
      <c r="T100">
        <f t="shared" ca="1" si="29"/>
        <v>71.073473329052206</v>
      </c>
      <c r="U100">
        <f>70</f>
        <v>70</v>
      </c>
      <c r="V100">
        <f>30</f>
        <v>30</v>
      </c>
      <c r="W100">
        <f t="shared" ca="1" si="27"/>
        <v>11.30311018449728</v>
      </c>
      <c r="X100">
        <f t="shared" ca="1" si="37"/>
        <v>10.941064206014266</v>
      </c>
      <c r="Y100">
        <f t="shared" ca="1" si="36"/>
        <v>0.38364062062978732</v>
      </c>
      <c r="Z100">
        <f t="shared" ca="1" si="18"/>
        <v>0.27859954738543041</v>
      </c>
      <c r="AA100">
        <f t="shared" ca="1" si="19"/>
        <v>0.10504107324435691</v>
      </c>
    </row>
    <row r="101" spans="1:28" x14ac:dyDescent="0.25">
      <c r="A101" s="20">
        <f t="shared" ca="1" si="20"/>
        <v>45845</v>
      </c>
      <c r="B101" vm="278">
        <f ca="1"/>
        <v>45848</v>
      </c>
      <c r="C101" vm="279">
        <f ca="1"/>
        <v>11.91</v>
      </c>
      <c r="D101" vm="280">
        <f ca="1"/>
        <v>67263023</v>
      </c>
      <c r="E101">
        <f t="shared" ca="1" si="21"/>
        <v>801102603.93000007</v>
      </c>
      <c r="F101">
        <f ca="1">SUM($E$2:E101)/SUM($D$2:D101)</f>
        <v>10.039661604646383</v>
      </c>
      <c r="G101">
        <f ca="1">_xlfn.STDEV.P($C$2:C101)</f>
        <v>0.64211882856680036</v>
      </c>
      <c r="H101">
        <f t="shared" ca="1" si="22"/>
        <v>10.681780433213184</v>
      </c>
      <c r="I101">
        <f t="shared" ca="1" si="23"/>
        <v>9.3975427760795824</v>
      </c>
      <c r="J101">
        <f t="shared" ca="1" si="32"/>
        <v>10.993</v>
      </c>
      <c r="K101">
        <f t="shared" ca="1" si="33"/>
        <v>0.55906030180350996</v>
      </c>
      <c r="L101">
        <f t="shared" ca="1" si="34"/>
        <v>12.11112060360702</v>
      </c>
      <c r="M101">
        <f t="shared" ca="1" si="35"/>
        <v>9.8748793963929806</v>
      </c>
      <c r="N101">
        <f t="shared" ca="1" si="24"/>
        <v>8.0000000000000071E-2</v>
      </c>
      <c r="O101">
        <f t="shared" ca="1" si="25"/>
        <v>8.0000000000000071E-2</v>
      </c>
      <c r="P101">
        <f t="shared" ca="1" si="26"/>
        <v>0</v>
      </c>
      <c r="Q101">
        <f t="shared" ca="1" si="30"/>
        <v>0.11494811402767315</v>
      </c>
      <c r="R101">
        <f t="shared" ca="1" si="31"/>
        <v>4.4457588746902317E-2</v>
      </c>
      <c r="S101">
        <f t="shared" ca="1" si="28"/>
        <v>2.5855678921786422</v>
      </c>
      <c r="T101">
        <f t="shared" ca="1" si="29"/>
        <v>72.110415140057896</v>
      </c>
      <c r="U101">
        <f>70</f>
        <v>70</v>
      </c>
      <c r="V101">
        <f>30</f>
        <v>30</v>
      </c>
      <c r="W101">
        <f t="shared" ca="1" si="27"/>
        <v>11.396477848420774</v>
      </c>
      <c r="X101">
        <f t="shared" ca="1" si="37"/>
        <v>11.012837227790987</v>
      </c>
      <c r="Y101">
        <f t="shared" ca="1" si="36"/>
        <v>0.38581715654956916</v>
      </c>
      <c r="Z101">
        <f t="shared" ca="1" si="18"/>
        <v>0.30004306921825818</v>
      </c>
      <c r="AA101">
        <f t="shared" ca="1" si="19"/>
        <v>8.5774087331310978E-2</v>
      </c>
      <c r="AB101">
        <f ca="1">AVERAGE(C2:C101)</f>
        <v>10.137099999999997</v>
      </c>
    </row>
    <row r="102" spans="1:28" x14ac:dyDescent="0.25">
      <c r="A102" s="20">
        <f t="shared" ca="1" si="20"/>
        <v>45845</v>
      </c>
      <c r="B102" vm="281">
        <f ca="1"/>
        <v>45849</v>
      </c>
      <c r="C102" vm="282">
        <f ca="1"/>
        <v>11.78</v>
      </c>
      <c r="D102" vm="283">
        <f ca="1"/>
        <v>65340737</v>
      </c>
      <c r="E102">
        <f t="shared" ca="1" si="21"/>
        <v>769713881.86000001</v>
      </c>
      <c r="F102">
        <f ca="1">SUM($E$2:E102)/SUM($D$2:D102)</f>
        <v>10.049489774576253</v>
      </c>
      <c r="G102">
        <f ca="1">_xlfn.STDEV.P($C$2:C102)</f>
        <v>0.65931298961321738</v>
      </c>
      <c r="H102">
        <f t="shared" ca="1" si="22"/>
        <v>10.708802764189471</v>
      </c>
      <c r="I102">
        <f t="shared" ca="1" si="23"/>
        <v>9.3901767849630353</v>
      </c>
      <c r="J102">
        <f t="shared" ca="1" si="32"/>
        <v>11.049000000000001</v>
      </c>
      <c r="K102">
        <f t="shared" ca="1" si="33"/>
        <v>0.57966324161896843</v>
      </c>
      <c r="L102">
        <f t="shared" ca="1" si="34"/>
        <v>12.208326483237938</v>
      </c>
      <c r="M102">
        <f t="shared" ca="1" si="35"/>
        <v>9.8896735167620644</v>
      </c>
      <c r="N102">
        <f t="shared" ca="1" si="24"/>
        <v>-0.13000000000000078</v>
      </c>
      <c r="O102">
        <f t="shared" ca="1" si="25"/>
        <v>0</v>
      </c>
      <c r="P102">
        <f t="shared" ca="1" si="26"/>
        <v>0.13000000000000078</v>
      </c>
      <c r="Q102">
        <f t="shared" ca="1" si="30"/>
        <v>0.10673753445426792</v>
      </c>
      <c r="R102">
        <f t="shared" ca="1" si="31"/>
        <v>5.0567760979266498E-2</v>
      </c>
      <c r="S102">
        <f t="shared" ca="1" si="28"/>
        <v>2.11078229265543</v>
      </c>
      <c r="T102">
        <f t="shared" ca="1" si="29"/>
        <v>67.853745266552266</v>
      </c>
      <c r="U102">
        <f>70</f>
        <v>70</v>
      </c>
      <c r="V102">
        <f>30</f>
        <v>30</v>
      </c>
      <c r="W102">
        <f t="shared" ca="1" si="27"/>
        <v>11.455481256356039</v>
      </c>
      <c r="X102">
        <f t="shared" ca="1" si="37"/>
        <v>11.06966409980647</v>
      </c>
      <c r="Y102">
        <f t="shared" ca="1" si="36"/>
        <v>0.39110285099897624</v>
      </c>
      <c r="Z102">
        <f t="shared" ref="Z102:Z165" ca="1" si="38">Y102*(2/(9+1)) + Z101*(1-(2/(9+1)))</f>
        <v>0.31825502557440177</v>
      </c>
      <c r="AA102">
        <f t="shared" ref="AA102:AA165" ca="1" si="39">Y102-Z102</f>
        <v>7.2847825424574464E-2</v>
      </c>
      <c r="AB102">
        <f t="shared" ref="AB102:AB165" ca="1" si="40">AVERAGE(C3:C102)</f>
        <v>10.161599999999995</v>
      </c>
    </row>
    <row r="103" spans="1:28" x14ac:dyDescent="0.25">
      <c r="A103" s="20">
        <f t="shared" ca="1" si="20"/>
        <v>45852</v>
      </c>
      <c r="B103" vm="284">
        <f ca="1"/>
        <v>45852</v>
      </c>
      <c r="C103" vm="285">
        <f ca="1"/>
        <v>11.88</v>
      </c>
      <c r="D103" vm="286">
        <f ca="1"/>
        <v>62098074</v>
      </c>
      <c r="E103">
        <f t="shared" ca="1" si="21"/>
        <v>737725119.12</v>
      </c>
      <c r="F103">
        <f ca="1">SUM($E$2:E103)/SUM($D$2:D103)</f>
        <v>10.059261709868593</v>
      </c>
      <c r="G103">
        <f ca="1">_xlfn.STDEV.P($C$2:C103)</f>
        <v>0.67777093690019963</v>
      </c>
      <c r="H103">
        <f t="shared" ca="1" si="22"/>
        <v>10.737032646768792</v>
      </c>
      <c r="I103">
        <f t="shared" ca="1" si="23"/>
        <v>9.3814907729683945</v>
      </c>
      <c r="J103">
        <f t="shared" ca="1" si="32"/>
        <v>11.1165</v>
      </c>
      <c r="K103">
        <f t="shared" ca="1" si="33"/>
        <v>0.59445928548998461</v>
      </c>
      <c r="L103">
        <f t="shared" ca="1" si="34"/>
        <v>12.30541857097997</v>
      </c>
      <c r="M103">
        <f t="shared" ca="1" si="35"/>
        <v>9.9275814290200302</v>
      </c>
      <c r="N103">
        <f t="shared" ca="1" si="24"/>
        <v>0.10000000000000142</v>
      </c>
      <c r="O103">
        <f t="shared" ca="1" si="25"/>
        <v>0.10000000000000142</v>
      </c>
      <c r="P103">
        <f t="shared" ca="1" si="26"/>
        <v>0</v>
      </c>
      <c r="Q103">
        <f t="shared" ca="1" si="30"/>
        <v>0.10625628199324888</v>
      </c>
      <c r="R103">
        <f t="shared" ca="1" si="31"/>
        <v>4.6955778052176038E-2</v>
      </c>
      <c r="S103">
        <f t="shared" ca="1" si="28"/>
        <v>2.2629011039957567</v>
      </c>
      <c r="T103">
        <f t="shared" ca="1" si="29"/>
        <v>69.352426931499778</v>
      </c>
      <c r="U103">
        <f>70</f>
        <v>70</v>
      </c>
      <c r="V103">
        <f>30</f>
        <v>30</v>
      </c>
      <c r="W103">
        <f t="shared" ca="1" si="27"/>
        <v>11.520791832301263</v>
      </c>
      <c r="X103">
        <f t="shared" ca="1" si="37"/>
        <v>11.129688981302287</v>
      </c>
      <c r="Y103">
        <f t="shared" ca="1" si="36"/>
        <v>0.36605770732259835</v>
      </c>
      <c r="Z103">
        <f t="shared" ca="1" si="38"/>
        <v>0.3278155619240411</v>
      </c>
      <c r="AA103">
        <f t="shared" ca="1" si="39"/>
        <v>3.8242145398557248E-2</v>
      </c>
      <c r="AB103">
        <f t="shared" ca="1" si="40"/>
        <v>10.187499999999995</v>
      </c>
    </row>
    <row r="104" spans="1:28" x14ac:dyDescent="0.25">
      <c r="A104" s="20">
        <f t="shared" ca="1" si="20"/>
        <v>45852</v>
      </c>
      <c r="B104" vm="287">
        <f ca="1"/>
        <v>45853</v>
      </c>
      <c r="C104" vm="288">
        <f ca="1"/>
        <v>11.57</v>
      </c>
      <c r="D104" vm="289">
        <f ca="1"/>
        <v>65101902</v>
      </c>
      <c r="E104">
        <f t="shared" ca="1" si="21"/>
        <v>753229006.13999999</v>
      </c>
      <c r="F104">
        <f ca="1">SUM($E$2:E104)/SUM($D$2:D104)</f>
        <v>10.067669646149406</v>
      </c>
      <c r="G104">
        <f ca="1">_xlfn.STDEV.P($C$2:C104)</f>
        <v>0.6882949709311722</v>
      </c>
      <c r="H104">
        <f t="shared" ca="1" si="22"/>
        <v>10.755964617080579</v>
      </c>
      <c r="I104">
        <f t="shared" ca="1" si="23"/>
        <v>9.3793746752182336</v>
      </c>
      <c r="J104">
        <f t="shared" ca="1" si="32"/>
        <v>11.173500000000001</v>
      </c>
      <c r="K104">
        <f t="shared" ca="1" si="33"/>
        <v>0.57963940696372873</v>
      </c>
      <c r="L104">
        <f t="shared" ca="1" si="34"/>
        <v>12.332778813927458</v>
      </c>
      <c r="M104">
        <f t="shared" ca="1" si="35"/>
        <v>10.014221186072543</v>
      </c>
      <c r="N104">
        <f t="shared" ca="1" si="24"/>
        <v>-0.3100000000000005</v>
      </c>
      <c r="O104">
        <f t="shared" ca="1" si="25"/>
        <v>0</v>
      </c>
      <c r="P104">
        <f t="shared" ca="1" si="26"/>
        <v>0.3100000000000005</v>
      </c>
      <c r="Q104">
        <f t="shared" ca="1" si="30"/>
        <v>9.8666547565159676E-2</v>
      </c>
      <c r="R104">
        <f t="shared" ca="1" si="31"/>
        <v>6.5744651048449218E-2</v>
      </c>
      <c r="S104">
        <f t="shared" ca="1" si="28"/>
        <v>1.5007539927841327</v>
      </c>
      <c r="T104">
        <f t="shared" ca="1" si="29"/>
        <v>60.012060247210371</v>
      </c>
      <c r="U104">
        <f>70</f>
        <v>70</v>
      </c>
      <c r="V104">
        <f>30</f>
        <v>30</v>
      </c>
      <c r="W104">
        <f t="shared" ca="1" si="27"/>
        <v>11.52836231963953</v>
      </c>
      <c r="X104">
        <f t="shared" ca="1" si="37"/>
        <v>11.162304612316932</v>
      </c>
      <c r="Y104">
        <f t="shared" ca="1" si="36"/>
        <v>0.31593905962945357</v>
      </c>
      <c r="Z104">
        <f t="shared" ca="1" si="38"/>
        <v>0.32544026146512361</v>
      </c>
      <c r="AA104">
        <f t="shared" ca="1" si="39"/>
        <v>-9.5012018356700478E-3</v>
      </c>
      <c r="AB104">
        <f t="shared" ca="1" si="40"/>
        <v>10.209799999999996</v>
      </c>
    </row>
    <row r="105" spans="1:28" x14ac:dyDescent="0.25">
      <c r="A105" s="20">
        <f t="shared" ca="1" si="20"/>
        <v>45852</v>
      </c>
      <c r="B105" vm="290">
        <f ca="1"/>
        <v>45854</v>
      </c>
      <c r="C105" vm="291">
        <f ca="1"/>
        <v>11.24</v>
      </c>
      <c r="D105" vm="292">
        <f ca="1"/>
        <v>107978145</v>
      </c>
      <c r="E105">
        <f t="shared" ca="1" si="21"/>
        <v>1213674349.8</v>
      </c>
      <c r="F105">
        <f ca="1">SUM($E$2:E105)/SUM($D$2:D105)</f>
        <v>10.078392289144492</v>
      </c>
      <c r="G105">
        <f ca="1">_xlfn.STDEV.P($C$2:C105)</f>
        <v>0.69268779629505151</v>
      </c>
      <c r="H105">
        <f t="shared" ca="1" si="22"/>
        <v>10.771080085439543</v>
      </c>
      <c r="I105">
        <f t="shared" ca="1" si="23"/>
        <v>9.3857044928494417</v>
      </c>
      <c r="J105">
        <f t="shared" ca="1" si="32"/>
        <v>11.204499999999999</v>
      </c>
      <c r="K105">
        <f t="shared" ca="1" si="33"/>
        <v>0.56487050216003154</v>
      </c>
      <c r="L105">
        <f t="shared" ca="1" si="34"/>
        <v>12.334241004320063</v>
      </c>
      <c r="M105">
        <f t="shared" ca="1" si="35"/>
        <v>10.074758995679936</v>
      </c>
      <c r="N105">
        <f t="shared" ca="1" si="24"/>
        <v>-0.33000000000000007</v>
      </c>
      <c r="O105">
        <f t="shared" ca="1" si="25"/>
        <v>0</v>
      </c>
      <c r="P105">
        <f t="shared" ca="1" si="26"/>
        <v>0.33000000000000007</v>
      </c>
      <c r="Q105">
        <f t="shared" ca="1" si="30"/>
        <v>9.1618937024791139E-2</v>
      </c>
      <c r="R105">
        <f t="shared" ca="1" si="31"/>
        <v>8.4620033116417151E-2</v>
      </c>
      <c r="S105">
        <f t="shared" ca="1" si="28"/>
        <v>1.0827097751042611</v>
      </c>
      <c r="T105">
        <f t="shared" ca="1" si="29"/>
        <v>51.985628917022794</v>
      </c>
      <c r="U105">
        <f>70</f>
        <v>70</v>
      </c>
      <c r="V105">
        <f>30</f>
        <v>30</v>
      </c>
      <c r="W105">
        <f t="shared" ca="1" si="27"/>
        <v>11.483998885848834</v>
      </c>
      <c r="X105">
        <f t="shared" ca="1" si="37"/>
        <v>11.16805982621938</v>
      </c>
      <c r="Y105">
        <f t="shared" ca="1" si="36"/>
        <v>0.26589238055784925</v>
      </c>
      <c r="Z105">
        <f t="shared" ca="1" si="38"/>
        <v>0.31353068528366873</v>
      </c>
      <c r="AA105">
        <f t="shared" ca="1" si="39"/>
        <v>-4.763830472581948E-2</v>
      </c>
      <c r="AB105">
        <f t="shared" ca="1" si="40"/>
        <v>10.228299999999996</v>
      </c>
    </row>
    <row r="106" spans="1:28" x14ac:dyDescent="0.25">
      <c r="A106" s="20">
        <f t="shared" ca="1" si="20"/>
        <v>45852</v>
      </c>
      <c r="B106" vm="293">
        <f ca="1"/>
        <v>45855</v>
      </c>
      <c r="C106" vm="294">
        <f ca="1"/>
        <v>11.15</v>
      </c>
      <c r="D106" vm="295">
        <f ca="1"/>
        <v>70345257</v>
      </c>
      <c r="E106">
        <f t="shared" ca="1" si="21"/>
        <v>784349615.55000007</v>
      </c>
      <c r="F106">
        <f ca="1">SUM($E$2:E106)/SUM($D$2:D106)</f>
        <v>10.084739844229247</v>
      </c>
      <c r="G106">
        <f ca="1">_xlfn.STDEV.P($C$2:C106)</f>
        <v>0.69560568234174347</v>
      </c>
      <c r="H106">
        <f t="shared" ca="1" si="22"/>
        <v>10.78034552657099</v>
      </c>
      <c r="I106">
        <f t="shared" ca="1" si="23"/>
        <v>9.3891341618875046</v>
      </c>
      <c r="J106">
        <f t="shared" ca="1" si="32"/>
        <v>11.241000000000001</v>
      </c>
      <c r="K106">
        <f t="shared" ca="1" si="33"/>
        <v>0.53426683654479146</v>
      </c>
      <c r="L106">
        <f t="shared" ca="1" si="34"/>
        <v>12.309533673089584</v>
      </c>
      <c r="M106">
        <f t="shared" ca="1" si="35"/>
        <v>10.172466326910419</v>
      </c>
      <c r="N106">
        <f t="shared" ca="1" si="24"/>
        <v>-8.9999999999999858E-2</v>
      </c>
      <c r="O106">
        <f t="shared" ca="1" si="25"/>
        <v>0</v>
      </c>
      <c r="P106">
        <f t="shared" ca="1" si="26"/>
        <v>8.9999999999999858E-2</v>
      </c>
      <c r="Q106">
        <f t="shared" ca="1" si="30"/>
        <v>8.5074727237306053E-2</v>
      </c>
      <c r="R106">
        <f t="shared" ca="1" si="31"/>
        <v>8.5004316465244492E-2</v>
      </c>
      <c r="S106">
        <f t="shared" ca="1" si="28"/>
        <v>1.0008283199605557</v>
      </c>
      <c r="T106">
        <f t="shared" ca="1" si="29"/>
        <v>50.02069942613997</v>
      </c>
      <c r="U106">
        <f>70</f>
        <v>70</v>
      </c>
      <c r="V106">
        <f>30</f>
        <v>30</v>
      </c>
      <c r="W106">
        <f t="shared" ca="1" si="27"/>
        <v>11.43261444187209</v>
      </c>
      <c r="X106">
        <f t="shared" ca="1" si="37"/>
        <v>11.166722061314241</v>
      </c>
      <c r="Y106">
        <f t="shared" ca="1" si="36"/>
        <v>0.22444962766063448</v>
      </c>
      <c r="Z106">
        <f t="shared" ca="1" si="38"/>
        <v>0.2957144737590619</v>
      </c>
      <c r="AA106">
        <f t="shared" ca="1" si="39"/>
        <v>-7.1264846098427426E-2</v>
      </c>
      <c r="AB106">
        <f t="shared" ca="1" si="40"/>
        <v>10.246999999999996</v>
      </c>
    </row>
    <row r="107" spans="1:28" x14ac:dyDescent="0.25">
      <c r="A107" s="20">
        <f t="shared" ca="1" si="20"/>
        <v>45852</v>
      </c>
      <c r="B107" vm="296">
        <f ca="1"/>
        <v>45856</v>
      </c>
      <c r="C107" vm="297">
        <f ca="1"/>
        <v>11.16</v>
      </c>
      <c r="D107" vm="298">
        <f ca="1"/>
        <v>68812553</v>
      </c>
      <c r="E107">
        <f t="shared" ca="1" si="21"/>
        <v>767948091.48000002</v>
      </c>
      <c r="F107">
        <f ca="1">SUM($E$2:E107)/SUM($D$2:D107)</f>
        <v>10.090934367191773</v>
      </c>
      <c r="G107">
        <f ca="1">_xlfn.STDEV.P($C$2:C107)</f>
        <v>0.69846868180756849</v>
      </c>
      <c r="H107">
        <f t="shared" ca="1" si="22"/>
        <v>10.789403048999342</v>
      </c>
      <c r="I107">
        <f t="shared" ca="1" si="23"/>
        <v>9.3924656853842041</v>
      </c>
      <c r="J107">
        <f t="shared" ca="1" si="32"/>
        <v>11.2775</v>
      </c>
      <c r="K107">
        <f t="shared" ca="1" si="33"/>
        <v>0.49976705099792024</v>
      </c>
      <c r="L107">
        <f t="shared" ca="1" si="34"/>
        <v>12.27703410199584</v>
      </c>
      <c r="M107">
        <f t="shared" ca="1" si="35"/>
        <v>10.27796589800416</v>
      </c>
      <c r="N107">
        <f t="shared" ca="1" si="24"/>
        <v>9.9999999999997868E-3</v>
      </c>
      <c r="O107">
        <f t="shared" ca="1" si="25"/>
        <v>9.9999999999997868E-3</v>
      </c>
      <c r="P107">
        <f t="shared" ca="1" si="26"/>
        <v>0</v>
      </c>
      <c r="Q107">
        <f t="shared" ca="1" si="30"/>
        <v>7.9712246720355609E-2</v>
      </c>
      <c r="R107">
        <f t="shared" ca="1" si="31"/>
        <v>7.8932579574869891E-2</v>
      </c>
      <c r="S107">
        <f t="shared" ca="1" si="28"/>
        <v>1.0098776341744435</v>
      </c>
      <c r="T107">
        <f t="shared" ca="1" si="29"/>
        <v>50.245727252408102</v>
      </c>
      <c r="U107">
        <f>70</f>
        <v>70</v>
      </c>
      <c r="V107">
        <f>30</f>
        <v>30</v>
      </c>
      <c r="W107">
        <f t="shared" ca="1" si="27"/>
        <v>11.390673758507154</v>
      </c>
      <c r="X107">
        <f t="shared" ca="1" si="37"/>
        <v>11.166224130846519</v>
      </c>
      <c r="Y107">
        <f t="shared" ca="1" si="36"/>
        <v>0.20138821581625699</v>
      </c>
      <c r="Z107">
        <f t="shared" ca="1" si="38"/>
        <v>0.27684922217050095</v>
      </c>
      <c r="AA107">
        <f t="shared" ca="1" si="39"/>
        <v>-7.5461006354243965E-2</v>
      </c>
      <c r="AB107">
        <f t="shared" ca="1" si="40"/>
        <v>10.265099999999997</v>
      </c>
    </row>
    <row r="108" spans="1:28" x14ac:dyDescent="0.25">
      <c r="A108" s="20">
        <f t="shared" ca="1" si="20"/>
        <v>45859</v>
      </c>
      <c r="B108" vm="299">
        <f ca="1"/>
        <v>45859</v>
      </c>
      <c r="C108" vm="300">
        <f ca="1"/>
        <v>11.31</v>
      </c>
      <c r="D108" vm="301">
        <f ca="1"/>
        <v>65515630</v>
      </c>
      <c r="E108">
        <f t="shared" ca="1" si="21"/>
        <v>740981775.30000007</v>
      </c>
      <c r="F108">
        <f ca="1">SUM($E$2:E108)/SUM($D$2:D108)</f>
        <v>10.097584389227471</v>
      </c>
      <c r="G108">
        <f ca="1">_xlfn.STDEV.P($C$2:C108)</f>
        <v>0.70317682481440336</v>
      </c>
      <c r="H108">
        <f t="shared" ca="1" si="22"/>
        <v>10.800761214041874</v>
      </c>
      <c r="I108">
        <f t="shared" ca="1" si="23"/>
        <v>9.3944075644130685</v>
      </c>
      <c r="J108">
        <f t="shared" ca="1" si="32"/>
        <v>11.313500000000001</v>
      </c>
      <c r="K108">
        <f t="shared" ca="1" si="33"/>
        <v>0.47284441638372243</v>
      </c>
      <c r="L108">
        <f t="shared" ca="1" si="34"/>
        <v>12.259188832767446</v>
      </c>
      <c r="M108">
        <f t="shared" ca="1" si="35"/>
        <v>10.367811167232556</v>
      </c>
      <c r="N108">
        <f t="shared" ca="1" si="24"/>
        <v>0.15000000000000036</v>
      </c>
      <c r="O108">
        <f t="shared" ca="1" si="25"/>
        <v>0.15000000000000036</v>
      </c>
      <c r="P108">
        <f t="shared" ca="1" si="26"/>
        <v>0</v>
      </c>
      <c r="Q108">
        <f t="shared" ca="1" si="30"/>
        <v>8.4732800526044511E-2</v>
      </c>
      <c r="R108">
        <f t="shared" ca="1" si="31"/>
        <v>7.3294538176664897E-2</v>
      </c>
      <c r="S108">
        <f t="shared" ca="1" si="28"/>
        <v>1.1560588637834035</v>
      </c>
      <c r="T108">
        <f t="shared" ca="1" si="29"/>
        <v>53.619077067069384</v>
      </c>
      <c r="U108">
        <f>70</f>
        <v>70</v>
      </c>
      <c r="V108">
        <f>30</f>
        <v>30</v>
      </c>
      <c r="W108">
        <f t="shared" ca="1" si="27"/>
        <v>11.378262411044515</v>
      </c>
      <c r="X108">
        <f t="shared" ca="1" si="37"/>
        <v>11.176874195228258</v>
      </c>
      <c r="Y108">
        <f t="shared" ca="1" si="36"/>
        <v>0.17145248612831132</v>
      </c>
      <c r="Z108">
        <f t="shared" ca="1" si="38"/>
        <v>0.25576987496206305</v>
      </c>
      <c r="AA108">
        <f t="shared" ca="1" si="39"/>
        <v>-8.4317388833751727E-2</v>
      </c>
      <c r="AB108">
        <f t="shared" ca="1" si="40"/>
        <v>10.283999999999997</v>
      </c>
    </row>
    <row r="109" spans="1:28" x14ac:dyDescent="0.25">
      <c r="A109" s="20">
        <f t="shared" ca="1" si="20"/>
        <v>45859</v>
      </c>
      <c r="B109" vm="302">
        <f ca="1"/>
        <v>45860</v>
      </c>
      <c r="C109" vm="303">
        <f ca="1"/>
        <v>11.19</v>
      </c>
      <c r="D109" vm="304">
        <f ca="1"/>
        <v>79403755</v>
      </c>
      <c r="E109">
        <f t="shared" ca="1" si="21"/>
        <v>888528018.44999993</v>
      </c>
      <c r="F109">
        <f ca="1">SUM($E$2:E109)/SUM($D$2:D109)</f>
        <v>10.104759327634163</v>
      </c>
      <c r="G109">
        <f ca="1">_xlfn.STDEV.P($C$2:C109)</f>
        <v>0.70602231935831794</v>
      </c>
      <c r="H109">
        <f t="shared" ca="1" si="22"/>
        <v>10.810781646992481</v>
      </c>
      <c r="I109">
        <f t="shared" ca="1" si="23"/>
        <v>9.3987370082758446</v>
      </c>
      <c r="J109">
        <f t="shared" ca="1" si="32"/>
        <v>11.3355</v>
      </c>
      <c r="K109">
        <f t="shared" ca="1" si="33"/>
        <v>0.45515150745311389</v>
      </c>
      <c r="L109">
        <f t="shared" ca="1" si="34"/>
        <v>12.245803014906228</v>
      </c>
      <c r="M109">
        <f t="shared" ca="1" si="35"/>
        <v>10.425196985093772</v>
      </c>
      <c r="N109">
        <f t="shared" ca="1" si="24"/>
        <v>-0.12000000000000099</v>
      </c>
      <c r="O109">
        <f t="shared" ca="1" si="25"/>
        <v>0</v>
      </c>
      <c r="P109">
        <f t="shared" ca="1" si="26"/>
        <v>0.12000000000000099</v>
      </c>
      <c r="Q109">
        <f t="shared" ca="1" si="30"/>
        <v>7.8680457631327042E-2</v>
      </c>
      <c r="R109">
        <f t="shared" ca="1" si="31"/>
        <v>7.6630642592617468E-2</v>
      </c>
      <c r="S109">
        <f t="shared" ca="1" si="28"/>
        <v>1.0267492868304233</v>
      </c>
      <c r="T109">
        <f t="shared" ca="1" si="29"/>
        <v>50.659906161167463</v>
      </c>
      <c r="U109">
        <f>70</f>
        <v>70</v>
      </c>
      <c r="V109">
        <f>30</f>
        <v>30</v>
      </c>
      <c r="W109">
        <f t="shared" ca="1" si="27"/>
        <v>11.349298963191513</v>
      </c>
      <c r="X109">
        <f t="shared" ca="1" si="37"/>
        <v>11.177846477063202</v>
      </c>
      <c r="Y109">
        <f t="shared" ca="1" si="36"/>
        <v>0.16120138752803292</v>
      </c>
      <c r="Z109">
        <f t="shared" ca="1" si="38"/>
        <v>0.23685617747525706</v>
      </c>
      <c r="AA109">
        <f t="shared" ca="1" si="39"/>
        <v>-7.5654789947224133E-2</v>
      </c>
      <c r="AB109">
        <f t="shared" ca="1" si="40"/>
        <v>10.301199999999996</v>
      </c>
    </row>
    <row r="110" spans="1:28" x14ac:dyDescent="0.25">
      <c r="A110" s="20">
        <f t="shared" ca="1" si="20"/>
        <v>45859</v>
      </c>
      <c r="B110" vm="305">
        <f ca="1"/>
        <v>45861</v>
      </c>
      <c r="C110" vm="306">
        <f ca="1"/>
        <v>11.38</v>
      </c>
      <c r="D110" vm="307">
        <f ca="1"/>
        <v>76163207</v>
      </c>
      <c r="E110">
        <f t="shared" ca="1" si="21"/>
        <v>866737295.66000009</v>
      </c>
      <c r="F110">
        <f ca="1">SUM($E$2:E110)/SUM($D$2:D110)</f>
        <v>10.112742935226498</v>
      </c>
      <c r="G110">
        <f ca="1">_xlfn.STDEV.P($C$2:C110)</f>
        <v>0.71125741745116677</v>
      </c>
      <c r="H110">
        <f t="shared" ca="1" si="22"/>
        <v>10.824000352677665</v>
      </c>
      <c r="I110">
        <f t="shared" ca="1" si="23"/>
        <v>9.4014855177753311</v>
      </c>
      <c r="J110">
        <f t="shared" ca="1" si="32"/>
        <v>11.367999999999999</v>
      </c>
      <c r="K110">
        <f t="shared" ca="1" si="33"/>
        <v>0.43227184429294135</v>
      </c>
      <c r="L110">
        <f t="shared" ca="1" si="34"/>
        <v>12.232543688585881</v>
      </c>
      <c r="M110">
        <f t="shared" ca="1" si="35"/>
        <v>10.503456311414116</v>
      </c>
      <c r="N110">
        <f t="shared" ca="1" si="24"/>
        <v>0.19000000000000128</v>
      </c>
      <c r="O110">
        <f t="shared" ca="1" si="25"/>
        <v>0.19000000000000128</v>
      </c>
      <c r="P110">
        <f t="shared" ca="1" si="26"/>
        <v>0</v>
      </c>
      <c r="Q110">
        <f t="shared" ca="1" si="30"/>
        <v>8.6631853514803764E-2</v>
      </c>
      <c r="R110">
        <f t="shared" ca="1" si="31"/>
        <v>7.1157025264573362E-2</v>
      </c>
      <c r="S110">
        <f t="shared" ca="1" si="28"/>
        <v>1.2174743560834995</v>
      </c>
      <c r="T110">
        <f t="shared" ca="1" si="29"/>
        <v>54.903649854774478</v>
      </c>
      <c r="U110">
        <f>70</f>
        <v>70</v>
      </c>
      <c r="V110">
        <f>30</f>
        <v>30</v>
      </c>
      <c r="W110">
        <f t="shared" ca="1" si="27"/>
        <v>11.354022199623589</v>
      </c>
      <c r="X110">
        <f t="shared" ca="1" si="37"/>
        <v>11.192820812095556</v>
      </c>
      <c r="Y110">
        <f t="shared" ca="1" si="36"/>
        <v>0.1417601975987175</v>
      </c>
      <c r="Z110">
        <f t="shared" ca="1" si="38"/>
        <v>0.21783698149994915</v>
      </c>
      <c r="AA110">
        <f t="shared" ca="1" si="39"/>
        <v>-7.6076783901231654E-2</v>
      </c>
      <c r="AB110">
        <f t="shared" ca="1" si="40"/>
        <v>10.322099999999999</v>
      </c>
    </row>
    <row r="111" spans="1:28" x14ac:dyDescent="0.25">
      <c r="A111" s="20">
        <f t="shared" ca="1" si="20"/>
        <v>45859</v>
      </c>
      <c r="B111" vm="308">
        <f ca="1"/>
        <v>45862</v>
      </c>
      <c r="C111" vm="309">
        <f ca="1"/>
        <v>11.26</v>
      </c>
      <c r="D111" vm="310">
        <f ca="1"/>
        <v>63557796</v>
      </c>
      <c r="E111">
        <f t="shared" ca="1" si="21"/>
        <v>715660782.96000004</v>
      </c>
      <c r="F111">
        <f ca="1">SUM($E$2:E111)/SUM($D$2:D111)</f>
        <v>10.118705435090092</v>
      </c>
      <c r="G111">
        <f ca="1">_xlfn.STDEV.P($C$2:C111)</f>
        <v>0.71458027326686602</v>
      </c>
      <c r="H111">
        <f t="shared" ca="1" si="22"/>
        <v>10.833285708356959</v>
      </c>
      <c r="I111">
        <f t="shared" ca="1" si="23"/>
        <v>9.4041251618232256</v>
      </c>
      <c r="J111">
        <f t="shared" ca="1" si="32"/>
        <v>11.407</v>
      </c>
      <c r="K111">
        <f t="shared" ca="1" si="33"/>
        <v>0.3799598316719946</v>
      </c>
      <c r="L111">
        <f t="shared" ca="1" si="34"/>
        <v>12.16691966334399</v>
      </c>
      <c r="M111">
        <f t="shared" ca="1" si="35"/>
        <v>10.647080336656011</v>
      </c>
      <c r="N111">
        <f t="shared" ca="1" si="24"/>
        <v>-0.12000000000000099</v>
      </c>
      <c r="O111">
        <f t="shared" ca="1" si="25"/>
        <v>0</v>
      </c>
      <c r="P111">
        <f t="shared" ca="1" si="26"/>
        <v>0.12000000000000099</v>
      </c>
      <c r="Q111">
        <f t="shared" ca="1" si="30"/>
        <v>8.0443863978032062E-2</v>
      </c>
      <c r="R111">
        <f t="shared" ca="1" si="31"/>
        <v>7.4645809174246763E-2</v>
      </c>
      <c r="S111">
        <f t="shared" ca="1" si="28"/>
        <v>1.077674217319432</v>
      </c>
      <c r="T111">
        <f t="shared" ca="1" si="29"/>
        <v>51.869258824890395</v>
      </c>
      <c r="U111">
        <f>70</f>
        <v>70</v>
      </c>
      <c r="V111">
        <f>30</f>
        <v>30</v>
      </c>
      <c r="W111">
        <f t="shared" ca="1" si="27"/>
        <v>11.339557245835344</v>
      </c>
      <c r="X111">
        <f t="shared" ca="1" si="37"/>
        <v>11.197797048236627</v>
      </c>
      <c r="Y111">
        <f t="shared" ca="1" si="36"/>
        <v>0.14166513201194597</v>
      </c>
      <c r="Z111">
        <f t="shared" ca="1" si="38"/>
        <v>0.20260261160234852</v>
      </c>
      <c r="AA111">
        <f t="shared" ca="1" si="39"/>
        <v>-6.0937479590402549E-2</v>
      </c>
      <c r="AB111">
        <f t="shared" ca="1" si="40"/>
        <v>10.339199999999998</v>
      </c>
    </row>
    <row r="112" spans="1:28" x14ac:dyDescent="0.25">
      <c r="A112" s="20">
        <f t="shared" ca="1" si="20"/>
        <v>45859</v>
      </c>
      <c r="B112" vm="311">
        <f ca="1"/>
        <v>45863</v>
      </c>
      <c r="C112" vm="312">
        <f ca="1"/>
        <v>11.47</v>
      </c>
      <c r="D112" vm="313">
        <f ca="1"/>
        <v>52312257</v>
      </c>
      <c r="E112">
        <f t="shared" ca="1" si="21"/>
        <v>600021587.79000008</v>
      </c>
      <c r="F112">
        <f ca="1">SUM($E$2:E112)/SUM($D$2:D112)</f>
        <v>10.124461139942673</v>
      </c>
      <c r="G112">
        <f ca="1">_xlfn.STDEV.P($C$2:C112)</f>
        <v>0.72061585948872675</v>
      </c>
      <c r="H112">
        <f t="shared" ca="1" si="22"/>
        <v>10.845076999431399</v>
      </c>
      <c r="I112">
        <f t="shared" ca="1" si="23"/>
        <v>9.4038452804539467</v>
      </c>
      <c r="J112">
        <f t="shared" ca="1" si="32"/>
        <v>11.449</v>
      </c>
      <c r="K112">
        <f t="shared" ca="1" si="33"/>
        <v>0.33308604862628766</v>
      </c>
      <c r="L112">
        <f t="shared" ca="1" si="34"/>
        <v>12.115172097252575</v>
      </c>
      <c r="M112">
        <f t="shared" ca="1" si="35"/>
        <v>10.782827902747425</v>
      </c>
      <c r="N112">
        <f t="shared" ca="1" si="24"/>
        <v>0.21000000000000085</v>
      </c>
      <c r="O112">
        <f t="shared" ca="1" si="25"/>
        <v>0.21000000000000085</v>
      </c>
      <c r="P112">
        <f t="shared" ca="1" si="26"/>
        <v>0</v>
      </c>
      <c r="Q112">
        <f t="shared" ca="1" si="30"/>
        <v>8.9697873693886973E-2</v>
      </c>
      <c r="R112">
        <f t="shared" ca="1" si="31"/>
        <v>6.9313965661800564E-2</v>
      </c>
      <c r="S112">
        <f t="shared" ca="1" si="28"/>
        <v>1.294080822493181</v>
      </c>
      <c r="T112">
        <f t="shared" ca="1" si="29"/>
        <v>56.409556708067015</v>
      </c>
      <c r="U112">
        <f>70</f>
        <v>70</v>
      </c>
      <c r="V112">
        <f>30</f>
        <v>30</v>
      </c>
      <c r="W112">
        <f t="shared" ca="1" si="27"/>
        <v>11.359625361860676</v>
      </c>
      <c r="X112">
        <f t="shared" ca="1" si="37"/>
        <v>11.21796022984873</v>
      </c>
      <c r="Y112">
        <f t="shared" ca="1" si="36"/>
        <v>0.12481953781135147</v>
      </c>
      <c r="Z112">
        <f t="shared" ca="1" si="38"/>
        <v>0.18704599684414913</v>
      </c>
      <c r="AA112">
        <f t="shared" ca="1" si="39"/>
        <v>-6.2226459032797665E-2</v>
      </c>
      <c r="AB112">
        <f t="shared" ca="1" si="40"/>
        <v>10.359999999999998</v>
      </c>
    </row>
    <row r="113" spans="1:28" x14ac:dyDescent="0.25">
      <c r="A113" s="20">
        <f t="shared" ca="1" si="20"/>
        <v>45866</v>
      </c>
      <c r="B113" vm="314">
        <f ca="1"/>
        <v>45866</v>
      </c>
      <c r="C113" vm="315">
        <f ca="1"/>
        <v>11.28</v>
      </c>
      <c r="D113" vm="316">
        <f ca="1"/>
        <v>54173647</v>
      </c>
      <c r="E113">
        <f t="shared" ca="1" si="21"/>
        <v>611078738.15999997</v>
      </c>
      <c r="F113">
        <f ca="1">SUM($E$2:E113)/SUM($D$2:D113)</f>
        <v>10.129535791334716</v>
      </c>
      <c r="G113">
        <f ca="1">_xlfn.STDEV.P($C$2:C113)</f>
        <v>0.72375277571636487</v>
      </c>
      <c r="H113">
        <f t="shared" ca="1" si="22"/>
        <v>10.853288567051081</v>
      </c>
      <c r="I113">
        <f t="shared" ca="1" si="23"/>
        <v>9.4057830156183506</v>
      </c>
      <c r="J113">
        <f t="shared" ca="1" si="32"/>
        <v>11.473000000000001</v>
      </c>
      <c r="K113">
        <f t="shared" ca="1" si="33"/>
        <v>0.29945740405290588</v>
      </c>
      <c r="L113">
        <f t="shared" ca="1" si="34"/>
        <v>12.071914808105813</v>
      </c>
      <c r="M113">
        <f t="shared" ca="1" si="35"/>
        <v>10.874085191894189</v>
      </c>
      <c r="N113">
        <f t="shared" ca="1" si="24"/>
        <v>-0.19000000000000128</v>
      </c>
      <c r="O113">
        <f t="shared" ca="1" si="25"/>
        <v>0</v>
      </c>
      <c r="P113">
        <f t="shared" ca="1" si="26"/>
        <v>0.19000000000000128</v>
      </c>
      <c r="Q113">
        <f t="shared" ca="1" si="30"/>
        <v>8.3290882715752176E-2</v>
      </c>
      <c r="R113">
        <f t="shared" ca="1" si="31"/>
        <v>7.7934396685957766E-2</v>
      </c>
      <c r="S113">
        <f t="shared" ca="1" si="28"/>
        <v>1.0687307050233386</v>
      </c>
      <c r="T113">
        <f t="shared" ca="1" si="29"/>
        <v>51.661180569719519</v>
      </c>
      <c r="U113">
        <f>70</f>
        <v>70</v>
      </c>
      <c r="V113">
        <f>30</f>
        <v>30</v>
      </c>
      <c r="W113">
        <f t="shared" ca="1" si="27"/>
        <v>11.347375306189804</v>
      </c>
      <c r="X113">
        <f t="shared" ca="1" si="37"/>
        <v>11.222555768378452</v>
      </c>
      <c r="Y113">
        <f t="shared" ca="1" si="36"/>
        <v>9.4244561867164123E-2</v>
      </c>
      <c r="Z113">
        <f t="shared" ca="1" si="38"/>
        <v>0.16848570984875214</v>
      </c>
      <c r="AA113">
        <f t="shared" ca="1" si="39"/>
        <v>-7.4241147981588013E-2</v>
      </c>
      <c r="AB113">
        <f t="shared" ca="1" si="40"/>
        <v>10.381599999999997</v>
      </c>
    </row>
    <row r="114" spans="1:28" x14ac:dyDescent="0.25">
      <c r="A114" s="20">
        <f t="shared" ca="1" si="20"/>
        <v>45866</v>
      </c>
      <c r="B114" vm="317">
        <f ca="1"/>
        <v>45867</v>
      </c>
      <c r="C114" vm="318">
        <f ca="1"/>
        <v>11.08</v>
      </c>
      <c r="D114" vm="319">
        <f ca="1"/>
        <v>58371483</v>
      </c>
      <c r="E114">
        <f t="shared" ca="1" si="21"/>
        <v>646756031.63999999</v>
      </c>
      <c r="F114">
        <f ca="1">SUM($E$2:E114)/SUM($D$2:D114)</f>
        <v>10.134012098641602</v>
      </c>
      <c r="G114">
        <f ca="1">_xlfn.STDEV.P($C$2:C114)</f>
        <v>0.72451334459659977</v>
      </c>
      <c r="H114">
        <f t="shared" ca="1" si="22"/>
        <v>10.858525443238202</v>
      </c>
      <c r="I114">
        <f t="shared" ca="1" si="23"/>
        <v>9.4094987540450017</v>
      </c>
      <c r="J114">
        <f t="shared" ca="1" si="32"/>
        <v>11.484500000000001</v>
      </c>
      <c r="K114">
        <f t="shared" ca="1" si="33"/>
        <v>0.27791469724965684</v>
      </c>
      <c r="L114">
        <f t="shared" ca="1" si="34"/>
        <v>12.040329394499315</v>
      </c>
      <c r="M114">
        <f t="shared" ca="1" si="35"/>
        <v>10.928670605500686</v>
      </c>
      <c r="N114">
        <f t="shared" ca="1" si="24"/>
        <v>-0.19999999999999929</v>
      </c>
      <c r="O114">
        <f t="shared" ca="1" si="25"/>
        <v>0</v>
      </c>
      <c r="P114">
        <f t="shared" ca="1" si="26"/>
        <v>0.19999999999999929</v>
      </c>
      <c r="Q114">
        <f t="shared" ca="1" si="30"/>
        <v>7.7341533950341296E-2</v>
      </c>
      <c r="R114">
        <f t="shared" ca="1" si="31"/>
        <v>8.6653368351246457E-2</v>
      </c>
      <c r="S114">
        <f t="shared" ca="1" si="28"/>
        <v>0.8925392679121259</v>
      </c>
      <c r="T114">
        <f t="shared" ca="1" si="29"/>
        <v>47.160937849220268</v>
      </c>
      <c r="U114">
        <f>70</f>
        <v>70</v>
      </c>
      <c r="V114">
        <f>30</f>
        <v>30</v>
      </c>
      <c r="W114">
        <f t="shared" ca="1" si="27"/>
        <v>11.306240643699065</v>
      </c>
      <c r="X114">
        <f t="shared" ca="1" si="37"/>
        <v>11.2119960818319</v>
      </c>
      <c r="Y114">
        <f t="shared" ca="1" si="36"/>
        <v>5.246365978135259E-2</v>
      </c>
      <c r="Z114">
        <f t="shared" ca="1" si="38"/>
        <v>0.14528129983527222</v>
      </c>
      <c r="AA114">
        <f t="shared" ca="1" si="39"/>
        <v>-9.2817640053919626E-2</v>
      </c>
      <c r="AB114">
        <f t="shared" ca="1" si="40"/>
        <v>10.395899999999997</v>
      </c>
    </row>
    <row r="115" spans="1:28" x14ac:dyDescent="0.25">
      <c r="A115" s="20">
        <f t="shared" ca="1" si="20"/>
        <v>45866</v>
      </c>
      <c r="B115" vm="320">
        <f ca="1"/>
        <v>45868</v>
      </c>
      <c r="C115" vm="321">
        <f ca="1"/>
        <v>10.87</v>
      </c>
      <c r="D115" vm="322">
        <f ca="1"/>
        <v>79866858</v>
      </c>
      <c r="E115">
        <f t="shared" ca="1" si="21"/>
        <v>868152746.45999992</v>
      </c>
      <c r="F115">
        <f ca="1">SUM($E$2:E115)/SUM($D$2:D115)</f>
        <v>10.138724378709655</v>
      </c>
      <c r="G115">
        <f ca="1">_xlfn.STDEV.P($C$2:C115)</f>
        <v>0.72343494378031359</v>
      </c>
      <c r="H115">
        <f t="shared" ca="1" si="22"/>
        <v>10.862159322489969</v>
      </c>
      <c r="I115">
        <f t="shared" ca="1" si="23"/>
        <v>9.4152894349293419</v>
      </c>
      <c r="J115">
        <f t="shared" ca="1" si="32"/>
        <v>11.4605</v>
      </c>
      <c r="K115">
        <f t="shared" ca="1" si="33"/>
        <v>0.30911546131025652</v>
      </c>
      <c r="L115">
        <f t="shared" ca="1" si="34"/>
        <v>12.078730922620514</v>
      </c>
      <c r="M115">
        <f t="shared" ca="1" si="35"/>
        <v>10.842269077379486</v>
      </c>
      <c r="N115">
        <f t="shared" ca="1" si="24"/>
        <v>-0.21000000000000085</v>
      </c>
      <c r="O115">
        <f t="shared" ca="1" si="25"/>
        <v>0</v>
      </c>
      <c r="P115">
        <f t="shared" ca="1" si="26"/>
        <v>0.21000000000000085</v>
      </c>
      <c r="Q115">
        <f t="shared" ca="1" si="30"/>
        <v>7.181713866817406E-2</v>
      </c>
      <c r="R115">
        <f t="shared" ca="1" si="31"/>
        <v>9.5463842040443198E-2</v>
      </c>
      <c r="S115">
        <f t="shared" ca="1" si="28"/>
        <v>0.75229675585179967</v>
      </c>
      <c r="T115">
        <f t="shared" ca="1" si="29"/>
        <v>42.932040668311615</v>
      </c>
      <c r="U115">
        <f>70</f>
        <v>70</v>
      </c>
      <c r="V115">
        <f>30</f>
        <v>30</v>
      </c>
      <c r="W115">
        <f t="shared" ca="1" si="27"/>
        <v>11.239126698514593</v>
      </c>
      <c r="X115">
        <f t="shared" ca="1" si="37"/>
        <v>11.18666303873324</v>
      </c>
      <c r="Y115">
        <f t="shared" ca="1" si="36"/>
        <v>3.5085874275017304E-2</v>
      </c>
      <c r="Z115">
        <f t="shared" ca="1" si="38"/>
        <v>0.12324221472322124</v>
      </c>
      <c r="AA115">
        <f t="shared" ca="1" si="39"/>
        <v>-8.8156340448203932E-2</v>
      </c>
      <c r="AB115">
        <f t="shared" ca="1" si="40"/>
        <v>10.408499999999997</v>
      </c>
    </row>
    <row r="116" spans="1:28" x14ac:dyDescent="0.25">
      <c r="A116" s="20">
        <f t="shared" ca="1" si="20"/>
        <v>45866</v>
      </c>
      <c r="B116" vm="323">
        <f ca="1"/>
        <v>45869</v>
      </c>
      <c r="C116" vm="324">
        <f ca="1"/>
        <v>11.07</v>
      </c>
      <c r="D116" vm="325">
        <f ca="1"/>
        <v>101090884</v>
      </c>
      <c r="E116">
        <f t="shared" ca="1" si="21"/>
        <v>1119076085.8800001</v>
      </c>
      <c r="F116">
        <f ca="1">SUM($E$2:E116)/SUM($D$2:D116)</f>
        <v>10.146210875779397</v>
      </c>
      <c r="G116">
        <f ca="1">_xlfn.STDEV.P($C$2:C116)</f>
        <v>0.7239738060411085</v>
      </c>
      <c r="H116">
        <f t="shared" ca="1" si="22"/>
        <v>10.870184681820506</v>
      </c>
      <c r="I116">
        <f t="shared" ca="1" si="23"/>
        <v>9.4222370697382889</v>
      </c>
      <c r="J116">
        <f t="shared" ca="1" si="32"/>
        <v>11.425499999999998</v>
      </c>
      <c r="K116">
        <f t="shared" ca="1" si="33"/>
        <v>0.31184468131292215</v>
      </c>
      <c r="L116">
        <f t="shared" ca="1" si="34"/>
        <v>12.049189362625842</v>
      </c>
      <c r="M116">
        <f t="shared" ca="1" si="35"/>
        <v>10.801810637374153</v>
      </c>
      <c r="N116">
        <f t="shared" ca="1" si="24"/>
        <v>0.20000000000000107</v>
      </c>
      <c r="O116">
        <f t="shared" ca="1" si="25"/>
        <v>0.20000000000000107</v>
      </c>
      <c r="P116">
        <f t="shared" ca="1" si="26"/>
        <v>0</v>
      </c>
      <c r="Q116">
        <f t="shared" ca="1" si="30"/>
        <v>8.0973057334733131E-2</v>
      </c>
      <c r="R116">
        <f t="shared" ca="1" si="31"/>
        <v>8.8644996180411537E-2</v>
      </c>
      <c r="S116">
        <f t="shared" ca="1" si="28"/>
        <v>0.91345322154378161</v>
      </c>
      <c r="T116">
        <f t="shared" ca="1" si="29"/>
        <v>47.738466311018776</v>
      </c>
      <c r="U116">
        <f>70</f>
        <v>70</v>
      </c>
      <c r="V116">
        <f>30</f>
        <v>30</v>
      </c>
      <c r="W116">
        <f t="shared" ca="1" si="27"/>
        <v>11.213107206435424</v>
      </c>
      <c r="X116">
        <f t="shared" ca="1" si="37"/>
        <v>11.178021332160407</v>
      </c>
      <c r="Y116">
        <f t="shared" ca="1" si="36"/>
        <v>1.1279411942695106E-3</v>
      </c>
      <c r="Z116">
        <f t="shared" ca="1" si="38"/>
        <v>9.8819360017430899E-2</v>
      </c>
      <c r="AA116">
        <f t="shared" ca="1" si="39"/>
        <v>-9.7691418823161388E-2</v>
      </c>
      <c r="AB116">
        <f t="shared" ca="1" si="40"/>
        <v>10.420199999999998</v>
      </c>
    </row>
    <row r="117" spans="1:28" x14ac:dyDescent="0.25">
      <c r="A117" s="20">
        <f t="shared" ca="1" si="20"/>
        <v>45866</v>
      </c>
      <c r="B117" vm="326">
        <f ca="1"/>
        <v>45870</v>
      </c>
      <c r="C117" vm="327">
        <f ca="1"/>
        <v>10.82</v>
      </c>
      <c r="D117" vm="328">
        <f ca="1"/>
        <v>73541489</v>
      </c>
      <c r="E117">
        <f t="shared" ca="1" si="21"/>
        <v>795718910.98000002</v>
      </c>
      <c r="F117">
        <f ca="1">SUM($E$2:E117)/SUM($D$2:D117)</f>
        <v>10.150128406499373</v>
      </c>
      <c r="G117">
        <f ca="1">_xlfn.STDEV.P($C$2:C117)</f>
        <v>0.72250700986934702</v>
      </c>
      <c r="H117">
        <f t="shared" ca="1" si="22"/>
        <v>10.87263541636872</v>
      </c>
      <c r="I117">
        <f t="shared" ca="1" si="23"/>
        <v>9.4276213966300269</v>
      </c>
      <c r="J117">
        <f t="shared" ca="1" si="32"/>
        <v>11.376000000000001</v>
      </c>
      <c r="K117">
        <f t="shared" ca="1" si="33"/>
        <v>0.32585757302038704</v>
      </c>
      <c r="L117">
        <f t="shared" ca="1" si="34"/>
        <v>12.027715146040775</v>
      </c>
      <c r="M117">
        <f t="shared" ca="1" si="35"/>
        <v>10.724284853959228</v>
      </c>
      <c r="N117">
        <f t="shared" ca="1" si="24"/>
        <v>-0.25</v>
      </c>
      <c r="O117">
        <f t="shared" ca="1" si="25"/>
        <v>0</v>
      </c>
      <c r="P117">
        <f t="shared" ca="1" si="26"/>
        <v>0.25</v>
      </c>
      <c r="Q117">
        <f t="shared" ca="1" si="30"/>
        <v>7.5189267525109335E-2</v>
      </c>
      <c r="R117">
        <f t="shared" ca="1" si="31"/>
        <v>0.10017035359609643</v>
      </c>
      <c r="S117">
        <f t="shared" ca="1" si="28"/>
        <v>0.75061397734787882</v>
      </c>
      <c r="T117">
        <f t="shared" ca="1" si="29"/>
        <v>42.877184065731825</v>
      </c>
      <c r="U117">
        <f>70</f>
        <v>70</v>
      </c>
      <c r="V117">
        <f>30</f>
        <v>30</v>
      </c>
      <c r="W117">
        <f t="shared" ca="1" si="27"/>
        <v>11.152629174676127</v>
      </c>
      <c r="X117">
        <f t="shared" ca="1" si="37"/>
        <v>11.151501233481858</v>
      </c>
      <c r="Y117">
        <f t="shared" ca="1" si="36"/>
        <v>-1.5119760691721496E-2</v>
      </c>
      <c r="Z117">
        <f t="shared" ca="1" si="38"/>
        <v>7.6031535875600423E-2</v>
      </c>
      <c r="AA117">
        <f t="shared" ca="1" si="39"/>
        <v>-9.1151296567321918E-2</v>
      </c>
      <c r="AB117">
        <f t="shared" ca="1" si="40"/>
        <v>10.428799999999999</v>
      </c>
    </row>
    <row r="118" spans="1:28" x14ac:dyDescent="0.25">
      <c r="A118" s="20">
        <f t="shared" ca="1" si="20"/>
        <v>45873</v>
      </c>
      <c r="B118" vm="329">
        <f ca="1"/>
        <v>45873</v>
      </c>
      <c r="C118" vm="330">
        <f ca="1"/>
        <v>10.95</v>
      </c>
      <c r="D118" vm="331">
        <f ca="1"/>
        <v>56696828</v>
      </c>
      <c r="E118">
        <f t="shared" ca="1" si="21"/>
        <v>620830266.5999999</v>
      </c>
      <c r="F118">
        <f ca="1">SUM($E$2:E118)/SUM($D$2:D118)</f>
        <v>10.153697785636842</v>
      </c>
      <c r="G118">
        <f ca="1">_xlfn.STDEV.P($C$2:C118)</f>
        <v>0.72193506656690298</v>
      </c>
      <c r="H118">
        <f t="shared" ca="1" si="22"/>
        <v>10.875632852203745</v>
      </c>
      <c r="I118">
        <f t="shared" ca="1" si="23"/>
        <v>9.4317627190699387</v>
      </c>
      <c r="J118">
        <f t="shared" ca="1" si="32"/>
        <v>11.343999999999999</v>
      </c>
      <c r="K118">
        <f t="shared" ca="1" si="33"/>
        <v>0.3350318131005976</v>
      </c>
      <c r="L118">
        <f t="shared" ca="1" si="34"/>
        <v>12.014063626201194</v>
      </c>
      <c r="M118">
        <f t="shared" ca="1" si="35"/>
        <v>10.673936373798805</v>
      </c>
      <c r="N118">
        <f t="shared" ca="1" si="24"/>
        <v>0.12999999999999901</v>
      </c>
      <c r="O118">
        <f t="shared" ca="1" si="25"/>
        <v>0.12999999999999901</v>
      </c>
      <c r="P118">
        <f t="shared" ca="1" si="26"/>
        <v>0</v>
      </c>
      <c r="Q118">
        <f t="shared" ca="1" si="30"/>
        <v>7.9104319844744309E-2</v>
      </c>
      <c r="R118">
        <f t="shared" ca="1" si="31"/>
        <v>9.30153283392324E-2</v>
      </c>
      <c r="S118">
        <f t="shared" ca="1" si="28"/>
        <v>0.85044391346172732</v>
      </c>
      <c r="T118">
        <f t="shared" ca="1" si="29"/>
        <v>45.958913278855078</v>
      </c>
      <c r="U118">
        <f>70</f>
        <v>70</v>
      </c>
      <c r="V118">
        <f>30</f>
        <v>30</v>
      </c>
      <c r="W118">
        <f t="shared" ca="1" si="27"/>
        <v>11.121455455495184</v>
      </c>
      <c r="X118">
        <f t="shared" ca="1" si="37"/>
        <v>11.136575216186905</v>
      </c>
      <c r="Y118">
        <f t="shared" ca="1" si="36"/>
        <v>-1.8902207916452696E-2</v>
      </c>
      <c r="Z118">
        <f t="shared" ca="1" si="38"/>
        <v>5.7044787117189806E-2</v>
      </c>
      <c r="AA118">
        <f t="shared" ca="1" si="39"/>
        <v>-7.5946995033642495E-2</v>
      </c>
      <c r="AB118">
        <f t="shared" ca="1" si="40"/>
        <v>10.441399999999998</v>
      </c>
    </row>
    <row r="119" spans="1:28" x14ac:dyDescent="0.25">
      <c r="A119" s="20">
        <f t="shared" ca="1" si="20"/>
        <v>45873</v>
      </c>
      <c r="B119" vm="332">
        <f ca="1"/>
        <v>45874</v>
      </c>
      <c r="C119" vm="333">
        <f ca="1"/>
        <v>11.06</v>
      </c>
      <c r="D119" vm="334">
        <f ca="1"/>
        <v>58864252</v>
      </c>
      <c r="E119">
        <f t="shared" ca="1" si="21"/>
        <v>651038627.12</v>
      </c>
      <c r="F119">
        <f ca="1">SUM($E$2:E119)/SUM($D$2:D119)</f>
        <v>10.157877348508114</v>
      </c>
      <c r="G119">
        <f ca="1">_xlfn.STDEV.P($C$2:C119)</f>
        <v>0.72223207374252663</v>
      </c>
      <c r="H119">
        <f t="shared" ca="1" si="22"/>
        <v>10.880109422250641</v>
      </c>
      <c r="I119">
        <f t="shared" ca="1" si="23"/>
        <v>9.4356452747655872</v>
      </c>
      <c r="J119">
        <f t="shared" ca="1" si="32"/>
        <v>11.312999999999999</v>
      </c>
      <c r="K119">
        <f t="shared" ca="1" si="33"/>
        <v>0.33096509594947038</v>
      </c>
      <c r="L119">
        <f t="shared" ca="1" si="34"/>
        <v>11.97493019189894</v>
      </c>
      <c r="M119">
        <f t="shared" ca="1" si="35"/>
        <v>10.651069808101058</v>
      </c>
      <c r="N119">
        <f t="shared" ca="1" si="24"/>
        <v>0.11000000000000121</v>
      </c>
      <c r="O119">
        <f t="shared" ca="1" si="25"/>
        <v>0.11000000000000121</v>
      </c>
      <c r="P119">
        <f t="shared" ca="1" si="26"/>
        <v>0</v>
      </c>
      <c r="Q119">
        <f t="shared" ca="1" si="30"/>
        <v>8.1311154141548367E-2</v>
      </c>
      <c r="R119">
        <f t="shared" ca="1" si="31"/>
        <v>8.6371376315001511E-2</v>
      </c>
      <c r="S119">
        <f t="shared" ca="1" si="28"/>
        <v>0.94141320435837195</v>
      </c>
      <c r="T119">
        <f t="shared" ca="1" si="29"/>
        <v>48.491130185214978</v>
      </c>
      <c r="U119">
        <f>70</f>
        <v>70</v>
      </c>
      <c r="V119">
        <f>30</f>
        <v>30</v>
      </c>
      <c r="W119">
        <f t="shared" ca="1" si="27"/>
        <v>11.112000770034387</v>
      </c>
      <c r="X119">
        <f t="shared" ca="1" si="37"/>
        <v>11.130902977950839</v>
      </c>
      <c r="Y119">
        <f t="shared" ca="1" si="36"/>
        <v>-9.6844419766668466E-3</v>
      </c>
      <c r="Z119">
        <f t="shared" ca="1" si="38"/>
        <v>4.3698941298418482E-2</v>
      </c>
      <c r="AA119">
        <f t="shared" ca="1" si="39"/>
        <v>-5.3383383275085329E-2</v>
      </c>
      <c r="AB119">
        <f t="shared" ca="1" si="40"/>
        <v>10.456099999999999</v>
      </c>
    </row>
    <row r="120" spans="1:28" x14ac:dyDescent="0.25">
      <c r="A120" s="20">
        <f t="shared" ca="1" si="20"/>
        <v>45873</v>
      </c>
      <c r="B120" vm="335">
        <f ca="1"/>
        <v>45875</v>
      </c>
      <c r="C120" vm="336">
        <f ca="1"/>
        <v>11.21</v>
      </c>
      <c r="D120" vm="337">
        <f ca="1"/>
        <v>59519843</v>
      </c>
      <c r="E120">
        <f t="shared" ca="1" si="21"/>
        <v>667217440.03000009</v>
      </c>
      <c r="F120">
        <f ca="1">SUM($E$2:E120)/SUM($D$2:D120)</f>
        <v>10.162760654285853</v>
      </c>
      <c r="G120">
        <f ca="1">_xlfn.STDEV.P($C$2:C120)</f>
        <v>0.72389909450035295</v>
      </c>
      <c r="H120">
        <f t="shared" ca="1" si="22"/>
        <v>10.886659748786206</v>
      </c>
      <c r="I120">
        <f t="shared" ca="1" si="23"/>
        <v>9.438861559785499</v>
      </c>
      <c r="J120">
        <f t="shared" ca="1" si="32"/>
        <v>11.282</v>
      </c>
      <c r="K120">
        <f t="shared" ca="1" si="33"/>
        <v>0.30824802044013716</v>
      </c>
      <c r="L120">
        <f t="shared" ca="1" si="34"/>
        <v>11.898496040880275</v>
      </c>
      <c r="M120">
        <f t="shared" ca="1" si="35"/>
        <v>10.665503959119725</v>
      </c>
      <c r="N120">
        <f t="shared" ca="1" si="24"/>
        <v>0.15000000000000036</v>
      </c>
      <c r="O120">
        <f t="shared" ca="1" si="25"/>
        <v>0.15000000000000036</v>
      </c>
      <c r="P120">
        <f t="shared" ca="1" si="26"/>
        <v>0</v>
      </c>
      <c r="Q120">
        <f t="shared" ca="1" si="30"/>
        <v>8.6217500274294936E-2</v>
      </c>
      <c r="R120">
        <f t="shared" ca="1" si="31"/>
        <v>8.0201992292501398E-2</v>
      </c>
      <c r="S120">
        <f t="shared" ca="1" si="28"/>
        <v>1.075004470710087</v>
      </c>
      <c r="T120">
        <f t="shared" ca="1" si="29"/>
        <v>51.807332749611369</v>
      </c>
      <c r="U120">
        <f>70</f>
        <v>70</v>
      </c>
      <c r="V120">
        <f>30</f>
        <v>30</v>
      </c>
      <c r="W120">
        <f t="shared" ca="1" si="27"/>
        <v>11.127077574644481</v>
      </c>
      <c r="X120">
        <f t="shared" ca="1" si="37"/>
        <v>11.136762016621148</v>
      </c>
      <c r="Y120">
        <f t="shared" ca="1" si="36"/>
        <v>3.2318640100790219E-3</v>
      </c>
      <c r="Z120">
        <f t="shared" ca="1" si="38"/>
        <v>3.5605525840750593E-2</v>
      </c>
      <c r="AA120">
        <f t="shared" ca="1" si="39"/>
        <v>-3.2373661830671571E-2</v>
      </c>
      <c r="AB120">
        <f t="shared" ca="1" si="40"/>
        <v>10.472899999999999</v>
      </c>
    </row>
    <row r="121" spans="1:28" x14ac:dyDescent="0.25">
      <c r="A121" s="20">
        <f t="shared" ca="1" si="20"/>
        <v>45873</v>
      </c>
      <c r="B121" vm="338">
        <f ca="1"/>
        <v>45876</v>
      </c>
      <c r="C121" vm="315">
        <f ca="1"/>
        <v>11.28</v>
      </c>
      <c r="D121" vm="339">
        <f ca="1"/>
        <v>71774972</v>
      </c>
      <c r="E121">
        <f t="shared" ca="1" si="21"/>
        <v>809621684.15999997</v>
      </c>
      <c r="F121">
        <f ca="1">SUM($E$2:E121)/SUM($D$2:D121)</f>
        <v>10.168979088391556</v>
      </c>
      <c r="G121">
        <f ca="1">_xlfn.STDEV.P($C$2:C121)</f>
        <v>0.72619870252951835</v>
      </c>
      <c r="H121">
        <f t="shared" ca="1" si="22"/>
        <v>10.895177790921075</v>
      </c>
      <c r="I121">
        <f t="shared" ca="1" si="23"/>
        <v>9.4427803858620365</v>
      </c>
      <c r="J121">
        <f t="shared" ca="1" si="32"/>
        <v>11.250499999999999</v>
      </c>
      <c r="K121">
        <f t="shared" ca="1" si="33"/>
        <v>0.27058367710523401</v>
      </c>
      <c r="L121">
        <f t="shared" ca="1" si="34"/>
        <v>11.791667354210468</v>
      </c>
      <c r="M121">
        <f t="shared" ca="1" si="35"/>
        <v>10.70933264578953</v>
      </c>
      <c r="N121">
        <f t="shared" ca="1" si="24"/>
        <v>6.9999999999998508E-2</v>
      </c>
      <c r="O121">
        <f t="shared" ca="1" si="25"/>
        <v>6.9999999999998508E-2</v>
      </c>
      <c r="P121">
        <f t="shared" ca="1" si="26"/>
        <v>0</v>
      </c>
      <c r="Q121">
        <f t="shared" ca="1" si="30"/>
        <v>8.505910739755948E-2</v>
      </c>
      <c r="R121">
        <f t="shared" ca="1" si="31"/>
        <v>7.4473278557322733E-2</v>
      </c>
      <c r="S121">
        <f t="shared" ca="1" si="28"/>
        <v>1.1421426455945369</v>
      </c>
      <c r="T121">
        <f t="shared" ca="1" si="29"/>
        <v>53.317767980737948</v>
      </c>
      <c r="U121">
        <f>70</f>
        <v>70</v>
      </c>
      <c r="V121">
        <f>30</f>
        <v>30</v>
      </c>
      <c r="W121">
        <f t="shared" ca="1" si="27"/>
        <v>11.150604101622253</v>
      </c>
      <c r="X121">
        <f t="shared" ca="1" si="37"/>
        <v>11.147372237612174</v>
      </c>
      <c r="Y121">
        <f t="shared" ca="1" si="36"/>
        <v>1.6505529794450524E-2</v>
      </c>
      <c r="Z121">
        <f t="shared" ca="1" si="38"/>
        <v>3.1785526631490577E-2</v>
      </c>
      <c r="AA121">
        <f t="shared" ca="1" si="39"/>
        <v>-1.5279996837040052E-2</v>
      </c>
      <c r="AB121">
        <f t="shared" ca="1" si="40"/>
        <v>10.488400000000002</v>
      </c>
    </row>
    <row r="122" spans="1:28" x14ac:dyDescent="0.25">
      <c r="A122" s="20">
        <f t="shared" ca="1" si="20"/>
        <v>45873</v>
      </c>
      <c r="B122" vm="340">
        <f ca="1"/>
        <v>45877</v>
      </c>
      <c r="C122" vm="341">
        <f ca="1"/>
        <v>11.32</v>
      </c>
      <c r="D122" vm="342">
        <f ca="1"/>
        <v>48465317</v>
      </c>
      <c r="E122">
        <f t="shared" ca="1" si="21"/>
        <v>548627388.44000006</v>
      </c>
      <c r="F122">
        <f ca="1">SUM($E$2:E122)/SUM($D$2:D122)</f>
        <v>10.173288787004493</v>
      </c>
      <c r="G122">
        <f ca="1">_xlfn.STDEV.P($C$2:C122)</f>
        <v>0.72880633757257507</v>
      </c>
      <c r="H122">
        <f t="shared" ca="1" si="22"/>
        <v>10.902095124577068</v>
      </c>
      <c r="I122">
        <f t="shared" ca="1" si="23"/>
        <v>9.4444824494319182</v>
      </c>
      <c r="J122">
        <f t="shared" ca="1" si="32"/>
        <v>11.227499999999999</v>
      </c>
      <c r="K122">
        <f t="shared" ca="1" si="33"/>
        <v>0.24115675181791726</v>
      </c>
      <c r="L122">
        <f t="shared" ca="1" si="34"/>
        <v>11.709813503635834</v>
      </c>
      <c r="M122">
        <f t="shared" ca="1" si="35"/>
        <v>10.745186496364164</v>
      </c>
      <c r="N122">
        <f t="shared" ca="1" si="24"/>
        <v>4.0000000000000924E-2</v>
      </c>
      <c r="O122">
        <f t="shared" ca="1" si="25"/>
        <v>4.0000000000000924E-2</v>
      </c>
      <c r="P122">
        <f t="shared" ca="1" si="26"/>
        <v>0</v>
      </c>
      <c r="Q122">
        <f t="shared" ca="1" si="30"/>
        <v>8.1840599726305294E-2</v>
      </c>
      <c r="R122">
        <f t="shared" ca="1" si="31"/>
        <v>6.9153758660371115E-2</v>
      </c>
      <c r="S122">
        <f t="shared" ca="1" si="28"/>
        <v>1.1834584455234309</v>
      </c>
      <c r="T122">
        <f t="shared" ca="1" si="29"/>
        <v>54.201097710367719</v>
      </c>
      <c r="U122">
        <f>70</f>
        <v>70</v>
      </c>
      <c r="V122">
        <f>30</f>
        <v>30</v>
      </c>
      <c r="W122">
        <f t="shared" ca="1" si="27"/>
        <v>11.176665009064983</v>
      </c>
      <c r="X122">
        <f t="shared" ca="1" si="37"/>
        <v>11.160159479270533</v>
      </c>
      <c r="Y122">
        <f t="shared" ca="1" si="36"/>
        <v>1.2358053929848012E-2</v>
      </c>
      <c r="Z122">
        <f t="shared" ca="1" si="38"/>
        <v>2.7900032091162062E-2</v>
      </c>
      <c r="AA122">
        <f t="shared" ca="1" si="39"/>
        <v>-1.554197816131405E-2</v>
      </c>
      <c r="AB122">
        <f t="shared" ca="1" si="40"/>
        <v>10.5024</v>
      </c>
    </row>
    <row r="123" spans="1:28" x14ac:dyDescent="0.25">
      <c r="A123" s="20">
        <f t="shared" ca="1" si="20"/>
        <v>45880</v>
      </c>
      <c r="B123" vm="343">
        <f ca="1"/>
        <v>45880</v>
      </c>
      <c r="C123" vm="344">
        <f ca="1"/>
        <v>11.14</v>
      </c>
      <c r="D123" vm="345">
        <f ca="1"/>
        <v>84332966</v>
      </c>
      <c r="E123">
        <f t="shared" ca="1" si="21"/>
        <v>939469241.24000001</v>
      </c>
      <c r="F123">
        <f ca="1">SUM($E$2:E123)/SUM($D$2:D123)</f>
        <v>10.179546366951197</v>
      </c>
      <c r="G123">
        <f ca="1">_xlfn.STDEV.P($C$2:C123)</f>
        <v>0.72947017767940503</v>
      </c>
      <c r="H123">
        <f t="shared" ca="1" si="22"/>
        <v>10.909016544630601</v>
      </c>
      <c r="I123">
        <f t="shared" ca="1" si="23"/>
        <v>9.4500761892717922</v>
      </c>
      <c r="J123">
        <f t="shared" ca="1" si="32"/>
        <v>11.1905</v>
      </c>
      <c r="K123">
        <f t="shared" ca="1" si="33"/>
        <v>0.18630690582448844</v>
      </c>
      <c r="L123">
        <f t="shared" ca="1" si="34"/>
        <v>11.563113811648977</v>
      </c>
      <c r="M123">
        <f t="shared" ca="1" si="35"/>
        <v>10.817886188351023</v>
      </c>
      <c r="N123">
        <f t="shared" ca="1" si="24"/>
        <v>-0.17999999999999972</v>
      </c>
      <c r="O123">
        <f t="shared" ca="1" si="25"/>
        <v>0</v>
      </c>
      <c r="P123">
        <f t="shared" ca="1" si="26"/>
        <v>0.17999999999999972</v>
      </c>
      <c r="Q123">
        <f t="shared" ca="1" si="30"/>
        <v>7.5994842602997784E-2</v>
      </c>
      <c r="R123">
        <f t="shared" ca="1" si="31"/>
        <v>7.7071347327487452E-2</v>
      </c>
      <c r="S123">
        <f t="shared" ca="1" si="28"/>
        <v>0.9860323614181099</v>
      </c>
      <c r="T123">
        <f t="shared" ca="1" si="29"/>
        <v>49.648353197731467</v>
      </c>
      <c r="U123">
        <f>70</f>
        <v>70</v>
      </c>
      <c r="V123">
        <f>30</f>
        <v>30</v>
      </c>
      <c r="W123">
        <f t="shared" ca="1" si="27"/>
        <v>11.171024238439601</v>
      </c>
      <c r="X123">
        <f t="shared" ca="1" si="37"/>
        <v>11.158666184509753</v>
      </c>
      <c r="Y123">
        <f t="shared" ca="1" si="36"/>
        <v>1.7742703278894822E-2</v>
      </c>
      <c r="Z123">
        <f t="shared" ca="1" si="38"/>
        <v>2.5868566328708615E-2</v>
      </c>
      <c r="AA123">
        <f t="shared" ca="1" si="39"/>
        <v>-8.1258630498137925E-3</v>
      </c>
      <c r="AB123">
        <f t="shared" ca="1" si="40"/>
        <v>10.514300000000002</v>
      </c>
    </row>
    <row r="124" spans="1:28" x14ac:dyDescent="0.25">
      <c r="A124" s="20">
        <f t="shared" ca="1" si="20"/>
        <v>45880</v>
      </c>
      <c r="B124" vm="346">
        <f ca="1"/>
        <v>45881</v>
      </c>
      <c r="C124" vm="347">
        <f ca="1"/>
        <v>11.25</v>
      </c>
      <c r="D124" vm="348">
        <f ca="1"/>
        <v>64021039</v>
      </c>
      <c r="E124">
        <f t="shared" ca="1" si="21"/>
        <v>720236688.75</v>
      </c>
      <c r="F124">
        <f ca="1">SUM($E$2:E124)/SUM($D$2:D124)</f>
        <v>10.18478085193945</v>
      </c>
      <c r="G124">
        <f ca="1">_xlfn.STDEV.P($C$2:C124)</f>
        <v>0.73110493722984349</v>
      </c>
      <c r="H124">
        <f t="shared" ca="1" si="22"/>
        <v>10.915885789169295</v>
      </c>
      <c r="I124">
        <f t="shared" ca="1" si="23"/>
        <v>9.4536759147096063</v>
      </c>
      <c r="J124">
        <f t="shared" ca="1" si="32"/>
        <v>11.1745</v>
      </c>
      <c r="K124">
        <f t="shared" ca="1" si="33"/>
        <v>0.16446004153945099</v>
      </c>
      <c r="L124">
        <f t="shared" ca="1" si="34"/>
        <v>11.503420083078902</v>
      </c>
      <c r="M124">
        <f t="shared" ca="1" si="35"/>
        <v>10.845579916921098</v>
      </c>
      <c r="N124">
        <f t="shared" ca="1" si="24"/>
        <v>0.10999999999999943</v>
      </c>
      <c r="O124">
        <f t="shared" ca="1" si="25"/>
        <v>0.10999999999999943</v>
      </c>
      <c r="P124">
        <f t="shared" ca="1" si="26"/>
        <v>0</v>
      </c>
      <c r="Q124">
        <f t="shared" ca="1" si="30"/>
        <v>7.8423782417069335E-2</v>
      </c>
      <c r="R124">
        <f t="shared" ca="1" si="31"/>
        <v>7.1566251089809768E-2</v>
      </c>
      <c r="S124">
        <f t="shared" ca="1" si="28"/>
        <v>1.0958207426382294</v>
      </c>
      <c r="T124">
        <f t="shared" ca="1" si="29"/>
        <v>52.285995664820305</v>
      </c>
      <c r="U124">
        <f>70</f>
        <v>70</v>
      </c>
      <c r="V124">
        <f>30</f>
        <v>30</v>
      </c>
      <c r="W124">
        <f t="shared" ca="1" si="27"/>
        <v>11.183174355602741</v>
      </c>
      <c r="X124">
        <f t="shared" ca="1" si="37"/>
        <v>11.165431652323846</v>
      </c>
      <c r="Y124">
        <f t="shared" ca="1" si="36"/>
        <v>3.6915944754312591E-2</v>
      </c>
      <c r="Z124">
        <f t="shared" ca="1" si="38"/>
        <v>2.8078042013829414E-2</v>
      </c>
      <c r="AA124">
        <f t="shared" ca="1" si="39"/>
        <v>8.8379027404831764E-3</v>
      </c>
      <c r="AB124">
        <f t="shared" ca="1" si="40"/>
        <v>10.525100000000002</v>
      </c>
    </row>
    <row r="125" spans="1:28" x14ac:dyDescent="0.25">
      <c r="A125" s="20">
        <f t="shared" ca="1" si="20"/>
        <v>45880</v>
      </c>
      <c r="B125" vm="349">
        <f ca="1"/>
        <v>45882</v>
      </c>
      <c r="C125" vm="350">
        <f ca="1"/>
        <v>11.44</v>
      </c>
      <c r="D125" vm="351">
        <f ca="1"/>
        <v>63823345</v>
      </c>
      <c r="E125">
        <f t="shared" ca="1" si="21"/>
        <v>730139066.79999995</v>
      </c>
      <c r="F125">
        <f ca="1">SUM($E$2:E125)/SUM($D$2:D125)</f>
        <v>10.190870195992527</v>
      </c>
      <c r="G125">
        <f ca="1">_xlfn.STDEV.P($C$2:C125)</f>
        <v>0.73470818514952085</v>
      </c>
      <c r="H125">
        <f t="shared" ca="1" si="22"/>
        <v>10.925578381142047</v>
      </c>
      <c r="I125">
        <f t="shared" ca="1" si="23"/>
        <v>9.4561620108430073</v>
      </c>
      <c r="J125">
        <f t="shared" ca="1" si="32"/>
        <v>11.1845</v>
      </c>
      <c r="K125">
        <f t="shared" ca="1" si="33"/>
        <v>0.17443065278665612</v>
      </c>
      <c r="L125">
        <f t="shared" ca="1" si="34"/>
        <v>11.533361305573312</v>
      </c>
      <c r="M125">
        <f t="shared" ca="1" si="35"/>
        <v>10.835638694426688</v>
      </c>
      <c r="N125">
        <f t="shared" ca="1" si="24"/>
        <v>0.1899999999999995</v>
      </c>
      <c r="O125">
        <f t="shared" ca="1" si="25"/>
        <v>0.1899999999999995</v>
      </c>
      <c r="P125">
        <f t="shared" ca="1" si="26"/>
        <v>0</v>
      </c>
      <c r="Q125">
        <f t="shared" ca="1" si="30"/>
        <v>8.6393512244421489E-2</v>
      </c>
      <c r="R125">
        <f t="shared" ca="1" si="31"/>
        <v>6.6454376011966215E-2</v>
      </c>
      <c r="S125">
        <f t="shared" ca="1" si="28"/>
        <v>1.3000424867260043</v>
      </c>
      <c r="T125">
        <f t="shared" ca="1" si="29"/>
        <v>56.522542267319153</v>
      </c>
      <c r="U125">
        <f>70</f>
        <v>70</v>
      </c>
      <c r="V125">
        <f>30</f>
        <v>30</v>
      </c>
      <c r="W125">
        <f t="shared" ca="1" si="27"/>
        <v>11.222685993202319</v>
      </c>
      <c r="X125">
        <f t="shared" ca="1" si="37"/>
        <v>11.185770048448006</v>
      </c>
      <c r="Y125">
        <f t="shared" ca="1" si="36"/>
        <v>5.1517020613919939E-2</v>
      </c>
      <c r="Z125">
        <f t="shared" ca="1" si="38"/>
        <v>3.2765837733847523E-2</v>
      </c>
      <c r="AA125">
        <f t="shared" ca="1" si="39"/>
        <v>1.8751182880072416E-2</v>
      </c>
      <c r="AB125">
        <f t="shared" ca="1" si="40"/>
        <v>10.539400000000002</v>
      </c>
    </row>
    <row r="126" spans="1:28" x14ac:dyDescent="0.25">
      <c r="A126" s="20">
        <f t="shared" ca="1" si="20"/>
        <v>45880</v>
      </c>
      <c r="B126" vm="352">
        <f ca="1"/>
        <v>45883</v>
      </c>
      <c r="C126" vm="350">
        <f ca="1"/>
        <v>11.44</v>
      </c>
      <c r="D126" vm="353">
        <f ca="1"/>
        <v>52469244</v>
      </c>
      <c r="E126">
        <f t="shared" ca="1" si="21"/>
        <v>600248151.36000001</v>
      </c>
      <c r="F126">
        <f ca="1">SUM($E$2:E126)/SUM($D$2:D126)</f>
        <v>10.195832177791287</v>
      </c>
      <c r="G126">
        <f ca="1">_xlfn.STDEV.P($C$2:C126)</f>
        <v>0.73813349036607212</v>
      </c>
      <c r="H126">
        <f t="shared" ca="1" si="22"/>
        <v>10.933965668157359</v>
      </c>
      <c r="I126">
        <f t="shared" ca="1" si="23"/>
        <v>9.4576986874252142</v>
      </c>
      <c r="J126">
        <f t="shared" ca="1" si="32"/>
        <v>11.198999999999998</v>
      </c>
      <c r="K126">
        <f t="shared" ca="1" si="33"/>
        <v>0.1832427208290745</v>
      </c>
      <c r="L126">
        <f t="shared" ca="1" si="34"/>
        <v>11.565485441658147</v>
      </c>
      <c r="M126">
        <f t="shared" ca="1" si="35"/>
        <v>10.832514558341849</v>
      </c>
      <c r="N126">
        <f t="shared" ca="1" si="24"/>
        <v>0</v>
      </c>
      <c r="O126">
        <f t="shared" ca="1" si="25"/>
        <v>0</v>
      </c>
      <c r="P126">
        <f t="shared" ca="1" si="26"/>
        <v>0</v>
      </c>
      <c r="Q126">
        <f t="shared" ca="1" si="30"/>
        <v>8.0222547084105672E-2</v>
      </c>
      <c r="R126">
        <f t="shared" ca="1" si="31"/>
        <v>6.1707634868254348E-2</v>
      </c>
      <c r="S126">
        <f t="shared" ca="1" si="28"/>
        <v>1.3000424867260043</v>
      </c>
      <c r="T126">
        <f t="shared" ca="1" si="29"/>
        <v>56.522542267319153</v>
      </c>
      <c r="U126">
        <f>70</f>
        <v>70</v>
      </c>
      <c r="V126">
        <f>30</f>
        <v>30</v>
      </c>
      <c r="W126">
        <f t="shared" ca="1" si="27"/>
        <v>11.256118917325038</v>
      </c>
      <c r="X126">
        <f t="shared" ca="1" si="37"/>
        <v>11.204601896711118</v>
      </c>
      <c r="Y126">
        <f t="shared" ca="1" si="36"/>
        <v>6.2369521408610851E-2</v>
      </c>
      <c r="Z126">
        <f t="shared" ca="1" si="38"/>
        <v>3.8686574468800194E-2</v>
      </c>
      <c r="AA126">
        <f t="shared" ca="1" si="39"/>
        <v>2.3682946939810656E-2</v>
      </c>
      <c r="AB126">
        <f t="shared" ca="1" si="40"/>
        <v>10.553800000000001</v>
      </c>
    </row>
    <row r="127" spans="1:28" x14ac:dyDescent="0.25">
      <c r="A127" s="20">
        <f t="shared" ca="1" si="20"/>
        <v>45880</v>
      </c>
      <c r="B127" vm="354">
        <f ca="1"/>
        <v>45884</v>
      </c>
      <c r="C127" vm="350">
        <f ca="1"/>
        <v>11.44</v>
      </c>
      <c r="D127" vm="355">
        <f ca="1"/>
        <v>46141355</v>
      </c>
      <c r="E127">
        <f t="shared" ca="1" si="21"/>
        <v>527857101.19999999</v>
      </c>
      <c r="F127">
        <f ca="1">SUM($E$2:E127)/SUM($D$2:D127)</f>
        <v>10.200163272004065</v>
      </c>
      <c r="G127">
        <f ca="1">_xlfn.STDEV.P($C$2:C127)</f>
        <v>0.74138954626407427</v>
      </c>
      <c r="H127">
        <f t="shared" ca="1" si="22"/>
        <v>10.941552818268139</v>
      </c>
      <c r="I127">
        <f t="shared" ca="1" si="23"/>
        <v>9.4587737257399915</v>
      </c>
      <c r="J127">
        <f t="shared" ca="1" si="32"/>
        <v>11.212999999999999</v>
      </c>
      <c r="K127">
        <f t="shared" ca="1" si="33"/>
        <v>0.19065261879300688</v>
      </c>
      <c r="L127">
        <f t="shared" ca="1" si="34"/>
        <v>11.594305237586013</v>
      </c>
      <c r="M127">
        <f t="shared" ca="1" si="35"/>
        <v>10.831694762413985</v>
      </c>
      <c r="N127">
        <f t="shared" ca="1" si="24"/>
        <v>0</v>
      </c>
      <c r="O127">
        <f t="shared" ca="1" si="25"/>
        <v>0</v>
      </c>
      <c r="P127">
        <f t="shared" ca="1" si="26"/>
        <v>0</v>
      </c>
      <c r="Q127">
        <f t="shared" ca="1" si="30"/>
        <v>7.4492365149526701E-2</v>
      </c>
      <c r="R127">
        <f t="shared" ca="1" si="31"/>
        <v>5.7299946663379044E-2</v>
      </c>
      <c r="S127">
        <f t="shared" ca="1" si="28"/>
        <v>1.3000424867260043</v>
      </c>
      <c r="T127">
        <f t="shared" ca="1" si="29"/>
        <v>56.522542267319153</v>
      </c>
      <c r="U127">
        <f>70</f>
        <v>70</v>
      </c>
      <c r="V127">
        <f>30</f>
        <v>30</v>
      </c>
      <c r="W127">
        <f t="shared" ca="1" si="27"/>
        <v>11.284408314659647</v>
      </c>
      <c r="X127">
        <f t="shared" ca="1" si="37"/>
        <v>11.222038793251036</v>
      </c>
      <c r="Y127">
        <f t="shared" ca="1" si="36"/>
        <v>7.1756870790110838E-2</v>
      </c>
      <c r="Z127">
        <f t="shared" ca="1" si="38"/>
        <v>4.5300633733062326E-2</v>
      </c>
      <c r="AA127">
        <f t="shared" ca="1" si="39"/>
        <v>2.6456237057048512E-2</v>
      </c>
      <c r="AB127">
        <f t="shared" ca="1" si="40"/>
        <v>10.565700000000001</v>
      </c>
    </row>
    <row r="128" spans="1:28" x14ac:dyDescent="0.25">
      <c r="A128" s="20">
        <f t="shared" ca="1" si="20"/>
        <v>45887</v>
      </c>
      <c r="B128" vm="356">
        <f ca="1"/>
        <v>45887</v>
      </c>
      <c r="C128" vm="357">
        <f ca="1"/>
        <v>11.46</v>
      </c>
      <c r="D128" vm="358">
        <f ca="1"/>
        <v>37113805</v>
      </c>
      <c r="E128">
        <f t="shared" ca="1" si="21"/>
        <v>425324205.30000001</v>
      </c>
      <c r="F128">
        <f ca="1">SUM($E$2:E128)/SUM($D$2:D128)</f>
        <v>10.203681011923862</v>
      </c>
      <c r="G128">
        <f ca="1">_xlfn.STDEV.P($C$2:C128)</f>
        <v>0.74471090578067034</v>
      </c>
      <c r="H128">
        <f t="shared" ca="1" si="22"/>
        <v>10.948391917704532</v>
      </c>
      <c r="I128">
        <f t="shared" ca="1" si="23"/>
        <v>9.4589701061431928</v>
      </c>
      <c r="J128">
        <f t="shared" ca="1" si="32"/>
        <v>11.220499999999999</v>
      </c>
      <c r="K128">
        <f t="shared" ca="1" si="33"/>
        <v>0.1974968354176847</v>
      </c>
      <c r="L128">
        <f t="shared" ca="1" si="34"/>
        <v>11.615493670835368</v>
      </c>
      <c r="M128">
        <f t="shared" ca="1" si="35"/>
        <v>10.825506329164631</v>
      </c>
      <c r="N128">
        <f t="shared" ca="1" si="24"/>
        <v>2.000000000000135E-2</v>
      </c>
      <c r="O128">
        <f t="shared" ca="1" si="25"/>
        <v>2.000000000000135E-2</v>
      </c>
      <c r="P128">
        <f t="shared" ca="1" si="26"/>
        <v>0</v>
      </c>
      <c r="Q128">
        <f t="shared" ca="1" si="30"/>
        <v>7.0600053353132033E-2</v>
      </c>
      <c r="R128">
        <f t="shared" ca="1" si="31"/>
        <v>5.3207093330280543E-2</v>
      </c>
      <c r="S128">
        <f t="shared" ca="1" si="28"/>
        <v>1.3268917532270652</v>
      </c>
      <c r="T128">
        <f t="shared" ca="1" si="29"/>
        <v>57.024214873203995</v>
      </c>
      <c r="U128">
        <f>70</f>
        <v>70</v>
      </c>
      <c r="V128">
        <f>30</f>
        <v>30</v>
      </c>
      <c r="W128">
        <f t="shared" ca="1" si="27"/>
        <v>11.311422420096624</v>
      </c>
      <c r="X128">
        <f t="shared" ca="1" si="37"/>
        <v>11.239665549306514</v>
      </c>
      <c r="Y128">
        <f t="shared" ca="1" si="36"/>
        <v>8.7866539156925327E-2</v>
      </c>
      <c r="Z128">
        <f t="shared" ca="1" si="38"/>
        <v>5.3813814817834926E-2</v>
      </c>
      <c r="AA128">
        <f t="shared" ca="1" si="39"/>
        <v>3.4052724339090401E-2</v>
      </c>
      <c r="AB128">
        <f t="shared" ca="1" si="40"/>
        <v>10.577400000000003</v>
      </c>
    </row>
    <row r="129" spans="1:28" x14ac:dyDescent="0.25">
      <c r="A129" s="20">
        <f t="shared" ca="1" si="20"/>
        <v>45887</v>
      </c>
      <c r="B129" vm="359">
        <f ca="1"/>
        <v>45888</v>
      </c>
      <c r="C129" vm="360">
        <f ca="1"/>
        <v>11.58</v>
      </c>
      <c r="D129" vm="361">
        <f ca="1"/>
        <v>58020177</v>
      </c>
      <c r="E129">
        <f t="shared" ca="1" si="21"/>
        <v>671873649.65999997</v>
      </c>
      <c r="F129">
        <f ca="1">SUM($E$2:E129)/SUM($D$2:D129)</f>
        <v>10.209662655385426</v>
      </c>
      <c r="G129">
        <f ca="1">_xlfn.STDEV.P($C$2:C129)</f>
        <v>0.74928699425244261</v>
      </c>
      <c r="H129">
        <f t="shared" ca="1" si="22"/>
        <v>10.958949649637868</v>
      </c>
      <c r="I129">
        <f t="shared" ca="1" si="23"/>
        <v>9.4603756611329839</v>
      </c>
      <c r="J129">
        <f t="shared" ca="1" si="32"/>
        <v>11.24</v>
      </c>
      <c r="K129">
        <f t="shared" ca="1" si="33"/>
        <v>0.21297392971169529</v>
      </c>
      <c r="L129">
        <f t="shared" ca="1" si="34"/>
        <v>11.66594785942339</v>
      </c>
      <c r="M129">
        <f t="shared" ca="1" si="35"/>
        <v>10.81405214057661</v>
      </c>
      <c r="N129">
        <f t="shared" ca="1" si="24"/>
        <v>0.11999999999999922</v>
      </c>
      <c r="O129">
        <f t="shared" ca="1" si="25"/>
        <v>0.11999999999999922</v>
      </c>
      <c r="P129">
        <f t="shared" ca="1" si="26"/>
        <v>0</v>
      </c>
      <c r="Q129">
        <f t="shared" ca="1" si="30"/>
        <v>7.4128620970765419E-2</v>
      </c>
      <c r="R129">
        <f t="shared" ca="1" si="31"/>
        <v>4.9406586663831929E-2</v>
      </c>
      <c r="S129">
        <f t="shared" ca="1" si="28"/>
        <v>1.5003793213877543</v>
      </c>
      <c r="T129">
        <f t="shared" ca="1" si="29"/>
        <v>60.006068221481591</v>
      </c>
      <c r="U129">
        <f>70</f>
        <v>70</v>
      </c>
      <c r="V129">
        <f>30</f>
        <v>30</v>
      </c>
      <c r="W129">
        <f t="shared" ca="1" si="27"/>
        <v>11.352742047774067</v>
      </c>
      <c r="X129">
        <f t="shared" ca="1" si="37"/>
        <v>11.264875508617141</v>
      </c>
      <c r="Y129">
        <f t="shared" ca="1" si="36"/>
        <v>9.2307258941101367E-2</v>
      </c>
      <c r="Z129">
        <f t="shared" ca="1" si="38"/>
        <v>6.1512503642488212E-2</v>
      </c>
      <c r="AA129">
        <f t="shared" ca="1" si="39"/>
        <v>3.0794755298613155E-2</v>
      </c>
      <c r="AB129">
        <f t="shared" ca="1" si="40"/>
        <v>10.590200000000003</v>
      </c>
    </row>
    <row r="130" spans="1:28" x14ac:dyDescent="0.25">
      <c r="A130" s="20">
        <f t="shared" ca="1" si="20"/>
        <v>45887</v>
      </c>
      <c r="B130" vm="362">
        <f ca="1"/>
        <v>45889</v>
      </c>
      <c r="C130" vm="363">
        <f ca="1"/>
        <v>11.49</v>
      </c>
      <c r="D130" vm="364">
        <f ca="1"/>
        <v>46469853</v>
      </c>
      <c r="E130">
        <f t="shared" ca="1" si="21"/>
        <v>533938610.97000003</v>
      </c>
      <c r="F130">
        <f ca="1">SUM($E$2:E130)/SUM($D$2:D130)</f>
        <v>10.214103943688084</v>
      </c>
      <c r="G130">
        <f ca="1">_xlfn.STDEV.P($C$2:C130)</f>
        <v>0.75259760087926653</v>
      </c>
      <c r="H130">
        <f t="shared" ca="1" si="22"/>
        <v>10.96670154456735</v>
      </c>
      <c r="I130">
        <f t="shared" ca="1" si="23"/>
        <v>9.4615063428088177</v>
      </c>
      <c r="J130">
        <f t="shared" ca="1" si="32"/>
        <v>11.245500000000002</v>
      </c>
      <c r="K130">
        <f t="shared" ca="1" si="33"/>
        <v>0.218137450632442</v>
      </c>
      <c r="L130">
        <f t="shared" ca="1" si="34"/>
        <v>11.681774901264886</v>
      </c>
      <c r="M130">
        <f t="shared" ca="1" si="35"/>
        <v>10.809225098735117</v>
      </c>
      <c r="N130">
        <f t="shared" ca="1" si="24"/>
        <v>-8.9999999999999858E-2</v>
      </c>
      <c r="O130">
        <f t="shared" ca="1" si="25"/>
        <v>0</v>
      </c>
      <c r="P130">
        <f t="shared" ca="1" si="26"/>
        <v>8.9999999999999858E-2</v>
      </c>
      <c r="Q130">
        <f t="shared" ca="1" si="30"/>
        <v>6.8833719472853605E-2</v>
      </c>
      <c r="R130">
        <f t="shared" ca="1" si="31"/>
        <v>5.2306116187843921E-2</v>
      </c>
      <c r="S130">
        <f t="shared" ca="1" si="28"/>
        <v>1.3159784072985856</v>
      </c>
      <c r="T130">
        <f t="shared" ca="1" si="29"/>
        <v>56.821704518116611</v>
      </c>
      <c r="U130">
        <f>70</f>
        <v>70</v>
      </c>
      <c r="V130">
        <f>30</f>
        <v>30</v>
      </c>
      <c r="W130">
        <f t="shared" ca="1" si="27"/>
        <v>11.373858655808824</v>
      </c>
      <c r="X130">
        <f t="shared" ca="1" si="37"/>
        <v>11.281551396867723</v>
      </c>
      <c r="Y130">
        <f t="shared" ca="1" si="36"/>
        <v>8.1970988014846924E-2</v>
      </c>
      <c r="Z130">
        <f t="shared" ca="1" si="38"/>
        <v>6.5604200516959962E-2</v>
      </c>
      <c r="AA130">
        <f t="shared" ca="1" si="39"/>
        <v>1.6366787497886962E-2</v>
      </c>
      <c r="AB130">
        <f t="shared" ca="1" si="40"/>
        <v>10.606100000000001</v>
      </c>
    </row>
    <row r="131" spans="1:28" x14ac:dyDescent="0.25">
      <c r="A131" s="20">
        <f t="shared" ref="A131:A194" ca="1" si="41">B131 - WEEKDAY(B131, 2) + 1</f>
        <v>45887</v>
      </c>
      <c r="B131" vm="365">
        <f ca="1"/>
        <v>45890</v>
      </c>
      <c r="C131" vm="366">
        <f ca="1"/>
        <v>11.33</v>
      </c>
      <c r="D131" vm="367">
        <f ca="1"/>
        <v>51779301</v>
      </c>
      <c r="E131">
        <f t="shared" ref="E131:E194" ca="1" si="42">C131*D131</f>
        <v>586659480.33000004</v>
      </c>
      <c r="F131">
        <f ca="1">SUM($E$2:E131)/SUM($D$2:D131)</f>
        <v>10.218400473116942</v>
      </c>
      <c r="G131">
        <f ca="1">_xlfn.STDEV.P($C$2:C131)</f>
        <v>0.75411097781686309</v>
      </c>
      <c r="H131">
        <f t="shared" ref="H131:H194" ca="1" si="43">F131 + G131</f>
        <v>10.972511450933805</v>
      </c>
      <c r="I131">
        <f t="shared" ref="I131:I194" ca="1" si="44">F131 - G131</f>
        <v>9.4642894953000791</v>
      </c>
      <c r="J131">
        <f t="shared" ca="1" si="32"/>
        <v>11.249000000000002</v>
      </c>
      <c r="K131">
        <f t="shared" ca="1" si="33"/>
        <v>0.21894243415492626</v>
      </c>
      <c r="L131">
        <f t="shared" ca="1" si="34"/>
        <v>11.686884868309855</v>
      </c>
      <c r="M131">
        <f t="shared" ca="1" si="35"/>
        <v>10.811115131690149</v>
      </c>
      <c r="N131">
        <f t="shared" ca="1" si="24"/>
        <v>-0.16000000000000014</v>
      </c>
      <c r="O131">
        <f t="shared" ca="1" si="25"/>
        <v>0</v>
      </c>
      <c r="P131">
        <f t="shared" ca="1" si="26"/>
        <v>0.16000000000000014</v>
      </c>
      <c r="Q131">
        <f t="shared" ca="1" si="30"/>
        <v>6.3917025224792631E-2</v>
      </c>
      <c r="R131">
        <f t="shared" ca="1" si="31"/>
        <v>5.9998536460140799E-2</v>
      </c>
      <c r="S131">
        <f t="shared" ca="1" si="28"/>
        <v>1.0653097391343043</v>
      </c>
      <c r="T131">
        <f t="shared" ca="1" si="29"/>
        <v>51.581112457293678</v>
      </c>
      <c r="U131">
        <f>70</f>
        <v>70</v>
      </c>
      <c r="V131">
        <f>30</f>
        <v>30</v>
      </c>
      <c r="W131">
        <f t="shared" ca="1" si="27"/>
        <v>11.367111170299776</v>
      </c>
      <c r="X131">
        <f t="shared" ca="1" si="37"/>
        <v>11.285140182284929</v>
      </c>
      <c r="Y131">
        <f t="shared" ca="1" si="36"/>
        <v>0.1056451804456735</v>
      </c>
      <c r="Z131">
        <f t="shared" ca="1" si="38"/>
        <v>7.3612396502702682E-2</v>
      </c>
      <c r="AA131">
        <f t="shared" ca="1" si="39"/>
        <v>3.2032783942970822E-2</v>
      </c>
      <c r="AB131">
        <f t="shared" ca="1" si="40"/>
        <v>10.622199999999999</v>
      </c>
    </row>
    <row r="132" spans="1:28" x14ac:dyDescent="0.25">
      <c r="A132" s="20">
        <f t="shared" ca="1" si="41"/>
        <v>45887</v>
      </c>
      <c r="B132" vm="368">
        <f ca="1"/>
        <v>45891</v>
      </c>
      <c r="C132" vm="369">
        <f ca="1"/>
        <v>11.74</v>
      </c>
      <c r="D132" vm="370">
        <f ca="1"/>
        <v>58538704</v>
      </c>
      <c r="E132">
        <f t="shared" ca="1" si="42"/>
        <v>687244384.96000004</v>
      </c>
      <c r="F132">
        <f ca="1">SUM($E$2:E132)/SUM($D$2:D132)</f>
        <v>10.224995172220771</v>
      </c>
      <c r="G132">
        <f ca="1">_xlfn.STDEV.P($C$2:C132)</f>
        <v>0.7601640706911843</v>
      </c>
      <c r="H132">
        <f t="shared" ca="1" si="43"/>
        <v>10.985159242911955</v>
      </c>
      <c r="I132">
        <f t="shared" ca="1" si="44"/>
        <v>9.4648311015295867</v>
      </c>
      <c r="J132">
        <f t="shared" ca="1" si="32"/>
        <v>11.262500000000001</v>
      </c>
      <c r="K132">
        <f t="shared" ca="1" si="33"/>
        <v>0.24054488584308578</v>
      </c>
      <c r="L132">
        <f t="shared" ca="1" si="34"/>
        <v>11.743589771686173</v>
      </c>
      <c r="M132">
        <f t="shared" ca="1" si="35"/>
        <v>10.781410228313829</v>
      </c>
      <c r="N132">
        <f t="shared" ref="N132:N195" ca="1" si="45">C132-C131</f>
        <v>0.41000000000000014</v>
      </c>
      <c r="O132">
        <f t="shared" ref="O132:O195" ca="1" si="46">MAX(N132,0)</f>
        <v>0.41000000000000014</v>
      </c>
      <c r="P132">
        <f t="shared" ref="P132:P195" ca="1" si="47">MAX(-N132,0)</f>
        <v>0</v>
      </c>
      <c r="Q132">
        <f t="shared" ca="1" si="30"/>
        <v>8.8637237708736022E-2</v>
      </c>
      <c r="R132">
        <f t="shared" ca="1" si="31"/>
        <v>5.5712926712987887E-2</v>
      </c>
      <c r="S132">
        <f t="shared" ca="1" si="28"/>
        <v>1.5909635866979641</v>
      </c>
      <c r="T132">
        <f t="shared" ca="1" si="29"/>
        <v>61.40432057270079</v>
      </c>
      <c r="U132">
        <f>70</f>
        <v>70</v>
      </c>
      <c r="V132">
        <f>30</f>
        <v>30</v>
      </c>
      <c r="W132">
        <f t="shared" ca="1" si="27"/>
        <v>11.424478682561348</v>
      </c>
      <c r="X132">
        <f t="shared" ca="1" si="37"/>
        <v>11.318833502115675</v>
      </c>
      <c r="Y132">
        <f t="shared" ca="1" si="36"/>
        <v>0.12937116961004591</v>
      </c>
      <c r="Z132">
        <f t="shared" ca="1" si="38"/>
        <v>8.4764151124171336E-2</v>
      </c>
      <c r="AA132">
        <f t="shared" ca="1" si="39"/>
        <v>4.4607018485874575E-2</v>
      </c>
      <c r="AB132">
        <f t="shared" ca="1" si="40"/>
        <v>10.639300000000002</v>
      </c>
    </row>
    <row r="133" spans="1:28" x14ac:dyDescent="0.25">
      <c r="A133" s="20">
        <f t="shared" ca="1" si="41"/>
        <v>45894</v>
      </c>
      <c r="B133" vm="371">
        <f ca="1"/>
        <v>45894</v>
      </c>
      <c r="C133" vm="372">
        <f ca="1"/>
        <v>11.82</v>
      </c>
      <c r="D133" vm="373">
        <f ca="1"/>
        <v>45038754</v>
      </c>
      <c r="E133">
        <f t="shared" ca="1" si="42"/>
        <v>532358072.28000003</v>
      </c>
      <c r="F133">
        <f ca="1">SUM($E$2:E133)/SUM($D$2:D133)</f>
        <v>10.230296127207808</v>
      </c>
      <c r="G133">
        <f ca="1">_xlfn.STDEV.P($C$2:C133)</f>
        <v>0.76701735825834161</v>
      </c>
      <c r="H133">
        <f t="shared" ca="1" si="43"/>
        <v>10.997313485466149</v>
      </c>
      <c r="I133">
        <f t="shared" ca="1" si="44"/>
        <v>9.4632787689494666</v>
      </c>
      <c r="J133">
        <f t="shared" ca="1" si="32"/>
        <v>11.289500000000002</v>
      </c>
      <c r="K133">
        <f t="shared" ca="1" si="33"/>
        <v>0.27099184295356282</v>
      </c>
      <c r="L133">
        <f t="shared" ca="1" si="34"/>
        <v>11.831483685907127</v>
      </c>
      <c r="M133">
        <f t="shared" ca="1" si="35"/>
        <v>10.747516314092877</v>
      </c>
      <c r="N133">
        <f t="shared" ca="1" si="45"/>
        <v>8.0000000000000071E-2</v>
      </c>
      <c r="O133">
        <f t="shared" ca="1" si="46"/>
        <v>8.0000000000000071E-2</v>
      </c>
      <c r="P133">
        <f t="shared" ca="1" si="47"/>
        <v>0</v>
      </c>
      <c r="Q133">
        <f t="shared" ca="1" si="30"/>
        <v>8.8020292158112023E-2</v>
      </c>
      <c r="R133">
        <f t="shared" ca="1" si="31"/>
        <v>5.1733431947774466E-2</v>
      </c>
      <c r="S133">
        <f t="shared" ca="1" si="28"/>
        <v>1.7014199299008346</v>
      </c>
      <c r="T133">
        <f t="shared" ca="1" si="29"/>
        <v>62.982430501402696</v>
      </c>
      <c r="U133">
        <f>70</f>
        <v>70</v>
      </c>
      <c r="V133">
        <f>30</f>
        <v>30</v>
      </c>
      <c r="W133">
        <f t="shared" ca="1" si="27"/>
        <v>11.485328116013449</v>
      </c>
      <c r="X133">
        <f t="shared" ca="1" si="37"/>
        <v>11.355956946403403</v>
      </c>
      <c r="Y133">
        <f t="shared" ca="1" si="36"/>
        <v>0.14808103383159121</v>
      </c>
      <c r="Z133">
        <f t="shared" ca="1" si="38"/>
        <v>9.7427527665655322E-2</v>
      </c>
      <c r="AA133">
        <f t="shared" ca="1" si="39"/>
        <v>5.0653506165935891E-2</v>
      </c>
      <c r="AB133">
        <f t="shared" ca="1" si="40"/>
        <v>10.658100000000001</v>
      </c>
    </row>
    <row r="134" spans="1:28" x14ac:dyDescent="0.25">
      <c r="A134" s="20">
        <f t="shared" ca="1" si="41"/>
        <v>45894</v>
      </c>
      <c r="B134" vm="374">
        <f ca="1"/>
        <v>45895</v>
      </c>
      <c r="C134" vm="375">
        <f ca="1"/>
        <v>11.84</v>
      </c>
      <c r="D134" vm="376">
        <f ca="1"/>
        <v>48613273</v>
      </c>
      <c r="E134">
        <f t="shared" ca="1" si="42"/>
        <v>575581152.32000005</v>
      </c>
      <c r="F134">
        <f ca="1">SUM($E$2:E134)/SUM($D$2:D134)</f>
        <v>10.236049883550248</v>
      </c>
      <c r="G134">
        <f ca="1">_xlfn.STDEV.P($C$2:C134)</f>
        <v>0.77383598911648999</v>
      </c>
      <c r="H134">
        <f t="shared" ca="1" si="43"/>
        <v>11.009885872666738</v>
      </c>
      <c r="I134">
        <f t="shared" ca="1" si="44"/>
        <v>9.4622138944337575</v>
      </c>
      <c r="J134">
        <f t="shared" ca="1" si="32"/>
        <v>11.327500000000002</v>
      </c>
      <c r="K134">
        <f t="shared" ca="1" si="33"/>
        <v>0.29250056230265342</v>
      </c>
      <c r="L134">
        <f t="shared" ca="1" si="34"/>
        <v>11.91250112460531</v>
      </c>
      <c r="M134">
        <f t="shared" ca="1" si="35"/>
        <v>10.742498875394695</v>
      </c>
      <c r="N134">
        <f t="shared" ca="1" si="45"/>
        <v>1.9999999999999574E-2</v>
      </c>
      <c r="O134">
        <f t="shared" ca="1" si="46"/>
        <v>1.9999999999999574E-2</v>
      </c>
      <c r="P134">
        <f t="shared" ca="1" si="47"/>
        <v>0</v>
      </c>
      <c r="Q134">
        <f t="shared" ca="1" si="30"/>
        <v>8.3161699861103999E-2</v>
      </c>
      <c r="R134">
        <f t="shared" ca="1" si="31"/>
        <v>4.8038186808647722E-2</v>
      </c>
      <c r="S134">
        <f t="shared" ca="1" si="28"/>
        <v>1.7311581761477606</v>
      </c>
      <c r="T134">
        <f t="shared" ca="1" si="29"/>
        <v>63.385496719546346</v>
      </c>
      <c r="U134">
        <f>70</f>
        <v>70</v>
      </c>
      <c r="V134">
        <f>30</f>
        <v>30</v>
      </c>
      <c r="W134">
        <f t="shared" ca="1" si="27"/>
        <v>11.539893021242149</v>
      </c>
      <c r="X134">
        <f t="shared" ca="1" si="37"/>
        <v>11.391811987410557</v>
      </c>
      <c r="Y134">
        <f t="shared" ca="1" si="36"/>
        <v>0.16663627179626062</v>
      </c>
      <c r="Z134">
        <f t="shared" ca="1" si="38"/>
        <v>0.1112692764917764</v>
      </c>
      <c r="AA134">
        <f t="shared" ca="1" si="39"/>
        <v>5.5366995304484218E-2</v>
      </c>
      <c r="AB134">
        <f t="shared" ca="1" si="40"/>
        <v>10.675000000000002</v>
      </c>
    </row>
    <row r="135" spans="1:28" x14ac:dyDescent="0.25">
      <c r="A135" s="20">
        <f t="shared" ca="1" si="41"/>
        <v>45894</v>
      </c>
      <c r="B135" vm="377">
        <f ca="1"/>
        <v>45896</v>
      </c>
      <c r="C135" vm="279">
        <f ca="1"/>
        <v>11.91</v>
      </c>
      <c r="D135" vm="378">
        <f ca="1"/>
        <v>40381477</v>
      </c>
      <c r="E135">
        <f t="shared" ca="1" si="42"/>
        <v>480943391.06999999</v>
      </c>
      <c r="F135">
        <f ca="1">SUM($E$2:E135)/SUM($D$2:D135)</f>
        <v>10.241005386631526</v>
      </c>
      <c r="G135">
        <f ca="1">_xlfn.STDEV.P($C$2:C135)</f>
        <v>0.78130832863121691</v>
      </c>
      <c r="H135">
        <f t="shared" ca="1" si="43"/>
        <v>11.022313715262744</v>
      </c>
      <c r="I135">
        <f t="shared" ca="1" si="44"/>
        <v>9.4596970580003088</v>
      </c>
      <c r="J135">
        <f t="shared" ca="1" si="32"/>
        <v>11.379500000000004</v>
      </c>
      <c r="K135">
        <f t="shared" ca="1" si="33"/>
        <v>0.29925301739673837</v>
      </c>
      <c r="L135">
        <f t="shared" ca="1" si="34"/>
        <v>11.978006034793481</v>
      </c>
      <c r="M135">
        <f t="shared" ca="1" si="35"/>
        <v>10.780993965206527</v>
      </c>
      <c r="N135">
        <f t="shared" ca="1" si="45"/>
        <v>7.0000000000000284E-2</v>
      </c>
      <c r="O135">
        <f t="shared" ca="1" si="46"/>
        <v>7.0000000000000284E-2</v>
      </c>
      <c r="P135">
        <f t="shared" ca="1" si="47"/>
        <v>0</v>
      </c>
      <c r="Q135">
        <f t="shared" ca="1" si="30"/>
        <v>8.222157844245373E-2</v>
      </c>
      <c r="R135">
        <f t="shared" ca="1" si="31"/>
        <v>4.460688775088717E-2</v>
      </c>
      <c r="S135">
        <f t="shared" ca="1" si="28"/>
        <v>1.8432484889246383</v>
      </c>
      <c r="T135">
        <f t="shared" ca="1" si="29"/>
        <v>64.828962227701183</v>
      </c>
      <c r="U135">
        <f>70</f>
        <v>70</v>
      </c>
      <c r="V135">
        <f>30</f>
        <v>30</v>
      </c>
      <c r="W135">
        <f t="shared" ca="1" si="27"/>
        <v>11.596832556435665</v>
      </c>
      <c r="X135">
        <f t="shared" ca="1" si="37"/>
        <v>11.430196284639404</v>
      </c>
      <c r="Y135">
        <f t="shared" ca="1" si="36"/>
        <v>0.16332044659141332</v>
      </c>
      <c r="Z135">
        <f t="shared" ca="1" si="38"/>
        <v>0.12167951051170378</v>
      </c>
      <c r="AA135">
        <f t="shared" ca="1" si="39"/>
        <v>4.1640936079709534E-2</v>
      </c>
      <c r="AB135">
        <f t="shared" ca="1" si="40"/>
        <v>10.698700000000004</v>
      </c>
    </row>
    <row r="136" spans="1:28" x14ac:dyDescent="0.25">
      <c r="A136" s="20">
        <f t="shared" ca="1" si="41"/>
        <v>45894</v>
      </c>
      <c r="B136" vm="379">
        <f ca="1"/>
        <v>45897</v>
      </c>
      <c r="C136" vm="380">
        <f ca="1"/>
        <v>11.71</v>
      </c>
      <c r="D136" vm="381">
        <f ca="1"/>
        <v>47723668</v>
      </c>
      <c r="E136">
        <f t="shared" ca="1" si="42"/>
        <v>558844152.28000009</v>
      </c>
      <c r="F136">
        <f ca="1">SUM($E$2:E136)/SUM($D$2:D136)</f>
        <v>10.246126923200952</v>
      </c>
      <c r="G136">
        <f ca="1">_xlfn.STDEV.P($C$2:C136)</f>
        <v>0.78590482744745405</v>
      </c>
      <c r="H136">
        <f t="shared" ca="1" si="43"/>
        <v>11.032031750648407</v>
      </c>
      <c r="I136">
        <f t="shared" ca="1" si="44"/>
        <v>9.4602220957534975</v>
      </c>
      <c r="J136">
        <f t="shared" ca="1" si="32"/>
        <v>11.411500000000002</v>
      </c>
      <c r="K136">
        <f t="shared" ca="1" si="33"/>
        <v>0.29863329034999292</v>
      </c>
      <c r="L136">
        <f t="shared" ca="1" si="34"/>
        <v>12.008766580699987</v>
      </c>
      <c r="M136">
        <f t="shared" ca="1" si="35"/>
        <v>10.814233419300017</v>
      </c>
      <c r="N136">
        <f t="shared" ca="1" si="45"/>
        <v>-0.19999999999999929</v>
      </c>
      <c r="O136">
        <f t="shared" ca="1" si="46"/>
        <v>0</v>
      </c>
      <c r="P136">
        <f t="shared" ca="1" si="47"/>
        <v>0.19999999999999929</v>
      </c>
      <c r="Q136">
        <f t="shared" ca="1" si="30"/>
        <v>7.6348608553707037E-2</v>
      </c>
      <c r="R136">
        <f t="shared" ca="1" si="31"/>
        <v>5.5706395768680896E-2</v>
      </c>
      <c r="S136">
        <f t="shared" ca="1" si="28"/>
        <v>1.3705537308631903</v>
      </c>
      <c r="T136">
        <f t="shared" ca="1" si="29"/>
        <v>57.815763170410413</v>
      </c>
      <c r="U136">
        <f>70</f>
        <v>70</v>
      </c>
      <c r="V136">
        <f>30</f>
        <v>30</v>
      </c>
      <c r="W136">
        <f t="shared" ca="1" si="27"/>
        <v>11.61424293236864</v>
      </c>
      <c r="X136">
        <f t="shared" ca="1" si="37"/>
        <v>11.450922485777227</v>
      </c>
      <c r="Y136">
        <f t="shared" ca="1" si="36"/>
        <v>0.16364770095694503</v>
      </c>
      <c r="Z136">
        <f t="shared" ca="1" si="38"/>
        <v>0.13007314860075203</v>
      </c>
      <c r="AA136">
        <f t="shared" ca="1" si="39"/>
        <v>3.3574552356192999E-2</v>
      </c>
      <c r="AB136">
        <f t="shared" ca="1" si="40"/>
        <v>10.720000000000004</v>
      </c>
    </row>
    <row r="137" spans="1:28" x14ac:dyDescent="0.25">
      <c r="A137" s="20">
        <f t="shared" ca="1" si="41"/>
        <v>45894</v>
      </c>
      <c r="B137" vm="382">
        <f ca="1"/>
        <v>45898</v>
      </c>
      <c r="C137" vm="264">
        <f ca="1"/>
        <v>11.77</v>
      </c>
      <c r="D137" vm="383">
        <f ca="1"/>
        <v>44069734</v>
      </c>
      <c r="E137">
        <f t="shared" ca="1" si="42"/>
        <v>518700769.18000001</v>
      </c>
      <c r="F137">
        <f ca="1">SUM($E$2:E137)/SUM($D$2:D137)</f>
        <v>10.2510172684976</v>
      </c>
      <c r="G137">
        <f ca="1">_xlfn.STDEV.P($C$2:C137)</f>
        <v>0.79101020557810742</v>
      </c>
      <c r="H137">
        <f t="shared" ca="1" si="43"/>
        <v>11.042027474075708</v>
      </c>
      <c r="I137">
        <f t="shared" ca="1" si="44"/>
        <v>9.4600070629194928</v>
      </c>
      <c r="J137">
        <f t="shared" ca="1" si="32"/>
        <v>11.459000000000003</v>
      </c>
      <c r="K137">
        <f t="shared" ca="1" si="33"/>
        <v>0.27414748239818504</v>
      </c>
      <c r="L137">
        <f t="shared" ca="1" si="34"/>
        <v>12.007294964796372</v>
      </c>
      <c r="M137">
        <f t="shared" ca="1" si="35"/>
        <v>10.910705035203634</v>
      </c>
      <c r="N137">
        <f t="shared" ca="1" si="45"/>
        <v>5.9999999999998721E-2</v>
      </c>
      <c r="O137">
        <f t="shared" ca="1" si="46"/>
        <v>5.9999999999998721E-2</v>
      </c>
      <c r="P137">
        <f t="shared" ca="1" si="47"/>
        <v>0</v>
      </c>
      <c r="Q137">
        <f t="shared" ca="1" si="30"/>
        <v>7.5180850799870733E-2</v>
      </c>
      <c r="R137">
        <f t="shared" ca="1" si="31"/>
        <v>5.1727367499489404E-2</v>
      </c>
      <c r="S137">
        <f t="shared" ca="1" si="28"/>
        <v>1.4534057005822467</v>
      </c>
      <c r="T137">
        <f t="shared" ca="1" si="29"/>
        <v>59.240332743880138</v>
      </c>
      <c r="U137">
        <f>70</f>
        <v>70</v>
      </c>
      <c r="V137">
        <f>30</f>
        <v>30</v>
      </c>
      <c r="W137">
        <f t="shared" ca="1" si="27"/>
        <v>11.638205558158081</v>
      </c>
      <c r="X137">
        <f t="shared" ca="1" si="37"/>
        <v>11.474557857201136</v>
      </c>
      <c r="Y137">
        <f t="shared" ca="1" si="36"/>
        <v>0.15805056177373622</v>
      </c>
      <c r="Z137">
        <f t="shared" ca="1" si="38"/>
        <v>0.13566863123534889</v>
      </c>
      <c r="AA137">
        <f t="shared" ca="1" si="39"/>
        <v>2.2381930538387329E-2</v>
      </c>
      <c r="AB137">
        <f t="shared" ca="1" si="40"/>
        <v>10.745300000000007</v>
      </c>
    </row>
    <row r="138" spans="1:28" x14ac:dyDescent="0.25">
      <c r="A138" s="20">
        <f t="shared" ca="1" si="41"/>
        <v>45901</v>
      </c>
      <c r="B138" vm="384">
        <f ca="1"/>
        <v>45902</v>
      </c>
      <c r="C138" vm="385">
        <f ca="1"/>
        <v>11.72</v>
      </c>
      <c r="D138" vm="386">
        <f ca="1"/>
        <v>57704182</v>
      </c>
      <c r="E138">
        <f t="shared" ca="1" si="42"/>
        <v>676293013.04000008</v>
      </c>
      <c r="F138">
        <f ca="1">SUM($E$2:E138)/SUM($D$2:D138)</f>
        <v>10.2571641266389</v>
      </c>
      <c r="G138">
        <f ca="1">_xlfn.STDEV.P($C$2:C138)</f>
        <v>0.79531204094637764</v>
      </c>
      <c r="H138">
        <f t="shared" ca="1" si="43"/>
        <v>11.052476167585278</v>
      </c>
      <c r="I138">
        <f t="shared" ca="1" si="44"/>
        <v>9.4618520856925219</v>
      </c>
      <c r="J138">
        <f t="shared" ca="1" si="32"/>
        <v>11.4975</v>
      </c>
      <c r="K138">
        <f t="shared" ca="1" si="33"/>
        <v>0.25208342395242672</v>
      </c>
      <c r="L138">
        <f t="shared" ca="1" si="34"/>
        <v>12.001666847904854</v>
      </c>
      <c r="M138">
        <f t="shared" ca="1" si="35"/>
        <v>10.993333152095147</v>
      </c>
      <c r="N138">
        <f t="shared" ca="1" si="45"/>
        <v>-4.9999999999998934E-2</v>
      </c>
      <c r="O138">
        <f t="shared" ca="1" si="46"/>
        <v>0</v>
      </c>
      <c r="P138">
        <f t="shared" ca="1" si="47"/>
        <v>4.9999999999998934E-2</v>
      </c>
      <c r="Q138">
        <f t="shared" ca="1" si="30"/>
        <v>6.9810790028451392E-2</v>
      </c>
      <c r="R138">
        <f t="shared" ca="1" si="31"/>
        <v>5.1603984106668659E-2</v>
      </c>
      <c r="S138">
        <f t="shared" ca="1" si="28"/>
        <v>1.3528178344553421</v>
      </c>
      <c r="T138">
        <f t="shared" ca="1" si="29"/>
        <v>57.497772018058008</v>
      </c>
      <c r="U138">
        <f>70</f>
        <v>70</v>
      </c>
      <c r="V138">
        <f>30</f>
        <v>30</v>
      </c>
      <c r="W138">
        <f t="shared" ca="1" si="27"/>
        <v>11.650789318441454</v>
      </c>
      <c r="X138">
        <f t="shared" ca="1" si="37"/>
        <v>11.492738756667718</v>
      </c>
      <c r="Y138">
        <f t="shared" ca="1" si="36"/>
        <v>0.14388698478661688</v>
      </c>
      <c r="Z138">
        <f t="shared" ca="1" si="38"/>
        <v>0.13731230194560248</v>
      </c>
      <c r="AA138">
        <f t="shared" ca="1" si="39"/>
        <v>6.5746828410143954E-3</v>
      </c>
      <c r="AB138">
        <f t="shared" ca="1" si="40"/>
        <v>10.775600000000006</v>
      </c>
    </row>
    <row r="139" spans="1:28" x14ac:dyDescent="0.25">
      <c r="A139" s="20">
        <f t="shared" ca="1" si="41"/>
        <v>45901</v>
      </c>
      <c r="B139" vm="387">
        <f ca="1"/>
        <v>45903</v>
      </c>
      <c r="C139" vm="388">
        <f ca="1"/>
        <v>11.62</v>
      </c>
      <c r="D139" vm="389">
        <f ca="1"/>
        <v>47728660</v>
      </c>
      <c r="E139">
        <f t="shared" ca="1" si="42"/>
        <v>554607029.19999993</v>
      </c>
      <c r="F139">
        <f ca="1">SUM($E$2:E139)/SUM($D$2:D139)</f>
        <v>10.261864707063538</v>
      </c>
      <c r="G139">
        <f ca="1">_xlfn.STDEV.P($C$2:C139)</f>
        <v>0.79835060224188426</v>
      </c>
      <c r="H139">
        <f t="shared" ca="1" si="43"/>
        <v>11.060215309305422</v>
      </c>
      <c r="I139">
        <f t="shared" ca="1" si="44"/>
        <v>9.4635141048216536</v>
      </c>
      <c r="J139">
        <f t="shared" ca="1" si="32"/>
        <v>11.525500000000001</v>
      </c>
      <c r="K139">
        <f t="shared" ca="1" si="33"/>
        <v>0.23116353290986105</v>
      </c>
      <c r="L139">
        <f t="shared" ca="1" si="34"/>
        <v>11.987827065819722</v>
      </c>
      <c r="M139">
        <f t="shared" ca="1" si="35"/>
        <v>11.06317293418028</v>
      </c>
      <c r="N139">
        <f t="shared" ca="1" si="45"/>
        <v>-0.10000000000000142</v>
      </c>
      <c r="O139">
        <f t="shared" ca="1" si="46"/>
        <v>0</v>
      </c>
      <c r="P139">
        <f t="shared" ca="1" si="47"/>
        <v>0.10000000000000142</v>
      </c>
      <c r="Q139">
        <f t="shared" ca="1" si="30"/>
        <v>6.4824305026419143E-2</v>
      </c>
      <c r="R139">
        <f t="shared" ca="1" si="31"/>
        <v>5.5060842384763851E-2</v>
      </c>
      <c r="S139">
        <f t="shared" ca="1" si="28"/>
        <v>1.1773213452389348</v>
      </c>
      <c r="T139">
        <f t="shared" ca="1" si="29"/>
        <v>54.072006771684769</v>
      </c>
      <c r="U139">
        <f>70</f>
        <v>70</v>
      </c>
      <c r="V139">
        <f>30</f>
        <v>30</v>
      </c>
      <c r="W139">
        <f t="shared" ca="1" si="27"/>
        <v>11.646052500219691</v>
      </c>
      <c r="X139">
        <f t="shared" ca="1" si="37"/>
        <v>11.502165515433074</v>
      </c>
      <c r="Y139">
        <f t="shared" ca="1" si="36"/>
        <v>0.13593675227777524</v>
      </c>
      <c r="Z139">
        <f t="shared" ca="1" si="38"/>
        <v>0.13703719201203704</v>
      </c>
      <c r="AA139">
        <f t="shared" ca="1" si="39"/>
        <v>-1.1004397342617989E-3</v>
      </c>
      <c r="AB139">
        <f t="shared" ca="1" si="40"/>
        <v>10.796800000000005</v>
      </c>
    </row>
    <row r="140" spans="1:28" x14ac:dyDescent="0.25">
      <c r="A140" s="20">
        <f t="shared" ca="1" si="41"/>
        <v>45901</v>
      </c>
      <c r="B140" vm="390">
        <f ca="1"/>
        <v>45904</v>
      </c>
      <c r="C140" vm="273">
        <f ca="1"/>
        <v>11.68</v>
      </c>
      <c r="D140" vm="391">
        <f ca="1"/>
        <v>33136650</v>
      </c>
      <c r="E140">
        <f t="shared" ca="1" si="42"/>
        <v>387036072</v>
      </c>
      <c r="F140">
        <f ca="1">SUM($E$2:E140)/SUM($D$2:D140)</f>
        <v>10.265252495073341</v>
      </c>
      <c r="G140">
        <f ca="1">_xlfn.STDEV.P($C$2:C140)</f>
        <v>0.80187374377610565</v>
      </c>
      <c r="H140">
        <f t="shared" ca="1" si="43"/>
        <v>11.067126238849447</v>
      </c>
      <c r="I140">
        <f t="shared" ca="1" si="44"/>
        <v>9.4633787512972347</v>
      </c>
      <c r="J140">
        <f t="shared" ca="1" si="32"/>
        <v>11.549000000000001</v>
      </c>
      <c r="K140">
        <f t="shared" ca="1" si="33"/>
        <v>0.22107155307489784</v>
      </c>
      <c r="L140">
        <f t="shared" ca="1" si="34"/>
        <v>11.991143106149798</v>
      </c>
      <c r="M140">
        <f t="shared" ca="1" si="35"/>
        <v>11.106856893850205</v>
      </c>
      <c r="N140">
        <f t="shared" ca="1" si="45"/>
        <v>6.0000000000000497E-2</v>
      </c>
      <c r="O140">
        <f t="shared" ca="1" si="46"/>
        <v>6.0000000000000497E-2</v>
      </c>
      <c r="P140">
        <f t="shared" ca="1" si="47"/>
        <v>0</v>
      </c>
      <c r="Q140">
        <f t="shared" ca="1" si="30"/>
        <v>6.4479711810246379E-2</v>
      </c>
      <c r="R140">
        <f t="shared" ca="1" si="31"/>
        <v>5.1127925071566431E-2</v>
      </c>
      <c r="S140">
        <f t="shared" ca="1" si="28"/>
        <v>1.2611447016476955</v>
      </c>
      <c r="T140">
        <f t="shared" ca="1" si="29"/>
        <v>55.774612775940419</v>
      </c>
      <c r="U140">
        <f>70</f>
        <v>70</v>
      </c>
      <c r="V140">
        <f>30</f>
        <v>30</v>
      </c>
      <c r="W140">
        <f t="shared" ca="1" si="27"/>
        <v>11.651275192493584</v>
      </c>
      <c r="X140">
        <f t="shared" ca="1" si="37"/>
        <v>11.515338440215809</v>
      </c>
      <c r="Y140">
        <f t="shared" ca="1" si="36"/>
        <v>0.13294512564232619</v>
      </c>
      <c r="Z140">
        <f t="shared" ca="1" si="38"/>
        <v>0.13621877873809488</v>
      </c>
      <c r="AA140">
        <f t="shared" ca="1" si="39"/>
        <v>-3.273653095768686E-3</v>
      </c>
      <c r="AB140">
        <f t="shared" ca="1" si="40"/>
        <v>10.822200000000004</v>
      </c>
    </row>
    <row r="141" spans="1:28" x14ac:dyDescent="0.25">
      <c r="A141" s="20">
        <f t="shared" ca="1" si="41"/>
        <v>45901</v>
      </c>
      <c r="B141" vm="392">
        <f ca="1"/>
        <v>45905</v>
      </c>
      <c r="C141" vm="369">
        <f ca="1"/>
        <v>11.74</v>
      </c>
      <c r="D141" vm="393">
        <f ca="1"/>
        <v>47547831</v>
      </c>
      <c r="E141">
        <f t="shared" ca="1" si="42"/>
        <v>558211535.94000006</v>
      </c>
      <c r="F141">
        <f ca="1">SUM($E$2:E141)/SUM($D$2:D141)</f>
        <v>10.270290425832792</v>
      </c>
      <c r="G141">
        <f ca="1">_xlfn.STDEV.P($C$2:C141)</f>
        <v>0.80588468309614847</v>
      </c>
      <c r="H141">
        <f t="shared" ca="1" si="43"/>
        <v>11.076175108928942</v>
      </c>
      <c r="I141">
        <f t="shared" ca="1" si="44"/>
        <v>9.464405742736643</v>
      </c>
      <c r="J141">
        <f t="shared" ca="1" si="32"/>
        <v>11.572000000000001</v>
      </c>
      <c r="K141">
        <f t="shared" ca="1" si="33"/>
        <v>0.21547011027298577</v>
      </c>
      <c r="L141">
        <f t="shared" ca="1" si="34"/>
        <v>12.002940220545973</v>
      </c>
      <c r="M141">
        <f t="shared" ca="1" si="35"/>
        <v>11.141059779454029</v>
      </c>
      <c r="N141">
        <f t="shared" ca="1" si="45"/>
        <v>6.0000000000000497E-2</v>
      </c>
      <c r="O141">
        <f t="shared" ca="1" si="46"/>
        <v>6.0000000000000497E-2</v>
      </c>
      <c r="P141">
        <f t="shared" ca="1" si="47"/>
        <v>0</v>
      </c>
      <c r="Q141">
        <f t="shared" ca="1" si="30"/>
        <v>6.4159732395228819E-2</v>
      </c>
      <c r="R141">
        <f t="shared" ca="1" si="31"/>
        <v>4.74759304235974E-2</v>
      </c>
      <c r="S141">
        <f t="shared" ca="1" si="28"/>
        <v>1.3514160085494378</v>
      </c>
      <c r="T141">
        <f t="shared" ca="1" si="29"/>
        <v>57.472433786104538</v>
      </c>
      <c r="U141">
        <f>70</f>
        <v>70</v>
      </c>
      <c r="V141">
        <f>30</f>
        <v>30</v>
      </c>
      <c r="W141">
        <f t="shared" ca="1" si="27"/>
        <v>11.664925162879186</v>
      </c>
      <c r="X141">
        <f t="shared" ca="1" si="37"/>
        <v>11.53198003723686</v>
      </c>
      <c r="Y141">
        <f t="shared" ca="1" si="36"/>
        <v>0.12509761046478474</v>
      </c>
      <c r="Z141">
        <f t="shared" ca="1" si="38"/>
        <v>0.13399454508343284</v>
      </c>
      <c r="AA141">
        <f t="shared" ca="1" si="39"/>
        <v>-8.8969346186481002E-3</v>
      </c>
      <c r="AB141">
        <f t="shared" ca="1" si="40"/>
        <v>10.846300000000006</v>
      </c>
    </row>
    <row r="142" spans="1:28" x14ac:dyDescent="0.25">
      <c r="A142" s="20">
        <f t="shared" ca="1" si="41"/>
        <v>45908</v>
      </c>
      <c r="B142" vm="394">
        <f ca="1"/>
        <v>45908</v>
      </c>
      <c r="C142" vm="395">
        <f ca="1"/>
        <v>11.69</v>
      </c>
      <c r="D142" vm="396">
        <f ca="1"/>
        <v>39734522</v>
      </c>
      <c r="E142">
        <f t="shared" ca="1" si="42"/>
        <v>464496562.18000001</v>
      </c>
      <c r="F142">
        <f ca="1">SUM($E$2:E142)/SUM($D$2:D142)</f>
        <v>10.27433183917938</v>
      </c>
      <c r="G142">
        <f ca="1">_xlfn.STDEV.P($C$2:C142)</f>
        <v>0.80919526817892162</v>
      </c>
      <c r="H142">
        <f t="shared" ca="1" si="43"/>
        <v>11.083527107358302</v>
      </c>
      <c r="I142">
        <f t="shared" ca="1" si="44"/>
        <v>9.4651365710004587</v>
      </c>
      <c r="J142">
        <f t="shared" ca="1" si="32"/>
        <v>11.5905</v>
      </c>
      <c r="K142">
        <f t="shared" ca="1" si="33"/>
        <v>0.20846494088682485</v>
      </c>
      <c r="L142">
        <f t="shared" ca="1" si="34"/>
        <v>12.00742988177365</v>
      </c>
      <c r="M142">
        <f t="shared" ca="1" si="35"/>
        <v>11.173570118226351</v>
      </c>
      <c r="N142">
        <f t="shared" ca="1" si="45"/>
        <v>-5.0000000000000711E-2</v>
      </c>
      <c r="O142">
        <f t="shared" ca="1" si="46"/>
        <v>0</v>
      </c>
      <c r="P142">
        <f t="shared" ca="1" si="47"/>
        <v>5.0000000000000711E-2</v>
      </c>
      <c r="Q142">
        <f t="shared" ca="1" si="30"/>
        <v>5.9576894366998187E-2</v>
      </c>
      <c r="R142">
        <f t="shared" ca="1" si="31"/>
        <v>4.7656221107626205E-2</v>
      </c>
      <c r="S142">
        <f t="shared" ca="1" si="28"/>
        <v>1.2501388692244499</v>
      </c>
      <c r="T142">
        <f t="shared" ca="1" si="29"/>
        <v>55.558298482054681</v>
      </c>
      <c r="U142">
        <f>70</f>
        <v>70</v>
      </c>
      <c r="V142">
        <f>30</f>
        <v>30</v>
      </c>
      <c r="W142">
        <f t="shared" ca="1" si="27"/>
        <v>11.668782830128542</v>
      </c>
      <c r="X142">
        <f t="shared" ca="1" si="37"/>
        <v>11.543685219663757</v>
      </c>
      <c r="Y142">
        <f t="shared" ca="1" si="36"/>
        <v>0.10156924261383438</v>
      </c>
      <c r="Z142">
        <f t="shared" ca="1" si="38"/>
        <v>0.12750948458951314</v>
      </c>
      <c r="AA142">
        <f t="shared" ca="1" si="39"/>
        <v>-2.5940241975678763E-2</v>
      </c>
      <c r="AB142">
        <f t="shared" ca="1" si="40"/>
        <v>10.866100000000008</v>
      </c>
    </row>
    <row r="143" spans="1:28" x14ac:dyDescent="0.25">
      <c r="A143" s="20">
        <f t="shared" ca="1" si="41"/>
        <v>45908</v>
      </c>
      <c r="B143" vm="397">
        <f ca="1"/>
        <v>45909</v>
      </c>
      <c r="C143" vm="363">
        <f ca="1"/>
        <v>11.49</v>
      </c>
      <c r="D143" vm="398">
        <f ca="1"/>
        <v>41262743</v>
      </c>
      <c r="E143">
        <f t="shared" ca="1" si="42"/>
        <v>474108917.06999999</v>
      </c>
      <c r="F143">
        <f ca="1">SUM($E$2:E143)/SUM($D$2:D143)</f>
        <v>10.277914922989151</v>
      </c>
      <c r="G143">
        <f ca="1">_xlfn.STDEV.P($C$2:C143)</f>
        <v>0.81049819245708066</v>
      </c>
      <c r="H143">
        <f t="shared" ca="1" si="43"/>
        <v>11.088413115446231</v>
      </c>
      <c r="I143">
        <f t="shared" ca="1" si="44"/>
        <v>9.4674167305320704</v>
      </c>
      <c r="J143">
        <f t="shared" ca="1" si="32"/>
        <v>11.608000000000001</v>
      </c>
      <c r="K143">
        <f t="shared" ca="1" si="33"/>
        <v>0.18161845489347925</v>
      </c>
      <c r="L143">
        <f t="shared" ca="1" si="34"/>
        <v>11.97123690978696</v>
      </c>
      <c r="M143">
        <f t="shared" ca="1" si="35"/>
        <v>11.244763090213041</v>
      </c>
      <c r="N143">
        <f t="shared" ca="1" si="45"/>
        <v>-0.19999999999999929</v>
      </c>
      <c r="O143">
        <f t="shared" ca="1" si="46"/>
        <v>0</v>
      </c>
      <c r="P143">
        <f t="shared" ca="1" si="47"/>
        <v>0.19999999999999929</v>
      </c>
      <c r="Q143">
        <f t="shared" ca="1" si="30"/>
        <v>5.5321401912212596E-2</v>
      </c>
      <c r="R143">
        <f t="shared" ca="1" si="31"/>
        <v>5.8537919599938572E-2</v>
      </c>
      <c r="S143">
        <f t="shared" ca="1" si="28"/>
        <v>0.94505240859756567</v>
      </c>
      <c r="T143">
        <f t="shared" ca="1" si="29"/>
        <v>48.587503576778865</v>
      </c>
      <c r="U143">
        <f>70</f>
        <v>70</v>
      </c>
      <c r="V143">
        <f>30</f>
        <v>30</v>
      </c>
      <c r="W143">
        <f t="shared" ref="W143:W206" ca="1" si="48">C143*(2/(12+1)) + W142*(1-(2/(12+1)))</f>
        <v>11.641277779339536</v>
      </c>
      <c r="X143">
        <f t="shared" ca="1" si="37"/>
        <v>11.539708536725701</v>
      </c>
      <c r="Y143">
        <f t="shared" ca="1" si="36"/>
        <v>7.6393806347548221E-2</v>
      </c>
      <c r="Z143">
        <f t="shared" ca="1" si="38"/>
        <v>0.11728634894112017</v>
      </c>
      <c r="AA143">
        <f t="shared" ca="1" si="39"/>
        <v>-4.0892542593571946E-2</v>
      </c>
      <c r="AB143">
        <f t="shared" ca="1" si="40"/>
        <v>10.886500000000005</v>
      </c>
    </row>
    <row r="144" spans="1:28" x14ac:dyDescent="0.25">
      <c r="A144" s="20">
        <f t="shared" ca="1" si="41"/>
        <v>45908</v>
      </c>
      <c r="B144" vm="399">
        <f ca="1"/>
        <v>45910</v>
      </c>
      <c r="C144" vm="400">
        <f ca="1"/>
        <v>11.42</v>
      </c>
      <c r="D144" vm="401">
        <f ca="1"/>
        <v>47021328</v>
      </c>
      <c r="E144">
        <f t="shared" ca="1" si="42"/>
        <v>536983565.75999999</v>
      </c>
      <c r="F144">
        <f ca="1">SUM($E$2:E144)/SUM($D$2:D144)</f>
        <v>10.281738069407014</v>
      </c>
      <c r="G144">
        <f ca="1">_xlfn.STDEV.P($C$2:C144)</f>
        <v>0.81116113408293977</v>
      </c>
      <c r="H144">
        <f t="shared" ca="1" si="43"/>
        <v>11.092899203489955</v>
      </c>
      <c r="I144">
        <f t="shared" ca="1" si="44"/>
        <v>9.4705769353240736</v>
      </c>
      <c r="J144">
        <f t="shared" ca="1" si="32"/>
        <v>11.6165</v>
      </c>
      <c r="K144">
        <f t="shared" ca="1" si="33"/>
        <v>0.16740354646309341</v>
      </c>
      <c r="L144">
        <f t="shared" ca="1" si="34"/>
        <v>11.951307092926188</v>
      </c>
      <c r="M144">
        <f t="shared" ca="1" si="35"/>
        <v>11.281692907073813</v>
      </c>
      <c r="N144">
        <f t="shared" ca="1" si="45"/>
        <v>-7.0000000000000284E-2</v>
      </c>
      <c r="O144">
        <f t="shared" ca="1" si="46"/>
        <v>0</v>
      </c>
      <c r="P144">
        <f t="shared" ca="1" si="47"/>
        <v>7.0000000000000284E-2</v>
      </c>
      <c r="Q144">
        <f t="shared" ca="1" si="30"/>
        <v>5.1369873204197405E-2</v>
      </c>
      <c r="R144">
        <f t="shared" ca="1" si="31"/>
        <v>5.935663962851441E-2</v>
      </c>
      <c r="S144">
        <f t="shared" ref="S144:S207" ca="1" si="49">IF(R144=0,NA(),Q144/R144)</f>
        <v>0.86544443091282697</v>
      </c>
      <c r="T144">
        <f t="shared" ref="T144:T207" ca="1" si="50">100-(100/(1+S144))</f>
        <v>46.393471527282898</v>
      </c>
      <c r="U144">
        <f>70</f>
        <v>70</v>
      </c>
      <c r="V144">
        <f>30</f>
        <v>30</v>
      </c>
      <c r="W144">
        <f t="shared" ca="1" si="48"/>
        <v>11.60723504405653</v>
      </c>
      <c r="X144">
        <f t="shared" ca="1" si="37"/>
        <v>11.530841237708982</v>
      </c>
      <c r="Y144">
        <f t="shared" ca="1" si="36"/>
        <v>8.2921384129260645E-2</v>
      </c>
      <c r="Z144">
        <f t="shared" ca="1" si="38"/>
        <v>0.11041335597874827</v>
      </c>
      <c r="AA144">
        <f t="shared" ca="1" si="39"/>
        <v>-2.7491971849487623E-2</v>
      </c>
      <c r="AB144">
        <f t="shared" ca="1" si="40"/>
        <v>10.906700000000008</v>
      </c>
    </row>
    <row r="145" spans="1:28" x14ac:dyDescent="0.25">
      <c r="A145" s="20">
        <f t="shared" ca="1" si="41"/>
        <v>45908</v>
      </c>
      <c r="B145" vm="402">
        <f ca="1"/>
        <v>45911</v>
      </c>
      <c r="C145" vm="403">
        <f ca="1"/>
        <v>11.76</v>
      </c>
      <c r="D145" vm="404">
        <f ca="1"/>
        <v>64196118</v>
      </c>
      <c r="E145">
        <f t="shared" ca="1" si="42"/>
        <v>754946347.67999995</v>
      </c>
      <c r="F145">
        <f ca="1">SUM($E$2:E145)/SUM($D$2:D145)</f>
        <v>10.288463304131465</v>
      </c>
      <c r="G145">
        <f ca="1">_xlfn.STDEV.P($C$2:C145)</f>
        <v>0.81484287093953789</v>
      </c>
      <c r="H145">
        <f t="shared" ca="1" si="43"/>
        <v>11.103306175071003</v>
      </c>
      <c r="I145">
        <f t="shared" ca="1" si="44"/>
        <v>9.4736204331919271</v>
      </c>
      <c r="J145">
        <f t="shared" ca="1" si="32"/>
        <v>11.632500000000002</v>
      </c>
      <c r="K145">
        <f t="shared" ca="1" si="33"/>
        <v>0.16492023590368263</v>
      </c>
      <c r="L145">
        <f t="shared" ca="1" si="34"/>
        <v>11.962340471807368</v>
      </c>
      <c r="M145">
        <f t="shared" ca="1" si="35"/>
        <v>11.302659528192637</v>
      </c>
      <c r="N145">
        <f t="shared" ca="1" si="45"/>
        <v>0.33999999999999986</v>
      </c>
      <c r="O145">
        <f t="shared" ca="1" si="46"/>
        <v>0.33999999999999986</v>
      </c>
      <c r="P145">
        <f t="shared" ca="1" si="47"/>
        <v>0</v>
      </c>
      <c r="Q145">
        <f t="shared" ref="Q145:Q208" ca="1" si="51">(Q144*13+O145)/14</f>
        <v>7.1986310832469008E-2</v>
      </c>
      <c r="R145">
        <f t="shared" ref="R145:R208" ca="1" si="52">(R144*13+P145)/14</f>
        <v>5.5116879655049092E-2</v>
      </c>
      <c r="S145">
        <f t="shared" ca="1" si="49"/>
        <v>1.306066513253251</v>
      </c>
      <c r="T145">
        <f t="shared" ca="1" si="50"/>
        <v>56.636116336936695</v>
      </c>
      <c r="U145">
        <f>70</f>
        <v>70</v>
      </c>
      <c r="V145">
        <f>30</f>
        <v>30</v>
      </c>
      <c r="W145">
        <f t="shared" ca="1" si="48"/>
        <v>11.63073734497091</v>
      </c>
      <c r="X145">
        <f t="shared" ca="1" si="37"/>
        <v>11.54781596084165</v>
      </c>
      <c r="Y145">
        <f t="shared" ca="1" si="36"/>
        <v>8.0708843825711085E-2</v>
      </c>
      <c r="Z145">
        <f t="shared" ca="1" si="38"/>
        <v>0.10447245354814083</v>
      </c>
      <c r="AA145">
        <f t="shared" ca="1" si="39"/>
        <v>-2.3763609722429746E-2</v>
      </c>
      <c r="AB145">
        <f t="shared" ca="1" si="40"/>
        <v>10.928000000000008</v>
      </c>
    </row>
    <row r="146" spans="1:28" x14ac:dyDescent="0.25">
      <c r="A146" s="20">
        <f t="shared" ca="1" si="41"/>
        <v>45908</v>
      </c>
      <c r="B146" vm="405">
        <f ca="1"/>
        <v>45912</v>
      </c>
      <c r="C146" vm="273">
        <f ca="1"/>
        <v>11.68</v>
      </c>
      <c r="D146" vm="406">
        <f ca="1"/>
        <v>50100809</v>
      </c>
      <c r="E146">
        <f t="shared" ca="1" si="42"/>
        <v>585177449.12</v>
      </c>
      <c r="F146">
        <f ca="1">SUM($E$2:E146)/SUM($D$2:D146)</f>
        <v>10.29338650379173</v>
      </c>
      <c r="G146">
        <f ca="1">_xlfn.STDEV.P($C$2:C146)</f>
        <v>0.81757307396482615</v>
      </c>
      <c r="H146">
        <f t="shared" ca="1" si="43"/>
        <v>11.110959577756557</v>
      </c>
      <c r="I146">
        <f t="shared" ca="1" si="44"/>
        <v>9.4758134298269034</v>
      </c>
      <c r="J146">
        <f t="shared" ca="1" si="32"/>
        <v>11.644500000000001</v>
      </c>
      <c r="K146">
        <f t="shared" ca="1" si="33"/>
        <v>0.15879397443161836</v>
      </c>
      <c r="L146">
        <f t="shared" ca="1" si="34"/>
        <v>11.962087948863237</v>
      </c>
      <c r="M146">
        <f t="shared" ca="1" si="35"/>
        <v>11.326912051136764</v>
      </c>
      <c r="N146">
        <f t="shared" ca="1" si="45"/>
        <v>-8.0000000000000071E-2</v>
      </c>
      <c r="O146">
        <f t="shared" ca="1" si="46"/>
        <v>0</v>
      </c>
      <c r="P146">
        <f t="shared" ca="1" si="47"/>
        <v>8.0000000000000071E-2</v>
      </c>
      <c r="Q146">
        <f t="shared" ca="1" si="51"/>
        <v>6.6844431487292646E-2</v>
      </c>
      <c r="R146">
        <f t="shared" ca="1" si="52"/>
        <v>5.6894245393974162E-2</v>
      </c>
      <c r="S146">
        <f t="shared" ca="1" si="49"/>
        <v>1.1748891478288652</v>
      </c>
      <c r="T146">
        <f t="shared" ca="1" si="50"/>
        <v>54.020645098244486</v>
      </c>
      <c r="U146">
        <f>70</f>
        <v>70</v>
      </c>
      <c r="V146">
        <f>30</f>
        <v>30</v>
      </c>
      <c r="W146">
        <f t="shared" ca="1" si="48"/>
        <v>11.638316214975386</v>
      </c>
      <c r="X146">
        <f t="shared" ca="1" si="37"/>
        <v>11.557607371149675</v>
      </c>
      <c r="Y146">
        <f t="shared" ca="1" si="36"/>
        <v>7.8055613173919625E-2</v>
      </c>
      <c r="Z146">
        <f t="shared" ca="1" si="38"/>
        <v>9.9189085473296593E-2</v>
      </c>
      <c r="AA146">
        <f t="shared" ca="1" si="39"/>
        <v>-2.1133472299376968E-2</v>
      </c>
      <c r="AB146">
        <f t="shared" ca="1" si="40"/>
        <v>10.95010000000001</v>
      </c>
    </row>
    <row r="147" spans="1:28" x14ac:dyDescent="0.25">
      <c r="A147" s="20">
        <f t="shared" ca="1" si="41"/>
        <v>45915</v>
      </c>
      <c r="B147" vm="407">
        <f ca="1"/>
        <v>45915</v>
      </c>
      <c r="C147" vm="273">
        <f ca="1"/>
        <v>11.68</v>
      </c>
      <c r="D147" vm="408">
        <f ca="1"/>
        <v>47942431</v>
      </c>
      <c r="E147">
        <f t="shared" ca="1" si="42"/>
        <v>559967594.08000004</v>
      </c>
      <c r="F147">
        <f ca="1">SUM($E$2:E147)/SUM($D$2:D147)</f>
        <v>10.298065101277267</v>
      </c>
      <c r="G147">
        <f ca="1">_xlfn.STDEV.P($C$2:C147)</f>
        <v>0.82018203701449477</v>
      </c>
      <c r="H147">
        <f t="shared" ca="1" si="43"/>
        <v>11.118247138291762</v>
      </c>
      <c r="I147">
        <f t="shared" ca="1" si="44"/>
        <v>9.4778830642627714</v>
      </c>
      <c r="J147">
        <f t="shared" ca="1" si="32"/>
        <v>11.656500000000001</v>
      </c>
      <c r="K147">
        <f t="shared" ca="1" si="33"/>
        <v>0.15142394304176526</v>
      </c>
      <c r="L147">
        <f t="shared" ca="1" si="34"/>
        <v>11.959347886083531</v>
      </c>
      <c r="M147">
        <f t="shared" ca="1" si="35"/>
        <v>11.353652113916471</v>
      </c>
      <c r="N147">
        <f t="shared" ca="1" si="45"/>
        <v>0</v>
      </c>
      <c r="O147">
        <f t="shared" ca="1" si="46"/>
        <v>0</v>
      </c>
      <c r="P147">
        <f t="shared" ca="1" si="47"/>
        <v>0</v>
      </c>
      <c r="Q147">
        <f t="shared" ca="1" si="51"/>
        <v>6.2069829238200314E-2</v>
      </c>
      <c r="R147">
        <f t="shared" ca="1" si="52"/>
        <v>5.2830370722976007E-2</v>
      </c>
      <c r="S147">
        <f t="shared" ca="1" si="49"/>
        <v>1.1748891478288652</v>
      </c>
      <c r="T147">
        <f t="shared" ca="1" si="50"/>
        <v>54.020645098244486</v>
      </c>
      <c r="U147">
        <f>70</f>
        <v>70</v>
      </c>
      <c r="V147">
        <f>30</f>
        <v>30</v>
      </c>
      <c r="W147">
        <f t="shared" ca="1" si="48"/>
        <v>11.644729104979174</v>
      </c>
      <c r="X147">
        <f t="shared" ca="1" si="37"/>
        <v>11.566673491805254</v>
      </c>
      <c r="Y147">
        <f t="shared" ca="1" si="36"/>
        <v>6.9503302968966452E-2</v>
      </c>
      <c r="Z147">
        <f t="shared" ca="1" si="38"/>
        <v>9.3251928972430564E-2</v>
      </c>
      <c r="AA147">
        <f t="shared" ca="1" si="39"/>
        <v>-2.3748626003464113E-2</v>
      </c>
      <c r="AB147">
        <f t="shared" ca="1" si="40"/>
        <v>10.970400000000009</v>
      </c>
    </row>
    <row r="148" spans="1:28" x14ac:dyDescent="0.25">
      <c r="A148" s="20">
        <f t="shared" ca="1" si="41"/>
        <v>45915</v>
      </c>
      <c r="B148" vm="409">
        <f ca="1"/>
        <v>45916</v>
      </c>
      <c r="C148" vm="410">
        <f ca="1"/>
        <v>11.61</v>
      </c>
      <c r="D148" vm="411">
        <f ca="1"/>
        <v>58064970</v>
      </c>
      <c r="E148">
        <f t="shared" ca="1" si="42"/>
        <v>674134301.69999993</v>
      </c>
      <c r="F148">
        <f ca="1">SUM($E$2:E148)/SUM($D$2:D148)</f>
        <v>10.303404539415851</v>
      </c>
      <c r="G148">
        <f ca="1">_xlfn.STDEV.P($C$2:C148)</f>
        <v>0.82204330457394081</v>
      </c>
      <c r="H148">
        <f t="shared" ca="1" si="43"/>
        <v>11.125447843989791</v>
      </c>
      <c r="I148">
        <f t="shared" ca="1" si="44"/>
        <v>9.481361234841911</v>
      </c>
      <c r="J148">
        <f t="shared" ca="1" si="32"/>
        <v>11.663999999999998</v>
      </c>
      <c r="K148">
        <f t="shared" ca="1" si="33"/>
        <v>0.14474660254171226</v>
      </c>
      <c r="L148">
        <f t="shared" ca="1" si="34"/>
        <v>11.953493205083422</v>
      </c>
      <c r="M148">
        <f t="shared" ca="1" si="35"/>
        <v>11.374506794916574</v>
      </c>
      <c r="N148">
        <f t="shared" ca="1" si="45"/>
        <v>-7.0000000000000284E-2</v>
      </c>
      <c r="O148">
        <f t="shared" ca="1" si="46"/>
        <v>0</v>
      </c>
      <c r="P148">
        <f t="shared" ca="1" si="47"/>
        <v>7.0000000000000284E-2</v>
      </c>
      <c r="Q148">
        <f t="shared" ca="1" si="51"/>
        <v>5.7636270006900289E-2</v>
      </c>
      <c r="R148">
        <f t="shared" ca="1" si="52"/>
        <v>5.4056772814192029E-2</v>
      </c>
      <c r="S148">
        <f t="shared" ca="1" si="49"/>
        <v>1.0662173675260262</v>
      </c>
      <c r="T148">
        <f t="shared" ca="1" si="50"/>
        <v>51.602381447536459</v>
      </c>
      <c r="U148">
        <f>70</f>
        <v>70</v>
      </c>
      <c r="V148">
        <f>30</f>
        <v>30</v>
      </c>
      <c r="W148">
        <f t="shared" ca="1" si="48"/>
        <v>11.639386165751608</v>
      </c>
      <c r="X148">
        <f t="shared" ca="1" si="37"/>
        <v>11.569882862782642</v>
      </c>
      <c r="Y148">
        <f t="shared" ca="1" si="36"/>
        <v>6.5999318586522193E-2</v>
      </c>
      <c r="Z148">
        <f t="shared" ca="1" si="38"/>
        <v>8.7801406895248901E-2</v>
      </c>
      <c r="AA148">
        <f t="shared" ca="1" si="39"/>
        <v>-2.1802088308726708E-2</v>
      </c>
      <c r="AB148">
        <f t="shared" ca="1" si="40"/>
        <v>10.988700000000005</v>
      </c>
    </row>
    <row r="149" spans="1:28" x14ac:dyDescent="0.25">
      <c r="A149" s="20">
        <f t="shared" ca="1" si="41"/>
        <v>45915</v>
      </c>
      <c r="B149" vm="412">
        <f ca="1"/>
        <v>45917</v>
      </c>
      <c r="C149" vm="413">
        <f ca="1"/>
        <v>11.66</v>
      </c>
      <c r="D149" vm="414">
        <f ca="1"/>
        <v>68585945</v>
      </c>
      <c r="E149">
        <f t="shared" ca="1" si="42"/>
        <v>799712118.70000005</v>
      </c>
      <c r="F149">
        <f ca="1">SUM($E$2:E149)/SUM($D$2:D149)</f>
        <v>10.309894943839405</v>
      </c>
      <c r="G149">
        <f ca="1">_xlfn.STDEV.P($C$2:C149)</f>
        <v>0.82425317315881863</v>
      </c>
      <c r="H149">
        <f t="shared" ca="1" si="43"/>
        <v>11.134148116998224</v>
      </c>
      <c r="I149">
        <f t="shared" ca="1" si="44"/>
        <v>9.4856417706805853</v>
      </c>
      <c r="J149">
        <f t="shared" ca="1" si="32"/>
        <v>11.667999999999999</v>
      </c>
      <c r="K149">
        <f t="shared" ca="1" si="33"/>
        <v>0.14340226820491997</v>
      </c>
      <c r="L149">
        <f t="shared" ca="1" si="34"/>
        <v>11.954804536409839</v>
      </c>
      <c r="M149">
        <f t="shared" ca="1" si="35"/>
        <v>11.38119546359016</v>
      </c>
      <c r="N149">
        <f t="shared" ca="1" si="45"/>
        <v>5.0000000000000711E-2</v>
      </c>
      <c r="O149">
        <f t="shared" ca="1" si="46"/>
        <v>5.0000000000000711E-2</v>
      </c>
      <c r="P149">
        <f t="shared" ca="1" si="47"/>
        <v>0</v>
      </c>
      <c r="Q149">
        <f t="shared" ca="1" si="51"/>
        <v>5.70908221492646E-2</v>
      </c>
      <c r="R149">
        <f t="shared" ca="1" si="52"/>
        <v>5.0195574756035456E-2</v>
      </c>
      <c r="S149">
        <f t="shared" ca="1" si="49"/>
        <v>1.137367635030418</v>
      </c>
      <c r="T149">
        <f t="shared" ca="1" si="50"/>
        <v>53.213477007395191</v>
      </c>
      <c r="U149">
        <f>70</f>
        <v>70</v>
      </c>
      <c r="V149">
        <f>30</f>
        <v>30</v>
      </c>
      <c r="W149">
        <f t="shared" ca="1" si="48"/>
        <v>11.642557524866746</v>
      </c>
      <c r="X149">
        <f t="shared" ca="1" si="37"/>
        <v>11.576558206280223</v>
      </c>
      <c r="Y149">
        <f t="shared" ca="1" si="36"/>
        <v>6.8883669072222986E-2</v>
      </c>
      <c r="Z149">
        <f t="shared" ca="1" si="38"/>
        <v>8.4017859330643721E-2</v>
      </c>
      <c r="AA149">
        <f t="shared" ca="1" si="39"/>
        <v>-1.5134190258420735E-2</v>
      </c>
      <c r="AB149">
        <f t="shared" ca="1" si="40"/>
        <v>11.004700000000007</v>
      </c>
    </row>
    <row r="150" spans="1:28" x14ac:dyDescent="0.25">
      <c r="A150" s="20">
        <f t="shared" ca="1" si="41"/>
        <v>45915</v>
      </c>
      <c r="B150" vm="415">
        <f ca="1"/>
        <v>45918</v>
      </c>
      <c r="C150" vm="369">
        <f ca="1"/>
        <v>11.74</v>
      </c>
      <c r="D150" vm="416">
        <f ca="1"/>
        <v>55040063</v>
      </c>
      <c r="E150">
        <f t="shared" ca="1" si="42"/>
        <v>646170339.62</v>
      </c>
      <c r="F150">
        <f ca="1">SUM($E$2:E150)/SUM($D$2:D150)</f>
        <v>10.315364711668556</v>
      </c>
      <c r="G150">
        <f ca="1">_xlfn.STDEV.P($C$2:C150)</f>
        <v>0.82709562703070905</v>
      </c>
      <c r="H150">
        <f t="shared" ca="1" si="43"/>
        <v>11.142460338699266</v>
      </c>
      <c r="I150">
        <f t="shared" ca="1" si="44"/>
        <v>9.4882690846378459</v>
      </c>
      <c r="J150">
        <f t="shared" ref="J150:J213" ca="1" si="53">AVERAGE(C131:C150)</f>
        <v>11.680499999999999</v>
      </c>
      <c r="K150">
        <f t="shared" ref="K150:K213" ca="1" si="54">_xlfn.STDEV.S(C131:C150)</f>
        <v>0.13785862323409448</v>
      </c>
      <c r="L150">
        <f t="shared" ref="L150:L213" ca="1" si="55">J150 + 2*K150</f>
        <v>11.956217246468187</v>
      </c>
      <c r="M150">
        <f t="shared" ref="M150:M213" ca="1" si="56">J150-2*K150</f>
        <v>11.40478275353181</v>
      </c>
      <c r="N150">
        <f t="shared" ca="1" si="45"/>
        <v>8.0000000000000071E-2</v>
      </c>
      <c r="O150">
        <f t="shared" ca="1" si="46"/>
        <v>8.0000000000000071E-2</v>
      </c>
      <c r="P150">
        <f t="shared" ca="1" si="47"/>
        <v>0</v>
      </c>
      <c r="Q150">
        <f t="shared" ca="1" si="51"/>
        <v>5.8727191995745706E-2</v>
      </c>
      <c r="R150">
        <f t="shared" ca="1" si="52"/>
        <v>4.6610176559175778E-2</v>
      </c>
      <c r="S150">
        <f t="shared" ca="1" si="49"/>
        <v>1.2599650190379841</v>
      </c>
      <c r="T150">
        <f t="shared" ca="1" si="50"/>
        <v>55.75152749816997</v>
      </c>
      <c r="U150">
        <f>70</f>
        <v>70</v>
      </c>
      <c r="V150">
        <f>30</f>
        <v>30</v>
      </c>
      <c r="W150">
        <f t="shared" ca="1" si="48"/>
        <v>11.657548674887245</v>
      </c>
      <c r="X150">
        <f t="shared" ca="1" si="37"/>
        <v>11.588665005815022</v>
      </c>
      <c r="Y150">
        <f t="shared" ca="1" si="36"/>
        <v>6.0785839178430834E-2</v>
      </c>
      <c r="Z150">
        <f t="shared" ca="1" si="38"/>
        <v>7.9371455300201149E-2</v>
      </c>
      <c r="AA150">
        <f t="shared" ca="1" si="39"/>
        <v>-1.8585616121770315E-2</v>
      </c>
      <c r="AB150">
        <f t="shared" ca="1" si="40"/>
        <v>11.021700000000008</v>
      </c>
    </row>
    <row r="151" spans="1:28" x14ac:dyDescent="0.25">
      <c r="A151" s="20">
        <f t="shared" ca="1" si="41"/>
        <v>45915</v>
      </c>
      <c r="B151" vm="417">
        <f ca="1"/>
        <v>45919</v>
      </c>
      <c r="C151" vm="388">
        <f ca="1"/>
        <v>11.62</v>
      </c>
      <c r="D151" vm="418">
        <f ca="1"/>
        <v>71676341</v>
      </c>
      <c r="E151">
        <f t="shared" ca="1" si="42"/>
        <v>832879082.41999996</v>
      </c>
      <c r="F151">
        <f ca="1">SUM($E$2:E151)/SUM($D$2:D151)</f>
        <v>10.321830615156337</v>
      </c>
      <c r="G151">
        <f ca="1">_xlfn.STDEV.P($C$2:C151)</f>
        <v>0.82875287564441602</v>
      </c>
      <c r="H151">
        <f t="shared" ca="1" si="43"/>
        <v>11.150583490800752</v>
      </c>
      <c r="I151">
        <f t="shared" ca="1" si="44"/>
        <v>9.4930777395119215</v>
      </c>
      <c r="J151">
        <f t="shared" ca="1" si="53"/>
        <v>11.695</v>
      </c>
      <c r="K151">
        <f t="shared" ca="1" si="54"/>
        <v>0.11185046408392545</v>
      </c>
      <c r="L151">
        <f t="shared" ca="1" si="55"/>
        <v>11.918700928167851</v>
      </c>
      <c r="M151">
        <f t="shared" ca="1" si="56"/>
        <v>11.471299071832149</v>
      </c>
      <c r="N151">
        <f t="shared" ca="1" si="45"/>
        <v>-0.12000000000000099</v>
      </c>
      <c r="O151">
        <f t="shared" ca="1" si="46"/>
        <v>0</v>
      </c>
      <c r="P151">
        <f t="shared" ca="1" si="47"/>
        <v>0.12000000000000099</v>
      </c>
      <c r="Q151">
        <f t="shared" ca="1" si="51"/>
        <v>5.4532392567478154E-2</v>
      </c>
      <c r="R151">
        <f t="shared" ca="1" si="52"/>
        <v>5.1852306804949011E-2</v>
      </c>
      <c r="S151">
        <f t="shared" ca="1" si="49"/>
        <v>1.0516869147714243</v>
      </c>
      <c r="T151">
        <f t="shared" ca="1" si="50"/>
        <v>51.259619935168871</v>
      </c>
      <c r="U151">
        <f>70</f>
        <v>70</v>
      </c>
      <c r="V151">
        <f>30</f>
        <v>30</v>
      </c>
      <c r="W151">
        <f t="shared" ca="1" si="48"/>
        <v>11.651771955673821</v>
      </c>
      <c r="X151">
        <f t="shared" ca="1" si="37"/>
        <v>11.59098611649539</v>
      </c>
      <c r="Y151">
        <f t="shared" ca="1" si="36"/>
        <v>5.6939552632828239E-2</v>
      </c>
      <c r="Z151">
        <f t="shared" ca="1" si="38"/>
        <v>7.4885074766726581E-2</v>
      </c>
      <c r="AA151">
        <f t="shared" ca="1" si="39"/>
        <v>-1.7945522133898342E-2</v>
      </c>
      <c r="AB151">
        <f t="shared" ca="1" si="40"/>
        <v>11.037700000000006</v>
      </c>
    </row>
    <row r="152" spans="1:28" x14ac:dyDescent="0.25">
      <c r="A152" s="20">
        <f t="shared" ca="1" si="41"/>
        <v>45922</v>
      </c>
      <c r="B152" vm="419">
        <f ca="1"/>
        <v>45922</v>
      </c>
      <c r="C152" vm="413">
        <f ca="1"/>
        <v>11.66</v>
      </c>
      <c r="D152" vm="420">
        <f ca="1"/>
        <v>58432710</v>
      </c>
      <c r="E152">
        <f t="shared" ca="1" si="42"/>
        <v>681325398.60000002</v>
      </c>
      <c r="F152">
        <f ca="1">SUM($E$2:E152)/SUM($D$2:D152)</f>
        <v>10.327215547065746</v>
      </c>
      <c r="G152">
        <f ca="1">_xlfn.STDEV.P($C$2:C152)</f>
        <v>0.83066395968552909</v>
      </c>
      <c r="H152">
        <f t="shared" ca="1" si="43"/>
        <v>11.157879506751275</v>
      </c>
      <c r="I152">
        <f t="shared" ca="1" si="44"/>
        <v>9.4965515873802175</v>
      </c>
      <c r="J152">
        <f t="shared" ca="1" si="53"/>
        <v>11.690999999999999</v>
      </c>
      <c r="K152">
        <f t="shared" ca="1" si="54"/>
        <v>0.11158664323013055</v>
      </c>
      <c r="L152">
        <f t="shared" ca="1" si="55"/>
        <v>11.91417328646026</v>
      </c>
      <c r="M152">
        <f t="shared" ca="1" si="56"/>
        <v>11.467826713539738</v>
      </c>
      <c r="N152">
        <f t="shared" ca="1" si="45"/>
        <v>4.0000000000000924E-2</v>
      </c>
      <c r="O152">
        <f t="shared" ca="1" si="46"/>
        <v>4.0000000000000924E-2</v>
      </c>
      <c r="P152">
        <f t="shared" ca="1" si="47"/>
        <v>0</v>
      </c>
      <c r="Q152">
        <f t="shared" ca="1" si="51"/>
        <v>5.3494364526944067E-2</v>
      </c>
      <c r="R152">
        <f t="shared" ca="1" si="52"/>
        <v>4.8148570604595507E-2</v>
      </c>
      <c r="S152">
        <f t="shared" ca="1" si="49"/>
        <v>1.1110270534560445</v>
      </c>
      <c r="T152">
        <f t="shared" ca="1" si="50"/>
        <v>52.629692814080187</v>
      </c>
      <c r="U152">
        <f>70</f>
        <v>70</v>
      </c>
      <c r="V152">
        <f>30</f>
        <v>30</v>
      </c>
      <c r="W152">
        <f t="shared" ca="1" si="48"/>
        <v>11.653037808647079</v>
      </c>
      <c r="X152">
        <f t="shared" ca="1" si="37"/>
        <v>11.596098256014251</v>
      </c>
      <c r="Y152">
        <f t="shared" ca="1" si="36"/>
        <v>5.8861242061398755E-2</v>
      </c>
      <c r="Z152">
        <f t="shared" ca="1" si="38"/>
        <v>7.1680308225661016E-2</v>
      </c>
      <c r="AA152">
        <f t="shared" ca="1" si="39"/>
        <v>-1.2819066164262261E-2</v>
      </c>
      <c r="AB152">
        <f t="shared" ca="1" si="40"/>
        <v>11.052800000000005</v>
      </c>
    </row>
    <row r="153" spans="1:28" x14ac:dyDescent="0.25">
      <c r="A153" s="20">
        <f t="shared" ca="1" si="41"/>
        <v>45922</v>
      </c>
      <c r="B153" vm="421">
        <f ca="1"/>
        <v>45923</v>
      </c>
      <c r="C153" vm="422">
        <f ca="1"/>
        <v>11.73</v>
      </c>
      <c r="D153" vm="423">
        <f ca="1"/>
        <v>55667552</v>
      </c>
      <c r="E153">
        <f t="shared" ca="1" si="42"/>
        <v>652980384.96000004</v>
      </c>
      <c r="F153">
        <f ca="1">SUM($E$2:E153)/SUM($D$2:D153)</f>
        <v>10.332572827799764</v>
      </c>
      <c r="G153">
        <f ca="1">_xlfn.STDEV.P($C$2:C153)</f>
        <v>0.83309537576717696</v>
      </c>
      <c r="H153">
        <f t="shared" ca="1" si="43"/>
        <v>11.165668203566941</v>
      </c>
      <c r="I153">
        <f t="shared" ca="1" si="44"/>
        <v>9.4994774520325862</v>
      </c>
      <c r="J153">
        <f t="shared" ca="1" si="53"/>
        <v>11.686499999999999</v>
      </c>
      <c r="K153">
        <f t="shared" ca="1" si="54"/>
        <v>0.10786321747570181</v>
      </c>
      <c r="L153">
        <f t="shared" ca="1" si="55"/>
        <v>11.902226434951402</v>
      </c>
      <c r="M153">
        <f t="shared" ca="1" si="56"/>
        <v>11.470773565048596</v>
      </c>
      <c r="N153">
        <f t="shared" ca="1" si="45"/>
        <v>7.0000000000000284E-2</v>
      </c>
      <c r="O153">
        <f t="shared" ca="1" si="46"/>
        <v>7.0000000000000284E-2</v>
      </c>
      <c r="P153">
        <f t="shared" ca="1" si="47"/>
        <v>0</v>
      </c>
      <c r="Q153">
        <f t="shared" ca="1" si="51"/>
        <v>5.4673338489305223E-2</v>
      </c>
      <c r="R153">
        <f t="shared" ca="1" si="52"/>
        <v>4.4709386989981545E-2</v>
      </c>
      <c r="S153">
        <f t="shared" ca="1" si="49"/>
        <v>1.2228603917462879</v>
      </c>
      <c r="T153">
        <f t="shared" ca="1" si="50"/>
        <v>55.012919222767913</v>
      </c>
      <c r="U153">
        <f>70</f>
        <v>70</v>
      </c>
      <c r="V153">
        <f>30</f>
        <v>30</v>
      </c>
      <c r="W153">
        <f t="shared" ca="1" si="48"/>
        <v>11.664878145778298</v>
      </c>
      <c r="X153">
        <f t="shared" ca="1" si="37"/>
        <v>11.606016903716899</v>
      </c>
      <c r="Y153">
        <f t="shared" ca="1" si="36"/>
        <v>5.1718847829523185E-2</v>
      </c>
      <c r="Z153">
        <f t="shared" ca="1" si="38"/>
        <v>6.7688016146433452E-2</v>
      </c>
      <c r="AA153">
        <f t="shared" ca="1" si="39"/>
        <v>-1.5969168316910268E-2</v>
      </c>
      <c r="AB153">
        <f t="shared" ca="1" si="40"/>
        <v>11.070000000000007</v>
      </c>
    </row>
    <row r="154" spans="1:28" x14ac:dyDescent="0.25">
      <c r="A154" s="20">
        <f t="shared" ca="1" si="41"/>
        <v>45922</v>
      </c>
      <c r="B154" vm="424">
        <f ca="1"/>
        <v>45924</v>
      </c>
      <c r="C154" vm="425">
        <f ca="1"/>
        <v>11.63</v>
      </c>
      <c r="D154" vm="426">
        <f ca="1"/>
        <v>60193780</v>
      </c>
      <c r="E154">
        <f t="shared" ca="1" si="42"/>
        <v>700053661.4000001</v>
      </c>
      <c r="F154">
        <f ca="1">SUM($E$2:E154)/SUM($D$2:D154)</f>
        <v>10.337908586664801</v>
      </c>
      <c r="G154">
        <f ca="1">_xlfn.STDEV.P($C$2:C154)</f>
        <v>0.83457485372298612</v>
      </c>
      <c r="H154">
        <f t="shared" ca="1" si="43"/>
        <v>11.172483440387786</v>
      </c>
      <c r="I154">
        <f t="shared" ca="1" si="44"/>
        <v>9.5033337329418153</v>
      </c>
      <c r="J154">
        <f t="shared" ca="1" si="53"/>
        <v>11.676</v>
      </c>
      <c r="K154">
        <f t="shared" ca="1" si="54"/>
        <v>0.10220721985003653</v>
      </c>
      <c r="L154">
        <f t="shared" ca="1" si="55"/>
        <v>11.880414439700074</v>
      </c>
      <c r="M154">
        <f t="shared" ca="1" si="56"/>
        <v>11.471585560299927</v>
      </c>
      <c r="N154">
        <f t="shared" ca="1" si="45"/>
        <v>-9.9999999999999645E-2</v>
      </c>
      <c r="O154">
        <f t="shared" ca="1" si="46"/>
        <v>0</v>
      </c>
      <c r="P154">
        <f t="shared" ca="1" si="47"/>
        <v>9.9999999999999645E-2</v>
      </c>
      <c r="Q154">
        <f t="shared" ca="1" si="51"/>
        <v>5.0768100025783421E-2</v>
      </c>
      <c r="R154">
        <f t="shared" ca="1" si="52"/>
        <v>4.8658716490697126E-2</v>
      </c>
      <c r="S154">
        <f t="shared" ca="1" si="49"/>
        <v>1.0433505790373567</v>
      </c>
      <c r="T154">
        <f t="shared" ca="1" si="50"/>
        <v>51.060771937084333</v>
      </c>
      <c r="U154">
        <f>70</f>
        <v>70</v>
      </c>
      <c r="V154">
        <f>30</f>
        <v>30</v>
      </c>
      <c r="W154">
        <f t="shared" ca="1" si="48"/>
        <v>11.659512277197022</v>
      </c>
      <c r="X154">
        <f t="shared" ca="1" si="37"/>
        <v>11.607793429367499</v>
      </c>
      <c r="Y154">
        <f t="shared" ca="1" si="36"/>
        <v>4.4735845535836205E-2</v>
      </c>
      <c r="Z154">
        <f t="shared" ca="1" si="38"/>
        <v>6.3097582024314008E-2</v>
      </c>
      <c r="AA154">
        <f t="shared" ca="1" si="39"/>
        <v>-1.8361736488477803E-2</v>
      </c>
      <c r="AB154">
        <f t="shared" ca="1" si="40"/>
        <v>11.084500000000007</v>
      </c>
    </row>
    <row r="155" spans="1:28" x14ac:dyDescent="0.25">
      <c r="A155" s="20">
        <f t="shared" ca="1" si="41"/>
        <v>45922</v>
      </c>
      <c r="B155" vm="427">
        <f ca="1"/>
        <v>45925</v>
      </c>
      <c r="C155" vm="388">
        <f ca="1"/>
        <v>11.62</v>
      </c>
      <c r="D155" vm="428">
        <f ca="1"/>
        <v>67656337</v>
      </c>
      <c r="E155">
        <f t="shared" ca="1" si="42"/>
        <v>786166635.93999994</v>
      </c>
      <c r="F155">
        <f ca="1">SUM($E$2:E155)/SUM($D$2:D155)</f>
        <v>10.343807692557304</v>
      </c>
      <c r="G155">
        <f ca="1">_xlfn.STDEV.P($C$2:C155)</f>
        <v>0.83589926458655683</v>
      </c>
      <c r="H155">
        <f t="shared" ca="1" si="43"/>
        <v>11.179706957143861</v>
      </c>
      <c r="I155">
        <f t="shared" ca="1" si="44"/>
        <v>9.5079084279707473</v>
      </c>
      <c r="J155">
        <f t="shared" ca="1" si="53"/>
        <v>11.6615</v>
      </c>
      <c r="K155">
        <f t="shared" ca="1" si="54"/>
        <v>8.6649627204834864E-2</v>
      </c>
      <c r="L155">
        <f t="shared" ca="1" si="55"/>
        <v>11.834799254409671</v>
      </c>
      <c r="M155">
        <f t="shared" ca="1" si="56"/>
        <v>11.48820074559033</v>
      </c>
      <c r="N155">
        <f t="shared" ca="1" si="45"/>
        <v>-1.0000000000001563E-2</v>
      </c>
      <c r="O155">
        <f t="shared" ca="1" si="46"/>
        <v>0</v>
      </c>
      <c r="P155">
        <f t="shared" ca="1" si="47"/>
        <v>1.0000000000001563E-2</v>
      </c>
      <c r="Q155">
        <f t="shared" ca="1" si="51"/>
        <v>4.7141807166798888E-2</v>
      </c>
      <c r="R155">
        <f t="shared" ca="1" si="52"/>
        <v>4.5897379598504588E-2</v>
      </c>
      <c r="S155">
        <f t="shared" ca="1" si="49"/>
        <v>1.0271132596061072</v>
      </c>
      <c r="T155">
        <f t="shared" ca="1" si="50"/>
        <v>50.66876528673528</v>
      </c>
      <c r="U155">
        <f>70</f>
        <v>70</v>
      </c>
      <c r="V155">
        <f>30</f>
        <v>30</v>
      </c>
      <c r="W155">
        <f t="shared" ca="1" si="48"/>
        <v>11.653433465320557</v>
      </c>
      <c r="X155">
        <f t="shared" ca="1" si="37"/>
        <v>11.608697619784721</v>
      </c>
      <c r="Y155">
        <f t="shared" ca="1" si="36"/>
        <v>6.9866133248350337E-2</v>
      </c>
      <c r="Z155">
        <f t="shared" ca="1" si="38"/>
        <v>6.4451292269121274E-2</v>
      </c>
      <c r="AA155">
        <f t="shared" ca="1" si="39"/>
        <v>5.414840979229063E-3</v>
      </c>
      <c r="AB155">
        <f t="shared" ca="1" si="40"/>
        <v>11.097900000000005</v>
      </c>
    </row>
    <row r="156" spans="1:28" x14ac:dyDescent="0.25">
      <c r="A156" s="20">
        <f t="shared" ca="1" si="41"/>
        <v>45922</v>
      </c>
      <c r="B156" vm="429">
        <f ca="1"/>
        <v>45926</v>
      </c>
      <c r="C156" vm="430">
        <f ca="1"/>
        <v>12.01</v>
      </c>
      <c r="D156" vm="431">
        <f ca="1"/>
        <v>117681848</v>
      </c>
      <c r="E156">
        <f t="shared" ca="1" si="42"/>
        <v>1413358994.48</v>
      </c>
      <c r="F156">
        <f ca="1">SUM($E$2:E156)/SUM($D$2:D156)</f>
        <v>10.357036825403437</v>
      </c>
      <c r="G156">
        <f ca="1">_xlfn.STDEV.P($C$2:C156)</f>
        <v>0.84075887132318594</v>
      </c>
      <c r="H156">
        <f t="shared" ca="1" si="43"/>
        <v>11.197795696726622</v>
      </c>
      <c r="I156">
        <f t="shared" ca="1" si="44"/>
        <v>9.5162779540802518</v>
      </c>
      <c r="J156">
        <f t="shared" ca="1" si="53"/>
        <v>11.676500000000001</v>
      </c>
      <c r="K156">
        <f t="shared" ca="1" si="54"/>
        <v>0.1163603748795322</v>
      </c>
      <c r="L156">
        <f t="shared" ca="1" si="55"/>
        <v>11.909220749759065</v>
      </c>
      <c r="M156">
        <f t="shared" ca="1" si="56"/>
        <v>11.443779250240937</v>
      </c>
      <c r="N156">
        <f t="shared" ca="1" si="45"/>
        <v>0.39000000000000057</v>
      </c>
      <c r="O156">
        <f t="shared" ca="1" si="46"/>
        <v>0.39000000000000057</v>
      </c>
      <c r="P156">
        <f t="shared" ca="1" si="47"/>
        <v>0</v>
      </c>
      <c r="Q156">
        <f t="shared" ca="1" si="51"/>
        <v>7.1631678083456149E-2</v>
      </c>
      <c r="R156">
        <f t="shared" ca="1" si="52"/>
        <v>4.2618995341468548E-2</v>
      </c>
      <c r="S156">
        <f t="shared" ca="1" si="49"/>
        <v>1.6807453462836108</v>
      </c>
      <c r="T156">
        <f t="shared" ca="1" si="50"/>
        <v>62.696941677570123</v>
      </c>
      <c r="U156">
        <f>70</f>
        <v>70</v>
      </c>
      <c r="V156">
        <f>30</f>
        <v>30</v>
      </c>
      <c r="W156">
        <f t="shared" ca="1" si="48"/>
        <v>11.708289855271239</v>
      </c>
      <c r="X156">
        <f t="shared" ca="1" si="37"/>
        <v>11.638423722022889</v>
      </c>
      <c r="Y156">
        <f t="shared" ref="Y156:Y219" ca="1" si="57">W157-X157</f>
        <v>9.5140676233956611E-2</v>
      </c>
      <c r="Z156">
        <f t="shared" ca="1" si="38"/>
        <v>7.0589169062088342E-2</v>
      </c>
      <c r="AA156">
        <f t="shared" ca="1" si="39"/>
        <v>2.455150717186827E-2</v>
      </c>
      <c r="AB156">
        <f t="shared" ca="1" si="40"/>
        <v>11.116300000000006</v>
      </c>
    </row>
    <row r="157" spans="1:28" x14ac:dyDescent="0.25">
      <c r="A157" s="20">
        <f t="shared" ca="1" si="41"/>
        <v>45929</v>
      </c>
      <c r="B157" vm="432">
        <f ca="1"/>
        <v>45929</v>
      </c>
      <c r="C157" vm="433">
        <f ca="1"/>
        <v>12.09</v>
      </c>
      <c r="D157" vm="434">
        <f ca="1"/>
        <v>83325012</v>
      </c>
      <c r="E157">
        <f t="shared" ca="1" si="42"/>
        <v>1007399395.08</v>
      </c>
      <c r="F157">
        <f ca="1">SUM($E$2:E157)/SUM($D$2:D157)</f>
        <v>10.36672466256784</v>
      </c>
      <c r="G157">
        <f ca="1">_xlfn.STDEV.P($C$2:C157)</f>
        <v>0.84629849919340816</v>
      </c>
      <c r="H157">
        <f t="shared" ca="1" si="43"/>
        <v>11.213023161761248</v>
      </c>
      <c r="I157">
        <f t="shared" ca="1" si="44"/>
        <v>9.5204261633744327</v>
      </c>
      <c r="J157">
        <f t="shared" ca="1" si="53"/>
        <v>11.692500000000001</v>
      </c>
      <c r="K157">
        <f t="shared" ca="1" si="54"/>
        <v>0.14767941808632576</v>
      </c>
      <c r="L157">
        <f t="shared" ca="1" si="55"/>
        <v>11.987858836172652</v>
      </c>
      <c r="M157">
        <f t="shared" ca="1" si="56"/>
        <v>11.397141163827349</v>
      </c>
      <c r="N157">
        <f t="shared" ca="1" si="45"/>
        <v>8.0000000000000071E-2</v>
      </c>
      <c r="O157">
        <f t="shared" ca="1" si="46"/>
        <v>8.0000000000000071E-2</v>
      </c>
      <c r="P157">
        <f t="shared" ca="1" si="47"/>
        <v>0</v>
      </c>
      <c r="Q157">
        <f t="shared" ca="1" si="51"/>
        <v>7.2229415363209287E-2</v>
      </c>
      <c r="R157">
        <f t="shared" ca="1" si="52"/>
        <v>3.9574781388506508E-2</v>
      </c>
      <c r="S157">
        <f t="shared" ca="1" si="49"/>
        <v>1.8251374443267674</v>
      </c>
      <c r="T157">
        <f t="shared" ca="1" si="50"/>
        <v>64.603492052815824</v>
      </c>
      <c r="U157">
        <f>70</f>
        <v>70</v>
      </c>
      <c r="V157">
        <f>30</f>
        <v>30</v>
      </c>
      <c r="W157">
        <f t="shared" ca="1" si="48"/>
        <v>11.767014492921817</v>
      </c>
      <c r="X157">
        <f t="shared" ref="X157:X220" ca="1" si="58">C157*(2/(26+1)) + X156*(1-(2/(26+1)))</f>
        <v>11.67187381668786</v>
      </c>
      <c r="Y157">
        <f t="shared" ca="1" si="57"/>
        <v>0.10348807400063897</v>
      </c>
      <c r="Z157">
        <f t="shared" ca="1" si="38"/>
        <v>7.7168950049798471E-2</v>
      </c>
      <c r="AA157">
        <f t="shared" ca="1" si="39"/>
        <v>2.6319123950840503E-2</v>
      </c>
      <c r="AB157">
        <f t="shared" ca="1" si="40"/>
        <v>11.132800000000001</v>
      </c>
    </row>
    <row r="158" spans="1:28" x14ac:dyDescent="0.25">
      <c r="A158" s="20">
        <f t="shared" ca="1" si="41"/>
        <v>45929</v>
      </c>
      <c r="B158" vm="435">
        <f ca="1"/>
        <v>45930</v>
      </c>
      <c r="C158" vm="436">
        <f ca="1"/>
        <v>11.96</v>
      </c>
      <c r="D158" vm="437">
        <f ca="1"/>
        <v>70765048</v>
      </c>
      <c r="E158">
        <f t="shared" ca="1" si="42"/>
        <v>846349974.08000004</v>
      </c>
      <c r="F158">
        <f ca="1">SUM($E$2:E158)/SUM($D$2:D158)</f>
        <v>10.374253271544292</v>
      </c>
      <c r="G158">
        <f ca="1">_xlfn.STDEV.P($C$2:C158)</f>
        <v>0.85027394143761093</v>
      </c>
      <c r="H158">
        <f t="shared" ca="1" si="43"/>
        <v>11.224527212981902</v>
      </c>
      <c r="I158">
        <f t="shared" ca="1" si="44"/>
        <v>9.5239793301066822</v>
      </c>
      <c r="J158">
        <f t="shared" ca="1" si="53"/>
        <v>11.704500000000001</v>
      </c>
      <c r="K158">
        <f t="shared" ca="1" si="54"/>
        <v>0.15932340496117037</v>
      </c>
      <c r="L158">
        <f t="shared" ca="1" si="55"/>
        <v>12.023146809922341</v>
      </c>
      <c r="M158">
        <f t="shared" ca="1" si="56"/>
        <v>11.385853190077661</v>
      </c>
      <c r="N158">
        <f t="shared" ca="1" si="45"/>
        <v>-0.12999999999999901</v>
      </c>
      <c r="O158">
        <f t="shared" ca="1" si="46"/>
        <v>0</v>
      </c>
      <c r="P158">
        <f t="shared" ca="1" si="47"/>
        <v>0.12999999999999901</v>
      </c>
      <c r="Q158">
        <f t="shared" ca="1" si="51"/>
        <v>6.707017140869434E-2</v>
      </c>
      <c r="R158">
        <f t="shared" ca="1" si="52"/>
        <v>4.6033725575041692E-2</v>
      </c>
      <c r="S158">
        <f t="shared" ca="1" si="49"/>
        <v>1.4569789990028108</v>
      </c>
      <c r="T158">
        <f t="shared" ca="1" si="50"/>
        <v>59.299611416871699</v>
      </c>
      <c r="U158">
        <f>70</f>
        <v>70</v>
      </c>
      <c r="V158">
        <f>30</f>
        <v>30</v>
      </c>
      <c r="W158">
        <f t="shared" ca="1" si="48"/>
        <v>11.796704570933844</v>
      </c>
      <c r="X158">
        <f t="shared" ca="1" si="58"/>
        <v>11.693216496933205</v>
      </c>
      <c r="Y158">
        <f t="shared" ca="1" si="57"/>
        <v>0.13357805146455881</v>
      </c>
      <c r="Z158">
        <f t="shared" ca="1" si="38"/>
        <v>8.8450770332750547E-2</v>
      </c>
      <c r="AA158">
        <f t="shared" ca="1" si="39"/>
        <v>4.5127281131808264E-2</v>
      </c>
      <c r="AB158">
        <f t="shared" ca="1" si="40"/>
        <v>11.149600000000005</v>
      </c>
    </row>
    <row r="159" spans="1:28" x14ac:dyDescent="0.25">
      <c r="A159" s="20">
        <f t="shared" ca="1" si="41"/>
        <v>45929</v>
      </c>
      <c r="B159" vm="438">
        <f ca="1"/>
        <v>45931</v>
      </c>
      <c r="C159" vm="439">
        <f ca="1"/>
        <v>12.27</v>
      </c>
      <c r="D159" vm="440">
        <f ca="1"/>
        <v>73578427</v>
      </c>
      <c r="E159">
        <f t="shared" ca="1" si="42"/>
        <v>902807299.28999996</v>
      </c>
      <c r="F159">
        <f ca="1">SUM($E$2:E159)/SUM($D$2:D159)</f>
        <v>10.383521727882972</v>
      </c>
      <c r="G159">
        <f ca="1">_xlfn.STDEV.P($C$2:C159)</f>
        <v>0.85747635221049923</v>
      </c>
      <c r="H159">
        <f t="shared" ca="1" si="43"/>
        <v>11.240998080093471</v>
      </c>
      <c r="I159">
        <f t="shared" ca="1" si="44"/>
        <v>9.5260453756724726</v>
      </c>
      <c r="J159">
        <f t="shared" ca="1" si="53"/>
        <v>11.737</v>
      </c>
      <c r="K159">
        <f t="shared" ca="1" si="54"/>
        <v>0.20181022873247195</v>
      </c>
      <c r="L159">
        <f t="shared" ca="1" si="55"/>
        <v>12.140620457464944</v>
      </c>
      <c r="M159">
        <f t="shared" ca="1" si="56"/>
        <v>11.333379542535056</v>
      </c>
      <c r="N159">
        <f t="shared" ca="1" si="45"/>
        <v>0.30999999999999872</v>
      </c>
      <c r="O159">
        <f t="shared" ca="1" si="46"/>
        <v>0.30999999999999872</v>
      </c>
      <c r="P159">
        <f t="shared" ca="1" si="47"/>
        <v>0</v>
      </c>
      <c r="Q159">
        <f t="shared" ca="1" si="51"/>
        <v>8.4422302022358925E-2</v>
      </c>
      <c r="R159">
        <f t="shared" ca="1" si="52"/>
        <v>4.2745602319681567E-2</v>
      </c>
      <c r="S159">
        <f t="shared" ca="1" si="49"/>
        <v>1.974993857636858</v>
      </c>
      <c r="T159">
        <f t="shared" ca="1" si="50"/>
        <v>66.386485221373363</v>
      </c>
      <c r="U159">
        <f>70</f>
        <v>70</v>
      </c>
      <c r="V159">
        <f>30</f>
        <v>30</v>
      </c>
      <c r="W159">
        <f t="shared" ca="1" si="48"/>
        <v>11.869519252328638</v>
      </c>
      <c r="X159">
        <f t="shared" ca="1" si="58"/>
        <v>11.73594120086408</v>
      </c>
      <c r="Y159">
        <f t="shared" ca="1" si="57"/>
        <v>0.15164195914752021</v>
      </c>
      <c r="Z159">
        <f t="shared" ca="1" si="38"/>
        <v>0.10108900809570448</v>
      </c>
      <c r="AA159">
        <f t="shared" ca="1" si="39"/>
        <v>5.0552951051815731E-2</v>
      </c>
      <c r="AB159">
        <f t="shared" ca="1" si="40"/>
        <v>11.169500000000003</v>
      </c>
    </row>
    <row r="160" spans="1:28" x14ac:dyDescent="0.25">
      <c r="A160" s="20">
        <f t="shared" ca="1" si="41"/>
        <v>45929</v>
      </c>
      <c r="B160" vm="441">
        <f ca="1"/>
        <v>45932</v>
      </c>
      <c r="C160" vm="442">
        <f ca="1"/>
        <v>12.22</v>
      </c>
      <c r="D160" vm="443">
        <f ca="1"/>
        <v>74530532</v>
      </c>
      <c r="E160">
        <f t="shared" ca="1" si="42"/>
        <v>910763101.04000008</v>
      </c>
      <c r="F160">
        <f ca="1">SUM($E$2:E160)/SUM($D$2:D160)</f>
        <v>10.392571781295393</v>
      </c>
      <c r="G160">
        <f ca="1">_xlfn.STDEV.P($C$2:C160)</f>
        <v>0.8638277022172387</v>
      </c>
      <c r="H160">
        <f t="shared" ca="1" si="43"/>
        <v>11.256399483512631</v>
      </c>
      <c r="I160">
        <f t="shared" ca="1" si="44"/>
        <v>9.5287440790781552</v>
      </c>
      <c r="J160">
        <f t="shared" ca="1" si="53"/>
        <v>11.763999999999999</v>
      </c>
      <c r="K160">
        <f t="shared" ca="1" si="54"/>
        <v>0.22818275224269838</v>
      </c>
      <c r="L160">
        <f t="shared" ca="1" si="55"/>
        <v>12.220365504485397</v>
      </c>
      <c r="M160">
        <f t="shared" ca="1" si="56"/>
        <v>11.307634495514602</v>
      </c>
      <c r="N160">
        <f t="shared" ca="1" si="45"/>
        <v>-4.9999999999998934E-2</v>
      </c>
      <c r="O160">
        <f t="shared" ca="1" si="46"/>
        <v>0</v>
      </c>
      <c r="P160">
        <f t="shared" ca="1" si="47"/>
        <v>4.9999999999998934E-2</v>
      </c>
      <c r="Q160">
        <f t="shared" ca="1" si="51"/>
        <v>7.8392137592190436E-2</v>
      </c>
      <c r="R160">
        <f t="shared" ca="1" si="52"/>
        <v>4.326377358256138E-2</v>
      </c>
      <c r="S160">
        <f t="shared" ca="1" si="49"/>
        <v>1.8119579292498074</v>
      </c>
      <c r="T160">
        <f t="shared" ca="1" si="50"/>
        <v>64.437590278358584</v>
      </c>
      <c r="U160">
        <f>70</f>
        <v>70</v>
      </c>
      <c r="V160">
        <f>30</f>
        <v>30</v>
      </c>
      <c r="W160">
        <f t="shared" ca="1" si="48"/>
        <v>11.923439367355002</v>
      </c>
      <c r="X160">
        <f t="shared" ca="1" si="58"/>
        <v>11.771797408207481</v>
      </c>
      <c r="Y160">
        <f t="shared" ca="1" si="57"/>
        <v>0.19996391577494066</v>
      </c>
      <c r="Z160">
        <f t="shared" ca="1" si="38"/>
        <v>0.12086398963155173</v>
      </c>
      <c r="AA160">
        <f t="shared" ca="1" si="39"/>
        <v>7.9099926143388927E-2</v>
      </c>
      <c r="AB160">
        <f t="shared" ca="1" si="40"/>
        <v>11.187400000000004</v>
      </c>
    </row>
    <row r="161" spans="1:28" x14ac:dyDescent="0.25">
      <c r="A161" s="20">
        <f t="shared" ca="1" si="41"/>
        <v>45929</v>
      </c>
      <c r="B161" vm="444">
        <f ca="1"/>
        <v>45933</v>
      </c>
      <c r="C161" vm="445">
        <f ca="1"/>
        <v>12.67</v>
      </c>
      <c r="D161" vm="446">
        <f ca="1"/>
        <v>100778558</v>
      </c>
      <c r="E161">
        <f t="shared" ca="1" si="42"/>
        <v>1276864329.8599999</v>
      </c>
      <c r="F161">
        <f ca="1">SUM($E$2:E161)/SUM($D$2:D161)</f>
        <v>10.407646862589077</v>
      </c>
      <c r="G161">
        <f ca="1">_xlfn.STDEV.P($C$2:C161)</f>
        <v>0.87568399828005916</v>
      </c>
      <c r="H161">
        <f t="shared" ca="1" si="43"/>
        <v>11.283330860869137</v>
      </c>
      <c r="I161">
        <f t="shared" ca="1" si="44"/>
        <v>9.5319628643090173</v>
      </c>
      <c r="J161">
        <f t="shared" ca="1" si="53"/>
        <v>11.810499999999999</v>
      </c>
      <c r="K161">
        <f t="shared" ca="1" si="54"/>
        <v>0.3048981710946167</v>
      </c>
      <c r="L161">
        <f t="shared" ca="1" si="55"/>
        <v>12.420296342189232</v>
      </c>
      <c r="M161">
        <f t="shared" ca="1" si="56"/>
        <v>11.200703657810767</v>
      </c>
      <c r="N161">
        <f t="shared" ca="1" si="45"/>
        <v>0.44999999999999929</v>
      </c>
      <c r="O161">
        <f t="shared" ca="1" si="46"/>
        <v>0.44999999999999929</v>
      </c>
      <c r="P161">
        <f t="shared" ca="1" si="47"/>
        <v>0</v>
      </c>
      <c r="Q161">
        <f t="shared" ca="1" si="51"/>
        <v>0.10493555633560536</v>
      </c>
      <c r="R161">
        <f t="shared" ca="1" si="52"/>
        <v>4.0173504040949846E-2</v>
      </c>
      <c r="S161">
        <f t="shared" ca="1" si="49"/>
        <v>2.6120588392947242</v>
      </c>
      <c r="T161">
        <f t="shared" ca="1" si="50"/>
        <v>72.314958186139194</v>
      </c>
      <c r="U161">
        <f>70</f>
        <v>70</v>
      </c>
      <c r="V161">
        <f>30</f>
        <v>30</v>
      </c>
      <c r="W161">
        <f t="shared" ca="1" si="48"/>
        <v>12.038294849300387</v>
      </c>
      <c r="X161">
        <f t="shared" ca="1" si="58"/>
        <v>11.838330933525446</v>
      </c>
      <c r="Y161">
        <f t="shared" ca="1" si="57"/>
        <v>0.23793736993289194</v>
      </c>
      <c r="Z161">
        <f t="shared" ca="1" si="38"/>
        <v>0.1442786656918198</v>
      </c>
      <c r="AA161">
        <f t="shared" ca="1" si="39"/>
        <v>9.3658704241072144E-2</v>
      </c>
      <c r="AB161">
        <f t="shared" ca="1" si="40"/>
        <v>11.208600000000004</v>
      </c>
    </row>
    <row r="162" spans="1:28" x14ac:dyDescent="0.25">
      <c r="A162" s="20">
        <f t="shared" ca="1" si="41"/>
        <v>45936</v>
      </c>
      <c r="B162" vm="447">
        <f ca="1"/>
        <v>45936</v>
      </c>
      <c r="C162" vm="448">
        <f ca="1"/>
        <v>12.7</v>
      </c>
      <c r="D162" vm="449">
        <f ca="1"/>
        <v>90544937</v>
      </c>
      <c r="E162">
        <f t="shared" ca="1" si="42"/>
        <v>1149920699.8999999</v>
      </c>
      <c r="F162">
        <f ca="1">SUM($E$2:E162)/SUM($D$2:D162)</f>
        <v>10.421199297833958</v>
      </c>
      <c r="G162">
        <f ca="1">_xlfn.STDEV.P($C$2:C162)</f>
        <v>0.88748320218770815</v>
      </c>
      <c r="H162">
        <f t="shared" ca="1" si="43"/>
        <v>11.308682500021666</v>
      </c>
      <c r="I162">
        <f t="shared" ca="1" si="44"/>
        <v>9.5337160956462501</v>
      </c>
      <c r="J162">
        <f t="shared" ca="1" si="53"/>
        <v>11.860999999999999</v>
      </c>
      <c r="K162">
        <f t="shared" ca="1" si="54"/>
        <v>0.36215582572321425</v>
      </c>
      <c r="L162">
        <f t="shared" ca="1" si="55"/>
        <v>12.585311651446428</v>
      </c>
      <c r="M162">
        <f t="shared" ca="1" si="56"/>
        <v>11.136688348553569</v>
      </c>
      <c r="N162">
        <f t="shared" ca="1" si="45"/>
        <v>2.9999999999999361E-2</v>
      </c>
      <c r="O162">
        <f t="shared" ca="1" si="46"/>
        <v>2.9999999999999361E-2</v>
      </c>
      <c r="P162">
        <f t="shared" ca="1" si="47"/>
        <v>0</v>
      </c>
      <c r="Q162">
        <f t="shared" ca="1" si="51"/>
        <v>9.9583016597347793E-2</v>
      </c>
      <c r="R162">
        <f t="shared" ca="1" si="52"/>
        <v>3.7303968038024861E-2</v>
      </c>
      <c r="S162">
        <f t="shared" ca="1" si="49"/>
        <v>2.6695019815543577</v>
      </c>
      <c r="T162">
        <f t="shared" ca="1" si="50"/>
        <v>72.748345551337962</v>
      </c>
      <c r="U162">
        <f>70</f>
        <v>70</v>
      </c>
      <c r="V162">
        <f>30</f>
        <v>30</v>
      </c>
      <c r="W162">
        <f t="shared" ca="1" si="48"/>
        <v>12.140095641715712</v>
      </c>
      <c r="X162">
        <f t="shared" ca="1" si="58"/>
        <v>11.90215827178282</v>
      </c>
      <c r="Y162">
        <f t="shared" ca="1" si="57"/>
        <v>0.20275489247906009</v>
      </c>
      <c r="Z162">
        <f t="shared" ca="1" si="38"/>
        <v>0.15597391104926786</v>
      </c>
      <c r="AA162">
        <f t="shared" ca="1" si="39"/>
        <v>4.6780981429792229E-2</v>
      </c>
      <c r="AB162">
        <f t="shared" ca="1" si="40"/>
        <v>11.229600000000005</v>
      </c>
    </row>
    <row r="163" spans="1:28" x14ac:dyDescent="0.25">
      <c r="A163" s="20">
        <f t="shared" ca="1" si="41"/>
        <v>45936</v>
      </c>
      <c r="B163" vm="450">
        <f ca="1"/>
        <v>45937</v>
      </c>
      <c r="C163" vm="451">
        <f ca="1"/>
        <v>11.92</v>
      </c>
      <c r="D163" vm="452">
        <f ca="1"/>
        <v>154390154</v>
      </c>
      <c r="E163">
        <f t="shared" ca="1" si="42"/>
        <v>1840330635.6800001</v>
      </c>
      <c r="F163">
        <f ca="1">SUM($E$2:E163)/SUM($D$2:D163)</f>
        <v>10.436157488273548</v>
      </c>
      <c r="G163">
        <f ca="1">_xlfn.STDEV.P($C$2:C163)</f>
        <v>0.89007645506974975</v>
      </c>
      <c r="H163">
        <f t="shared" ca="1" si="43"/>
        <v>11.326233943343297</v>
      </c>
      <c r="I163">
        <f t="shared" ca="1" si="44"/>
        <v>9.546081033203798</v>
      </c>
      <c r="J163">
        <f t="shared" ca="1" si="53"/>
        <v>11.882499999999999</v>
      </c>
      <c r="K163">
        <f t="shared" ca="1" si="54"/>
        <v>0.35158101559429478</v>
      </c>
      <c r="L163">
        <f t="shared" ca="1" si="55"/>
        <v>12.585662031188589</v>
      </c>
      <c r="M163">
        <f t="shared" ca="1" si="56"/>
        <v>11.179337968811408</v>
      </c>
      <c r="N163">
        <f t="shared" ca="1" si="45"/>
        <v>-0.77999999999999936</v>
      </c>
      <c r="O163">
        <f t="shared" ca="1" si="46"/>
        <v>0</v>
      </c>
      <c r="P163">
        <f t="shared" ca="1" si="47"/>
        <v>0.77999999999999936</v>
      </c>
      <c r="Q163">
        <f t="shared" ca="1" si="51"/>
        <v>9.2469943983251521E-2</v>
      </c>
      <c r="R163">
        <f t="shared" ca="1" si="52"/>
        <v>9.0353684606737331E-2</v>
      </c>
      <c r="S163">
        <f t="shared" ca="1" si="49"/>
        <v>1.0234219488195215</v>
      </c>
      <c r="T163">
        <f t="shared" ca="1" si="50"/>
        <v>50.578770751033566</v>
      </c>
      <c r="U163">
        <f>70</f>
        <v>70</v>
      </c>
      <c r="V163">
        <f>30</f>
        <v>30</v>
      </c>
      <c r="W163">
        <f t="shared" ca="1" si="48"/>
        <v>12.10623477375945</v>
      </c>
      <c r="X163">
        <f t="shared" ca="1" si="58"/>
        <v>11.90347988128039</v>
      </c>
      <c r="Y163">
        <f t="shared" ca="1" si="57"/>
        <v>0.15852070196703671</v>
      </c>
      <c r="Z163">
        <f t="shared" ca="1" si="38"/>
        <v>0.15648326923282163</v>
      </c>
      <c r="AA163">
        <f t="shared" ca="1" si="39"/>
        <v>2.0374327342150833E-3</v>
      </c>
      <c r="AB163">
        <f t="shared" ca="1" si="40"/>
        <v>11.242300000000006</v>
      </c>
    </row>
    <row r="164" spans="1:28" x14ac:dyDescent="0.25">
      <c r="A164" s="20">
        <f t="shared" ca="1" si="41"/>
        <v>45936</v>
      </c>
      <c r="B164" vm="453">
        <f ca="1"/>
        <v>45938</v>
      </c>
      <c r="C164" vm="369">
        <f ca="1"/>
        <v>11.74</v>
      </c>
      <c r="D164" vm="454">
        <f ca="1"/>
        <v>78469653</v>
      </c>
      <c r="E164">
        <f t="shared" ca="1" si="42"/>
        <v>921233726.22000003</v>
      </c>
      <c r="F164">
        <f ca="1">SUM($E$2:E164)/SUM($D$2:D164)</f>
        <v>10.442737778862664</v>
      </c>
      <c r="G164">
        <f ca="1">_xlfn.STDEV.P($C$2:C164)</f>
        <v>0.8911569142779977</v>
      </c>
      <c r="H164">
        <f t="shared" ca="1" si="43"/>
        <v>11.333894693140662</v>
      </c>
      <c r="I164">
        <f t="shared" ca="1" si="44"/>
        <v>9.5515808645846665</v>
      </c>
      <c r="J164">
        <f t="shared" ca="1" si="53"/>
        <v>11.898499999999999</v>
      </c>
      <c r="K164">
        <f t="shared" ca="1" si="54"/>
        <v>0.33637815499508095</v>
      </c>
      <c r="L164">
        <f t="shared" ca="1" si="55"/>
        <v>12.57125630999016</v>
      </c>
      <c r="M164">
        <f t="shared" ca="1" si="56"/>
        <v>11.225743690009837</v>
      </c>
      <c r="N164">
        <f t="shared" ca="1" si="45"/>
        <v>-0.17999999999999972</v>
      </c>
      <c r="O164">
        <f t="shared" ca="1" si="46"/>
        <v>0</v>
      </c>
      <c r="P164">
        <f t="shared" ca="1" si="47"/>
        <v>0.17999999999999972</v>
      </c>
      <c r="Q164">
        <f t="shared" ca="1" si="51"/>
        <v>8.586494798444784E-2</v>
      </c>
      <c r="R164">
        <f t="shared" ca="1" si="52"/>
        <v>9.675699284911321E-2</v>
      </c>
      <c r="S164">
        <f t="shared" ca="1" si="49"/>
        <v>0.88742886127464848</v>
      </c>
      <c r="T164">
        <f t="shared" ca="1" si="50"/>
        <v>47.01787068548564</v>
      </c>
      <c r="U164">
        <f>70</f>
        <v>70</v>
      </c>
      <c r="V164">
        <f>30</f>
        <v>30</v>
      </c>
      <c r="W164">
        <f t="shared" ca="1" si="48"/>
        <v>12.049890962411842</v>
      </c>
      <c r="X164">
        <f t="shared" ca="1" si="58"/>
        <v>11.891370260444805</v>
      </c>
      <c r="Y164">
        <f t="shared" ca="1" si="57"/>
        <v>0.10291248202779357</v>
      </c>
      <c r="Z164">
        <f t="shared" ca="1" si="38"/>
        <v>0.14576911179181601</v>
      </c>
      <c r="AA164">
        <f t="shared" ca="1" si="39"/>
        <v>-4.2856629764022436E-2</v>
      </c>
      <c r="AB164">
        <f t="shared" ca="1" si="40"/>
        <v>11.252200000000007</v>
      </c>
    </row>
    <row r="165" spans="1:28" x14ac:dyDescent="0.25">
      <c r="A165" s="20">
        <f t="shared" ca="1" si="41"/>
        <v>45936</v>
      </c>
      <c r="B165" vm="455">
        <f ca="1"/>
        <v>45939</v>
      </c>
      <c r="C165" vm="456">
        <f ca="1"/>
        <v>11.5</v>
      </c>
      <c r="D165" vm="457">
        <f ca="1"/>
        <v>70320483</v>
      </c>
      <c r="E165">
        <f t="shared" ca="1" si="42"/>
        <v>808685554.5</v>
      </c>
      <c r="F165">
        <f ca="1">SUM($E$2:E165)/SUM($D$2:D165)</f>
        <v>10.447497954716187</v>
      </c>
      <c r="G165">
        <f ca="1">_xlfn.STDEV.P($C$2:C165)</f>
        <v>0.89066198627501791</v>
      </c>
      <c r="H165">
        <f t="shared" ca="1" si="43"/>
        <v>11.338159940991206</v>
      </c>
      <c r="I165">
        <f t="shared" ca="1" si="44"/>
        <v>9.5568359684411686</v>
      </c>
      <c r="J165">
        <f t="shared" ca="1" si="53"/>
        <v>11.885499999999999</v>
      </c>
      <c r="K165">
        <f t="shared" ca="1" si="54"/>
        <v>0.34687287220779345</v>
      </c>
      <c r="L165">
        <f t="shared" ca="1" si="55"/>
        <v>12.579245744415585</v>
      </c>
      <c r="M165">
        <f t="shared" ca="1" si="56"/>
        <v>11.191754255584412</v>
      </c>
      <c r="N165">
        <f t="shared" ca="1" si="45"/>
        <v>-0.24000000000000021</v>
      </c>
      <c r="O165">
        <f t="shared" ca="1" si="46"/>
        <v>0</v>
      </c>
      <c r="P165">
        <f t="shared" ca="1" si="47"/>
        <v>0.24000000000000021</v>
      </c>
      <c r="Q165">
        <f t="shared" ca="1" si="51"/>
        <v>7.973173741413013E-2</v>
      </c>
      <c r="R165">
        <f t="shared" ca="1" si="52"/>
        <v>0.10698863621703371</v>
      </c>
      <c r="S165">
        <f t="shared" ca="1" si="49"/>
        <v>0.74523557111606586</v>
      </c>
      <c r="T165">
        <f t="shared" ca="1" si="50"/>
        <v>42.7011449600178</v>
      </c>
      <c r="U165">
        <f>70</f>
        <v>70</v>
      </c>
      <c r="V165">
        <f>30</f>
        <v>30</v>
      </c>
      <c r="W165">
        <f t="shared" ca="1" si="48"/>
        <v>11.965292352810021</v>
      </c>
      <c r="X165">
        <f t="shared" ca="1" si="58"/>
        <v>11.862379870782227</v>
      </c>
      <c r="Y165">
        <f t="shared" ca="1" si="57"/>
        <v>5.0992509345734405E-2</v>
      </c>
      <c r="Z165">
        <f t="shared" ca="1" si="38"/>
        <v>0.1268137913025997</v>
      </c>
      <c r="AA165">
        <f t="shared" ca="1" si="39"/>
        <v>-7.58212819568653E-2</v>
      </c>
      <c r="AB165">
        <f t="shared" ca="1" si="40"/>
        <v>11.259200000000007</v>
      </c>
    </row>
    <row r="166" spans="1:28" x14ac:dyDescent="0.25">
      <c r="A166" s="20">
        <f t="shared" ca="1" si="41"/>
        <v>45936</v>
      </c>
      <c r="B166" vm="458">
        <f ca="1"/>
        <v>45940</v>
      </c>
      <c r="C166" vm="459">
        <f ca="1"/>
        <v>11.41</v>
      </c>
      <c r="D166" vm="460">
        <f ca="1"/>
        <v>84595402</v>
      </c>
      <c r="E166">
        <f t="shared" ca="1" si="42"/>
        <v>965233536.82000005</v>
      </c>
      <c r="F166">
        <f ca="1">SUM($E$2:E166)/SUM($D$2:D166)</f>
        <v>10.452683099915074</v>
      </c>
      <c r="G166">
        <f ca="1">_xlfn.STDEV.P($C$2:C166)</f>
        <v>0.88968391122445467</v>
      </c>
      <c r="H166">
        <f t="shared" ca="1" si="43"/>
        <v>11.342367011139528</v>
      </c>
      <c r="I166">
        <f t="shared" ca="1" si="44"/>
        <v>9.56299918869062</v>
      </c>
      <c r="J166">
        <f t="shared" ca="1" si="53"/>
        <v>11.872</v>
      </c>
      <c r="K166">
        <f t="shared" ca="1" si="54"/>
        <v>0.36028643575559943</v>
      </c>
      <c r="L166">
        <f t="shared" ca="1" si="55"/>
        <v>12.592572871511198</v>
      </c>
      <c r="M166">
        <f t="shared" ca="1" si="56"/>
        <v>11.151427128488802</v>
      </c>
      <c r="N166">
        <f t="shared" ca="1" si="45"/>
        <v>-8.9999999999999858E-2</v>
      </c>
      <c r="O166">
        <f t="shared" ca="1" si="46"/>
        <v>0</v>
      </c>
      <c r="P166">
        <f t="shared" ca="1" si="47"/>
        <v>8.9999999999999858E-2</v>
      </c>
      <c r="Q166">
        <f t="shared" ca="1" si="51"/>
        <v>7.4036613313120836E-2</v>
      </c>
      <c r="R166">
        <f t="shared" ca="1" si="52"/>
        <v>0.10577516220153128</v>
      </c>
      <c r="S166">
        <f t="shared" ca="1" si="49"/>
        <v>0.69994327375325005</v>
      </c>
      <c r="T166">
        <f t="shared" ca="1" si="50"/>
        <v>41.174507676827815</v>
      </c>
      <c r="U166">
        <f>70</f>
        <v>70</v>
      </c>
      <c r="V166">
        <f>30</f>
        <v>30</v>
      </c>
      <c r="W166">
        <f t="shared" ca="1" si="48"/>
        <v>11.879862760070019</v>
      </c>
      <c r="X166">
        <f t="shared" ca="1" si="58"/>
        <v>11.828870250724284</v>
      </c>
      <c r="Y166">
        <f t="shared" ca="1" si="57"/>
        <v>2.0103727223371948E-2</v>
      </c>
      <c r="Z166">
        <f t="shared" ref="Z166:Z229" ca="1" si="59">Y166*(2/(9+1)) + Z165*(1-(2/(9+1)))</f>
        <v>0.10547177848675415</v>
      </c>
      <c r="AA166">
        <f t="shared" ref="AA166:AA229" ca="1" si="60">Y166-Z166</f>
        <v>-8.5368051263382205E-2</v>
      </c>
      <c r="AB166">
        <f t="shared" ref="AB166:AB229" ca="1" si="61">AVERAGE(C67:C166)</f>
        <v>11.265800000000006</v>
      </c>
    </row>
    <row r="167" spans="1:28" x14ac:dyDescent="0.25">
      <c r="A167" s="20">
        <f t="shared" ca="1" si="41"/>
        <v>45943</v>
      </c>
      <c r="B167" vm="461">
        <f ca="1"/>
        <v>45943</v>
      </c>
      <c r="C167" vm="462">
        <f ca="1"/>
        <v>11.54</v>
      </c>
      <c r="D167" vm="463">
        <f ca="1"/>
        <v>73939384</v>
      </c>
      <c r="E167">
        <f t="shared" ca="1" si="42"/>
        <v>853260491.3599999</v>
      </c>
      <c r="F167">
        <f ca="1">SUM($E$2:E167)/SUM($D$2:D167)</f>
        <v>10.4577788059451</v>
      </c>
      <c r="G167">
        <f ca="1">_xlfn.STDEV.P($C$2:C167)</f>
        <v>0.88937372867880693</v>
      </c>
      <c r="H167">
        <f t="shared" ca="1" si="43"/>
        <v>11.347152534623907</v>
      </c>
      <c r="I167">
        <f t="shared" ca="1" si="44"/>
        <v>9.5684050772662932</v>
      </c>
      <c r="J167">
        <f t="shared" ca="1" si="53"/>
        <v>11.864999999999998</v>
      </c>
      <c r="K167">
        <f t="shared" ca="1" si="54"/>
        <v>0.36553493605082976</v>
      </c>
      <c r="L167">
        <f t="shared" ca="1" si="55"/>
        <v>12.596069872101658</v>
      </c>
      <c r="M167">
        <f t="shared" ca="1" si="56"/>
        <v>11.133930127898338</v>
      </c>
      <c r="N167">
        <f t="shared" ca="1" si="45"/>
        <v>0.12999999999999901</v>
      </c>
      <c r="O167">
        <f t="shared" ca="1" si="46"/>
        <v>0.12999999999999901</v>
      </c>
      <c r="P167">
        <f t="shared" ca="1" si="47"/>
        <v>0</v>
      </c>
      <c r="Q167">
        <f t="shared" ca="1" si="51"/>
        <v>7.8033998076469269E-2</v>
      </c>
      <c r="R167">
        <f t="shared" ca="1" si="52"/>
        <v>9.8219793472850481E-2</v>
      </c>
      <c r="S167">
        <f t="shared" ca="1" si="49"/>
        <v>0.79448342658182347</v>
      </c>
      <c r="T167">
        <f t="shared" ca="1" si="50"/>
        <v>44.273656407915411</v>
      </c>
      <c r="U167">
        <f>70</f>
        <v>70</v>
      </c>
      <c r="V167">
        <f>30</f>
        <v>30</v>
      </c>
      <c r="W167">
        <f t="shared" ca="1" si="48"/>
        <v>11.827576181597708</v>
      </c>
      <c r="X167">
        <f t="shared" ca="1" si="58"/>
        <v>11.807472454374336</v>
      </c>
      <c r="Y167">
        <f t="shared" ca="1" si="57"/>
        <v>4.448940919830946E-3</v>
      </c>
      <c r="Z167">
        <f t="shared" ca="1" si="59"/>
        <v>8.526721097336952E-2</v>
      </c>
      <c r="AA167">
        <f t="shared" ca="1" si="60"/>
        <v>-8.0818270053538574E-2</v>
      </c>
      <c r="AB167">
        <f t="shared" ca="1" si="61"/>
        <v>11.274000000000008</v>
      </c>
    </row>
    <row r="168" spans="1:28" x14ac:dyDescent="0.25">
      <c r="A168" s="20">
        <f t="shared" ca="1" si="41"/>
        <v>45943</v>
      </c>
      <c r="B168" vm="464">
        <f ca="1"/>
        <v>45944</v>
      </c>
      <c r="C168" vm="465">
        <f ca="1"/>
        <v>11.65</v>
      </c>
      <c r="D168" vm="466">
        <f ca="1"/>
        <v>89117946</v>
      </c>
      <c r="E168">
        <f t="shared" ca="1" si="42"/>
        <v>1038224070.9</v>
      </c>
      <c r="F168">
        <f ca="1">SUM($E$2:E168)/SUM($D$2:D168)</f>
        <v>10.464475310530434</v>
      </c>
      <c r="G168">
        <f ca="1">_xlfn.STDEV.P($C$2:C168)</f>
        <v>0.889693465376036</v>
      </c>
      <c r="H168">
        <f t="shared" ca="1" si="43"/>
        <v>11.354168775906469</v>
      </c>
      <c r="I168">
        <f t="shared" ca="1" si="44"/>
        <v>9.5747818451543978</v>
      </c>
      <c r="J168">
        <f t="shared" ca="1" si="53"/>
        <v>11.866999999999999</v>
      </c>
      <c r="K168">
        <f t="shared" ca="1" si="54"/>
        <v>0.36417318031831758</v>
      </c>
      <c r="L168">
        <f t="shared" ca="1" si="55"/>
        <v>12.595346360636634</v>
      </c>
      <c r="M168">
        <f t="shared" ca="1" si="56"/>
        <v>11.138653639363364</v>
      </c>
      <c r="N168">
        <f t="shared" ca="1" si="45"/>
        <v>0.11000000000000121</v>
      </c>
      <c r="O168">
        <f t="shared" ca="1" si="46"/>
        <v>0.11000000000000121</v>
      </c>
      <c r="P168">
        <f t="shared" ca="1" si="47"/>
        <v>0</v>
      </c>
      <c r="Q168">
        <f t="shared" ca="1" si="51"/>
        <v>8.0317283928150116E-2</v>
      </c>
      <c r="R168">
        <f t="shared" ca="1" si="52"/>
        <v>9.1204093939075442E-2</v>
      </c>
      <c r="S168">
        <f t="shared" ca="1" si="49"/>
        <v>0.88063244158537723</v>
      </c>
      <c r="T168">
        <f t="shared" ca="1" si="50"/>
        <v>46.826398508950646</v>
      </c>
      <c r="U168">
        <f>70</f>
        <v>70</v>
      </c>
      <c r="V168">
        <f>30</f>
        <v>30</v>
      </c>
      <c r="W168">
        <f t="shared" ca="1" si="48"/>
        <v>11.800256769044216</v>
      </c>
      <c r="X168">
        <f t="shared" ca="1" si="58"/>
        <v>11.795807828124385</v>
      </c>
      <c r="Y168">
        <f t="shared" ca="1" si="57"/>
        <v>9.080235490230848E-4</v>
      </c>
      <c r="Z168">
        <f t="shared" ca="1" si="59"/>
        <v>6.8395373488500236E-2</v>
      </c>
      <c r="AA168">
        <f t="shared" ca="1" si="60"/>
        <v>-6.7487349939477151E-2</v>
      </c>
      <c r="AB168">
        <f t="shared" ca="1" si="61"/>
        <v>11.285700000000006</v>
      </c>
    </row>
    <row r="169" spans="1:28" x14ac:dyDescent="0.25">
      <c r="A169" s="20">
        <f t="shared" ca="1" si="41"/>
        <v>45943</v>
      </c>
      <c r="B169" vm="467">
        <f ca="1"/>
        <v>45945</v>
      </c>
      <c r="C169" vm="403">
        <f ca="1"/>
        <v>11.76</v>
      </c>
      <c r="D169" vm="468">
        <f ca="1"/>
        <v>88960726</v>
      </c>
      <c r="E169">
        <f t="shared" ca="1" si="42"/>
        <v>1046178137.76</v>
      </c>
      <c r="F169">
        <f ca="1">SUM($E$2:E169)/SUM($D$2:D169)</f>
        <v>10.471698714820981</v>
      </c>
      <c r="G169">
        <f ca="1">_xlfn.STDEV.P($C$2:C169)</f>
        <v>0.89070024993396424</v>
      </c>
      <c r="H169">
        <f t="shared" ca="1" si="43"/>
        <v>11.362398964754945</v>
      </c>
      <c r="I169">
        <f t="shared" ca="1" si="44"/>
        <v>9.580998464887017</v>
      </c>
      <c r="J169">
        <f t="shared" ca="1" si="53"/>
        <v>11.871999999999998</v>
      </c>
      <c r="K169">
        <f t="shared" ca="1" si="54"/>
        <v>0.36186068851802183</v>
      </c>
      <c r="L169">
        <f t="shared" ca="1" si="55"/>
        <v>12.595721377036043</v>
      </c>
      <c r="M169">
        <f t="shared" ca="1" si="56"/>
        <v>11.148278622963954</v>
      </c>
      <c r="N169">
        <f t="shared" ca="1" si="45"/>
        <v>0.10999999999999943</v>
      </c>
      <c r="O169">
        <f t="shared" ca="1" si="46"/>
        <v>0.10999999999999943</v>
      </c>
      <c r="P169">
        <f t="shared" ca="1" si="47"/>
        <v>0</v>
      </c>
      <c r="Q169">
        <f t="shared" ca="1" si="51"/>
        <v>8.2437477933282197E-2</v>
      </c>
      <c r="R169">
        <f t="shared" ca="1" si="52"/>
        <v>8.4689515800570048E-2</v>
      </c>
      <c r="S169">
        <f t="shared" ca="1" si="49"/>
        <v>0.97340830389689514</v>
      </c>
      <c r="T169">
        <f t="shared" ca="1" si="50"/>
        <v>49.326249513326914</v>
      </c>
      <c r="U169">
        <f>70</f>
        <v>70</v>
      </c>
      <c r="V169">
        <f>30</f>
        <v>30</v>
      </c>
      <c r="W169">
        <f t="shared" ca="1" si="48"/>
        <v>11.794063419960491</v>
      </c>
      <c r="X169">
        <f t="shared" ca="1" si="58"/>
        <v>11.793155396411468</v>
      </c>
      <c r="Y169">
        <f t="shared" ca="1" si="57"/>
        <v>-3.4719889044492191E-3</v>
      </c>
      <c r="Z169">
        <f t="shared" ca="1" si="59"/>
        <v>5.4021901009910347E-2</v>
      </c>
      <c r="AA169">
        <f t="shared" ca="1" si="60"/>
        <v>-5.7493889914359567E-2</v>
      </c>
      <c r="AB169">
        <f t="shared" ca="1" si="61"/>
        <v>11.298900000000005</v>
      </c>
    </row>
    <row r="170" spans="1:28" x14ac:dyDescent="0.25">
      <c r="A170" s="20">
        <f t="shared" ca="1" si="41"/>
        <v>45943</v>
      </c>
      <c r="B170" vm="469">
        <f ca="1"/>
        <v>45946</v>
      </c>
      <c r="C170" vm="369">
        <f ca="1"/>
        <v>11.74</v>
      </c>
      <c r="D170" vm="470">
        <f ca="1"/>
        <v>108701202</v>
      </c>
      <c r="E170">
        <f t="shared" ca="1" si="42"/>
        <v>1276152111.48</v>
      </c>
      <c r="F170">
        <f ca="1">SUM($E$2:E170)/SUM($D$2:D170)</f>
        <v>10.480281058786066</v>
      </c>
      <c r="G170">
        <f ca="1">_xlfn.STDEV.P($C$2:C170)</f>
        <v>0.89151489980148224</v>
      </c>
      <c r="H170">
        <f t="shared" ca="1" si="43"/>
        <v>11.371795958587548</v>
      </c>
      <c r="I170">
        <f t="shared" ca="1" si="44"/>
        <v>9.5887661589845834</v>
      </c>
      <c r="J170">
        <f t="shared" ca="1" si="53"/>
        <v>11.872</v>
      </c>
      <c r="K170">
        <f t="shared" ca="1" si="54"/>
        <v>0.36186068851802189</v>
      </c>
      <c r="L170">
        <f t="shared" ca="1" si="55"/>
        <v>12.595721377036044</v>
      </c>
      <c r="M170">
        <f t="shared" ca="1" si="56"/>
        <v>11.148278622963955</v>
      </c>
      <c r="N170">
        <f t="shared" ca="1" si="45"/>
        <v>-1.9999999999999574E-2</v>
      </c>
      <c r="O170">
        <f t="shared" ca="1" si="46"/>
        <v>0</v>
      </c>
      <c r="P170">
        <f t="shared" ca="1" si="47"/>
        <v>1.9999999999999574E-2</v>
      </c>
      <c r="Q170">
        <f t="shared" ca="1" si="51"/>
        <v>7.6549086652333467E-2</v>
      </c>
      <c r="R170">
        <f t="shared" ca="1" si="52"/>
        <v>8.0068836100529298E-2</v>
      </c>
      <c r="S170">
        <f t="shared" ca="1" si="49"/>
        <v>0.95604095651176124</v>
      </c>
      <c r="T170">
        <f t="shared" ca="1" si="50"/>
        <v>48.876326097827935</v>
      </c>
      <c r="U170">
        <f>70</f>
        <v>70</v>
      </c>
      <c r="V170">
        <f>30</f>
        <v>30</v>
      </c>
      <c r="W170">
        <f t="shared" ca="1" si="48"/>
        <v>11.7857459707358</v>
      </c>
      <c r="X170">
        <f t="shared" ca="1" si="58"/>
        <v>11.789217959640249</v>
      </c>
      <c r="Y170">
        <f t="shared" ca="1" si="57"/>
        <v>7.4949185910302418E-3</v>
      </c>
      <c r="Z170">
        <f t="shared" ca="1" si="59"/>
        <v>4.4716504526134328E-2</v>
      </c>
      <c r="AA170">
        <f t="shared" ca="1" si="60"/>
        <v>-3.7221585935104086E-2</v>
      </c>
      <c r="AB170">
        <f t="shared" ca="1" si="61"/>
        <v>11.312700000000007</v>
      </c>
    </row>
    <row r="171" spans="1:28" x14ac:dyDescent="0.25">
      <c r="A171" s="20">
        <f t="shared" ca="1" si="41"/>
        <v>45943</v>
      </c>
      <c r="B171" vm="471">
        <f ca="1"/>
        <v>45947</v>
      </c>
      <c r="C171" vm="451">
        <f ca="1"/>
        <v>11.92</v>
      </c>
      <c r="D171" vm="472">
        <f ca="1"/>
        <v>107633522</v>
      </c>
      <c r="E171">
        <f t="shared" ca="1" si="42"/>
        <v>1282991582.24</v>
      </c>
      <c r="F171">
        <f ca="1">SUM($E$2:E171)/SUM($D$2:D171)</f>
        <v>10.489863456517611</v>
      </c>
      <c r="G171">
        <f ca="1">_xlfn.STDEV.P($C$2:C171)</f>
        <v>0.89358289930138834</v>
      </c>
      <c r="H171">
        <f t="shared" ca="1" si="43"/>
        <v>11.383446355819</v>
      </c>
      <c r="I171">
        <f t="shared" ca="1" si="44"/>
        <v>9.5962805572162218</v>
      </c>
      <c r="J171">
        <f t="shared" ca="1" si="53"/>
        <v>11.886999999999997</v>
      </c>
      <c r="K171">
        <f t="shared" ca="1" si="54"/>
        <v>0.35705078512432192</v>
      </c>
      <c r="L171">
        <f t="shared" ca="1" si="55"/>
        <v>12.601101570248641</v>
      </c>
      <c r="M171">
        <f t="shared" ca="1" si="56"/>
        <v>11.172898429751353</v>
      </c>
      <c r="N171">
        <f t="shared" ca="1" si="45"/>
        <v>0.17999999999999972</v>
      </c>
      <c r="O171">
        <f t="shared" ca="1" si="46"/>
        <v>0.17999999999999972</v>
      </c>
      <c r="P171">
        <f t="shared" ca="1" si="47"/>
        <v>0</v>
      </c>
      <c r="Q171">
        <f t="shared" ca="1" si="51"/>
        <v>8.3938437605738186E-2</v>
      </c>
      <c r="R171">
        <f t="shared" ca="1" si="52"/>
        <v>7.4349633521920061E-2</v>
      </c>
      <c r="S171">
        <f t="shared" ca="1" si="49"/>
        <v>1.1289690833646291</v>
      </c>
      <c r="T171">
        <f t="shared" ca="1" si="50"/>
        <v>53.028909258766831</v>
      </c>
      <c r="U171">
        <f>70</f>
        <v>70</v>
      </c>
      <c r="V171">
        <f>30</f>
        <v>30</v>
      </c>
      <c r="W171">
        <f t="shared" ca="1" si="48"/>
        <v>11.806400436776446</v>
      </c>
      <c r="X171">
        <f t="shared" ca="1" si="58"/>
        <v>11.798905518185416</v>
      </c>
      <c r="Y171">
        <f t="shared" ca="1" si="57"/>
        <v>2.1585858439724603E-2</v>
      </c>
      <c r="Z171">
        <f t="shared" ca="1" si="59"/>
        <v>4.0090375308852379E-2</v>
      </c>
      <c r="AA171">
        <f t="shared" ca="1" si="60"/>
        <v>-1.8504516869127775E-2</v>
      </c>
      <c r="AB171">
        <f t="shared" ca="1" si="61"/>
        <v>11.328800000000006</v>
      </c>
    </row>
    <row r="172" spans="1:28" x14ac:dyDescent="0.25">
      <c r="A172" s="20">
        <f t="shared" ca="1" si="41"/>
        <v>45950</v>
      </c>
      <c r="B172" vm="473">
        <f ca="1"/>
        <v>45950</v>
      </c>
      <c r="C172" vm="474">
        <f ca="1"/>
        <v>11.99</v>
      </c>
      <c r="D172" vm="475">
        <f ca="1"/>
        <v>77878936</v>
      </c>
      <c r="E172">
        <f t="shared" ca="1" si="42"/>
        <v>933768442.63999999</v>
      </c>
      <c r="F172">
        <f ca="1">SUM($E$2:E172)/SUM($D$2:D172)</f>
        <v>10.497053197840879</v>
      </c>
      <c r="G172">
        <f ca="1">_xlfn.STDEV.P($C$2:C172)</f>
        <v>0.89612379602508074</v>
      </c>
      <c r="H172">
        <f t="shared" ca="1" si="43"/>
        <v>11.393176993865961</v>
      </c>
      <c r="I172">
        <f t="shared" ca="1" si="44"/>
        <v>9.6009294018157973</v>
      </c>
      <c r="J172">
        <f t="shared" ca="1" si="53"/>
        <v>11.903499999999999</v>
      </c>
      <c r="K172">
        <f t="shared" ca="1" si="54"/>
        <v>0.35361702447704635</v>
      </c>
      <c r="L172">
        <f t="shared" ca="1" si="55"/>
        <v>12.610734048954091</v>
      </c>
      <c r="M172">
        <f t="shared" ca="1" si="56"/>
        <v>11.196265951045907</v>
      </c>
      <c r="N172">
        <f t="shared" ca="1" si="45"/>
        <v>7.0000000000000284E-2</v>
      </c>
      <c r="O172">
        <f t="shared" ca="1" si="46"/>
        <v>7.0000000000000284E-2</v>
      </c>
      <c r="P172">
        <f t="shared" ca="1" si="47"/>
        <v>0</v>
      </c>
      <c r="Q172">
        <f t="shared" ca="1" si="51"/>
        <v>8.2942834919614059E-2</v>
      </c>
      <c r="R172">
        <f t="shared" ca="1" si="52"/>
        <v>6.9038945413211483E-2</v>
      </c>
      <c r="S172">
        <f t="shared" ca="1" si="49"/>
        <v>1.201391974097882</v>
      </c>
      <c r="T172">
        <f t="shared" ca="1" si="50"/>
        <v>54.574196155603126</v>
      </c>
      <c r="U172">
        <f>70</f>
        <v>70</v>
      </c>
      <c r="V172">
        <f>30</f>
        <v>30</v>
      </c>
      <c r="W172">
        <f t="shared" ca="1" si="48"/>
        <v>11.834646523426223</v>
      </c>
      <c r="X172">
        <f t="shared" ca="1" si="58"/>
        <v>11.813060664986498</v>
      </c>
      <c r="Y172">
        <f t="shared" ca="1" si="57"/>
        <v>7.7849861358904704E-2</v>
      </c>
      <c r="Z172">
        <f t="shared" ca="1" si="59"/>
        <v>4.7642272518862841E-2</v>
      </c>
      <c r="AA172">
        <f t="shared" ca="1" si="60"/>
        <v>3.0207588840041863E-2</v>
      </c>
      <c r="AB172">
        <f t="shared" ca="1" si="61"/>
        <v>11.347000000000005</v>
      </c>
    </row>
    <row r="173" spans="1:28" x14ac:dyDescent="0.25">
      <c r="A173" s="20">
        <f t="shared" ca="1" si="41"/>
        <v>45950</v>
      </c>
      <c r="B173" vm="476">
        <f ca="1"/>
        <v>45951</v>
      </c>
      <c r="C173" vm="477">
        <f ca="1"/>
        <v>12.56</v>
      </c>
      <c r="D173" vm="478">
        <f ca="1"/>
        <v>297153158</v>
      </c>
      <c r="E173">
        <f t="shared" ca="1" si="42"/>
        <v>3732243664.48</v>
      </c>
      <c r="F173">
        <f ca="1">SUM($E$2:E173)/SUM($D$2:D173)</f>
        <v>10.534100845574049</v>
      </c>
      <c r="G173">
        <f ca="1">_xlfn.STDEV.P($C$2:C173)</f>
        <v>0.90418589697577467</v>
      </c>
      <c r="H173">
        <f t="shared" ca="1" si="43"/>
        <v>11.438286742549824</v>
      </c>
      <c r="I173">
        <f t="shared" ca="1" si="44"/>
        <v>9.6299149485982731</v>
      </c>
      <c r="J173">
        <f t="shared" ca="1" si="53"/>
        <v>11.945</v>
      </c>
      <c r="K173">
        <f t="shared" ca="1" si="54"/>
        <v>0.37990996163218521</v>
      </c>
      <c r="L173">
        <f t="shared" ca="1" si="55"/>
        <v>12.70481992326437</v>
      </c>
      <c r="M173">
        <f t="shared" ca="1" si="56"/>
        <v>11.18518007673563</v>
      </c>
      <c r="N173">
        <f t="shared" ca="1" si="45"/>
        <v>0.57000000000000028</v>
      </c>
      <c r="O173">
        <f t="shared" ca="1" si="46"/>
        <v>0.57000000000000028</v>
      </c>
      <c r="P173">
        <f t="shared" ca="1" si="47"/>
        <v>0</v>
      </c>
      <c r="Q173">
        <f t="shared" ca="1" si="51"/>
        <v>0.11773263242535593</v>
      </c>
      <c r="R173">
        <f t="shared" ca="1" si="52"/>
        <v>6.4107592169410657E-2</v>
      </c>
      <c r="S173">
        <f t="shared" ca="1" si="49"/>
        <v>1.8364850159125583</v>
      </c>
      <c r="T173">
        <f t="shared" ca="1" si="50"/>
        <v>64.745098444375941</v>
      </c>
      <c r="U173">
        <f>70</f>
        <v>70</v>
      </c>
      <c r="V173">
        <f>30</f>
        <v>30</v>
      </c>
      <c r="W173">
        <f t="shared" ca="1" si="48"/>
        <v>11.946239365976034</v>
      </c>
      <c r="X173">
        <f t="shared" ca="1" si="58"/>
        <v>11.868389504617129</v>
      </c>
      <c r="Y173">
        <f t="shared" ca="1" si="57"/>
        <v>0.11067379684990009</v>
      </c>
      <c r="Z173">
        <f t="shared" ca="1" si="59"/>
        <v>6.0248577385070293E-2</v>
      </c>
      <c r="AA173">
        <f t="shared" ca="1" si="60"/>
        <v>5.0425219464829793E-2</v>
      </c>
      <c r="AB173">
        <f t="shared" ca="1" si="61"/>
        <v>11.370400000000004</v>
      </c>
    </row>
    <row r="174" spans="1:28" x14ac:dyDescent="0.25">
      <c r="A174" s="20">
        <f t="shared" ca="1" si="41"/>
        <v>45950</v>
      </c>
      <c r="B174" vm="479">
        <f ca="1"/>
        <v>45952</v>
      </c>
      <c r="C174" vm="480">
        <f ca="1"/>
        <v>12.43</v>
      </c>
      <c r="D174" vm="481">
        <f ca="1"/>
        <v>415062173</v>
      </c>
      <c r="E174">
        <f t="shared" ca="1" si="42"/>
        <v>5159222810.3900003</v>
      </c>
      <c r="F174">
        <f ca="1">SUM($E$2:E174)/SUM($D$2:D174)</f>
        <v>10.580494756251545</v>
      </c>
      <c r="G174">
        <f ca="1">_xlfn.STDEV.P($C$2:C174)</f>
        <v>0.9105322674075369</v>
      </c>
      <c r="H174">
        <f t="shared" ca="1" si="43"/>
        <v>11.491027023659083</v>
      </c>
      <c r="I174">
        <f t="shared" ca="1" si="44"/>
        <v>9.669962488844007</v>
      </c>
      <c r="J174">
        <f t="shared" ca="1" si="53"/>
        <v>11.984999999999999</v>
      </c>
      <c r="K174">
        <f t="shared" ca="1" si="54"/>
        <v>0.38704684878951634</v>
      </c>
      <c r="L174">
        <f t="shared" ca="1" si="55"/>
        <v>12.759093697579033</v>
      </c>
      <c r="M174">
        <f t="shared" ca="1" si="56"/>
        <v>11.210906302420966</v>
      </c>
      <c r="N174">
        <f t="shared" ca="1" si="45"/>
        <v>-0.13000000000000078</v>
      </c>
      <c r="O174">
        <f t="shared" ca="1" si="46"/>
        <v>0</v>
      </c>
      <c r="P174">
        <f t="shared" ca="1" si="47"/>
        <v>0.13000000000000078</v>
      </c>
      <c r="Q174">
        <f t="shared" ca="1" si="51"/>
        <v>0.10932315868068765</v>
      </c>
      <c r="R174">
        <f t="shared" ca="1" si="52"/>
        <v>6.8814192728738524E-2</v>
      </c>
      <c r="S174">
        <f t="shared" ca="1" si="49"/>
        <v>1.5886716728863342</v>
      </c>
      <c r="T174">
        <f t="shared" ca="1" si="50"/>
        <v>61.370149390748594</v>
      </c>
      <c r="U174">
        <f>70</f>
        <v>70</v>
      </c>
      <c r="V174">
        <f>30</f>
        <v>30</v>
      </c>
      <c r="W174">
        <f t="shared" ca="1" si="48"/>
        <v>12.020664078902797</v>
      </c>
      <c r="X174">
        <f t="shared" ca="1" si="58"/>
        <v>11.909990282052897</v>
      </c>
      <c r="Y174">
        <f t="shared" ca="1" si="57"/>
        <v>0.12794982839583824</v>
      </c>
      <c r="Z174">
        <f t="shared" ca="1" si="59"/>
        <v>7.3788827587223882E-2</v>
      </c>
      <c r="AA174">
        <f t="shared" ca="1" si="60"/>
        <v>5.4161000808614357E-2</v>
      </c>
      <c r="AB174">
        <f t="shared" ca="1" si="61"/>
        <v>11.390900000000004</v>
      </c>
    </row>
    <row r="175" spans="1:28" x14ac:dyDescent="0.25">
      <c r="A175" s="20">
        <f t="shared" ca="1" si="41"/>
        <v>45950</v>
      </c>
      <c r="B175" vm="482">
        <f ca="1"/>
        <v>45953</v>
      </c>
      <c r="C175" vm="483">
        <f ca="1"/>
        <v>12.34</v>
      </c>
      <c r="D175" vm="484">
        <f ca="1"/>
        <v>479840312</v>
      </c>
      <c r="E175">
        <f t="shared" ca="1" si="42"/>
        <v>5921229450.0799999</v>
      </c>
      <c r="F175">
        <f ca="1">SUM($E$2:E175)/SUM($D$2:D175)</f>
        <v>10.628901333703642</v>
      </c>
      <c r="G175">
        <f ca="1">_xlfn.STDEV.P($C$2:C175)</f>
        <v>0.91574834013501438</v>
      </c>
      <c r="H175">
        <f t="shared" ca="1" si="43"/>
        <v>11.544649673838656</v>
      </c>
      <c r="I175">
        <f t="shared" ca="1" si="44"/>
        <v>9.7131529935686274</v>
      </c>
      <c r="J175">
        <f t="shared" ca="1" si="53"/>
        <v>12.021000000000001</v>
      </c>
      <c r="K175">
        <f t="shared" ca="1" si="54"/>
        <v>0.38478839023956773</v>
      </c>
      <c r="L175">
        <f t="shared" ca="1" si="55"/>
        <v>12.790576780479137</v>
      </c>
      <c r="M175">
        <f t="shared" ca="1" si="56"/>
        <v>11.251423219520865</v>
      </c>
      <c r="N175">
        <f t="shared" ca="1" si="45"/>
        <v>-8.9999999999999858E-2</v>
      </c>
      <c r="O175">
        <f t="shared" ca="1" si="46"/>
        <v>0</v>
      </c>
      <c r="P175">
        <f t="shared" ca="1" si="47"/>
        <v>8.9999999999999858E-2</v>
      </c>
      <c r="Q175">
        <f t="shared" ca="1" si="51"/>
        <v>0.10151436163206709</v>
      </c>
      <c r="R175">
        <f t="shared" ca="1" si="52"/>
        <v>7.0327464676685755E-2</v>
      </c>
      <c r="S175">
        <f t="shared" ca="1" si="49"/>
        <v>1.4434525984799236</v>
      </c>
      <c r="T175">
        <f t="shared" ca="1" si="50"/>
        <v>59.074303277988619</v>
      </c>
      <c r="U175">
        <f>70</f>
        <v>70</v>
      </c>
      <c r="V175">
        <f>30</f>
        <v>30</v>
      </c>
      <c r="W175">
        <f t="shared" ca="1" si="48"/>
        <v>12.06979268214852</v>
      </c>
      <c r="X175">
        <f t="shared" ca="1" si="58"/>
        <v>11.941842853752682</v>
      </c>
      <c r="Y175">
        <f t="shared" ca="1" si="57"/>
        <v>0.25968518270224905</v>
      </c>
      <c r="Z175">
        <f t="shared" ca="1" si="59"/>
        <v>0.11096809861022892</v>
      </c>
      <c r="AA175">
        <f t="shared" ca="1" si="60"/>
        <v>0.14871708409202011</v>
      </c>
      <c r="AB175">
        <f t="shared" ca="1" si="61"/>
        <v>11.414500000000002</v>
      </c>
    </row>
    <row r="176" spans="1:28" x14ac:dyDescent="0.25">
      <c r="A176" s="20">
        <f t="shared" ca="1" si="41"/>
        <v>45950</v>
      </c>
      <c r="B176" vm="485">
        <f ca="1"/>
        <v>45954</v>
      </c>
      <c r="C176" vm="486">
        <f ca="1"/>
        <v>13.84</v>
      </c>
      <c r="D176" vm="487">
        <f ca="1"/>
        <v>298366862</v>
      </c>
      <c r="E176">
        <f t="shared" ca="1" si="42"/>
        <v>4129397370.0799999</v>
      </c>
      <c r="F176">
        <f ca="1">SUM($E$2:E176)/SUM($D$2:D176)</f>
        <v>10.682908921304641</v>
      </c>
      <c r="G176">
        <f ca="1">_xlfn.STDEV.P($C$2:C176)</f>
        <v>0.94203720884959885</v>
      </c>
      <c r="H176">
        <f t="shared" ca="1" si="43"/>
        <v>11.624946130154239</v>
      </c>
      <c r="I176">
        <f t="shared" ca="1" si="44"/>
        <v>9.7408717124550428</v>
      </c>
      <c r="J176">
        <f t="shared" ca="1" si="53"/>
        <v>12.112500000000001</v>
      </c>
      <c r="K176">
        <f t="shared" ca="1" si="54"/>
        <v>0.55981082330974696</v>
      </c>
      <c r="L176">
        <f t="shared" ca="1" si="55"/>
        <v>13.232121646619495</v>
      </c>
      <c r="M176">
        <f t="shared" ca="1" si="56"/>
        <v>10.992878353380506</v>
      </c>
      <c r="N176">
        <f t="shared" ca="1" si="45"/>
        <v>1.5</v>
      </c>
      <c r="O176">
        <f t="shared" ca="1" si="46"/>
        <v>1.5</v>
      </c>
      <c r="P176">
        <f t="shared" ca="1" si="47"/>
        <v>0</v>
      </c>
      <c r="Q176">
        <f t="shared" ca="1" si="51"/>
        <v>0.20140619294406228</v>
      </c>
      <c r="R176">
        <f t="shared" ca="1" si="52"/>
        <v>6.530407434263677E-2</v>
      </c>
      <c r="S176">
        <f t="shared" ca="1" si="49"/>
        <v>3.0841290527651655</v>
      </c>
      <c r="T176">
        <f t="shared" ca="1" si="50"/>
        <v>75.514975479950891</v>
      </c>
      <c r="U176">
        <f>70</f>
        <v>70</v>
      </c>
      <c r="V176">
        <f>30</f>
        <v>30</v>
      </c>
      <c r="W176">
        <f t="shared" ca="1" si="48"/>
        <v>12.342132269510287</v>
      </c>
      <c r="X176">
        <f t="shared" ca="1" si="58"/>
        <v>12.082447086808038</v>
      </c>
      <c r="Y176">
        <f t="shared" ca="1" si="57"/>
        <v>0.3136694610596642</v>
      </c>
      <c r="Z176">
        <f t="shared" ca="1" si="59"/>
        <v>0.151508371100116</v>
      </c>
      <c r="AA176">
        <f t="shared" ca="1" si="60"/>
        <v>0.1621610899595482</v>
      </c>
      <c r="AB176">
        <f t="shared" ca="1" si="61"/>
        <v>11.451000000000001</v>
      </c>
    </row>
    <row r="177" spans="1:28" x14ac:dyDescent="0.25">
      <c r="A177" s="20">
        <f t="shared" ca="1" si="41"/>
        <v>45957</v>
      </c>
      <c r="B177" vm="488">
        <f ca="1"/>
        <v>45957</v>
      </c>
      <c r="C177" vm="489">
        <f ca="1"/>
        <v>13.26</v>
      </c>
      <c r="D177" vm="490">
        <f ca="1"/>
        <v>140859004</v>
      </c>
      <c r="E177">
        <f t="shared" ca="1" si="42"/>
        <v>1867790393.04</v>
      </c>
      <c r="F177">
        <f ca="1">SUM($E$2:E177)/SUM($D$2:D177)</f>
        <v>10.703210514759228</v>
      </c>
      <c r="G177">
        <f ca="1">_xlfn.STDEV.P($C$2:C177)</f>
        <v>0.95759762135059756</v>
      </c>
      <c r="H177">
        <f t="shared" ca="1" si="43"/>
        <v>11.660808136109825</v>
      </c>
      <c r="I177">
        <f t="shared" ca="1" si="44"/>
        <v>9.7456128934086301</v>
      </c>
      <c r="J177">
        <f t="shared" ca="1" si="53"/>
        <v>12.171000000000001</v>
      </c>
      <c r="K177">
        <f t="shared" ca="1" si="54"/>
        <v>0.61568019723161294</v>
      </c>
      <c r="L177">
        <f t="shared" ca="1" si="55"/>
        <v>13.402360394463226</v>
      </c>
      <c r="M177">
        <f t="shared" ca="1" si="56"/>
        <v>10.939639605536776</v>
      </c>
      <c r="N177">
        <f t="shared" ca="1" si="45"/>
        <v>-0.58000000000000007</v>
      </c>
      <c r="O177">
        <f t="shared" ca="1" si="46"/>
        <v>0</v>
      </c>
      <c r="P177">
        <f t="shared" ca="1" si="47"/>
        <v>0.58000000000000007</v>
      </c>
      <c r="Q177">
        <f t="shared" ca="1" si="51"/>
        <v>0.18702003630520067</v>
      </c>
      <c r="R177">
        <f t="shared" ca="1" si="52"/>
        <v>0.10206806903244844</v>
      </c>
      <c r="S177">
        <f t="shared" ca="1" si="49"/>
        <v>1.8323069896202813</v>
      </c>
      <c r="T177">
        <f t="shared" ca="1" si="50"/>
        <v>64.693092815688487</v>
      </c>
      <c r="U177">
        <f>70</f>
        <v>70</v>
      </c>
      <c r="V177">
        <f>30</f>
        <v>30</v>
      </c>
      <c r="W177">
        <f t="shared" ca="1" si="48"/>
        <v>12.483342689585626</v>
      </c>
      <c r="X177">
        <f t="shared" ca="1" si="58"/>
        <v>12.169673228525962</v>
      </c>
      <c r="Y177">
        <f t="shared" ca="1" si="57"/>
        <v>0.34201988471792788</v>
      </c>
      <c r="Z177">
        <f t="shared" ca="1" si="59"/>
        <v>0.18961067382367838</v>
      </c>
      <c r="AA177">
        <f t="shared" ca="1" si="60"/>
        <v>0.1524092108942495</v>
      </c>
      <c r="AB177">
        <f t="shared" ca="1" si="61"/>
        <v>11.481200000000001</v>
      </c>
    </row>
    <row r="178" spans="1:28" x14ac:dyDescent="0.25">
      <c r="A178" s="20">
        <f t="shared" ca="1" si="41"/>
        <v>45957</v>
      </c>
      <c r="B178" vm="491">
        <f ca="1"/>
        <v>45958</v>
      </c>
      <c r="C178" vm="492">
        <f ca="1"/>
        <v>13.13</v>
      </c>
      <c r="D178" vm="493">
        <f ca="1"/>
        <v>96738451</v>
      </c>
      <c r="E178">
        <f t="shared" ca="1" si="42"/>
        <v>1270175861.6300001</v>
      </c>
      <c r="F178">
        <f ca="1">SUM($E$2:E178)/SUM($D$2:D178)</f>
        <v>10.716269327200727</v>
      </c>
      <c r="G178">
        <f ca="1">_xlfn.STDEV.P($C$2:C178)</f>
        <v>0.97073696556381495</v>
      </c>
      <c r="H178">
        <f t="shared" ca="1" si="43"/>
        <v>11.687006292764542</v>
      </c>
      <c r="I178">
        <f t="shared" ca="1" si="44"/>
        <v>9.7455323616369132</v>
      </c>
      <c r="J178">
        <f t="shared" ca="1" si="53"/>
        <v>12.2295</v>
      </c>
      <c r="K178">
        <f t="shared" ca="1" si="54"/>
        <v>0.64924632418958228</v>
      </c>
      <c r="L178">
        <f t="shared" ca="1" si="55"/>
        <v>13.527992648379165</v>
      </c>
      <c r="M178">
        <f t="shared" ca="1" si="56"/>
        <v>10.931007351620835</v>
      </c>
      <c r="N178">
        <f t="shared" ca="1" si="45"/>
        <v>-0.12999999999999901</v>
      </c>
      <c r="O178">
        <f t="shared" ca="1" si="46"/>
        <v>0</v>
      </c>
      <c r="P178">
        <f t="shared" ca="1" si="47"/>
        <v>0.12999999999999901</v>
      </c>
      <c r="Q178">
        <f t="shared" ca="1" si="51"/>
        <v>0.1736614622834006</v>
      </c>
      <c r="R178">
        <f t="shared" ca="1" si="52"/>
        <v>0.10406320695870205</v>
      </c>
      <c r="S178">
        <f t="shared" ca="1" si="49"/>
        <v>1.6688075195714362</v>
      </c>
      <c r="T178">
        <f t="shared" ca="1" si="50"/>
        <v>62.530081593872964</v>
      </c>
      <c r="U178">
        <f>70</f>
        <v>70</v>
      </c>
      <c r="V178">
        <f>30</f>
        <v>30</v>
      </c>
      <c r="W178">
        <f t="shared" ca="1" si="48"/>
        <v>12.582828429649375</v>
      </c>
      <c r="X178">
        <f t="shared" ca="1" si="58"/>
        <v>12.240808544931447</v>
      </c>
      <c r="Y178">
        <f t="shared" ca="1" si="57"/>
        <v>0.36910902137647916</v>
      </c>
      <c r="Z178">
        <f t="shared" ca="1" si="59"/>
        <v>0.22551034333423856</v>
      </c>
      <c r="AA178">
        <f t="shared" ca="1" si="60"/>
        <v>0.14359867804224061</v>
      </c>
      <c r="AB178">
        <f t="shared" ca="1" si="61"/>
        <v>11.511500000000002</v>
      </c>
    </row>
    <row r="179" spans="1:28" x14ac:dyDescent="0.25">
      <c r="A179" s="20">
        <f t="shared" ca="1" si="41"/>
        <v>45957</v>
      </c>
      <c r="B179" vm="494">
        <f ca="1"/>
        <v>45959</v>
      </c>
      <c r="C179" vm="495">
        <f ca="1"/>
        <v>13.24</v>
      </c>
      <c r="D179" vm="496">
        <f ca="1"/>
        <v>127512240</v>
      </c>
      <c r="E179">
        <f t="shared" ca="1" si="42"/>
        <v>1688262057.6000001</v>
      </c>
      <c r="F179">
        <f ca="1">SUM($E$2:E179)/SUM($D$2:D179)</f>
        <v>10.734043843626292</v>
      </c>
      <c r="G179">
        <f ca="1">_xlfn.STDEV.P($C$2:C179)</f>
        <v>0.98486423860795524</v>
      </c>
      <c r="H179">
        <f t="shared" ca="1" si="43"/>
        <v>11.718908082234247</v>
      </c>
      <c r="I179">
        <f t="shared" ca="1" si="44"/>
        <v>9.7491796050183375</v>
      </c>
      <c r="J179">
        <f t="shared" ca="1" si="53"/>
        <v>12.278</v>
      </c>
      <c r="K179">
        <f t="shared" ca="1" si="54"/>
        <v>0.68753258295994879</v>
      </c>
      <c r="L179">
        <f t="shared" ca="1" si="55"/>
        <v>13.653065165919898</v>
      </c>
      <c r="M179">
        <f t="shared" ca="1" si="56"/>
        <v>10.902934834080103</v>
      </c>
      <c r="N179">
        <f t="shared" ca="1" si="45"/>
        <v>0.10999999999999943</v>
      </c>
      <c r="O179">
        <f t="shared" ca="1" si="46"/>
        <v>0.10999999999999943</v>
      </c>
      <c r="P179">
        <f t="shared" ca="1" si="47"/>
        <v>0</v>
      </c>
      <c r="Q179">
        <f t="shared" ca="1" si="51"/>
        <v>0.16911421497744336</v>
      </c>
      <c r="R179">
        <f t="shared" ca="1" si="52"/>
        <v>9.6630120747366197E-2</v>
      </c>
      <c r="S179">
        <f t="shared" ca="1" si="49"/>
        <v>1.750119048485747</v>
      </c>
      <c r="T179">
        <f t="shared" ca="1" si="50"/>
        <v>63.637937763071974</v>
      </c>
      <c r="U179">
        <f>70</f>
        <v>70</v>
      </c>
      <c r="V179">
        <f>30</f>
        <v>30</v>
      </c>
      <c r="W179">
        <f t="shared" ca="1" si="48"/>
        <v>12.683931748164856</v>
      </c>
      <c r="X179">
        <f t="shared" ca="1" si="58"/>
        <v>12.314822726788377</v>
      </c>
      <c r="Y179">
        <f t="shared" ca="1" si="57"/>
        <v>0.37176735897076796</v>
      </c>
      <c r="Z179">
        <f t="shared" ca="1" si="59"/>
        <v>0.25476174646154442</v>
      </c>
      <c r="AA179">
        <f t="shared" ca="1" si="60"/>
        <v>0.11700561250922353</v>
      </c>
      <c r="AB179">
        <f t="shared" ca="1" si="61"/>
        <v>11.541300000000001</v>
      </c>
    </row>
    <row r="180" spans="1:28" x14ac:dyDescent="0.25">
      <c r="A180" s="20">
        <f t="shared" ca="1" si="41"/>
        <v>45957</v>
      </c>
      <c r="B180" vm="497">
        <f ca="1"/>
        <v>45960</v>
      </c>
      <c r="C180" vm="498">
        <f ca="1"/>
        <v>13.06</v>
      </c>
      <c r="D180" vm="499">
        <f ca="1"/>
        <v>80766301</v>
      </c>
      <c r="E180">
        <f t="shared" ca="1" si="42"/>
        <v>1054807891.0600001</v>
      </c>
      <c r="F180">
        <f ca="1">SUM($E$2:E180)/SUM($D$2:D180)</f>
        <v>10.744373872781575</v>
      </c>
      <c r="G180">
        <f ca="1">_xlfn.STDEV.P($C$2:C180)</f>
        <v>0.9961238350087056</v>
      </c>
      <c r="H180">
        <f t="shared" ca="1" si="43"/>
        <v>11.740497707790279</v>
      </c>
      <c r="I180">
        <f t="shared" ca="1" si="44"/>
        <v>9.7482500377728698</v>
      </c>
      <c r="J180">
        <f t="shared" ca="1" si="53"/>
        <v>12.32</v>
      </c>
      <c r="K180">
        <f t="shared" ca="1" si="54"/>
        <v>0.70912102745507932</v>
      </c>
      <c r="L180">
        <f t="shared" ca="1" si="55"/>
        <v>13.73824205491016</v>
      </c>
      <c r="M180">
        <f t="shared" ca="1" si="56"/>
        <v>10.901757945089841</v>
      </c>
      <c r="N180">
        <f t="shared" ca="1" si="45"/>
        <v>-0.17999999999999972</v>
      </c>
      <c r="O180">
        <f t="shared" ca="1" si="46"/>
        <v>0</v>
      </c>
      <c r="P180">
        <f t="shared" ca="1" si="47"/>
        <v>0.17999999999999972</v>
      </c>
      <c r="Q180">
        <f t="shared" ca="1" si="51"/>
        <v>0.15703462819334027</v>
      </c>
      <c r="R180">
        <f t="shared" ca="1" si="52"/>
        <v>0.10258511212255431</v>
      </c>
      <c r="S180">
        <f t="shared" ca="1" si="49"/>
        <v>1.5307740562367111</v>
      </c>
      <c r="T180">
        <f t="shared" ca="1" si="50"/>
        <v>60.48639752981304</v>
      </c>
      <c r="U180">
        <f>70</f>
        <v>70</v>
      </c>
      <c r="V180">
        <f>30</f>
        <v>30</v>
      </c>
      <c r="W180">
        <f t="shared" ca="1" si="48"/>
        <v>12.741788402293338</v>
      </c>
      <c r="X180">
        <f t="shared" ca="1" si="58"/>
        <v>12.37002104332257</v>
      </c>
      <c r="Y180">
        <f t="shared" ca="1" si="57"/>
        <v>0.3751974826247455</v>
      </c>
      <c r="Z180">
        <f t="shared" ca="1" si="59"/>
        <v>0.27884889369418464</v>
      </c>
      <c r="AA180">
        <f t="shared" ca="1" si="60"/>
        <v>9.6348588930560863E-2</v>
      </c>
      <c r="AB180">
        <f t="shared" ca="1" si="61"/>
        <v>11.568499999999998</v>
      </c>
    </row>
    <row r="181" spans="1:28" x14ac:dyDescent="0.25">
      <c r="A181" s="20">
        <f t="shared" ca="1" si="41"/>
        <v>45957</v>
      </c>
      <c r="B181" vm="500">
        <f ca="1"/>
        <v>45961</v>
      </c>
      <c r="C181" vm="492">
        <f ca="1"/>
        <v>13.13</v>
      </c>
      <c r="D181" vm="501">
        <f ca="1"/>
        <v>68861988</v>
      </c>
      <c r="E181">
        <f t="shared" ca="1" si="42"/>
        <v>904157902.44000006</v>
      </c>
      <c r="F181">
        <f ca="1">SUM($E$2:E181)/SUM($D$2:D181)</f>
        <v>10.753373206879326</v>
      </c>
      <c r="G181">
        <f ca="1">_xlfn.STDEV.P($C$2:C181)</f>
        <v>1.0078486606824988</v>
      </c>
      <c r="H181">
        <f t="shared" ca="1" si="43"/>
        <v>11.761221867561824</v>
      </c>
      <c r="I181">
        <f t="shared" ca="1" si="44"/>
        <v>9.7455245461968278</v>
      </c>
      <c r="J181">
        <f t="shared" ca="1" si="53"/>
        <v>12.343</v>
      </c>
      <c r="K181">
        <f t="shared" ca="1" si="54"/>
        <v>0.72827192723597423</v>
      </c>
      <c r="L181">
        <f t="shared" ca="1" si="55"/>
        <v>13.799543854471949</v>
      </c>
      <c r="M181">
        <f t="shared" ca="1" si="56"/>
        <v>10.886456145528051</v>
      </c>
      <c r="N181">
        <f t="shared" ca="1" si="45"/>
        <v>7.0000000000000284E-2</v>
      </c>
      <c r="O181">
        <f t="shared" ca="1" si="46"/>
        <v>7.0000000000000284E-2</v>
      </c>
      <c r="P181">
        <f t="shared" ca="1" si="47"/>
        <v>0</v>
      </c>
      <c r="Q181">
        <f t="shared" ca="1" si="51"/>
        <v>0.15081786903667313</v>
      </c>
      <c r="R181">
        <f t="shared" ca="1" si="52"/>
        <v>9.5257604113800437E-2</v>
      </c>
      <c r="S181">
        <f t="shared" ca="1" si="49"/>
        <v>1.5832633041714661</v>
      </c>
      <c r="T181">
        <f t="shared" ca="1" si="50"/>
        <v>61.289273207837738</v>
      </c>
      <c r="U181">
        <f>70</f>
        <v>70</v>
      </c>
      <c r="V181">
        <f>30</f>
        <v>30</v>
      </c>
      <c r="W181">
        <f t="shared" ca="1" si="48"/>
        <v>12.801513263478977</v>
      </c>
      <c r="X181">
        <f t="shared" ca="1" si="58"/>
        <v>12.426315780854232</v>
      </c>
      <c r="Y181">
        <f t="shared" ca="1" si="57"/>
        <v>0.36403649708156927</v>
      </c>
      <c r="Z181">
        <f t="shared" ca="1" si="59"/>
        <v>0.29588641437166158</v>
      </c>
      <c r="AA181">
        <f t="shared" ca="1" si="60"/>
        <v>6.8150082709907689E-2</v>
      </c>
      <c r="AB181">
        <f t="shared" ca="1" si="61"/>
        <v>11.593799999999998</v>
      </c>
    </row>
    <row r="182" spans="1:28" x14ac:dyDescent="0.25">
      <c r="A182" s="20">
        <f t="shared" ca="1" si="41"/>
        <v>45964</v>
      </c>
      <c r="B182" vm="502">
        <f ca="1"/>
        <v>45964</v>
      </c>
      <c r="C182" vm="503">
        <f ca="1"/>
        <v>13.01</v>
      </c>
      <c r="D182" vm="504">
        <f ca="1"/>
        <v>80419403</v>
      </c>
      <c r="E182">
        <f t="shared" ca="1" si="42"/>
        <v>1046256433.03</v>
      </c>
      <c r="F182">
        <f ca="1">SUM($E$2:E182)/SUM($D$2:D182)</f>
        <v>10.763271036305374</v>
      </c>
      <c r="G182">
        <f ca="1">_xlfn.STDEV.P($C$2:C182)</f>
        <v>1.0177185552302874</v>
      </c>
      <c r="H182">
        <f t="shared" ca="1" si="43"/>
        <v>11.780989591535661</v>
      </c>
      <c r="I182">
        <f t="shared" ca="1" si="44"/>
        <v>9.7455524810750873</v>
      </c>
      <c r="J182">
        <f t="shared" ca="1" si="53"/>
        <v>12.358499999999999</v>
      </c>
      <c r="K182">
        <f t="shared" ca="1" si="54"/>
        <v>0.73948257158922337</v>
      </c>
      <c r="L182">
        <f t="shared" ca="1" si="55"/>
        <v>13.837465143178447</v>
      </c>
      <c r="M182">
        <f t="shared" ca="1" si="56"/>
        <v>10.879534856821552</v>
      </c>
      <c r="N182">
        <f t="shared" ca="1" si="45"/>
        <v>-0.12000000000000099</v>
      </c>
      <c r="O182">
        <f t="shared" ca="1" si="46"/>
        <v>0</v>
      </c>
      <c r="P182">
        <f t="shared" ca="1" si="47"/>
        <v>0.12000000000000099</v>
      </c>
      <c r="Q182">
        <f t="shared" ca="1" si="51"/>
        <v>0.14004516410548221</v>
      </c>
      <c r="R182">
        <f t="shared" ca="1" si="52"/>
        <v>9.7024918105671903E-2</v>
      </c>
      <c r="S182">
        <f t="shared" ca="1" si="49"/>
        <v>1.4433937883148331</v>
      </c>
      <c r="T182">
        <f t="shared" ca="1" si="50"/>
        <v>59.073318235384285</v>
      </c>
      <c r="U182">
        <f>70</f>
        <v>70</v>
      </c>
      <c r="V182">
        <f>30</f>
        <v>30</v>
      </c>
      <c r="W182">
        <f t="shared" ca="1" si="48"/>
        <v>12.833588146020674</v>
      </c>
      <c r="X182">
        <f t="shared" ca="1" si="58"/>
        <v>12.469551648939104</v>
      </c>
      <c r="Y182">
        <f t="shared" ca="1" si="57"/>
        <v>0.33359371356960565</v>
      </c>
      <c r="Z182">
        <f t="shared" ca="1" si="59"/>
        <v>0.30342787421125039</v>
      </c>
      <c r="AA182">
        <f t="shared" ca="1" si="60"/>
        <v>3.0165839358355262E-2</v>
      </c>
      <c r="AB182">
        <f t="shared" ca="1" si="61"/>
        <v>11.617299999999998</v>
      </c>
    </row>
    <row r="183" spans="1:28" x14ac:dyDescent="0.25">
      <c r="A183" s="20">
        <f t="shared" ca="1" si="41"/>
        <v>45964</v>
      </c>
      <c r="B183" vm="505">
        <f ca="1"/>
        <v>45965</v>
      </c>
      <c r="C183" vm="506">
        <f ca="1"/>
        <v>12.79</v>
      </c>
      <c r="D183" vm="507">
        <f ca="1"/>
        <v>70360611</v>
      </c>
      <c r="E183">
        <f t="shared" ca="1" si="42"/>
        <v>899912214.68999994</v>
      </c>
      <c r="F183">
        <f ca="1">SUM($E$2:E183)/SUM($D$2:D183)</f>
        <v>10.77101888692002</v>
      </c>
      <c r="G183">
        <f ca="1">_xlfn.STDEV.P($C$2:C183)</f>
        <v>1.0248641938066188</v>
      </c>
      <c r="H183">
        <f t="shared" ca="1" si="43"/>
        <v>11.795883080726639</v>
      </c>
      <c r="I183">
        <f t="shared" ca="1" si="44"/>
        <v>9.7461546931134002</v>
      </c>
      <c r="J183">
        <f t="shared" ca="1" si="53"/>
        <v>12.401999999999999</v>
      </c>
      <c r="K183">
        <f t="shared" ca="1" si="54"/>
        <v>0.73791741086869478</v>
      </c>
      <c r="L183">
        <f t="shared" ca="1" si="55"/>
        <v>13.877834821737389</v>
      </c>
      <c r="M183">
        <f t="shared" ca="1" si="56"/>
        <v>10.926165178262609</v>
      </c>
      <c r="N183">
        <f t="shared" ca="1" si="45"/>
        <v>-0.22000000000000064</v>
      </c>
      <c r="O183">
        <f t="shared" ca="1" si="46"/>
        <v>0</v>
      </c>
      <c r="P183">
        <f t="shared" ca="1" si="47"/>
        <v>0.22000000000000064</v>
      </c>
      <c r="Q183">
        <f t="shared" ca="1" si="51"/>
        <v>0.13004193809794776</v>
      </c>
      <c r="R183">
        <f t="shared" ca="1" si="52"/>
        <v>0.10580885252669538</v>
      </c>
      <c r="S183">
        <f t="shared" ca="1" si="49"/>
        <v>1.2290270142107289</v>
      </c>
      <c r="T183">
        <f t="shared" ca="1" si="50"/>
        <v>55.13737636983786</v>
      </c>
      <c r="U183">
        <f>70</f>
        <v>70</v>
      </c>
      <c r="V183">
        <f>30</f>
        <v>30</v>
      </c>
      <c r="W183">
        <f t="shared" ca="1" si="48"/>
        <v>12.82688227740211</v>
      </c>
      <c r="X183">
        <f t="shared" ca="1" si="58"/>
        <v>12.493288563832504</v>
      </c>
      <c r="Y183">
        <f t="shared" ca="1" si="57"/>
        <v>0.3314679576719719</v>
      </c>
      <c r="Z183">
        <f t="shared" ca="1" si="59"/>
        <v>0.30903589090339473</v>
      </c>
      <c r="AA183">
        <f t="shared" ca="1" si="60"/>
        <v>2.2432066768577175E-2</v>
      </c>
      <c r="AB183">
        <f t="shared" ca="1" si="61"/>
        <v>11.639899999999997</v>
      </c>
    </row>
    <row r="184" spans="1:28" x14ac:dyDescent="0.25">
      <c r="A184" s="20">
        <f t="shared" ca="1" si="41"/>
        <v>45964</v>
      </c>
      <c r="B184" vm="508">
        <f ca="1"/>
        <v>45966</v>
      </c>
      <c r="C184" vm="509">
        <f ca="1"/>
        <v>13.11</v>
      </c>
      <c r="D184" vm="510">
        <f ca="1"/>
        <v>79134307</v>
      </c>
      <c r="E184">
        <f t="shared" ca="1" si="42"/>
        <v>1037450764.77</v>
      </c>
      <c r="F184">
        <f ca="1">SUM($E$2:E184)/SUM($D$2:D184)</f>
        <v>10.781032348188942</v>
      </c>
      <c r="G184">
        <f ca="1">_xlfn.STDEV.P($C$2:C184)</f>
        <v>1.0352697913414477</v>
      </c>
      <c r="H184">
        <f t="shared" ca="1" si="43"/>
        <v>11.816302139530389</v>
      </c>
      <c r="I184">
        <f t="shared" ca="1" si="44"/>
        <v>9.7457625568474953</v>
      </c>
      <c r="J184">
        <f t="shared" ca="1" si="53"/>
        <v>12.470499999999998</v>
      </c>
      <c r="K184">
        <f t="shared" ca="1" si="54"/>
        <v>0.73681730221412778</v>
      </c>
      <c r="L184">
        <f t="shared" ca="1" si="55"/>
        <v>13.944134604428253</v>
      </c>
      <c r="M184">
        <f t="shared" ca="1" si="56"/>
        <v>10.996865395571742</v>
      </c>
      <c r="N184">
        <f t="shared" ca="1" si="45"/>
        <v>0.32000000000000028</v>
      </c>
      <c r="O184">
        <f t="shared" ca="1" si="46"/>
        <v>0.32000000000000028</v>
      </c>
      <c r="P184">
        <f t="shared" ca="1" si="47"/>
        <v>0</v>
      </c>
      <c r="Q184">
        <f t="shared" ca="1" si="51"/>
        <v>0.14361037109095151</v>
      </c>
      <c r="R184">
        <f t="shared" ca="1" si="52"/>
        <v>9.8251077346217144E-2</v>
      </c>
      <c r="S184">
        <f t="shared" ca="1" si="49"/>
        <v>1.4616671386197353</v>
      </c>
      <c r="T184">
        <f t="shared" ca="1" si="50"/>
        <v>59.377123563476452</v>
      </c>
      <c r="U184">
        <f>70</f>
        <v>70</v>
      </c>
      <c r="V184">
        <f>30</f>
        <v>30</v>
      </c>
      <c r="W184">
        <f t="shared" ca="1" si="48"/>
        <v>12.870438850109476</v>
      </c>
      <c r="X184">
        <f t="shared" ca="1" si="58"/>
        <v>12.538970892437504</v>
      </c>
      <c r="Y184">
        <f t="shared" ca="1" si="57"/>
        <v>0.32682278757927463</v>
      </c>
      <c r="Z184">
        <f t="shared" ca="1" si="59"/>
        <v>0.31259327023857075</v>
      </c>
      <c r="AA184">
        <f t="shared" ca="1" si="60"/>
        <v>1.4229517340703879E-2</v>
      </c>
      <c r="AB184">
        <f t="shared" ca="1" si="61"/>
        <v>11.666699999999997</v>
      </c>
    </row>
    <row r="185" spans="1:28" x14ac:dyDescent="0.25">
      <c r="A185" s="20">
        <f t="shared" ca="1" si="41"/>
        <v>45964</v>
      </c>
      <c r="B185" vm="511">
        <f ca="1"/>
        <v>45967</v>
      </c>
      <c r="C185" vm="512">
        <f ca="1"/>
        <v>13.12</v>
      </c>
      <c r="D185" vm="513">
        <f ca="1"/>
        <v>82291049</v>
      </c>
      <c r="E185">
        <f t="shared" ca="1" si="42"/>
        <v>1079658562.8799999</v>
      </c>
      <c r="F185">
        <f ca="1">SUM($E$2:E185)/SUM($D$2:D185)</f>
        <v>10.791399044441311</v>
      </c>
      <c r="G185">
        <f ca="1">_xlfn.STDEV.P($C$2:C185)</f>
        <v>1.0454351385987624</v>
      </c>
      <c r="H185">
        <f t="shared" ca="1" si="43"/>
        <v>11.836834183040073</v>
      </c>
      <c r="I185">
        <f t="shared" ca="1" si="44"/>
        <v>9.7459639058425491</v>
      </c>
      <c r="J185">
        <f t="shared" ca="1" si="53"/>
        <v>12.551499999999999</v>
      </c>
      <c r="K185">
        <f t="shared" ca="1" si="54"/>
        <v>0.71317876256126778</v>
      </c>
      <c r="L185">
        <f t="shared" ca="1" si="55"/>
        <v>13.977857525122534</v>
      </c>
      <c r="M185">
        <f t="shared" ca="1" si="56"/>
        <v>11.125142474877464</v>
      </c>
      <c r="N185">
        <f t="shared" ca="1" si="45"/>
        <v>9.9999999999997868E-3</v>
      </c>
      <c r="O185">
        <f t="shared" ca="1" si="46"/>
        <v>9.9999999999997868E-3</v>
      </c>
      <c r="P185">
        <f t="shared" ca="1" si="47"/>
        <v>0</v>
      </c>
      <c r="Q185">
        <f t="shared" ca="1" si="51"/>
        <v>0.13406677315588353</v>
      </c>
      <c r="R185">
        <f t="shared" ca="1" si="52"/>
        <v>9.1233143250058782E-2</v>
      </c>
      <c r="S185">
        <f t="shared" ca="1" si="49"/>
        <v>1.4694963735758073</v>
      </c>
      <c r="T185">
        <f t="shared" ca="1" si="50"/>
        <v>59.505913404035105</v>
      </c>
      <c r="U185">
        <f>70</f>
        <v>70</v>
      </c>
      <c r="V185">
        <f>30</f>
        <v>30</v>
      </c>
      <c r="W185">
        <f t="shared" ca="1" si="48"/>
        <v>12.908832873169557</v>
      </c>
      <c r="X185">
        <f t="shared" ca="1" si="58"/>
        <v>12.582010085590282</v>
      </c>
      <c r="Y185">
        <f t="shared" ca="1" si="57"/>
        <v>0.32663842026927803</v>
      </c>
      <c r="Z185">
        <f t="shared" ca="1" si="59"/>
        <v>0.31540230024471227</v>
      </c>
      <c r="AA185">
        <f t="shared" ca="1" si="60"/>
        <v>1.1236120024565754E-2</v>
      </c>
      <c r="AB185">
        <f t="shared" ca="1" si="61"/>
        <v>11.691699999999994</v>
      </c>
    </row>
    <row r="186" spans="1:28" x14ac:dyDescent="0.25">
      <c r="A186" s="20">
        <f t="shared" ca="1" si="41"/>
        <v>45964</v>
      </c>
      <c r="B186" vm="514">
        <f ca="1"/>
        <v>45968</v>
      </c>
      <c r="C186" vm="515">
        <f ca="1"/>
        <v>13.21</v>
      </c>
      <c r="D186" vm="516">
        <f ca="1"/>
        <v>80011318</v>
      </c>
      <c r="E186">
        <f t="shared" ca="1" si="42"/>
        <v>1056949510.7800001</v>
      </c>
      <c r="F186">
        <f ca="1">SUM($E$2:E186)/SUM($D$2:D186)</f>
        <v>10.80177699708436</v>
      </c>
      <c r="G186">
        <f ca="1">_xlfn.STDEV.P($C$2:C186)</f>
        <v>1.0562957257965269</v>
      </c>
      <c r="H186">
        <f t="shared" ca="1" si="43"/>
        <v>11.858072722880888</v>
      </c>
      <c r="I186">
        <f t="shared" ca="1" si="44"/>
        <v>9.7454812712878329</v>
      </c>
      <c r="J186">
        <f t="shared" ca="1" si="53"/>
        <v>12.641500000000001</v>
      </c>
      <c r="K186">
        <f t="shared" ca="1" si="54"/>
        <v>0.67404728086544885</v>
      </c>
      <c r="L186">
        <f t="shared" ca="1" si="55"/>
        <v>13.989594561730899</v>
      </c>
      <c r="M186">
        <f t="shared" ca="1" si="56"/>
        <v>11.293405438269103</v>
      </c>
      <c r="N186">
        <f t="shared" ca="1" si="45"/>
        <v>9.0000000000001634E-2</v>
      </c>
      <c r="O186">
        <f t="shared" ca="1" si="46"/>
        <v>9.0000000000001634E-2</v>
      </c>
      <c r="P186">
        <f t="shared" ca="1" si="47"/>
        <v>0</v>
      </c>
      <c r="Q186">
        <f t="shared" ca="1" si="51"/>
        <v>0.13091914650189196</v>
      </c>
      <c r="R186">
        <f t="shared" ca="1" si="52"/>
        <v>8.4716490160768876E-2</v>
      </c>
      <c r="S186">
        <f t="shared" ca="1" si="49"/>
        <v>1.5453797277654326</v>
      </c>
      <c r="T186">
        <f t="shared" ca="1" si="50"/>
        <v>60.71313096856116</v>
      </c>
      <c r="U186">
        <f>70</f>
        <v>70</v>
      </c>
      <c r="V186">
        <f>30</f>
        <v>30</v>
      </c>
      <c r="W186">
        <f t="shared" ca="1" si="48"/>
        <v>12.955166277297316</v>
      </c>
      <c r="X186">
        <f t="shared" ca="1" si="58"/>
        <v>12.628527857028038</v>
      </c>
      <c r="Y186">
        <f t="shared" ca="1" si="57"/>
        <v>0.31878299379826203</v>
      </c>
      <c r="Z186">
        <f t="shared" ca="1" si="59"/>
        <v>0.3160784389554222</v>
      </c>
      <c r="AA186">
        <f t="shared" ca="1" si="60"/>
        <v>2.7045548428398236E-3</v>
      </c>
      <c r="AB186">
        <f t="shared" ca="1" si="61"/>
        <v>11.719599999999993</v>
      </c>
    </row>
    <row r="187" spans="1:28" x14ac:dyDescent="0.25">
      <c r="A187" s="20">
        <f t="shared" ca="1" si="41"/>
        <v>45971</v>
      </c>
      <c r="B187" vm="517">
        <f ca="1"/>
        <v>45971</v>
      </c>
      <c r="C187" vm="518">
        <f ca="1"/>
        <v>13.16</v>
      </c>
      <c r="D187" vm="519">
        <f ca="1"/>
        <v>62051157</v>
      </c>
      <c r="E187">
        <f t="shared" ca="1" si="42"/>
        <v>816593226.12</v>
      </c>
      <c r="F187">
        <f ca="1">SUM($E$2:E187)/SUM($D$2:D187)</f>
        <v>10.809598459932241</v>
      </c>
      <c r="G187">
        <f ca="1">_xlfn.STDEV.P($C$2:C187)</f>
        <v>1.0662165589630497</v>
      </c>
      <c r="H187">
        <f t="shared" ca="1" si="43"/>
        <v>11.87581501889529</v>
      </c>
      <c r="I187">
        <f t="shared" ca="1" si="44"/>
        <v>9.743381900969192</v>
      </c>
      <c r="J187">
        <f t="shared" ca="1" si="53"/>
        <v>12.722500000000002</v>
      </c>
      <c r="K187">
        <f t="shared" ca="1" si="54"/>
        <v>0.63065442200939181</v>
      </c>
      <c r="L187">
        <f t="shared" ca="1" si="55"/>
        <v>13.983808844018785</v>
      </c>
      <c r="M187">
        <f t="shared" ca="1" si="56"/>
        <v>11.461191155981219</v>
      </c>
      <c r="N187">
        <f t="shared" ca="1" si="45"/>
        <v>-5.0000000000000711E-2</v>
      </c>
      <c r="O187">
        <f t="shared" ca="1" si="46"/>
        <v>0</v>
      </c>
      <c r="P187">
        <f t="shared" ca="1" si="47"/>
        <v>5.0000000000000711E-2</v>
      </c>
      <c r="Q187">
        <f t="shared" ca="1" si="51"/>
        <v>0.12156777889461397</v>
      </c>
      <c r="R187">
        <f t="shared" ca="1" si="52"/>
        <v>8.2236740863571148E-2</v>
      </c>
      <c r="S187">
        <f t="shared" ca="1" si="49"/>
        <v>1.4782660112502768</v>
      </c>
      <c r="T187">
        <f t="shared" ca="1" si="50"/>
        <v>59.649206523414996</v>
      </c>
      <c r="U187">
        <f>70</f>
        <v>70</v>
      </c>
      <c r="V187">
        <f>30</f>
        <v>30</v>
      </c>
      <c r="W187">
        <f t="shared" ca="1" si="48"/>
        <v>12.986679157713112</v>
      </c>
      <c r="X187">
        <f t="shared" ca="1" si="58"/>
        <v>12.66789616391485</v>
      </c>
      <c r="Y187">
        <f t="shared" ca="1" si="57"/>
        <v>0.32016369392725785</v>
      </c>
      <c r="Z187">
        <f t="shared" ca="1" si="59"/>
        <v>0.31689548994978933</v>
      </c>
      <c r="AA187">
        <f t="shared" ca="1" si="60"/>
        <v>3.2682039774685201E-3</v>
      </c>
      <c r="AB187">
        <f t="shared" ca="1" si="61"/>
        <v>11.746899999999997</v>
      </c>
    </row>
    <row r="188" spans="1:28" x14ac:dyDescent="0.25">
      <c r="A188" s="20">
        <f t="shared" ca="1" si="41"/>
        <v>45971</v>
      </c>
      <c r="B188" vm="520">
        <f ca="1"/>
        <v>45972</v>
      </c>
      <c r="C188" vm="521">
        <f ca="1"/>
        <v>13.3</v>
      </c>
      <c r="D188" vm="522">
        <f ca="1"/>
        <v>79742405</v>
      </c>
      <c r="E188">
        <f t="shared" ca="1" si="42"/>
        <v>1060573986.5</v>
      </c>
      <c r="F188">
        <f ca="1">SUM($E$2:E188)/SUM($D$2:D188)</f>
        <v>10.820168211608664</v>
      </c>
      <c r="G188">
        <f ca="1">_xlfn.STDEV.P($C$2:C188)</f>
        <v>1.0774033856548415</v>
      </c>
      <c r="H188">
        <f t="shared" ca="1" si="43"/>
        <v>11.897571597263505</v>
      </c>
      <c r="I188">
        <f t="shared" ca="1" si="44"/>
        <v>9.742764825953822</v>
      </c>
      <c r="J188">
        <f t="shared" ca="1" si="53"/>
        <v>12.805000000000001</v>
      </c>
      <c r="K188">
        <f t="shared" ca="1" si="54"/>
        <v>0.58955380094655185</v>
      </c>
      <c r="L188">
        <f t="shared" ca="1" si="55"/>
        <v>13.984107601893106</v>
      </c>
      <c r="M188">
        <f t="shared" ca="1" si="56"/>
        <v>11.625892398106897</v>
      </c>
      <c r="N188">
        <f t="shared" ca="1" si="45"/>
        <v>0.14000000000000057</v>
      </c>
      <c r="O188">
        <f t="shared" ca="1" si="46"/>
        <v>0.14000000000000057</v>
      </c>
      <c r="P188">
        <f t="shared" ca="1" si="47"/>
        <v>0</v>
      </c>
      <c r="Q188">
        <f t="shared" ca="1" si="51"/>
        <v>0.12288436611642729</v>
      </c>
      <c r="R188">
        <f t="shared" ca="1" si="52"/>
        <v>7.6362687944744642E-2</v>
      </c>
      <c r="S188">
        <f t="shared" ca="1" si="49"/>
        <v>1.6092200186214676</v>
      </c>
      <c r="T188">
        <f t="shared" ca="1" si="50"/>
        <v>61.674370391795044</v>
      </c>
      <c r="U188">
        <f>70</f>
        <v>70</v>
      </c>
      <c r="V188">
        <f>30</f>
        <v>30</v>
      </c>
      <c r="W188">
        <f t="shared" ca="1" si="48"/>
        <v>13.034882364218786</v>
      </c>
      <c r="X188">
        <f t="shared" ca="1" si="58"/>
        <v>12.714718670291528</v>
      </c>
      <c r="Y188">
        <f t="shared" ca="1" si="57"/>
        <v>0.32956266190379679</v>
      </c>
      <c r="Z188">
        <f t="shared" ca="1" si="59"/>
        <v>0.31942892434059089</v>
      </c>
      <c r="AA188">
        <f t="shared" ca="1" si="60"/>
        <v>1.0133737563205902E-2</v>
      </c>
      <c r="AB188">
        <f t="shared" ca="1" si="61"/>
        <v>11.773999999999996</v>
      </c>
    </row>
    <row r="189" spans="1:28" x14ac:dyDescent="0.25">
      <c r="A189" s="20">
        <f t="shared" ca="1" si="41"/>
        <v>45971</v>
      </c>
      <c r="B189" vm="523">
        <f ca="1"/>
        <v>45973</v>
      </c>
      <c r="C189" vm="524">
        <f ca="1"/>
        <v>13.45</v>
      </c>
      <c r="D189" vm="525">
        <f ca="1"/>
        <v>61840461</v>
      </c>
      <c r="E189">
        <f t="shared" ca="1" si="42"/>
        <v>831754200.44999993</v>
      </c>
      <c r="F189">
        <f ca="1">SUM($E$2:E189)/SUM($D$2:D189)</f>
        <v>10.828795606638936</v>
      </c>
      <c r="G189">
        <f ca="1">_xlfn.STDEV.P($C$2:C189)</f>
        <v>1.0899896118800112</v>
      </c>
      <c r="H189">
        <f t="shared" ca="1" si="43"/>
        <v>11.918785218518947</v>
      </c>
      <c r="I189">
        <f t="shared" ca="1" si="44"/>
        <v>9.7388059947589252</v>
      </c>
      <c r="J189">
        <f t="shared" ca="1" si="53"/>
        <v>12.889499999999998</v>
      </c>
      <c r="K189">
        <f t="shared" ca="1" si="54"/>
        <v>0.55179587186796375</v>
      </c>
      <c r="L189">
        <f t="shared" ca="1" si="55"/>
        <v>13.993091743735926</v>
      </c>
      <c r="M189">
        <f t="shared" ca="1" si="56"/>
        <v>11.78590825626407</v>
      </c>
      <c r="N189">
        <f t="shared" ca="1" si="45"/>
        <v>0.14999999999999858</v>
      </c>
      <c r="O189">
        <f t="shared" ca="1" si="46"/>
        <v>0.14999999999999858</v>
      </c>
      <c r="P189">
        <f t="shared" ca="1" si="47"/>
        <v>0</v>
      </c>
      <c r="Q189">
        <f t="shared" ca="1" si="51"/>
        <v>0.12482119710811095</v>
      </c>
      <c r="R189">
        <f t="shared" ca="1" si="52"/>
        <v>7.090821023440573E-2</v>
      </c>
      <c r="S189">
        <f t="shared" ca="1" si="49"/>
        <v>1.7603207963574552</v>
      </c>
      <c r="T189">
        <f t="shared" ca="1" si="50"/>
        <v>63.772326704939175</v>
      </c>
      <c r="U189">
        <f>70</f>
        <v>70</v>
      </c>
      <c r="V189">
        <f>30</f>
        <v>30</v>
      </c>
      <c r="W189">
        <f t="shared" ca="1" si="48"/>
        <v>13.098746615877435</v>
      </c>
      <c r="X189">
        <f t="shared" ca="1" si="58"/>
        <v>12.769183953973638</v>
      </c>
      <c r="Y189">
        <f t="shared" ca="1" si="57"/>
        <v>0.31960957229107123</v>
      </c>
      <c r="Z189">
        <f t="shared" ca="1" si="59"/>
        <v>0.31946505393068697</v>
      </c>
      <c r="AA189">
        <f t="shared" ca="1" si="60"/>
        <v>1.4451836038426036E-4</v>
      </c>
      <c r="AB189">
        <f t="shared" ca="1" si="61"/>
        <v>11.800999999999995</v>
      </c>
    </row>
    <row r="190" spans="1:28" x14ac:dyDescent="0.25">
      <c r="A190" s="20">
        <f t="shared" ca="1" si="41"/>
        <v>45971</v>
      </c>
      <c r="B190" vm="526">
        <f ca="1"/>
        <v>45974</v>
      </c>
      <c r="C190" vm="527">
        <f ca="1"/>
        <v>13.28</v>
      </c>
      <c r="D190" vm="528">
        <f ca="1"/>
        <v>71481613</v>
      </c>
      <c r="E190">
        <f t="shared" ca="1" si="42"/>
        <v>949275820.63999999</v>
      </c>
      <c r="F190">
        <f ca="1">SUM($E$2:E190)/SUM($D$2:D190)</f>
        <v>10.838055566753063</v>
      </c>
      <c r="G190">
        <f ca="1">_xlfn.STDEV.P($C$2:C190)</f>
        <v>1.100178301844015</v>
      </c>
      <c r="H190">
        <f t="shared" ca="1" si="43"/>
        <v>11.938233868597077</v>
      </c>
      <c r="I190">
        <f t="shared" ca="1" si="44"/>
        <v>9.7378772649090486</v>
      </c>
      <c r="J190">
        <f t="shared" ca="1" si="53"/>
        <v>12.9665</v>
      </c>
      <c r="K190">
        <f t="shared" ca="1" si="54"/>
        <v>0.48653744379084163</v>
      </c>
      <c r="L190">
        <f t="shared" ca="1" si="55"/>
        <v>13.939574887581683</v>
      </c>
      <c r="M190">
        <f t="shared" ca="1" si="56"/>
        <v>11.993425112418317</v>
      </c>
      <c r="N190">
        <f t="shared" ca="1" si="45"/>
        <v>-0.16999999999999993</v>
      </c>
      <c r="O190">
        <f t="shared" ca="1" si="46"/>
        <v>0</v>
      </c>
      <c r="P190">
        <f t="shared" ca="1" si="47"/>
        <v>0.16999999999999993</v>
      </c>
      <c r="Q190">
        <f t="shared" ca="1" si="51"/>
        <v>0.11590539731467445</v>
      </c>
      <c r="R190">
        <f t="shared" ca="1" si="52"/>
        <v>7.7986195217662466E-2</v>
      </c>
      <c r="S190">
        <f t="shared" ca="1" si="49"/>
        <v>1.4862296716896886</v>
      </c>
      <c r="T190">
        <f t="shared" ca="1" si="50"/>
        <v>59.778454445023932</v>
      </c>
      <c r="U190">
        <f>70</f>
        <v>70</v>
      </c>
      <c r="V190">
        <f>30</f>
        <v>30</v>
      </c>
      <c r="W190">
        <f t="shared" ca="1" si="48"/>
        <v>13.126631751896291</v>
      </c>
      <c r="X190">
        <f t="shared" ca="1" si="58"/>
        <v>12.807022179605219</v>
      </c>
      <c r="Y190">
        <f t="shared" ca="1" si="57"/>
        <v>0.30098980610114445</v>
      </c>
      <c r="Z190">
        <f t="shared" ca="1" si="59"/>
        <v>0.31577000436477848</v>
      </c>
      <c r="AA190">
        <f t="shared" ca="1" si="60"/>
        <v>-1.4780198263634026E-2</v>
      </c>
      <c r="AB190">
        <f t="shared" ca="1" si="61"/>
        <v>11.826499999999994</v>
      </c>
    </row>
    <row r="191" spans="1:28" x14ac:dyDescent="0.25">
      <c r="A191" s="20">
        <f t="shared" ca="1" si="41"/>
        <v>45971</v>
      </c>
      <c r="B191" vm="529">
        <f ca="1"/>
        <v>45975</v>
      </c>
      <c r="C191" vm="530">
        <f ca="1"/>
        <v>13.19</v>
      </c>
      <c r="D191" vm="531">
        <f ca="1"/>
        <v>67932422</v>
      </c>
      <c r="E191">
        <f t="shared" ca="1" si="42"/>
        <v>896028646.17999995</v>
      </c>
      <c r="F191">
        <f ca="1">SUM($E$2:E191)/SUM($D$2:D191)</f>
        <v>10.846469189057791</v>
      </c>
      <c r="G191">
        <f ca="1">_xlfn.STDEV.P($C$2:C191)</f>
        <v>1.1090671943354999</v>
      </c>
      <c r="H191">
        <f t="shared" ca="1" si="43"/>
        <v>11.955536383393291</v>
      </c>
      <c r="I191">
        <f t="shared" ca="1" si="44"/>
        <v>9.7374019947222905</v>
      </c>
      <c r="J191">
        <f t="shared" ca="1" si="53"/>
        <v>13.030000000000001</v>
      </c>
      <c r="K191">
        <f t="shared" ca="1" si="54"/>
        <v>0.42126376285497991</v>
      </c>
      <c r="L191">
        <f t="shared" ca="1" si="55"/>
        <v>13.872527525709961</v>
      </c>
      <c r="M191">
        <f t="shared" ca="1" si="56"/>
        <v>12.187472474290042</v>
      </c>
      <c r="N191">
        <f t="shared" ca="1" si="45"/>
        <v>-8.9999999999999858E-2</v>
      </c>
      <c r="O191">
        <f t="shared" ca="1" si="46"/>
        <v>0</v>
      </c>
      <c r="P191">
        <f t="shared" ca="1" si="47"/>
        <v>8.9999999999999858E-2</v>
      </c>
      <c r="Q191">
        <f t="shared" ca="1" si="51"/>
        <v>0.10762644036362627</v>
      </c>
      <c r="R191">
        <f t="shared" ca="1" si="52"/>
        <v>7.8844324130686566E-2</v>
      </c>
      <c r="S191">
        <f t="shared" ca="1" si="49"/>
        <v>1.3650499455767111</v>
      </c>
      <c r="T191">
        <f t="shared" ca="1" si="50"/>
        <v>57.717594849517958</v>
      </c>
      <c r="U191">
        <f>70</f>
        <v>70</v>
      </c>
      <c r="V191">
        <f>30</f>
        <v>30</v>
      </c>
      <c r="W191">
        <f t="shared" ca="1" si="48"/>
        <v>13.136380713143016</v>
      </c>
      <c r="X191">
        <f t="shared" ca="1" si="58"/>
        <v>12.835390907041871</v>
      </c>
      <c r="Y191">
        <f t="shared" ca="1" si="57"/>
        <v>0.25824224220760073</v>
      </c>
      <c r="Z191">
        <f t="shared" ca="1" si="59"/>
        <v>0.30426445193334295</v>
      </c>
      <c r="AA191">
        <f t="shared" ca="1" si="60"/>
        <v>-4.6022209725742225E-2</v>
      </c>
      <c r="AB191">
        <f t="shared" ca="1" si="61"/>
        <v>11.853599999999995</v>
      </c>
    </row>
    <row r="192" spans="1:28" x14ac:dyDescent="0.25">
      <c r="A192" s="20">
        <f t="shared" ca="1" si="41"/>
        <v>45978</v>
      </c>
      <c r="B192" vm="532">
        <f ca="1"/>
        <v>45978</v>
      </c>
      <c r="C192" vm="533">
        <f ca="1"/>
        <v>12.88</v>
      </c>
      <c r="D192" vm="534">
        <f ca="1"/>
        <v>73404381</v>
      </c>
      <c r="E192">
        <f t="shared" ca="1" si="42"/>
        <v>945448427.28000009</v>
      </c>
      <c r="F192">
        <f ca="1">SUM($E$2:E192)/SUM($D$2:D192)</f>
        <v>10.85429944727257</v>
      </c>
      <c r="G192">
        <f ca="1">_xlfn.STDEV.P($C$2:C192)</f>
        <v>1.1146894391303395</v>
      </c>
      <c r="H192">
        <f t="shared" ca="1" si="43"/>
        <v>11.96898888640291</v>
      </c>
      <c r="I192">
        <f t="shared" ca="1" si="44"/>
        <v>9.7396100081422308</v>
      </c>
      <c r="J192">
        <f t="shared" ca="1" si="53"/>
        <v>13.0745</v>
      </c>
      <c r="K192">
        <f t="shared" ca="1" si="54"/>
        <v>0.34588521065140726</v>
      </c>
      <c r="L192">
        <f t="shared" ca="1" si="55"/>
        <v>13.766270421302815</v>
      </c>
      <c r="M192">
        <f t="shared" ca="1" si="56"/>
        <v>12.382729578697186</v>
      </c>
      <c r="N192">
        <f t="shared" ca="1" si="45"/>
        <v>-0.30999999999999872</v>
      </c>
      <c r="O192">
        <f t="shared" ca="1" si="46"/>
        <v>0</v>
      </c>
      <c r="P192">
        <f t="shared" ca="1" si="47"/>
        <v>0.30999999999999872</v>
      </c>
      <c r="Q192">
        <f t="shared" ca="1" si="51"/>
        <v>9.9938837480510107E-2</v>
      </c>
      <c r="R192">
        <f t="shared" ca="1" si="52"/>
        <v>9.5355443835637432E-2</v>
      </c>
      <c r="S192">
        <f t="shared" ca="1" si="49"/>
        <v>1.0480664077530066</v>
      </c>
      <c r="T192">
        <f t="shared" ca="1" si="50"/>
        <v>51.173458232873948</v>
      </c>
      <c r="U192">
        <f>70</f>
        <v>70</v>
      </c>
      <c r="V192">
        <f>30</f>
        <v>30</v>
      </c>
      <c r="W192">
        <f t="shared" ca="1" si="48"/>
        <v>13.096937526505629</v>
      </c>
      <c r="X192">
        <f t="shared" ca="1" si="58"/>
        <v>12.838695284298028</v>
      </c>
      <c r="Y192">
        <f t="shared" ca="1" si="57"/>
        <v>0.23297572072738681</v>
      </c>
      <c r="Z192">
        <f t="shared" ca="1" si="59"/>
        <v>0.29000670569215176</v>
      </c>
      <c r="AA192">
        <f t="shared" ca="1" si="60"/>
        <v>-5.7030984964764941E-2</v>
      </c>
      <c r="AB192">
        <f t="shared" ca="1" si="61"/>
        <v>11.876099999999997</v>
      </c>
    </row>
    <row r="193" spans="1:28" x14ac:dyDescent="0.25">
      <c r="A193" s="20">
        <f t="shared" ca="1" si="41"/>
        <v>45978</v>
      </c>
      <c r="B193" vm="535">
        <f ca="1"/>
        <v>45979</v>
      </c>
      <c r="C193" vm="536">
        <f ca="1"/>
        <v>13.02</v>
      </c>
      <c r="D193" vm="537">
        <f ca="1"/>
        <v>70215400</v>
      </c>
      <c r="E193">
        <f t="shared" ca="1" si="42"/>
        <v>914204508</v>
      </c>
      <c r="F193">
        <f ca="1">SUM($E$2:E193)/SUM($D$2:D193)</f>
        <v>10.862247073507206</v>
      </c>
      <c r="G193">
        <f ca="1">_xlfn.STDEV.P($C$2:C193)</f>
        <v>1.1214108533337854</v>
      </c>
      <c r="H193">
        <f t="shared" ca="1" si="43"/>
        <v>11.983657926840991</v>
      </c>
      <c r="I193">
        <f t="shared" ca="1" si="44"/>
        <v>9.7408362201734207</v>
      </c>
      <c r="J193">
        <f t="shared" ca="1" si="53"/>
        <v>13.0975</v>
      </c>
      <c r="K193">
        <f t="shared" ca="1" si="54"/>
        <v>0.32450569697375281</v>
      </c>
      <c r="L193">
        <f t="shared" ca="1" si="55"/>
        <v>13.746511393947506</v>
      </c>
      <c r="M193">
        <f t="shared" ca="1" si="56"/>
        <v>12.448488606052495</v>
      </c>
      <c r="N193">
        <f t="shared" ca="1" si="45"/>
        <v>0.13999999999999879</v>
      </c>
      <c r="O193">
        <f t="shared" ca="1" si="46"/>
        <v>0.13999999999999879</v>
      </c>
      <c r="P193">
        <f t="shared" ca="1" si="47"/>
        <v>0</v>
      </c>
      <c r="Q193">
        <f t="shared" ca="1" si="51"/>
        <v>0.10280034908904501</v>
      </c>
      <c r="R193">
        <f t="shared" ca="1" si="52"/>
        <v>8.8544340704520469E-2</v>
      </c>
      <c r="S193">
        <f t="shared" ca="1" si="49"/>
        <v>1.1610041734016403</v>
      </c>
      <c r="T193">
        <f t="shared" ca="1" si="50"/>
        <v>53.725216623441391</v>
      </c>
      <c r="U193">
        <f>70</f>
        <v>70</v>
      </c>
      <c r="V193">
        <f>30</f>
        <v>30</v>
      </c>
      <c r="W193">
        <f t="shared" ca="1" si="48"/>
        <v>13.085100983966301</v>
      </c>
      <c r="X193">
        <f t="shared" ca="1" si="58"/>
        <v>12.852125263238914</v>
      </c>
      <c r="Y193">
        <f t="shared" ca="1" si="57"/>
        <v>0.20095236947391548</v>
      </c>
      <c r="Z193">
        <f t="shared" ca="1" si="59"/>
        <v>0.27219583844850453</v>
      </c>
      <c r="AA193">
        <f t="shared" ca="1" si="60"/>
        <v>-7.1243468974589053E-2</v>
      </c>
      <c r="AB193">
        <f t="shared" ca="1" si="61"/>
        <v>11.898299999999995</v>
      </c>
    </row>
    <row r="194" spans="1:28" x14ac:dyDescent="0.25">
      <c r="A194" s="20">
        <f t="shared" ca="1" si="41"/>
        <v>45978</v>
      </c>
      <c r="B194" vm="538">
        <f ca="1"/>
        <v>45980</v>
      </c>
      <c r="C194" vm="539">
        <f ca="1"/>
        <v>12.9</v>
      </c>
      <c r="D194" vm="540">
        <f ca="1"/>
        <v>49619260</v>
      </c>
      <c r="E194">
        <f t="shared" ca="1" si="42"/>
        <v>640088454</v>
      </c>
      <c r="F194">
        <f ca="1">SUM($E$2:E194)/SUM($D$2:D194)</f>
        <v>10.86751795986565</v>
      </c>
      <c r="G194">
        <f ca="1">_xlfn.STDEV.P($C$2:C194)</f>
        <v>1.1268460061882042</v>
      </c>
      <c r="H194">
        <f t="shared" ca="1" si="43"/>
        <v>11.994363966053854</v>
      </c>
      <c r="I194">
        <f t="shared" ca="1" si="44"/>
        <v>9.7406719536774453</v>
      </c>
      <c r="J194">
        <f t="shared" ca="1" si="53"/>
        <v>13.121</v>
      </c>
      <c r="K194">
        <f t="shared" ca="1" si="54"/>
        <v>0.28866115630249722</v>
      </c>
      <c r="L194">
        <f t="shared" ca="1" si="55"/>
        <v>13.698322312604995</v>
      </c>
      <c r="M194">
        <f t="shared" ca="1" si="56"/>
        <v>12.543677687395006</v>
      </c>
      <c r="N194">
        <f t="shared" ca="1" si="45"/>
        <v>-0.11999999999999922</v>
      </c>
      <c r="O194">
        <f t="shared" ca="1" si="46"/>
        <v>0</v>
      </c>
      <c r="P194">
        <f t="shared" ca="1" si="47"/>
        <v>0.11999999999999922</v>
      </c>
      <c r="Q194">
        <f t="shared" ca="1" si="51"/>
        <v>9.5457467011256084E-2</v>
      </c>
      <c r="R194">
        <f t="shared" ca="1" si="52"/>
        <v>9.0791173511340376E-2</v>
      </c>
      <c r="S194">
        <f t="shared" ca="1" si="49"/>
        <v>1.0513958936694749</v>
      </c>
      <c r="T194">
        <f t="shared" ca="1" si="50"/>
        <v>51.25270538534469</v>
      </c>
      <c r="U194">
        <f>70</f>
        <v>70</v>
      </c>
      <c r="V194">
        <f>30</f>
        <v>30</v>
      </c>
      <c r="W194">
        <f t="shared" ca="1" si="48"/>
        <v>13.056623909509947</v>
      </c>
      <c r="X194">
        <f t="shared" ca="1" si="58"/>
        <v>12.855671540036031</v>
      </c>
      <c r="Y194">
        <f t="shared" ca="1" si="57"/>
        <v>0.13448447468018188</v>
      </c>
      <c r="Z194">
        <f t="shared" ca="1" si="59"/>
        <v>0.24465356569484004</v>
      </c>
      <c r="AA194">
        <f t="shared" ca="1" si="60"/>
        <v>-0.11016909101465816</v>
      </c>
      <c r="AB194">
        <f t="shared" ca="1" si="61"/>
        <v>11.918799999999997</v>
      </c>
    </row>
    <row r="195" spans="1:28" x14ac:dyDescent="0.25">
      <c r="A195" s="20">
        <f t="shared" ref="A195:A252" ca="1" si="62">B195 - WEEKDAY(B195, 2) + 1</f>
        <v>45978</v>
      </c>
      <c r="B195" vm="541">
        <f ca="1"/>
        <v>45981</v>
      </c>
      <c r="C195" vm="542">
        <f ca="1"/>
        <v>12.41</v>
      </c>
      <c r="D195" vm="543">
        <f ca="1"/>
        <v>95861863</v>
      </c>
      <c r="E195">
        <f t="shared" ref="E195:E252" ca="1" si="63">C195*D195</f>
        <v>1189645719.8299999</v>
      </c>
      <c r="F195">
        <f ca="1">SUM($E$2:E195)/SUM($D$2:D195)</f>
        <v>10.87518774095494</v>
      </c>
      <c r="G195">
        <f ca="1">_xlfn.STDEV.P($C$2:C195)</f>
        <v>1.1284427865613056</v>
      </c>
      <c r="H195">
        <f t="shared" ref="H195:H252" ca="1" si="64">F195 + G195</f>
        <v>12.003630527516247</v>
      </c>
      <c r="I195">
        <f t="shared" ref="I195:I252" ca="1" si="65">F195 - G195</f>
        <v>9.746744954393634</v>
      </c>
      <c r="J195">
        <f t="shared" ca="1" si="53"/>
        <v>13.124500000000001</v>
      </c>
      <c r="K195">
        <f t="shared" ca="1" si="54"/>
        <v>0.27895434450065382</v>
      </c>
      <c r="L195">
        <f t="shared" ca="1" si="55"/>
        <v>13.682408689001308</v>
      </c>
      <c r="M195">
        <f t="shared" ca="1" si="56"/>
        <v>12.566591310998694</v>
      </c>
      <c r="N195">
        <f t="shared" ca="1" si="45"/>
        <v>-0.49000000000000021</v>
      </c>
      <c r="O195">
        <f t="shared" ca="1" si="46"/>
        <v>0</v>
      </c>
      <c r="P195">
        <f t="shared" ca="1" si="47"/>
        <v>0.49000000000000021</v>
      </c>
      <c r="Q195">
        <f t="shared" ca="1" si="51"/>
        <v>8.8639076510452081E-2</v>
      </c>
      <c r="R195">
        <f t="shared" ca="1" si="52"/>
        <v>0.11930608968910179</v>
      </c>
      <c r="S195">
        <f t="shared" ca="1" si="49"/>
        <v>0.7429551730463676</v>
      </c>
      <c r="T195">
        <f t="shared" ca="1" si="50"/>
        <v>42.626177915282675</v>
      </c>
      <c r="U195">
        <f>70</f>
        <v>70</v>
      </c>
      <c r="V195">
        <f>30</f>
        <v>30</v>
      </c>
      <c r="W195">
        <f t="shared" ca="1" si="48"/>
        <v>12.957143308046877</v>
      </c>
      <c r="X195">
        <f t="shared" ca="1" si="58"/>
        <v>12.822658833366695</v>
      </c>
      <c r="Y195">
        <f t="shared" ca="1" si="57"/>
        <v>0.11438017562890757</v>
      </c>
      <c r="Z195">
        <f t="shared" ca="1" si="59"/>
        <v>0.21859888768165356</v>
      </c>
      <c r="AA195">
        <f t="shared" ca="1" si="60"/>
        <v>-0.10421871205274599</v>
      </c>
      <c r="AB195">
        <f t="shared" ca="1" si="61"/>
        <v>11.929399999999998</v>
      </c>
    </row>
    <row r="196" spans="1:28" x14ac:dyDescent="0.25">
      <c r="A196" s="20">
        <f t="shared" ca="1" si="62"/>
        <v>45978</v>
      </c>
      <c r="B196" vm="544">
        <f ca="1"/>
        <v>45982</v>
      </c>
      <c r="C196" vm="545">
        <f ca="1"/>
        <v>12.83</v>
      </c>
      <c r="D196" vm="546">
        <f ca="1"/>
        <v>74048860</v>
      </c>
      <c r="E196">
        <f t="shared" ca="1" si="63"/>
        <v>950046873.79999995</v>
      </c>
      <c r="F196">
        <f ca="1">SUM($E$2:E196)/SUM($D$2:D196)</f>
        <v>10.88266729187028</v>
      </c>
      <c r="G196">
        <f ca="1">_xlfn.STDEV.P($C$2:C196)</f>
        <v>1.1330229578482369</v>
      </c>
      <c r="H196">
        <f t="shared" ca="1" si="64"/>
        <v>12.015690249718517</v>
      </c>
      <c r="I196">
        <f t="shared" ca="1" si="65"/>
        <v>9.7496443340220438</v>
      </c>
      <c r="J196">
        <f t="shared" ca="1" si="53"/>
        <v>13.074000000000002</v>
      </c>
      <c r="K196">
        <f t="shared" ca="1" si="54"/>
        <v>0.22967711890253326</v>
      </c>
      <c r="L196">
        <f t="shared" ca="1" si="55"/>
        <v>13.533354237805067</v>
      </c>
      <c r="M196">
        <f t="shared" ca="1" si="56"/>
        <v>12.614645762194936</v>
      </c>
      <c r="N196">
        <f t="shared" ref="N196:N252" ca="1" si="66">C196-C195</f>
        <v>0.41999999999999993</v>
      </c>
      <c r="O196">
        <f t="shared" ref="O196:O252" ca="1" si="67">MAX(N196,0)</f>
        <v>0.41999999999999993</v>
      </c>
      <c r="P196">
        <f t="shared" ref="P196:P252" ca="1" si="68">MAX(-N196,0)</f>
        <v>0</v>
      </c>
      <c r="Q196">
        <f t="shared" ca="1" si="51"/>
        <v>0.11230771390256264</v>
      </c>
      <c r="R196">
        <f t="shared" ca="1" si="52"/>
        <v>0.11078422613988025</v>
      </c>
      <c r="S196">
        <f t="shared" ca="1" si="49"/>
        <v>1.0137518473140641</v>
      </c>
      <c r="T196">
        <f t="shared" ca="1" si="50"/>
        <v>50.341448409654014</v>
      </c>
      <c r="U196">
        <f>70</f>
        <v>70</v>
      </c>
      <c r="V196">
        <f>30</f>
        <v>30</v>
      </c>
      <c r="W196">
        <f t="shared" ca="1" si="48"/>
        <v>12.937582799116589</v>
      </c>
      <c r="X196">
        <f t="shared" ca="1" si="58"/>
        <v>12.823202623487681</v>
      </c>
      <c r="Y196">
        <f t="shared" ca="1" si="57"/>
        <v>0.10769583676390226</v>
      </c>
      <c r="Z196">
        <f t="shared" ca="1" si="59"/>
        <v>0.19641827749810331</v>
      </c>
      <c r="AA196">
        <f t="shared" ca="1" si="60"/>
        <v>-8.8722440734201047E-2</v>
      </c>
      <c r="AB196">
        <f t="shared" ca="1" si="61"/>
        <v>11.939999999999996</v>
      </c>
    </row>
    <row r="197" spans="1:28" x14ac:dyDescent="0.25">
      <c r="A197" s="20">
        <f t="shared" ca="1" si="62"/>
        <v>45985</v>
      </c>
      <c r="B197" vm="547">
        <f ca="1"/>
        <v>45985</v>
      </c>
      <c r="C197" vm="548">
        <f ca="1"/>
        <v>12.96</v>
      </c>
      <c r="D197" vm="549">
        <f ca="1"/>
        <v>52936240</v>
      </c>
      <c r="E197">
        <f t="shared" ca="1" si="63"/>
        <v>686053670.4000001</v>
      </c>
      <c r="F197">
        <f ca="1">SUM($E$2:E197)/SUM($D$2:D197)</f>
        <v>10.888333922925874</v>
      </c>
      <c r="G197">
        <f ca="1">_xlfn.STDEV.P($C$2:C197)</f>
        <v>1.1385501329074976</v>
      </c>
      <c r="H197">
        <f t="shared" ca="1" si="64"/>
        <v>12.026884055833371</v>
      </c>
      <c r="I197">
        <f t="shared" ca="1" si="65"/>
        <v>9.7497837900183768</v>
      </c>
      <c r="J197">
        <f t="shared" ca="1" si="53"/>
        <v>13.059000000000001</v>
      </c>
      <c r="K197">
        <f t="shared" ca="1" si="54"/>
        <v>0.22666692466445579</v>
      </c>
      <c r="L197">
        <f t="shared" ca="1" si="55"/>
        <v>13.512333849328913</v>
      </c>
      <c r="M197">
        <f t="shared" ca="1" si="56"/>
        <v>12.605666150671089</v>
      </c>
      <c r="N197">
        <f t="shared" ca="1" si="66"/>
        <v>0.13000000000000078</v>
      </c>
      <c r="O197">
        <f t="shared" ca="1" si="67"/>
        <v>0.13000000000000078</v>
      </c>
      <c r="P197">
        <f t="shared" ca="1" si="68"/>
        <v>0</v>
      </c>
      <c r="Q197">
        <f t="shared" ca="1" si="51"/>
        <v>0.11357144862380822</v>
      </c>
      <c r="R197">
        <f t="shared" ca="1" si="52"/>
        <v>0.1028710671298888</v>
      </c>
      <c r="S197">
        <f t="shared" ca="1" si="49"/>
        <v>1.104017405403297</v>
      </c>
      <c r="T197">
        <f t="shared" ca="1" si="50"/>
        <v>52.471876067568914</v>
      </c>
      <c r="U197">
        <f>70</f>
        <v>70</v>
      </c>
      <c r="V197">
        <f>30</f>
        <v>30</v>
      </c>
      <c r="W197">
        <f t="shared" ca="1" si="48"/>
        <v>12.941031599252497</v>
      </c>
      <c r="X197">
        <f t="shared" ca="1" si="58"/>
        <v>12.833335762488595</v>
      </c>
      <c r="Y197">
        <f t="shared" ca="1" si="57"/>
        <v>0.11798365290369972</v>
      </c>
      <c r="Z197">
        <f t="shared" ca="1" si="59"/>
        <v>0.1807313525792226</v>
      </c>
      <c r="AA197">
        <f t="shared" ca="1" si="60"/>
        <v>-6.2747699675522878E-2</v>
      </c>
      <c r="AB197">
        <f t="shared" ca="1" si="61"/>
        <v>11.951499999999999</v>
      </c>
    </row>
    <row r="198" spans="1:28" x14ac:dyDescent="0.25">
      <c r="A198" s="20">
        <f t="shared" ca="1" si="62"/>
        <v>45985</v>
      </c>
      <c r="B198" vm="550">
        <f ca="1"/>
        <v>45986</v>
      </c>
      <c r="C198" vm="551">
        <f ca="1"/>
        <v>13.17</v>
      </c>
      <c r="D198" vm="552">
        <f ca="1"/>
        <v>52884970</v>
      </c>
      <c r="E198">
        <f t="shared" ca="1" si="63"/>
        <v>696495054.89999998</v>
      </c>
      <c r="F198">
        <f ca="1">SUM($E$2:E198)/SUM($D$2:D198)</f>
        <v>10.894535015384422</v>
      </c>
      <c r="G198">
        <f ca="1">_xlfn.STDEV.P($C$2:C198)</f>
        <v>1.1457958919139786</v>
      </c>
      <c r="H198">
        <f t="shared" ca="1" si="64"/>
        <v>12.040330907298401</v>
      </c>
      <c r="I198">
        <f t="shared" ca="1" si="65"/>
        <v>9.7487391234704432</v>
      </c>
      <c r="J198">
        <f t="shared" ca="1" si="53"/>
        <v>13.061000000000002</v>
      </c>
      <c r="K198">
        <f t="shared" ca="1" si="54"/>
        <v>0.22750130132652674</v>
      </c>
      <c r="L198">
        <f t="shared" ca="1" si="55"/>
        <v>13.516002602653055</v>
      </c>
      <c r="M198">
        <f t="shared" ca="1" si="56"/>
        <v>12.605997397346949</v>
      </c>
      <c r="N198">
        <f t="shared" ca="1" si="66"/>
        <v>0.20999999999999908</v>
      </c>
      <c r="O198">
        <f t="shared" ca="1" si="67"/>
        <v>0.20999999999999908</v>
      </c>
      <c r="P198">
        <f t="shared" ca="1" si="68"/>
        <v>0</v>
      </c>
      <c r="Q198">
        <f t="shared" ca="1" si="51"/>
        <v>0.12045920229353614</v>
      </c>
      <c r="R198">
        <f t="shared" ca="1" si="52"/>
        <v>9.5523133763468174E-2</v>
      </c>
      <c r="S198">
        <f t="shared" ca="1" si="49"/>
        <v>1.2610474295348599</v>
      </c>
      <c r="T198">
        <f t="shared" ca="1" si="50"/>
        <v>55.772710163549334</v>
      </c>
      <c r="U198">
        <f>70</f>
        <v>70</v>
      </c>
      <c r="V198">
        <f>30</f>
        <v>30</v>
      </c>
      <c r="W198">
        <f t="shared" ca="1" si="48"/>
        <v>12.976257507059806</v>
      </c>
      <c r="X198">
        <f t="shared" ca="1" si="58"/>
        <v>12.858273854156106</v>
      </c>
      <c r="Y198">
        <f t="shared" ca="1" si="57"/>
        <v>0.12629480625648881</v>
      </c>
      <c r="Z198">
        <f t="shared" ca="1" si="59"/>
        <v>0.16984404331467584</v>
      </c>
      <c r="AA198">
        <f t="shared" ca="1" si="60"/>
        <v>-4.3549237058187029E-2</v>
      </c>
      <c r="AB198">
        <f t="shared" ca="1" si="61"/>
        <v>11.9673</v>
      </c>
    </row>
    <row r="199" spans="1:28" x14ac:dyDescent="0.25">
      <c r="A199" s="20">
        <f t="shared" ca="1" si="62"/>
        <v>45985</v>
      </c>
      <c r="B199" vm="553">
        <f ca="1"/>
        <v>45987</v>
      </c>
      <c r="C199" vm="530">
        <f ca="1"/>
        <v>13.19</v>
      </c>
      <c r="D199" vm="554">
        <f ca="1"/>
        <v>44942203</v>
      </c>
      <c r="E199">
        <f t="shared" ca="1" si="63"/>
        <v>592787657.56999993</v>
      </c>
      <c r="F199">
        <f ca="1">SUM($E$2:E199)/SUM($D$2:D199)</f>
        <v>10.899824422498417</v>
      </c>
      <c r="G199">
        <f ca="1">_xlfn.STDEV.P($C$2:C199)</f>
        <v>1.1530092701285184</v>
      </c>
      <c r="H199">
        <f t="shared" ca="1" si="64"/>
        <v>12.052833692626935</v>
      </c>
      <c r="I199">
        <f t="shared" ca="1" si="65"/>
        <v>9.7468151523698996</v>
      </c>
      <c r="J199">
        <f t="shared" ca="1" si="53"/>
        <v>13.0585</v>
      </c>
      <c r="K199">
        <f t="shared" ca="1" si="54"/>
        <v>0.22569833150049032</v>
      </c>
      <c r="L199">
        <f t="shared" ca="1" si="55"/>
        <v>13.509896663000982</v>
      </c>
      <c r="M199">
        <f t="shared" ca="1" si="56"/>
        <v>12.607103336999019</v>
      </c>
      <c r="N199">
        <f t="shared" ca="1" si="66"/>
        <v>1.9999999999999574E-2</v>
      </c>
      <c r="O199">
        <f t="shared" ca="1" si="67"/>
        <v>1.9999999999999574E-2</v>
      </c>
      <c r="P199">
        <f t="shared" ca="1" si="68"/>
        <v>0</v>
      </c>
      <c r="Q199">
        <f t="shared" ca="1" si="51"/>
        <v>0.11328354498685496</v>
      </c>
      <c r="R199">
        <f t="shared" ca="1" si="52"/>
        <v>8.8700052780363303E-2</v>
      </c>
      <c r="S199">
        <f t="shared" ca="1" si="49"/>
        <v>1.2771530730355329</v>
      </c>
      <c r="T199">
        <f t="shared" ca="1" si="50"/>
        <v>56.085516962328697</v>
      </c>
      <c r="U199">
        <f>70</f>
        <v>70</v>
      </c>
      <c r="V199">
        <f>30</f>
        <v>30</v>
      </c>
      <c r="W199">
        <f t="shared" ca="1" si="48"/>
        <v>13.009140967512144</v>
      </c>
      <c r="X199">
        <f t="shared" ca="1" si="58"/>
        <v>12.882846161255655</v>
      </c>
      <c r="Y199">
        <f t="shared" ca="1" si="57"/>
        <v>0.13854662376928317</v>
      </c>
      <c r="Z199">
        <f t="shared" ca="1" si="59"/>
        <v>0.1635845594055973</v>
      </c>
      <c r="AA199">
        <f t="shared" ca="1" si="60"/>
        <v>-2.5037935636314124E-2</v>
      </c>
      <c r="AB199">
        <f t="shared" ca="1" si="61"/>
        <v>11.9824</v>
      </c>
    </row>
    <row r="200" spans="1:28" x14ac:dyDescent="0.25">
      <c r="A200" s="20">
        <f t="shared" ca="1" si="62"/>
        <v>45985</v>
      </c>
      <c r="B200" vm="555">
        <f ca="1"/>
        <v>45989</v>
      </c>
      <c r="C200" vm="527">
        <f ca="1"/>
        <v>13.28</v>
      </c>
      <c r="D200" vm="556">
        <f ca="1"/>
        <v>29536180</v>
      </c>
      <c r="E200">
        <f t="shared" ca="1" si="63"/>
        <v>392240470.39999998</v>
      </c>
      <c r="F200">
        <f ca="1">SUM($E$2:E200)/SUM($D$2:D200)</f>
        <v>10.903423474276657</v>
      </c>
      <c r="G200">
        <f ca="1">_xlfn.STDEV.P($C$2:C200)</f>
        <v>1.1608526148761342</v>
      </c>
      <c r="H200">
        <f t="shared" ca="1" si="64"/>
        <v>12.064276089152791</v>
      </c>
      <c r="I200">
        <f t="shared" ca="1" si="65"/>
        <v>9.7425708594005229</v>
      </c>
      <c r="J200">
        <f t="shared" ca="1" si="53"/>
        <v>13.0695</v>
      </c>
      <c r="K200">
        <f t="shared" ca="1" si="54"/>
        <v>0.23107244250280143</v>
      </c>
      <c r="L200">
        <f t="shared" ca="1" si="55"/>
        <v>13.531644885005603</v>
      </c>
      <c r="M200">
        <f t="shared" ca="1" si="56"/>
        <v>12.607355114994396</v>
      </c>
      <c r="N200">
        <f t="shared" ca="1" si="66"/>
        <v>8.9999999999999858E-2</v>
      </c>
      <c r="O200">
        <f t="shared" ca="1" si="67"/>
        <v>8.9999999999999858E-2</v>
      </c>
      <c r="P200">
        <f t="shared" ca="1" si="68"/>
        <v>0</v>
      </c>
      <c r="Q200">
        <f t="shared" ca="1" si="51"/>
        <v>0.11162043463065104</v>
      </c>
      <c r="R200">
        <f t="shared" ca="1" si="52"/>
        <v>8.2364334724623081E-2</v>
      </c>
      <c r="S200">
        <f t="shared" ca="1" si="49"/>
        <v>1.3552034992311028</v>
      </c>
      <c r="T200">
        <f t="shared" ca="1" si="50"/>
        <v>57.540823953154479</v>
      </c>
      <c r="U200">
        <f>70</f>
        <v>70</v>
      </c>
      <c r="V200">
        <f>30</f>
        <v>30</v>
      </c>
      <c r="W200">
        <f t="shared" ca="1" si="48"/>
        <v>13.05081158789489</v>
      </c>
      <c r="X200">
        <f t="shared" ca="1" si="58"/>
        <v>12.912264964125606</v>
      </c>
      <c r="Y200">
        <f t="shared" ca="1" si="57"/>
        <v>0.13699409761811765</v>
      </c>
      <c r="Z200">
        <f t="shared" ca="1" si="59"/>
        <v>0.15826646704810138</v>
      </c>
      <c r="AA200">
        <f t="shared" ca="1" si="60"/>
        <v>-2.1272369429983728E-2</v>
      </c>
      <c r="AB200">
        <f t="shared" ca="1" si="61"/>
        <v>11.9969</v>
      </c>
    </row>
    <row r="201" spans="1:28" x14ac:dyDescent="0.25">
      <c r="A201" s="20">
        <f t="shared" ca="1" si="62"/>
        <v>45992</v>
      </c>
      <c r="B201" vm="557">
        <f ca="1"/>
        <v>45992</v>
      </c>
      <c r="C201" vm="518">
        <f ca="1"/>
        <v>13.16</v>
      </c>
      <c r="D201" vm="558">
        <f ca="1"/>
        <v>51593955</v>
      </c>
      <c r="E201">
        <f t="shared" ca="1" si="63"/>
        <v>678976447.79999995</v>
      </c>
      <c r="F201">
        <f ca="1">SUM($E$2:E201)/SUM($D$2:D201)</f>
        <v>10.909368148441796</v>
      </c>
      <c r="G201">
        <f ca="1">_xlfn.STDEV.P($C$2:C201)</f>
        <v>1.1673572450196916</v>
      </c>
      <c r="H201">
        <f t="shared" ca="1" si="64"/>
        <v>12.076725393461487</v>
      </c>
      <c r="I201">
        <f t="shared" ca="1" si="65"/>
        <v>9.7420109034221056</v>
      </c>
      <c r="J201">
        <f t="shared" ca="1" si="53"/>
        <v>13.071000000000002</v>
      </c>
      <c r="K201">
        <f t="shared" ca="1" si="54"/>
        <v>0.23158265547270465</v>
      </c>
      <c r="L201">
        <f t="shared" ca="1" si="55"/>
        <v>13.534165310945411</v>
      </c>
      <c r="M201">
        <f t="shared" ca="1" si="56"/>
        <v>12.607834689054592</v>
      </c>
      <c r="N201">
        <f t="shared" ca="1" si="66"/>
        <v>-0.11999999999999922</v>
      </c>
      <c r="O201">
        <f t="shared" ca="1" si="67"/>
        <v>0</v>
      </c>
      <c r="P201">
        <f t="shared" ca="1" si="68"/>
        <v>0.11999999999999922</v>
      </c>
      <c r="Q201">
        <f t="shared" ca="1" si="51"/>
        <v>0.1036475464427474</v>
      </c>
      <c r="R201">
        <f t="shared" ca="1" si="52"/>
        <v>8.5052596530007088E-2</v>
      </c>
      <c r="S201">
        <f t="shared" ca="1" si="49"/>
        <v>1.2186288328796628</v>
      </c>
      <c r="T201">
        <f t="shared" ca="1" si="50"/>
        <v>54.927116010565278</v>
      </c>
      <c r="U201">
        <f>70</f>
        <v>70</v>
      </c>
      <c r="V201">
        <f>30</f>
        <v>30</v>
      </c>
      <c r="W201">
        <f t="shared" ca="1" si="48"/>
        <v>13.067609805141828</v>
      </c>
      <c r="X201">
        <f t="shared" ca="1" si="58"/>
        <v>12.93061570752371</v>
      </c>
      <c r="Y201">
        <f t="shared" ca="1" si="57"/>
        <v>0.11826212872340847</v>
      </c>
      <c r="Z201">
        <f t="shared" ca="1" si="59"/>
        <v>0.15026559938316281</v>
      </c>
      <c r="AA201">
        <f t="shared" ca="1" si="60"/>
        <v>-3.2003470659754341E-2</v>
      </c>
      <c r="AB201">
        <f t="shared" ca="1" si="61"/>
        <v>12.009400000000001</v>
      </c>
    </row>
    <row r="202" spans="1:28" x14ac:dyDescent="0.25">
      <c r="A202" s="20">
        <f t="shared" ca="1" si="62"/>
        <v>45992</v>
      </c>
      <c r="B202" vm="559">
        <f ca="1"/>
        <v>45993</v>
      </c>
      <c r="C202" vm="548">
        <f ca="1"/>
        <v>12.96</v>
      </c>
      <c r="D202" vm="560">
        <f ca="1"/>
        <v>57641703</v>
      </c>
      <c r="E202">
        <f t="shared" ca="1" si="63"/>
        <v>747036470.88</v>
      </c>
      <c r="F202">
        <f ca="1">SUM($E$2:E202)/SUM($D$2:D202)</f>
        <v>10.915385804252683</v>
      </c>
      <c r="G202">
        <f ca="1">_xlfn.STDEV.P($C$2:C202)</f>
        <v>1.171992185988316</v>
      </c>
      <c r="H202">
        <f t="shared" ca="1" si="64"/>
        <v>12.087377990240999</v>
      </c>
      <c r="I202">
        <f t="shared" ca="1" si="65"/>
        <v>9.743393618264367</v>
      </c>
      <c r="J202">
        <f t="shared" ca="1" si="53"/>
        <v>13.0685</v>
      </c>
      <c r="K202">
        <f t="shared" ca="1" si="54"/>
        <v>0.23254371405688082</v>
      </c>
      <c r="L202">
        <f t="shared" ca="1" si="55"/>
        <v>13.533587428113762</v>
      </c>
      <c r="M202">
        <f t="shared" ca="1" si="56"/>
        <v>12.603412571886238</v>
      </c>
      <c r="N202">
        <f t="shared" ca="1" si="66"/>
        <v>-0.19999999999999929</v>
      </c>
      <c r="O202">
        <f t="shared" ca="1" si="67"/>
        <v>0</v>
      </c>
      <c r="P202">
        <f t="shared" ca="1" si="68"/>
        <v>0.19999999999999929</v>
      </c>
      <c r="Q202">
        <f t="shared" ca="1" si="51"/>
        <v>9.6244150268265452E-2</v>
      </c>
      <c r="R202">
        <f t="shared" ca="1" si="52"/>
        <v>9.326312534929225E-2</v>
      </c>
      <c r="S202">
        <f t="shared" ca="1" si="49"/>
        <v>1.0319635966284484</v>
      </c>
      <c r="T202">
        <f t="shared" ca="1" si="50"/>
        <v>50.786519913090075</v>
      </c>
      <c r="U202">
        <f>70</f>
        <v>70</v>
      </c>
      <c r="V202">
        <f>30</f>
        <v>30</v>
      </c>
      <c r="W202">
        <f t="shared" ca="1" si="48"/>
        <v>13.051054450504623</v>
      </c>
      <c r="X202">
        <f t="shared" ca="1" si="58"/>
        <v>12.932792321781214</v>
      </c>
      <c r="Y202">
        <f t="shared" ca="1" si="57"/>
        <v>0.11260873852130615</v>
      </c>
      <c r="Z202">
        <f t="shared" ca="1" si="59"/>
        <v>0.14273422721079149</v>
      </c>
      <c r="AA202">
        <f t="shared" ca="1" si="60"/>
        <v>-3.0125488689485336E-2</v>
      </c>
      <c r="AB202">
        <f t="shared" ca="1" si="61"/>
        <v>12.0212</v>
      </c>
    </row>
    <row r="203" spans="1:28" x14ac:dyDescent="0.25">
      <c r="A203" s="20">
        <f t="shared" ca="1" si="62"/>
        <v>45992</v>
      </c>
      <c r="B203" vm="561">
        <f ca="1"/>
        <v>45994</v>
      </c>
      <c r="C203" vm="562">
        <f ca="1"/>
        <v>13.09</v>
      </c>
      <c r="D203" vm="563">
        <f ca="1"/>
        <v>45364666</v>
      </c>
      <c r="E203">
        <f t="shared" ca="1" si="63"/>
        <v>593823477.93999994</v>
      </c>
      <c r="F203">
        <f ca="1">SUM($E$2:E203)/SUM($D$2:D203)</f>
        <v>10.92039653337492</v>
      </c>
      <c r="G203">
        <f ca="1">_xlfn.STDEV.P($C$2:C203)</f>
        <v>1.1775462434133408</v>
      </c>
      <c r="H203">
        <f t="shared" ca="1" si="64"/>
        <v>12.09794277678826</v>
      </c>
      <c r="I203">
        <f t="shared" ca="1" si="65"/>
        <v>9.742850289961579</v>
      </c>
      <c r="J203">
        <f t="shared" ca="1" si="53"/>
        <v>13.083500000000001</v>
      </c>
      <c r="K203">
        <f t="shared" ca="1" si="54"/>
        <v>0.22311844859908617</v>
      </c>
      <c r="L203">
        <f t="shared" ca="1" si="55"/>
        <v>13.529736897198173</v>
      </c>
      <c r="M203">
        <f t="shared" ca="1" si="56"/>
        <v>12.637263102801828</v>
      </c>
      <c r="N203">
        <f t="shared" ca="1" si="66"/>
        <v>0.12999999999999901</v>
      </c>
      <c r="O203">
        <f t="shared" ca="1" si="67"/>
        <v>0.12999999999999901</v>
      </c>
      <c r="P203">
        <f t="shared" ca="1" si="68"/>
        <v>0</v>
      </c>
      <c r="Q203">
        <f t="shared" ca="1" si="51"/>
        <v>9.8655282391960711E-2</v>
      </c>
      <c r="R203">
        <f t="shared" ca="1" si="52"/>
        <v>8.6601473538628529E-2</v>
      </c>
      <c r="S203">
        <f t="shared" ca="1" si="49"/>
        <v>1.1391871103435161</v>
      </c>
      <c r="T203">
        <f t="shared" ca="1" si="50"/>
        <v>53.253271059612111</v>
      </c>
      <c r="U203">
        <f>70</f>
        <v>70</v>
      </c>
      <c r="V203">
        <f>30</f>
        <v>30</v>
      </c>
      <c r="W203">
        <f t="shared" ca="1" si="48"/>
        <v>13.057046073503912</v>
      </c>
      <c r="X203">
        <f t="shared" ca="1" si="58"/>
        <v>12.944437334982606</v>
      </c>
      <c r="Y203">
        <f t="shared" ca="1" si="57"/>
        <v>0.11088475772454665</v>
      </c>
      <c r="Z203">
        <f t="shared" ca="1" si="59"/>
        <v>0.13636433331354253</v>
      </c>
      <c r="AA203">
        <f t="shared" ca="1" si="60"/>
        <v>-2.5479575588995884E-2</v>
      </c>
      <c r="AB203">
        <f t="shared" ca="1" si="61"/>
        <v>12.033300000000002</v>
      </c>
    </row>
    <row r="204" spans="1:28" x14ac:dyDescent="0.25">
      <c r="A204" s="20">
        <f t="shared" ca="1" si="62"/>
        <v>45992</v>
      </c>
      <c r="B204" vm="564">
        <f ca="1"/>
        <v>45995</v>
      </c>
      <c r="C204" vm="565">
        <f ca="1"/>
        <v>13.14</v>
      </c>
      <c r="D204" vm="566">
        <f ca="1"/>
        <v>47554803</v>
      </c>
      <c r="E204">
        <f t="shared" ca="1" si="63"/>
        <v>624870111.42000008</v>
      </c>
      <c r="F204">
        <f ca="1">SUM($E$2:E204)/SUM($D$2:D204)</f>
        <v>10.925744922846619</v>
      </c>
      <c r="G204">
        <f ca="1">_xlfn.STDEV.P($C$2:C204)</f>
        <v>1.1833565926438374</v>
      </c>
      <c r="H204">
        <f t="shared" ca="1" si="64"/>
        <v>12.109101515490456</v>
      </c>
      <c r="I204">
        <f t="shared" ca="1" si="65"/>
        <v>9.7423883302027807</v>
      </c>
      <c r="J204">
        <f t="shared" ca="1" si="53"/>
        <v>13.084999999999999</v>
      </c>
      <c r="K204">
        <f t="shared" ca="1" si="54"/>
        <v>0.22340663892505386</v>
      </c>
      <c r="L204">
        <f t="shared" ca="1" si="55"/>
        <v>13.531813277850107</v>
      </c>
      <c r="M204">
        <f t="shared" ca="1" si="56"/>
        <v>12.638186722149891</v>
      </c>
      <c r="N204">
        <f t="shared" ca="1" si="66"/>
        <v>5.0000000000000711E-2</v>
      </c>
      <c r="O204">
        <f t="shared" ca="1" si="67"/>
        <v>5.0000000000000711E-2</v>
      </c>
      <c r="P204">
        <f t="shared" ca="1" si="68"/>
        <v>0</v>
      </c>
      <c r="Q204">
        <f t="shared" ca="1" si="51"/>
        <v>9.5179905078249277E-2</v>
      </c>
      <c r="R204">
        <f t="shared" ca="1" si="52"/>
        <v>8.041565400015506E-2</v>
      </c>
      <c r="S204">
        <f t="shared" ca="1" si="49"/>
        <v>1.1835992166160303</v>
      </c>
      <c r="T204">
        <f t="shared" ca="1" si="50"/>
        <v>54.204050249215548</v>
      </c>
      <c r="U204">
        <f>70</f>
        <v>70</v>
      </c>
      <c r="V204">
        <f>30</f>
        <v>30</v>
      </c>
      <c r="W204">
        <f t="shared" ca="1" si="48"/>
        <v>13.069808216041773</v>
      </c>
      <c r="X204">
        <f t="shared" ca="1" si="58"/>
        <v>12.958923458317226</v>
      </c>
      <c r="Y204">
        <f t="shared" ca="1" si="57"/>
        <v>9.94954877815033E-2</v>
      </c>
      <c r="Z204">
        <f t="shared" ca="1" si="59"/>
        <v>0.12899056420713467</v>
      </c>
      <c r="AA204">
        <f t="shared" ca="1" si="60"/>
        <v>-2.9495076425631372E-2</v>
      </c>
      <c r="AB204">
        <f t="shared" ca="1" si="61"/>
        <v>12.049000000000003</v>
      </c>
    </row>
    <row r="205" spans="1:28" x14ac:dyDescent="0.25">
      <c r="A205" s="20">
        <f t="shared" ca="1" si="62"/>
        <v>45992</v>
      </c>
      <c r="B205" vm="567">
        <f ca="1"/>
        <v>45996</v>
      </c>
      <c r="C205" vm="568">
        <f ca="1"/>
        <v>13.03</v>
      </c>
      <c r="D205" vm="569">
        <f ca="1"/>
        <v>54099362</v>
      </c>
      <c r="E205">
        <f t="shared" ca="1" si="63"/>
        <v>704914686.86000001</v>
      </c>
      <c r="F205">
        <f ca="1">SUM($E$2:E205)/SUM($D$2:D205)</f>
        <v>10.931497399953363</v>
      </c>
      <c r="G205">
        <f ca="1">_xlfn.STDEV.P($C$2:C205)</f>
        <v>1.1881027750392898</v>
      </c>
      <c r="H205">
        <f t="shared" ca="1" si="64"/>
        <v>12.119600174992653</v>
      </c>
      <c r="I205">
        <f t="shared" ca="1" si="65"/>
        <v>9.7433946249140728</v>
      </c>
      <c r="J205">
        <f t="shared" ca="1" si="53"/>
        <v>13.080500000000001</v>
      </c>
      <c r="K205">
        <f t="shared" ca="1" si="54"/>
        <v>0.22357090009305991</v>
      </c>
      <c r="L205">
        <f t="shared" ca="1" si="55"/>
        <v>13.527641800186121</v>
      </c>
      <c r="M205">
        <f t="shared" ca="1" si="56"/>
        <v>12.63335819981388</v>
      </c>
      <c r="N205">
        <f t="shared" ca="1" si="66"/>
        <v>-0.11000000000000121</v>
      </c>
      <c r="O205">
        <f t="shared" ca="1" si="67"/>
        <v>0</v>
      </c>
      <c r="P205">
        <f t="shared" ca="1" si="68"/>
        <v>0.11000000000000121</v>
      </c>
      <c r="Q205">
        <f t="shared" ca="1" si="51"/>
        <v>8.8381340429802904E-2</v>
      </c>
      <c r="R205">
        <f t="shared" ca="1" si="52"/>
        <v>8.2528821571572639E-2</v>
      </c>
      <c r="S205">
        <f t="shared" ca="1" si="49"/>
        <v>1.0709148482527975</v>
      </c>
      <c r="T205">
        <f t="shared" ca="1" si="50"/>
        <v>51.71216234005535</v>
      </c>
      <c r="U205">
        <f>70</f>
        <v>70</v>
      </c>
      <c r="V205">
        <f>30</f>
        <v>30</v>
      </c>
      <c r="W205">
        <f t="shared" ca="1" si="48"/>
        <v>13.063683875112268</v>
      </c>
      <c r="X205">
        <f t="shared" ca="1" si="58"/>
        <v>12.964188387330765</v>
      </c>
      <c r="Y205">
        <f t="shared" ca="1" si="57"/>
        <v>9.8213347651981309E-2</v>
      </c>
      <c r="Z205">
        <f t="shared" ca="1" si="59"/>
        <v>0.12283512089610402</v>
      </c>
      <c r="AA205">
        <f t="shared" ca="1" si="60"/>
        <v>-2.4621773244122708E-2</v>
      </c>
      <c r="AB205">
        <f t="shared" ca="1" si="61"/>
        <v>12.066900000000002</v>
      </c>
    </row>
    <row r="206" spans="1:28" x14ac:dyDescent="0.25">
      <c r="A206" s="20">
        <f t="shared" ca="1" si="62"/>
        <v>45999</v>
      </c>
      <c r="B206" vm="570">
        <f ca="1"/>
        <v>45999</v>
      </c>
      <c r="C206" vm="565">
        <f ca="1"/>
        <v>13.14</v>
      </c>
      <c r="D206" vm="571">
        <f ca="1"/>
        <v>45580830</v>
      </c>
      <c r="E206">
        <f t="shared" ca="1" si="63"/>
        <v>598932106.20000005</v>
      </c>
      <c r="F206">
        <f ca="1">SUM($E$2:E206)/SUM($D$2:D206)</f>
        <v>10.936572508841204</v>
      </c>
      <c r="G206">
        <f ca="1">_xlfn.STDEV.P($C$2:C206)</f>
        <v>1.1935932223700558</v>
      </c>
      <c r="H206">
        <f t="shared" ca="1" si="64"/>
        <v>12.13016573121126</v>
      </c>
      <c r="I206">
        <f t="shared" ca="1" si="65"/>
        <v>9.7429792864711473</v>
      </c>
      <c r="J206">
        <f t="shared" ca="1" si="53"/>
        <v>13.077000000000002</v>
      </c>
      <c r="K206">
        <f t="shared" ca="1" si="54"/>
        <v>0.22197913605135319</v>
      </c>
      <c r="L206">
        <f t="shared" ca="1" si="55"/>
        <v>13.520958272102709</v>
      </c>
      <c r="M206">
        <f t="shared" ca="1" si="56"/>
        <v>12.633041727897295</v>
      </c>
      <c r="N206">
        <f t="shared" ca="1" si="66"/>
        <v>0.11000000000000121</v>
      </c>
      <c r="O206">
        <f t="shared" ca="1" si="67"/>
        <v>0.11000000000000121</v>
      </c>
      <c r="P206">
        <f t="shared" ca="1" si="68"/>
        <v>0</v>
      </c>
      <c r="Q206">
        <f t="shared" ca="1" si="51"/>
        <v>8.9925530399102782E-2</v>
      </c>
      <c r="R206">
        <f t="shared" ca="1" si="52"/>
        <v>7.6633905745031733E-2</v>
      </c>
      <c r="S206">
        <f t="shared" ca="1" si="49"/>
        <v>1.1734431323165695</v>
      </c>
      <c r="T206">
        <f t="shared" ca="1" si="50"/>
        <v>53.990054530014426</v>
      </c>
      <c r="U206">
        <f>70</f>
        <v>70</v>
      </c>
      <c r="V206">
        <f>30</f>
        <v>30</v>
      </c>
      <c r="W206">
        <f t="shared" ca="1" si="48"/>
        <v>13.075424817402689</v>
      </c>
      <c r="X206">
        <f t="shared" ca="1" si="58"/>
        <v>12.977211469750708</v>
      </c>
      <c r="Y206">
        <f t="shared" ca="1" si="57"/>
        <v>9.1303256694070356E-2</v>
      </c>
      <c r="Z206">
        <f t="shared" ca="1" si="59"/>
        <v>0.1165287480556973</v>
      </c>
      <c r="AA206">
        <f t="shared" ca="1" si="60"/>
        <v>-2.5225491361626939E-2</v>
      </c>
      <c r="AB206">
        <f t="shared" ca="1" si="61"/>
        <v>12.086800000000004</v>
      </c>
    </row>
    <row r="207" spans="1:28" x14ac:dyDescent="0.25">
      <c r="A207" s="20">
        <f t="shared" ca="1" si="62"/>
        <v>45999</v>
      </c>
      <c r="B207" vm="572">
        <f ca="1"/>
        <v>46000</v>
      </c>
      <c r="C207" vm="573">
        <f ca="1"/>
        <v>13.08</v>
      </c>
      <c r="D207" vm="574">
        <f ca="1"/>
        <v>33349986</v>
      </c>
      <c r="E207">
        <f t="shared" ca="1" si="63"/>
        <v>436217816.88</v>
      </c>
      <c r="F207">
        <f ca="1">SUM($E$2:E207)/SUM($D$2:D207)</f>
        <v>10.940170334217134</v>
      </c>
      <c r="G207">
        <f ca="1">_xlfn.STDEV.P($C$2:C207)</f>
        <v>1.1984444478725693</v>
      </c>
      <c r="H207">
        <f t="shared" ca="1" si="64"/>
        <v>12.138614782089704</v>
      </c>
      <c r="I207">
        <f t="shared" ca="1" si="65"/>
        <v>9.7417258863445646</v>
      </c>
      <c r="J207">
        <f t="shared" ca="1" si="53"/>
        <v>13.072999999999999</v>
      </c>
      <c r="K207">
        <f t="shared" ca="1" si="54"/>
        <v>0.22112392334092693</v>
      </c>
      <c r="L207">
        <f t="shared" ca="1" si="55"/>
        <v>13.515247846681852</v>
      </c>
      <c r="M207">
        <f t="shared" ca="1" si="56"/>
        <v>12.630752153318145</v>
      </c>
      <c r="N207">
        <f t="shared" ca="1" si="66"/>
        <v>-6.0000000000000497E-2</v>
      </c>
      <c r="O207">
        <f t="shared" ca="1" si="67"/>
        <v>0</v>
      </c>
      <c r="P207">
        <f t="shared" ca="1" si="68"/>
        <v>6.0000000000000497E-2</v>
      </c>
      <c r="Q207">
        <f t="shared" ca="1" si="51"/>
        <v>8.35022782277383E-2</v>
      </c>
      <c r="R207">
        <f t="shared" ca="1" si="52"/>
        <v>7.5445769620386641E-2</v>
      </c>
      <c r="S207">
        <f t="shared" ca="1" si="49"/>
        <v>1.106785425450477</v>
      </c>
      <c r="T207">
        <f t="shared" ca="1" si="50"/>
        <v>52.534321344748335</v>
      </c>
      <c r="U207">
        <f>70</f>
        <v>70</v>
      </c>
      <c r="V207">
        <f>30</f>
        <v>30</v>
      </c>
      <c r="W207">
        <f t="shared" ref="W207:W252" ca="1" si="69">C207*(2/(12+1)) + W206*(1-(2/(12+1)))</f>
        <v>13.07612869164843</v>
      </c>
      <c r="X207">
        <f t="shared" ca="1" si="58"/>
        <v>12.984825434954359</v>
      </c>
      <c r="Y207">
        <f t="shared" ca="1" si="57"/>
        <v>0.11117366113793814</v>
      </c>
      <c r="Z207">
        <f t="shared" ca="1" si="59"/>
        <v>0.11545773067214546</v>
      </c>
      <c r="AA207">
        <f t="shared" ca="1" si="60"/>
        <v>-4.2840695342073187E-3</v>
      </c>
      <c r="AB207">
        <f t="shared" ca="1" si="61"/>
        <v>12.106000000000003</v>
      </c>
    </row>
    <row r="208" spans="1:28" x14ac:dyDescent="0.25">
      <c r="A208" s="20">
        <f t="shared" ca="1" si="62"/>
        <v>45999</v>
      </c>
      <c r="B208" vm="575">
        <f ca="1"/>
        <v>46001</v>
      </c>
      <c r="C208" vm="576">
        <f ca="1"/>
        <v>13.41</v>
      </c>
      <c r="D208" vm="577">
        <f ca="1"/>
        <v>72210701</v>
      </c>
      <c r="E208">
        <f t="shared" ca="1" si="63"/>
        <v>968345500.40999997</v>
      </c>
      <c r="F208">
        <f ca="1">SUM($E$2:E208)/SUM($D$2:D208)</f>
        <v>10.949114269275322</v>
      </c>
      <c r="G208">
        <f ca="1">_xlfn.STDEV.P($C$2:C208)</f>
        <v>1.2059391948359366</v>
      </c>
      <c r="H208">
        <f t="shared" ca="1" si="64"/>
        <v>12.155053464111258</v>
      </c>
      <c r="I208">
        <f t="shared" ca="1" si="65"/>
        <v>9.7431750744393852</v>
      </c>
      <c r="J208">
        <f t="shared" ca="1" si="53"/>
        <v>13.0785</v>
      </c>
      <c r="K208">
        <f t="shared" ca="1" si="54"/>
        <v>0.22831822206367078</v>
      </c>
      <c r="L208">
        <f t="shared" ca="1" si="55"/>
        <v>13.535136444127341</v>
      </c>
      <c r="M208">
        <f t="shared" ca="1" si="56"/>
        <v>12.621863555872659</v>
      </c>
      <c r="N208">
        <f t="shared" ca="1" si="66"/>
        <v>0.33000000000000007</v>
      </c>
      <c r="O208">
        <f t="shared" ca="1" si="67"/>
        <v>0.33000000000000007</v>
      </c>
      <c r="P208">
        <f t="shared" ca="1" si="68"/>
        <v>0</v>
      </c>
      <c r="Q208">
        <f t="shared" ca="1" si="51"/>
        <v>0.10110925835432842</v>
      </c>
      <c r="R208">
        <f t="shared" ca="1" si="52"/>
        <v>7.005678607607331E-2</v>
      </c>
      <c r="S208">
        <f t="shared" ref="S208:S252" ca="1" si="70">IF(R208=0,NA(),Q208/R208)</f>
        <v>1.4432471715807207</v>
      </c>
      <c r="T208">
        <f t="shared" ref="T208:T252" ca="1" si="71">100-(100/(1+S208))</f>
        <v>59.070862267568913</v>
      </c>
      <c r="U208">
        <f>70</f>
        <v>70</v>
      </c>
      <c r="V208">
        <f>30</f>
        <v>30</v>
      </c>
      <c r="W208">
        <f t="shared" ca="1" si="69"/>
        <v>13.127493508317901</v>
      </c>
      <c r="X208">
        <f t="shared" ca="1" si="58"/>
        <v>13.016319847179963</v>
      </c>
      <c r="Y208">
        <f t="shared" ca="1" si="57"/>
        <v>0.1430245630681739</v>
      </c>
      <c r="Z208">
        <f t="shared" ca="1" si="59"/>
        <v>0.12097109715135115</v>
      </c>
      <c r="AA208">
        <f t="shared" ca="1" si="60"/>
        <v>2.2053465916822751E-2</v>
      </c>
      <c r="AB208">
        <f t="shared" ca="1" si="61"/>
        <v>12.127000000000002</v>
      </c>
    </row>
    <row r="209" spans="1:28" x14ac:dyDescent="0.25">
      <c r="A209" s="20">
        <f t="shared" ca="1" si="62"/>
        <v>45999</v>
      </c>
      <c r="B209" vm="578">
        <f ca="1"/>
        <v>46002</v>
      </c>
      <c r="C209" vm="579">
        <f ca="1"/>
        <v>13.63</v>
      </c>
      <c r="D209" vm="580">
        <f ca="1"/>
        <v>59012304</v>
      </c>
      <c r="E209">
        <f t="shared" ca="1" si="63"/>
        <v>804337703.5200001</v>
      </c>
      <c r="F209">
        <f ca="1">SUM($E$2:E209)/SUM($D$2:D209)</f>
        <v>10.957024653843421</v>
      </c>
      <c r="G209">
        <f ca="1">_xlfn.STDEV.P($C$2:C209)</f>
        <v>1.2152788177768465</v>
      </c>
      <c r="H209">
        <f t="shared" ca="1" si="64"/>
        <v>12.172303471620268</v>
      </c>
      <c r="I209">
        <f t="shared" ca="1" si="65"/>
        <v>9.7417458360665741</v>
      </c>
      <c r="J209">
        <f t="shared" ca="1" si="53"/>
        <v>13.087500000000002</v>
      </c>
      <c r="K209">
        <f t="shared" ca="1" si="54"/>
        <v>0.24655254591006925</v>
      </c>
      <c r="L209">
        <f t="shared" ca="1" si="55"/>
        <v>13.580605091820141</v>
      </c>
      <c r="M209">
        <f t="shared" ca="1" si="56"/>
        <v>12.594394908179863</v>
      </c>
      <c r="N209">
        <f t="shared" ca="1" si="66"/>
        <v>0.22000000000000064</v>
      </c>
      <c r="O209">
        <f t="shared" ca="1" si="67"/>
        <v>0.22000000000000064</v>
      </c>
      <c r="P209">
        <f t="shared" ca="1" si="68"/>
        <v>0</v>
      </c>
      <c r="Q209">
        <f t="shared" ref="Q209:Q252" ca="1" si="72">(Q208*13+O209)/14</f>
        <v>0.10960145418616216</v>
      </c>
      <c r="R209">
        <f t="shared" ref="R209:R252" ca="1" si="73">(R208*13+P209)/14</f>
        <v>6.5052729927782355E-2</v>
      </c>
      <c r="S209">
        <f t="shared" ca="1" si="70"/>
        <v>1.684809450853717</v>
      </c>
      <c r="T209">
        <f t="shared" ca="1" si="71"/>
        <v>62.753408824524975</v>
      </c>
      <c r="U209">
        <f>70</f>
        <v>70</v>
      </c>
      <c r="V209">
        <f>30</f>
        <v>30</v>
      </c>
      <c r="W209">
        <f t="shared" ca="1" si="69"/>
        <v>13.204802199345917</v>
      </c>
      <c r="X209">
        <f t="shared" ca="1" si="58"/>
        <v>13.061777636277743</v>
      </c>
      <c r="Y209">
        <f t="shared" ca="1" si="57"/>
        <v>0.17671943423211189</v>
      </c>
      <c r="Z209">
        <f t="shared" ca="1" si="59"/>
        <v>0.13212076456750332</v>
      </c>
      <c r="AA209">
        <f t="shared" ca="1" si="60"/>
        <v>4.459866966460857E-2</v>
      </c>
      <c r="AB209">
        <f t="shared" ca="1" si="61"/>
        <v>12.151400000000002</v>
      </c>
    </row>
    <row r="210" spans="1:28" x14ac:dyDescent="0.25">
      <c r="A210" s="20">
        <f t="shared" ca="1" si="62"/>
        <v>45999</v>
      </c>
      <c r="B210" vm="581">
        <f ca="1"/>
        <v>46003</v>
      </c>
      <c r="C210" vm="582">
        <f ca="1"/>
        <v>13.76</v>
      </c>
      <c r="D210" vm="583">
        <f ca="1"/>
        <v>48337280</v>
      </c>
      <c r="E210">
        <f t="shared" ca="1" si="63"/>
        <v>665120972.79999995</v>
      </c>
      <c r="F210">
        <f ca="1">SUM($E$2:E210)/SUM($D$2:D210)</f>
        <v>10.963782835001508</v>
      </c>
      <c r="G210">
        <f ca="1">_xlfn.STDEV.P($C$2:C210)</f>
        <v>1.2256275420082008</v>
      </c>
      <c r="H210">
        <f t="shared" ca="1" si="64"/>
        <v>12.189410377009709</v>
      </c>
      <c r="I210">
        <f t="shared" ca="1" si="65"/>
        <v>9.7381552929933068</v>
      </c>
      <c r="J210">
        <f t="shared" ca="1" si="53"/>
        <v>13.111500000000001</v>
      </c>
      <c r="K210">
        <f t="shared" ca="1" si="54"/>
        <v>0.28641660860398876</v>
      </c>
      <c r="L210">
        <f t="shared" ca="1" si="55"/>
        <v>13.684333217207978</v>
      </c>
      <c r="M210">
        <f t="shared" ca="1" si="56"/>
        <v>12.538666782792024</v>
      </c>
      <c r="N210">
        <f t="shared" ca="1" si="66"/>
        <v>0.12999999999999901</v>
      </c>
      <c r="O210">
        <f t="shared" ca="1" si="67"/>
        <v>0.12999999999999901</v>
      </c>
      <c r="P210">
        <f t="shared" ca="1" si="68"/>
        <v>0</v>
      </c>
      <c r="Q210">
        <f t="shared" ca="1" si="72"/>
        <v>0.11105849317286479</v>
      </c>
      <c r="R210">
        <f t="shared" ca="1" si="73"/>
        <v>6.0406106361512182E-2</v>
      </c>
      <c r="S210">
        <f t="shared" ca="1" si="70"/>
        <v>1.8385309013001676</v>
      </c>
      <c r="T210">
        <f t="shared" ca="1" si="71"/>
        <v>64.770508591540874</v>
      </c>
      <c r="U210">
        <f>70</f>
        <v>70</v>
      </c>
      <c r="V210">
        <f>30</f>
        <v>30</v>
      </c>
      <c r="W210">
        <f t="shared" ca="1" si="69"/>
        <v>13.290217245600392</v>
      </c>
      <c r="X210">
        <f t="shared" ca="1" si="58"/>
        <v>13.11349781136828</v>
      </c>
      <c r="Y210">
        <f t="shared" ca="1" si="57"/>
        <v>0.1923297243550568</v>
      </c>
      <c r="Z210">
        <f t="shared" ca="1" si="59"/>
        <v>0.14416255652501403</v>
      </c>
      <c r="AA210">
        <f t="shared" ca="1" si="60"/>
        <v>4.8167167830042767E-2</v>
      </c>
      <c r="AB210">
        <f t="shared" ca="1" si="61"/>
        <v>12.175200000000004</v>
      </c>
    </row>
    <row r="211" spans="1:28" x14ac:dyDescent="0.25">
      <c r="A211" s="20">
        <f t="shared" ca="1" si="62"/>
        <v>46006</v>
      </c>
      <c r="B211" vm="584">
        <f ca="1"/>
        <v>46006</v>
      </c>
      <c r="C211" vm="585">
        <f ca="1"/>
        <v>13.65</v>
      </c>
      <c r="D211" vm="586">
        <f ca="1"/>
        <v>53577255</v>
      </c>
      <c r="E211">
        <f t="shared" ca="1" si="63"/>
        <v>731329530.75</v>
      </c>
      <c r="F211">
        <f ca="1">SUM($E$2:E211)/SUM($D$2:D211)</f>
        <v>10.970942469329769</v>
      </c>
      <c r="G211">
        <f ca="1">_xlfn.STDEV.P($C$2:C211)</f>
        <v>1.2345970580280448</v>
      </c>
      <c r="H211">
        <f t="shared" ca="1" si="64"/>
        <v>12.205539527357814</v>
      </c>
      <c r="I211">
        <f t="shared" ca="1" si="65"/>
        <v>9.7363454113017234</v>
      </c>
      <c r="J211">
        <f t="shared" ca="1" si="53"/>
        <v>13.134499999999999</v>
      </c>
      <c r="K211">
        <f t="shared" ca="1" si="54"/>
        <v>0.31050849636650762</v>
      </c>
      <c r="L211">
        <f t="shared" ca="1" si="55"/>
        <v>13.755516992733014</v>
      </c>
      <c r="M211">
        <f t="shared" ca="1" si="56"/>
        <v>12.513483007266984</v>
      </c>
      <c r="N211">
        <f t="shared" ca="1" si="66"/>
        <v>-0.10999999999999943</v>
      </c>
      <c r="O211">
        <f t="shared" ca="1" si="67"/>
        <v>0</v>
      </c>
      <c r="P211">
        <f t="shared" ca="1" si="68"/>
        <v>0.10999999999999943</v>
      </c>
      <c r="Q211">
        <f t="shared" ca="1" si="72"/>
        <v>0.1031257436605173</v>
      </c>
      <c r="R211">
        <f t="shared" ca="1" si="73"/>
        <v>6.3948527335689842E-2</v>
      </c>
      <c r="S211">
        <f t="shared" ca="1" si="70"/>
        <v>1.6126367245201993</v>
      </c>
      <c r="T211">
        <f t="shared" ca="1" si="71"/>
        <v>61.724491177255189</v>
      </c>
      <c r="U211">
        <f>70</f>
        <v>70</v>
      </c>
      <c r="V211">
        <f>30</f>
        <v>30</v>
      </c>
      <c r="W211">
        <f t="shared" ca="1" si="69"/>
        <v>13.345568438584946</v>
      </c>
      <c r="X211">
        <f t="shared" ca="1" si="58"/>
        <v>13.153238714229889</v>
      </c>
      <c r="Y211">
        <f t="shared" ca="1" si="57"/>
        <v>0.20396365850431586</v>
      </c>
      <c r="Z211">
        <f t="shared" ca="1" si="59"/>
        <v>0.1561227769208744</v>
      </c>
      <c r="AA211">
        <f t="shared" ca="1" si="60"/>
        <v>4.7840881583441464E-2</v>
      </c>
      <c r="AB211">
        <f t="shared" ca="1" si="61"/>
        <v>12.199100000000005</v>
      </c>
    </row>
    <row r="212" spans="1:28" x14ac:dyDescent="0.25">
      <c r="A212" s="20">
        <f t="shared" ca="1" si="62"/>
        <v>46006</v>
      </c>
      <c r="B212" vm="587">
        <f ca="1"/>
        <v>46007</v>
      </c>
      <c r="C212" vm="588">
        <f ca="1"/>
        <v>13.67</v>
      </c>
      <c r="D212" vm="589">
        <f ca="1"/>
        <v>69408875</v>
      </c>
      <c r="E212">
        <f t="shared" ca="1" si="63"/>
        <v>948819321.25</v>
      </c>
      <c r="F212">
        <f ca="1">SUM($E$2:E212)/SUM($D$2:D212)</f>
        <v>10.980229981938553</v>
      </c>
      <c r="G212">
        <f ca="1">_xlfn.STDEV.P($C$2:C212)</f>
        <v>1.2434951730012513</v>
      </c>
      <c r="H212">
        <f t="shared" ca="1" si="64"/>
        <v>12.223725154939805</v>
      </c>
      <c r="I212">
        <f t="shared" ca="1" si="65"/>
        <v>9.7367348089373014</v>
      </c>
      <c r="J212">
        <f t="shared" ca="1" si="53"/>
        <v>13.174000000000001</v>
      </c>
      <c r="K212">
        <f t="shared" ca="1" si="54"/>
        <v>0.32627724729938362</v>
      </c>
      <c r="L212">
        <f t="shared" ca="1" si="55"/>
        <v>13.826554494598769</v>
      </c>
      <c r="M212">
        <f t="shared" ca="1" si="56"/>
        <v>12.521445505401234</v>
      </c>
      <c r="N212">
        <f t="shared" ca="1" si="66"/>
        <v>1.9999999999999574E-2</v>
      </c>
      <c r="O212">
        <f t="shared" ca="1" si="67"/>
        <v>1.9999999999999574E-2</v>
      </c>
      <c r="P212">
        <f t="shared" ca="1" si="68"/>
        <v>0</v>
      </c>
      <c r="Q212">
        <f t="shared" ca="1" si="72"/>
        <v>9.7188190541908887E-2</v>
      </c>
      <c r="R212">
        <f t="shared" ca="1" si="73"/>
        <v>5.9380775383140572E-2</v>
      </c>
      <c r="S212">
        <f t="shared" ca="1" si="70"/>
        <v>1.6366945348022959</v>
      </c>
      <c r="T212">
        <f t="shared" ca="1" si="71"/>
        <v>62.073725765317683</v>
      </c>
      <c r="U212">
        <f>70</f>
        <v>70</v>
      </c>
      <c r="V212">
        <f>30</f>
        <v>30</v>
      </c>
      <c r="W212">
        <f t="shared" ca="1" si="69"/>
        <v>13.395480986494954</v>
      </c>
      <c r="X212">
        <f t="shared" ca="1" si="58"/>
        <v>13.191517327990638</v>
      </c>
      <c r="Y212">
        <f t="shared" ca="1" si="57"/>
        <v>0.18203624328217494</v>
      </c>
      <c r="Z212">
        <f t="shared" ca="1" si="59"/>
        <v>0.16130547019313451</v>
      </c>
      <c r="AA212">
        <f t="shared" ca="1" si="60"/>
        <v>2.0730773089040422E-2</v>
      </c>
      <c r="AB212">
        <f t="shared" ca="1" si="61"/>
        <v>12.221100000000005</v>
      </c>
    </row>
    <row r="213" spans="1:28" x14ac:dyDescent="0.25">
      <c r="A213" s="20">
        <f t="shared" ca="1" si="62"/>
        <v>46006</v>
      </c>
      <c r="B213" vm="590">
        <f ca="1"/>
        <v>46008</v>
      </c>
      <c r="C213" vm="591">
        <f ca="1"/>
        <v>13.31</v>
      </c>
      <c r="D213" vm="592">
        <f ca="1"/>
        <v>58320635</v>
      </c>
      <c r="E213">
        <f t="shared" ca="1" si="63"/>
        <v>776247651.85000002</v>
      </c>
      <c r="F213">
        <f ca="1">SUM($E$2:E213)/SUM($D$2:D213)</f>
        <v>10.986946647087262</v>
      </c>
      <c r="G213">
        <f ca="1">_xlfn.STDEV.P($C$2:C213)</f>
        <v>1.2490296839144015</v>
      </c>
      <c r="H213">
        <f t="shared" ca="1" si="64"/>
        <v>12.235976331001662</v>
      </c>
      <c r="I213">
        <f t="shared" ca="1" si="65"/>
        <v>9.7379169631728608</v>
      </c>
      <c r="J213">
        <f t="shared" ca="1" si="53"/>
        <v>13.188499999999999</v>
      </c>
      <c r="K213">
        <f t="shared" ca="1" si="54"/>
        <v>0.32551618926511816</v>
      </c>
      <c r="L213">
        <f t="shared" ca="1" si="55"/>
        <v>13.839532378530237</v>
      </c>
      <c r="M213">
        <f t="shared" ca="1" si="56"/>
        <v>12.537467621469762</v>
      </c>
      <c r="N213">
        <f t="shared" ca="1" si="66"/>
        <v>-0.35999999999999943</v>
      </c>
      <c r="O213">
        <f t="shared" ca="1" si="67"/>
        <v>0</v>
      </c>
      <c r="P213">
        <f t="shared" ca="1" si="68"/>
        <v>0.35999999999999943</v>
      </c>
      <c r="Q213">
        <f t="shared" ca="1" si="72"/>
        <v>9.0246176931772532E-2</v>
      </c>
      <c r="R213">
        <f t="shared" ca="1" si="73"/>
        <v>8.0853577141487637E-2</v>
      </c>
      <c r="S213">
        <f t="shared" ca="1" si="70"/>
        <v>1.1161680178212592</v>
      </c>
      <c r="T213">
        <f t="shared" ca="1" si="71"/>
        <v>52.74477302470676</v>
      </c>
      <c r="U213">
        <f>70</f>
        <v>70</v>
      </c>
      <c r="V213">
        <f>30</f>
        <v>30</v>
      </c>
      <c r="W213">
        <f t="shared" ca="1" si="69"/>
        <v>13.382330065495729</v>
      </c>
      <c r="X213">
        <f t="shared" ca="1" si="58"/>
        <v>13.200293822213554</v>
      </c>
      <c r="Y213">
        <f t="shared" ca="1" si="57"/>
        <v>0.16357987815620056</v>
      </c>
      <c r="Z213">
        <f t="shared" ca="1" si="59"/>
        <v>0.16176035178574774</v>
      </c>
      <c r="AA213">
        <f t="shared" ca="1" si="60"/>
        <v>1.8195263704528231E-3</v>
      </c>
      <c r="AB213">
        <f t="shared" ca="1" si="61"/>
        <v>12.241400000000004</v>
      </c>
    </row>
    <row r="214" spans="1:28" x14ac:dyDescent="0.25">
      <c r="A214" s="20">
        <f t="shared" ca="1" si="62"/>
        <v>46006</v>
      </c>
      <c r="B214" vm="593">
        <f ca="1"/>
        <v>46009</v>
      </c>
      <c r="C214" vm="594">
        <f ca="1"/>
        <v>13.32</v>
      </c>
      <c r="D214" vm="595">
        <f ca="1"/>
        <v>52604828</v>
      </c>
      <c r="E214">
        <f t="shared" ca="1" si="63"/>
        <v>700696308.96000004</v>
      </c>
      <c r="F214">
        <f ca="1">SUM($E$2:E214)/SUM($D$2:D214)</f>
        <v>10.992997837143776</v>
      </c>
      <c r="G214">
        <f ca="1">_xlfn.STDEV.P($C$2:C214)</f>
        <v>1.2544883609870414</v>
      </c>
      <c r="H214">
        <f t="shared" ca="1" si="64"/>
        <v>12.247486198130817</v>
      </c>
      <c r="I214">
        <f t="shared" ca="1" si="65"/>
        <v>9.7385094761567341</v>
      </c>
      <c r="J214">
        <f t="shared" ref="J214:J252" ca="1" si="74">AVERAGE(C195:C214)</f>
        <v>13.2095</v>
      </c>
      <c r="K214">
        <f t="shared" ref="K214:K252" ca="1" si="75">_xlfn.STDEV.S(C195:C214)</f>
        <v>0.31941517282618076</v>
      </c>
      <c r="L214">
        <f t="shared" ref="L214:L252" ca="1" si="76">J214 + 2*K214</f>
        <v>13.848330345652363</v>
      </c>
      <c r="M214">
        <f t="shared" ref="M214:M252" ca="1" si="77">J214-2*K214</f>
        <v>12.570669654347638</v>
      </c>
      <c r="N214">
        <f t="shared" ca="1" si="66"/>
        <v>9.9999999999997868E-3</v>
      </c>
      <c r="O214">
        <f t="shared" ca="1" si="67"/>
        <v>9.9999999999997868E-3</v>
      </c>
      <c r="P214">
        <f t="shared" ca="1" si="68"/>
        <v>0</v>
      </c>
      <c r="Q214">
        <f t="shared" ca="1" si="72"/>
        <v>8.4514307150931625E-2</v>
      </c>
      <c r="R214">
        <f t="shared" ca="1" si="73"/>
        <v>7.5078321631381381E-2</v>
      </c>
      <c r="S214">
        <f t="shared" ca="1" si="70"/>
        <v>1.1256818921163279</v>
      </c>
      <c r="T214">
        <f t="shared" ca="1" si="71"/>
        <v>52.956272351532306</v>
      </c>
      <c r="U214">
        <f>70</f>
        <v>70</v>
      </c>
      <c r="V214">
        <f>30</f>
        <v>30</v>
      </c>
      <c r="W214">
        <f t="shared" ca="1" si="69"/>
        <v>13.372740824650233</v>
      </c>
      <c r="X214">
        <f t="shared" ca="1" si="58"/>
        <v>13.209160946494032</v>
      </c>
      <c r="Y214">
        <f t="shared" ca="1" si="57"/>
        <v>0.15922141683919833</v>
      </c>
      <c r="Z214">
        <f t="shared" ca="1" si="59"/>
        <v>0.16125256479643787</v>
      </c>
      <c r="AA214">
        <f t="shared" ca="1" si="60"/>
        <v>-2.0311479572395486E-3</v>
      </c>
      <c r="AB214">
        <f t="shared" ca="1" si="61"/>
        <v>12.263800000000003</v>
      </c>
    </row>
    <row r="215" spans="1:28" x14ac:dyDescent="0.25">
      <c r="A215" s="20">
        <f t="shared" ca="1" si="62"/>
        <v>46006</v>
      </c>
      <c r="B215" vm="596">
        <f ca="1"/>
        <v>46010</v>
      </c>
      <c r="C215" vm="597">
        <f ca="1"/>
        <v>13.47</v>
      </c>
      <c r="D215" vm="598">
        <f ca="1"/>
        <v>61640571</v>
      </c>
      <c r="E215">
        <f t="shared" ca="1" si="63"/>
        <v>830298491.37</v>
      </c>
      <c r="F215">
        <f ca="1">SUM($E$2:E215)/SUM($D$2:D215)</f>
        <v>11.000503095682664</v>
      </c>
      <c r="G215">
        <f ca="1">_xlfn.STDEV.P($C$2:C215)</f>
        <v>1.2610043705107785</v>
      </c>
      <c r="H215">
        <f t="shared" ca="1" si="64"/>
        <v>12.261507466193443</v>
      </c>
      <c r="I215">
        <f t="shared" ca="1" si="65"/>
        <v>9.7394987251718845</v>
      </c>
      <c r="J215">
        <f t="shared" ca="1" si="74"/>
        <v>13.262499999999999</v>
      </c>
      <c r="K215">
        <f t="shared" ca="1" si="75"/>
        <v>0.26267600615687436</v>
      </c>
      <c r="L215">
        <f t="shared" ca="1" si="76"/>
        <v>13.787852012313747</v>
      </c>
      <c r="M215">
        <f t="shared" ca="1" si="77"/>
        <v>12.737147987686251</v>
      </c>
      <c r="N215">
        <f t="shared" ca="1" si="66"/>
        <v>0.15000000000000036</v>
      </c>
      <c r="O215">
        <f t="shared" ca="1" si="67"/>
        <v>0.15000000000000036</v>
      </c>
      <c r="P215">
        <f t="shared" ca="1" si="68"/>
        <v>0</v>
      </c>
      <c r="Q215">
        <f t="shared" ca="1" si="72"/>
        <v>8.9191856640150821E-2</v>
      </c>
      <c r="R215">
        <f t="shared" ca="1" si="73"/>
        <v>6.9715584371997E-2</v>
      </c>
      <c r="S215">
        <f t="shared" ca="1" si="70"/>
        <v>1.2793675538059026</v>
      </c>
      <c r="T215">
        <f t="shared" ca="1" si="71"/>
        <v>56.128181331252115</v>
      </c>
      <c r="U215">
        <f>70</f>
        <v>70</v>
      </c>
      <c r="V215">
        <f>30</f>
        <v>30</v>
      </c>
      <c r="W215">
        <f t="shared" ca="1" si="69"/>
        <v>13.387703774704043</v>
      </c>
      <c r="X215">
        <f t="shared" ca="1" si="58"/>
        <v>13.228482357864845</v>
      </c>
      <c r="Y215">
        <f t="shared" ca="1" si="57"/>
        <v>0.15319445806560239</v>
      </c>
      <c r="Z215">
        <f t="shared" ca="1" si="59"/>
        <v>0.15964094345027077</v>
      </c>
      <c r="AA215">
        <f t="shared" ca="1" si="60"/>
        <v>-6.4464853846683823E-3</v>
      </c>
      <c r="AB215">
        <f t="shared" ca="1" si="61"/>
        <v>12.289800000000003</v>
      </c>
    </row>
    <row r="216" spans="1:28" x14ac:dyDescent="0.25">
      <c r="A216" s="20">
        <f t="shared" ca="1" si="62"/>
        <v>46013</v>
      </c>
      <c r="B216" vm="599">
        <f ca="1"/>
        <v>46013</v>
      </c>
      <c r="C216" vm="600">
        <f ca="1"/>
        <v>13.46</v>
      </c>
      <c r="D216" vm="601">
        <f ca="1"/>
        <v>31106109</v>
      </c>
      <c r="E216">
        <f t="shared" ca="1" si="63"/>
        <v>418688227.14000005</v>
      </c>
      <c r="F216">
        <f ca="1">SUM($E$2:E216)/SUM($D$2:D216)</f>
        <v>11.004258018742163</v>
      </c>
      <c r="G216">
        <f ca="1">_xlfn.STDEV.P($C$2:C216)</f>
        <v>1.2672580246451388</v>
      </c>
      <c r="H216">
        <f t="shared" ca="1" si="64"/>
        <v>12.271516043387303</v>
      </c>
      <c r="I216">
        <f t="shared" ca="1" si="65"/>
        <v>9.7369999940970242</v>
      </c>
      <c r="J216">
        <f t="shared" ca="1" si="74"/>
        <v>13.294</v>
      </c>
      <c r="K216">
        <f t="shared" ca="1" si="75"/>
        <v>0.24527964706260869</v>
      </c>
      <c r="L216">
        <f t="shared" ca="1" si="76"/>
        <v>13.784559294125218</v>
      </c>
      <c r="M216">
        <f t="shared" ca="1" si="77"/>
        <v>12.803440705874783</v>
      </c>
      <c r="N216">
        <f t="shared" ca="1" si="66"/>
        <v>-9.9999999999997868E-3</v>
      </c>
      <c r="O216">
        <f t="shared" ca="1" si="67"/>
        <v>0</v>
      </c>
      <c r="P216">
        <f t="shared" ca="1" si="68"/>
        <v>9.9999999999997868E-3</v>
      </c>
      <c r="Q216">
        <f t="shared" ca="1" si="72"/>
        <v>8.2821009737282902E-2</v>
      </c>
      <c r="R216">
        <f t="shared" ca="1" si="73"/>
        <v>6.5450185488282922E-2</v>
      </c>
      <c r="S216">
        <f t="shared" ca="1" si="70"/>
        <v>1.2654052714962856</v>
      </c>
      <c r="T216">
        <f t="shared" ca="1" si="71"/>
        <v>55.857787894194026</v>
      </c>
      <c r="U216">
        <f>70</f>
        <v>70</v>
      </c>
      <c r="V216">
        <f>30</f>
        <v>30</v>
      </c>
      <c r="W216">
        <f t="shared" ca="1" si="69"/>
        <v>13.398826270903422</v>
      </c>
      <c r="X216">
        <f t="shared" ca="1" si="58"/>
        <v>13.24563181283782</v>
      </c>
      <c r="Y216">
        <f t="shared" ca="1" si="57"/>
        <v>0.13316542246730911</v>
      </c>
      <c r="Z216">
        <f t="shared" ca="1" si="59"/>
        <v>0.15434583925367845</v>
      </c>
      <c r="AA216">
        <f t="shared" ca="1" si="60"/>
        <v>-2.1180416786369338E-2</v>
      </c>
      <c r="AB216">
        <f t="shared" ca="1" si="61"/>
        <v>12.313700000000004</v>
      </c>
    </row>
    <row r="217" spans="1:28" x14ac:dyDescent="0.25">
      <c r="A217" s="20">
        <f t="shared" ca="1" si="62"/>
        <v>46013</v>
      </c>
      <c r="B217" vm="602">
        <f ca="1"/>
        <v>46014</v>
      </c>
      <c r="C217" vm="603">
        <f ca="1"/>
        <v>13.29</v>
      </c>
      <c r="D217" vm="604">
        <f ca="1"/>
        <v>25440833</v>
      </c>
      <c r="E217">
        <f t="shared" ca="1" si="63"/>
        <v>338108670.56999999</v>
      </c>
      <c r="F217">
        <f ca="1">SUM($E$2:E217)/SUM($D$2:D217)</f>
        <v>11.007108549041471</v>
      </c>
      <c r="G217">
        <f ca="1">_xlfn.STDEV.P($C$2:C217)</f>
        <v>1.2720200759937159</v>
      </c>
      <c r="H217">
        <f t="shared" ca="1" si="64"/>
        <v>12.279128625035186</v>
      </c>
      <c r="I217">
        <f t="shared" ca="1" si="65"/>
        <v>9.7350884730477549</v>
      </c>
      <c r="J217">
        <f t="shared" ca="1" si="74"/>
        <v>13.310499999999999</v>
      </c>
      <c r="K217">
        <f t="shared" ca="1" si="75"/>
        <v>0.23238975881049498</v>
      </c>
      <c r="L217">
        <f t="shared" ca="1" si="76"/>
        <v>13.775279517620989</v>
      </c>
      <c r="M217">
        <f t="shared" ca="1" si="77"/>
        <v>12.84572048237901</v>
      </c>
      <c r="N217">
        <f t="shared" ca="1" si="66"/>
        <v>-0.17000000000000171</v>
      </c>
      <c r="O217">
        <f t="shared" ca="1" si="67"/>
        <v>0</v>
      </c>
      <c r="P217">
        <f t="shared" ca="1" si="68"/>
        <v>0.17000000000000171</v>
      </c>
      <c r="Q217">
        <f t="shared" ca="1" si="72"/>
        <v>7.6905223327476985E-2</v>
      </c>
      <c r="R217">
        <f t="shared" ca="1" si="73"/>
        <v>7.2918029381977112E-2</v>
      </c>
      <c r="S217">
        <f t="shared" ca="1" si="70"/>
        <v>1.0546804950612856</v>
      </c>
      <c r="T217">
        <f t="shared" ca="1" si="71"/>
        <v>51.330632553156512</v>
      </c>
      <c r="U217">
        <f>70</f>
        <v>70</v>
      </c>
      <c r="V217">
        <f>30</f>
        <v>30</v>
      </c>
      <c r="W217">
        <f t="shared" ca="1" si="69"/>
        <v>13.382083767687512</v>
      </c>
      <c r="X217">
        <f t="shared" ca="1" si="58"/>
        <v>13.248918345220202</v>
      </c>
      <c r="Y217">
        <f t="shared" ca="1" si="57"/>
        <v>0.12153964902172376</v>
      </c>
      <c r="Z217">
        <f t="shared" ca="1" si="59"/>
        <v>0.14778460120728754</v>
      </c>
      <c r="AA217">
        <f t="shared" ca="1" si="60"/>
        <v>-2.6244952185563775E-2</v>
      </c>
      <c r="AB217">
        <f t="shared" ca="1" si="61"/>
        <v>12.338400000000002</v>
      </c>
    </row>
    <row r="218" spans="1:28" x14ac:dyDescent="0.25">
      <c r="A218" s="20">
        <f t="shared" ca="1" si="62"/>
        <v>46013</v>
      </c>
      <c r="B218" vm="605">
        <f ca="1"/>
        <v>46015</v>
      </c>
      <c r="C218" vm="606">
        <f ca="1"/>
        <v>13.36</v>
      </c>
      <c r="D218" vm="607">
        <f ca="1"/>
        <v>14227582</v>
      </c>
      <c r="E218">
        <f t="shared" ca="1" si="63"/>
        <v>190080495.51999998</v>
      </c>
      <c r="F218">
        <f ca="1">SUM($E$2:E218)/SUM($D$2:D218)</f>
        <v>11.008748373409999</v>
      </c>
      <c r="G218">
        <f ca="1">_xlfn.STDEV.P($C$2:C218)</f>
        <v>1.2771746013389675</v>
      </c>
      <c r="H218">
        <f t="shared" ca="1" si="64"/>
        <v>12.285922974748967</v>
      </c>
      <c r="I218">
        <f t="shared" ca="1" si="65"/>
        <v>9.7315737720710302</v>
      </c>
      <c r="J218">
        <f t="shared" ca="1" si="74"/>
        <v>13.319999999999999</v>
      </c>
      <c r="K218">
        <f t="shared" ca="1" si="75"/>
        <v>0.23021728866442681</v>
      </c>
      <c r="L218">
        <f t="shared" ca="1" si="76"/>
        <v>13.780434577328853</v>
      </c>
      <c r="M218">
        <f t="shared" ca="1" si="77"/>
        <v>12.859565422671144</v>
      </c>
      <c r="N218">
        <f t="shared" ca="1" si="66"/>
        <v>7.0000000000000284E-2</v>
      </c>
      <c r="O218">
        <f t="shared" ca="1" si="67"/>
        <v>7.0000000000000284E-2</v>
      </c>
      <c r="P218">
        <f t="shared" ca="1" si="68"/>
        <v>0</v>
      </c>
      <c r="Q218">
        <f t="shared" ca="1" si="72"/>
        <v>7.6411993089800082E-2</v>
      </c>
      <c r="R218">
        <f t="shared" ca="1" si="73"/>
        <v>6.7709598711835892E-2</v>
      </c>
      <c r="S218">
        <f t="shared" ca="1" si="70"/>
        <v>1.1285252688470442</v>
      </c>
      <c r="T218">
        <f t="shared" ca="1" si="71"/>
        <v>53.019115411222302</v>
      </c>
      <c r="U218">
        <f>70</f>
        <v>70</v>
      </c>
      <c r="V218">
        <f>30</f>
        <v>30</v>
      </c>
      <c r="W218">
        <f t="shared" ca="1" si="69"/>
        <v>13.378686264966355</v>
      </c>
      <c r="X218">
        <f t="shared" ca="1" si="58"/>
        <v>13.257146615944631</v>
      </c>
      <c r="Y218">
        <f t="shared" ca="1" si="57"/>
        <v>0.10705746584901021</v>
      </c>
      <c r="Z218">
        <f t="shared" ca="1" si="59"/>
        <v>0.13963917413563207</v>
      </c>
      <c r="AA218">
        <f t="shared" ca="1" si="60"/>
        <v>-3.2581708286621852E-2</v>
      </c>
      <c r="AB218">
        <f t="shared" ca="1" si="61"/>
        <v>12.362500000000001</v>
      </c>
    </row>
    <row r="219" spans="1:28" x14ac:dyDescent="0.25">
      <c r="A219" s="20">
        <f t="shared" ca="1" si="62"/>
        <v>46013</v>
      </c>
      <c r="B219" vm="608">
        <f ca="1"/>
        <v>46017</v>
      </c>
      <c r="C219" vm="591">
        <f ca="1"/>
        <v>13.31</v>
      </c>
      <c r="D219" vm="609">
        <f ca="1"/>
        <v>22471423</v>
      </c>
      <c r="E219">
        <f t="shared" ca="1" si="63"/>
        <v>299094640.13</v>
      </c>
      <c r="F219">
        <f ca="1">SUM($E$2:E219)/SUM($D$2:D219)</f>
        <v>11.011278727135373</v>
      </c>
      <c r="G219">
        <f ca="1">_xlfn.STDEV.P($C$2:C219)</f>
        <v>1.2818168880736829</v>
      </c>
      <c r="H219">
        <f t="shared" ca="1" si="64"/>
        <v>12.293095615209056</v>
      </c>
      <c r="I219">
        <f t="shared" ca="1" si="65"/>
        <v>9.72946183906169</v>
      </c>
      <c r="J219">
        <f t="shared" ca="1" si="74"/>
        <v>13.325999999999999</v>
      </c>
      <c r="K219">
        <f t="shared" ca="1" si="75"/>
        <v>0.22820581661483152</v>
      </c>
      <c r="L219">
        <f t="shared" ca="1" si="76"/>
        <v>13.782411633229662</v>
      </c>
      <c r="M219">
        <f t="shared" ca="1" si="77"/>
        <v>12.869588366770335</v>
      </c>
      <c r="N219">
        <f t="shared" ca="1" si="66"/>
        <v>-4.9999999999998934E-2</v>
      </c>
      <c r="O219">
        <f t="shared" ca="1" si="67"/>
        <v>0</v>
      </c>
      <c r="P219">
        <f t="shared" ca="1" si="68"/>
        <v>4.9999999999998934E-2</v>
      </c>
      <c r="Q219">
        <f t="shared" ca="1" si="72"/>
        <v>7.0953993583385791E-2</v>
      </c>
      <c r="R219">
        <f t="shared" ca="1" si="73"/>
        <v>6.6444627375276108E-2</v>
      </c>
      <c r="S219">
        <f t="shared" ca="1" si="70"/>
        <v>1.0678665286606395</v>
      </c>
      <c r="T219">
        <f t="shared" ca="1" si="71"/>
        <v>51.640979427830786</v>
      </c>
      <c r="U219">
        <f>70</f>
        <v>70</v>
      </c>
      <c r="V219">
        <f>30</f>
        <v>30</v>
      </c>
      <c r="W219">
        <f t="shared" ca="1" si="69"/>
        <v>13.368119147279224</v>
      </c>
      <c r="X219">
        <f t="shared" ca="1" si="58"/>
        <v>13.261061681430213</v>
      </c>
      <c r="Y219">
        <f t="shared" ca="1" si="57"/>
        <v>9.2097835547320983E-2</v>
      </c>
      <c r="Z219">
        <f t="shared" ca="1" si="59"/>
        <v>0.13013090641796984</v>
      </c>
      <c r="AA219">
        <f t="shared" ca="1" si="60"/>
        <v>-3.8033070870648861E-2</v>
      </c>
      <c r="AB219">
        <f t="shared" ca="1" si="61"/>
        <v>12.385</v>
      </c>
    </row>
    <row r="220" spans="1:28" x14ac:dyDescent="0.25">
      <c r="A220" s="20">
        <f t="shared" ca="1" si="62"/>
        <v>46020</v>
      </c>
      <c r="B220" vm="610">
        <f ca="1"/>
        <v>46020</v>
      </c>
      <c r="C220" vm="527">
        <f ca="1"/>
        <v>13.28</v>
      </c>
      <c r="D220" vm="611">
        <f ca="1"/>
        <v>24398306</v>
      </c>
      <c r="E220">
        <f t="shared" ca="1" si="63"/>
        <v>324009503.68000001</v>
      </c>
      <c r="F220">
        <f ca="1">SUM($E$2:E220)/SUM($D$2:D220)</f>
        <v>11.013983988320858</v>
      </c>
      <c r="G220">
        <f ca="1">_xlfn.STDEV.P($C$2:C220)</f>
        <v>1.2861161210889609</v>
      </c>
      <c r="H220">
        <f t="shared" ca="1" si="64"/>
        <v>12.300100109409819</v>
      </c>
      <c r="I220">
        <f t="shared" ca="1" si="65"/>
        <v>9.7278678672318968</v>
      </c>
      <c r="J220">
        <f t="shared" ca="1" si="74"/>
        <v>13.325999999999997</v>
      </c>
      <c r="K220">
        <f t="shared" ca="1" si="75"/>
        <v>0.22820581661483152</v>
      </c>
      <c r="L220">
        <f t="shared" ca="1" si="76"/>
        <v>13.78241163322966</v>
      </c>
      <c r="M220">
        <f t="shared" ca="1" si="77"/>
        <v>12.869588366770333</v>
      </c>
      <c r="N220">
        <f t="shared" ca="1" si="66"/>
        <v>-3.0000000000001137E-2</v>
      </c>
      <c r="O220">
        <f t="shared" ca="1" si="67"/>
        <v>0</v>
      </c>
      <c r="P220">
        <f t="shared" ca="1" si="68"/>
        <v>3.0000000000001137E-2</v>
      </c>
      <c r="Q220">
        <f t="shared" ca="1" si="72"/>
        <v>6.5885851184572519E-2</v>
      </c>
      <c r="R220">
        <f t="shared" ca="1" si="73"/>
        <v>6.3841439705613609E-2</v>
      </c>
      <c r="S220">
        <f t="shared" ca="1" si="70"/>
        <v>1.0320232671503984</v>
      </c>
      <c r="T220">
        <f t="shared" ca="1" si="71"/>
        <v>50.787965070776629</v>
      </c>
      <c r="U220">
        <f>70</f>
        <v>70</v>
      </c>
      <c r="V220">
        <f>30</f>
        <v>30</v>
      </c>
      <c r="W220">
        <f t="shared" ca="1" si="69"/>
        <v>13.354562355390112</v>
      </c>
      <c r="X220">
        <f t="shared" ca="1" si="58"/>
        <v>13.262464519842791</v>
      </c>
      <c r="Y220">
        <f t="shared" ref="Y220:Y251" ca="1" si="78">W221-X221</f>
        <v>7.5339175504147704E-2</v>
      </c>
      <c r="Z220">
        <f t="shared" ca="1" si="59"/>
        <v>0.11917256023520542</v>
      </c>
      <c r="AA220">
        <f t="shared" ca="1" si="60"/>
        <v>-4.3833384731057717E-2</v>
      </c>
      <c r="AB220">
        <f t="shared" ca="1" si="61"/>
        <v>12.4057</v>
      </c>
    </row>
    <row r="221" spans="1:28" x14ac:dyDescent="0.25">
      <c r="A221" s="20">
        <f t="shared" ca="1" si="62"/>
        <v>46020</v>
      </c>
      <c r="B221" vm="612">
        <f ca="1"/>
        <v>46021</v>
      </c>
      <c r="C221" vm="613">
        <f ca="1"/>
        <v>13.23</v>
      </c>
      <c r="D221" vm="614">
        <f ca="1"/>
        <v>23002807</v>
      </c>
      <c r="E221">
        <f t="shared" ca="1" si="63"/>
        <v>304327136.61000001</v>
      </c>
      <c r="F221">
        <f ca="1">SUM($E$2:E221)/SUM($D$2:D221)</f>
        <v>11.016472468282368</v>
      </c>
      <c r="G221">
        <f ca="1">_xlfn.STDEV.P($C$2:C221)</f>
        <v>1.2899489258900392</v>
      </c>
      <c r="H221">
        <f t="shared" ca="1" si="64"/>
        <v>12.306421394172407</v>
      </c>
      <c r="I221">
        <f t="shared" ca="1" si="65"/>
        <v>9.7265235423923286</v>
      </c>
      <c r="J221">
        <f t="shared" ca="1" si="74"/>
        <v>13.329499999999999</v>
      </c>
      <c r="K221">
        <f t="shared" ca="1" si="75"/>
        <v>0.22605250903740323</v>
      </c>
      <c r="L221">
        <f t="shared" ca="1" si="76"/>
        <v>13.781605018074806</v>
      </c>
      <c r="M221">
        <f t="shared" ca="1" si="77"/>
        <v>12.877394981925192</v>
      </c>
      <c r="N221">
        <f t="shared" ca="1" si="66"/>
        <v>-4.9999999999998934E-2</v>
      </c>
      <c r="O221">
        <f t="shared" ca="1" si="67"/>
        <v>0</v>
      </c>
      <c r="P221">
        <f t="shared" ca="1" si="68"/>
        <v>4.9999999999998934E-2</v>
      </c>
      <c r="Q221">
        <f t="shared" ca="1" si="72"/>
        <v>6.1179718957103058E-2</v>
      </c>
      <c r="R221">
        <f t="shared" ca="1" si="73"/>
        <v>6.2852765440926842E-2</v>
      </c>
      <c r="S221">
        <f t="shared" ca="1" si="70"/>
        <v>0.97338149766224336</v>
      </c>
      <c r="T221">
        <f t="shared" ca="1" si="71"/>
        <v>49.3255611657125</v>
      </c>
      <c r="U221">
        <f>70</f>
        <v>70</v>
      </c>
      <c r="V221">
        <f>30</f>
        <v>30</v>
      </c>
      <c r="W221">
        <f t="shared" ca="1" si="69"/>
        <v>13.335398916099324</v>
      </c>
      <c r="X221">
        <f t="shared" ref="X221:X252" ca="1" si="79">C221*(2/(26+1)) + X220*(1-(2/(26+1)))</f>
        <v>13.260059740595176</v>
      </c>
      <c r="Y221">
        <f t="shared" ca="1" si="78"/>
        <v>5.2575676319278841E-2</v>
      </c>
      <c r="Z221">
        <f t="shared" ca="1" si="59"/>
        <v>0.10585318345202011</v>
      </c>
      <c r="AA221">
        <f t="shared" ca="1" si="60"/>
        <v>-5.3277507132741264E-2</v>
      </c>
      <c r="AB221">
        <f t="shared" ca="1" si="61"/>
        <v>12.4252</v>
      </c>
    </row>
    <row r="222" spans="1:28" x14ac:dyDescent="0.25">
      <c r="A222" s="20">
        <f t="shared" ca="1" si="62"/>
        <v>46020</v>
      </c>
      <c r="B222" vm="615">
        <f ca="1"/>
        <v>46022</v>
      </c>
      <c r="C222" vm="512">
        <f ca="1"/>
        <v>13.12</v>
      </c>
      <c r="D222" vm="616">
        <f ca="1"/>
        <v>26302260</v>
      </c>
      <c r="E222">
        <f t="shared" ca="1" si="63"/>
        <v>345085651.19999999</v>
      </c>
      <c r="F222">
        <f ca="1">SUM($E$2:E222)/SUM($D$2:D222)</f>
        <v>11.01916998657302</v>
      </c>
      <c r="G222">
        <f ca="1">_xlfn.STDEV.P($C$2:C222)</f>
        <v>1.2929486603907285</v>
      </c>
      <c r="H222">
        <f t="shared" ca="1" si="64"/>
        <v>12.312118646963748</v>
      </c>
      <c r="I222">
        <f t="shared" ca="1" si="65"/>
        <v>9.7262213261822925</v>
      </c>
      <c r="J222">
        <f t="shared" ca="1" si="74"/>
        <v>13.3375</v>
      </c>
      <c r="K222">
        <f t="shared" ca="1" si="75"/>
        <v>0.21484082234847379</v>
      </c>
      <c r="L222">
        <f t="shared" ca="1" si="76"/>
        <v>13.767181644696947</v>
      </c>
      <c r="M222">
        <f t="shared" ca="1" si="77"/>
        <v>12.907818355303053</v>
      </c>
      <c r="N222">
        <f t="shared" ca="1" si="66"/>
        <v>-0.11000000000000121</v>
      </c>
      <c r="O222">
        <f t="shared" ca="1" si="67"/>
        <v>0</v>
      </c>
      <c r="P222">
        <f t="shared" ca="1" si="68"/>
        <v>0.11000000000000121</v>
      </c>
      <c r="Q222">
        <f t="shared" ca="1" si="72"/>
        <v>5.6809739031595696E-2</v>
      </c>
      <c r="R222">
        <f t="shared" ca="1" si="73"/>
        <v>6.6220425052289297E-2</v>
      </c>
      <c r="S222">
        <f t="shared" ca="1" si="70"/>
        <v>0.85788846850102984</v>
      </c>
      <c r="T222">
        <f t="shared" ca="1" si="71"/>
        <v>46.175455795427062</v>
      </c>
      <c r="U222">
        <f>70</f>
        <v>70</v>
      </c>
      <c r="V222">
        <f>30</f>
        <v>30</v>
      </c>
      <c r="W222">
        <f t="shared" ca="1" si="69"/>
        <v>13.302260621314813</v>
      </c>
      <c r="X222">
        <f t="shared" ca="1" si="79"/>
        <v>13.249684944995535</v>
      </c>
      <c r="Y222">
        <f t="shared" ca="1" si="78"/>
        <v>5.169173050413356E-2</v>
      </c>
      <c r="Z222">
        <f t="shared" ca="1" si="59"/>
        <v>9.5020892862442807E-2</v>
      </c>
      <c r="AA222">
        <f t="shared" ca="1" si="60"/>
        <v>-4.3329162358309248E-2</v>
      </c>
      <c r="AB222">
        <f t="shared" ca="1" si="61"/>
        <v>12.443199999999999</v>
      </c>
    </row>
    <row r="223" spans="1:28" x14ac:dyDescent="0.25">
      <c r="A223" s="20">
        <f t="shared" ca="1" si="62"/>
        <v>46020</v>
      </c>
      <c r="B223" vm="617">
        <f ca="1"/>
        <v>46024</v>
      </c>
      <c r="C223" vm="618">
        <f ca="1"/>
        <v>13.34</v>
      </c>
      <c r="D223" vm="619">
        <f ca="1"/>
        <v>46366861</v>
      </c>
      <c r="E223">
        <f t="shared" ca="1" si="63"/>
        <v>618533925.74000001</v>
      </c>
      <c r="F223">
        <f ca="1">SUM($E$2:E223)/SUM($D$2:D223)</f>
        <v>11.024404706910374</v>
      </c>
      <c r="G223">
        <f ca="1">_xlfn.STDEV.P($C$2:C223)</f>
        <v>1.2973402301454098</v>
      </c>
      <c r="H223">
        <f t="shared" ca="1" si="64"/>
        <v>12.321744937055785</v>
      </c>
      <c r="I223">
        <f t="shared" ca="1" si="65"/>
        <v>9.7270644767649639</v>
      </c>
      <c r="J223">
        <f t="shared" ca="1" si="74"/>
        <v>13.349999999999998</v>
      </c>
      <c r="K223">
        <f t="shared" ca="1" si="75"/>
        <v>0.20680527327085169</v>
      </c>
      <c r="L223">
        <f t="shared" ca="1" si="76"/>
        <v>13.763610546541701</v>
      </c>
      <c r="M223">
        <f t="shared" ca="1" si="77"/>
        <v>12.936389453458295</v>
      </c>
      <c r="N223">
        <f t="shared" ca="1" si="66"/>
        <v>0.22000000000000064</v>
      </c>
      <c r="O223">
        <f t="shared" ca="1" si="67"/>
        <v>0.22000000000000064</v>
      </c>
      <c r="P223">
        <f t="shared" ca="1" si="68"/>
        <v>0</v>
      </c>
      <c r="Q223">
        <f t="shared" ca="1" si="72"/>
        <v>6.8466186243624619E-2</v>
      </c>
      <c r="R223">
        <f t="shared" ca="1" si="73"/>
        <v>6.1490394691411487E-2</v>
      </c>
      <c r="S223">
        <f t="shared" ca="1" si="70"/>
        <v>1.1134452232291079</v>
      </c>
      <c r="T223">
        <f t="shared" ca="1" si="71"/>
        <v>52.683893151859785</v>
      </c>
      <c r="U223">
        <f>70</f>
        <v>70</v>
      </c>
      <c r="V223">
        <f>30</f>
        <v>30</v>
      </c>
      <c r="W223">
        <f t="shared" ca="1" si="69"/>
        <v>13.308066679574074</v>
      </c>
      <c r="X223">
        <f t="shared" ca="1" si="79"/>
        <v>13.25637494906994</v>
      </c>
      <c r="Y223">
        <f t="shared" ca="1" si="78"/>
        <v>6.0780471184527229E-2</v>
      </c>
      <c r="Z223">
        <f t="shared" ca="1" si="59"/>
        <v>8.81728085268597E-2</v>
      </c>
      <c r="AA223">
        <f t="shared" ca="1" si="60"/>
        <v>-2.7392337342332471E-2</v>
      </c>
      <c r="AB223">
        <f t="shared" ca="1" si="61"/>
        <v>12.465199999999998</v>
      </c>
    </row>
    <row r="224" spans="1:28" x14ac:dyDescent="0.25">
      <c r="A224" s="20">
        <f t="shared" ca="1" si="62"/>
        <v>46027</v>
      </c>
      <c r="B224" vm="620">
        <f ca="1"/>
        <v>46027</v>
      </c>
      <c r="C224" vm="597">
        <f ca="1"/>
        <v>13.47</v>
      </c>
      <c r="D224" vm="621">
        <f ca="1"/>
        <v>50135246</v>
      </c>
      <c r="E224">
        <f t="shared" ca="1" si="63"/>
        <v>675321763.62</v>
      </c>
      <c r="F224">
        <f ca="1">SUM($E$2:E224)/SUM($D$2:D224)</f>
        <v>11.030354643073039</v>
      </c>
      <c r="G224">
        <f ca="1">_xlfn.STDEV.P($C$2:C224)</f>
        <v>1.3025529731351193</v>
      </c>
      <c r="H224">
        <f t="shared" ca="1" si="64"/>
        <v>12.332907616208159</v>
      </c>
      <c r="I224">
        <f t="shared" ca="1" si="65"/>
        <v>9.7278016699379197</v>
      </c>
      <c r="J224">
        <f t="shared" ca="1" si="74"/>
        <v>13.366499999999998</v>
      </c>
      <c r="K224">
        <f t="shared" ca="1" si="75"/>
        <v>0.20228367262467423</v>
      </c>
      <c r="L224">
        <f t="shared" ca="1" si="76"/>
        <v>13.771067345249348</v>
      </c>
      <c r="M224">
        <f t="shared" ca="1" si="77"/>
        <v>12.961932654750649</v>
      </c>
      <c r="N224">
        <f t="shared" ca="1" si="66"/>
        <v>0.13000000000000078</v>
      </c>
      <c r="O224">
        <f t="shared" ca="1" si="67"/>
        <v>0.13000000000000078</v>
      </c>
      <c r="P224">
        <f t="shared" ca="1" si="68"/>
        <v>0</v>
      </c>
      <c r="Q224">
        <f t="shared" ca="1" si="72"/>
        <v>7.2861458654794334E-2</v>
      </c>
      <c r="R224">
        <f t="shared" ca="1" si="73"/>
        <v>5.7098223642024951E-2</v>
      </c>
      <c r="S224">
        <f t="shared" ca="1" si="70"/>
        <v>1.2760722489651579</v>
      </c>
      <c r="T224">
        <f t="shared" ca="1" si="71"/>
        <v>56.064663568800974</v>
      </c>
      <c r="U224">
        <f>70</f>
        <v>70</v>
      </c>
      <c r="V224">
        <f>30</f>
        <v>30</v>
      </c>
      <c r="W224">
        <f t="shared" ca="1" si="69"/>
        <v>13.332979498101139</v>
      </c>
      <c r="X224">
        <f t="shared" ca="1" si="79"/>
        <v>13.272199026916612</v>
      </c>
      <c r="Y224">
        <f t="shared" ca="1" si="78"/>
        <v>9.3533410792419502E-2</v>
      </c>
      <c r="Z224">
        <f t="shared" ca="1" si="59"/>
        <v>8.9244928979971661E-2</v>
      </c>
      <c r="AA224">
        <f t="shared" ca="1" si="60"/>
        <v>4.2884818124478419E-3</v>
      </c>
      <c r="AB224">
        <f t="shared" ca="1" si="61"/>
        <v>12.487399999999997</v>
      </c>
    </row>
    <row r="225" spans="1:28" x14ac:dyDescent="0.25">
      <c r="A225" s="20">
        <f t="shared" ca="1" si="62"/>
        <v>46027</v>
      </c>
      <c r="B225" vm="622">
        <f ca="1"/>
        <v>46028</v>
      </c>
      <c r="C225" vm="623">
        <f ca="1"/>
        <v>13.8</v>
      </c>
      <c r="D225" vm="624">
        <f ca="1"/>
        <v>84534703</v>
      </c>
      <c r="E225">
        <f t="shared" ca="1" si="63"/>
        <v>1166578901.4000001</v>
      </c>
      <c r="F225">
        <f ca="1">SUM($E$2:E225)/SUM($D$2:D225)</f>
        <v>11.041669936749727</v>
      </c>
      <c r="G225">
        <f ca="1">_xlfn.STDEV.P($C$2:C225)</f>
        <v>1.3102369087060106</v>
      </c>
      <c r="H225">
        <f t="shared" ca="1" si="64"/>
        <v>12.351906845455737</v>
      </c>
      <c r="I225">
        <f t="shared" ca="1" si="65"/>
        <v>9.7314330280437176</v>
      </c>
      <c r="J225">
        <f t="shared" ca="1" si="74"/>
        <v>13.405000000000001</v>
      </c>
      <c r="K225">
        <f t="shared" ca="1" si="75"/>
        <v>0.20806122580675765</v>
      </c>
      <c r="L225">
        <f t="shared" ca="1" si="76"/>
        <v>13.821122451613517</v>
      </c>
      <c r="M225">
        <f t="shared" ca="1" si="77"/>
        <v>12.988877548386485</v>
      </c>
      <c r="N225">
        <f t="shared" ca="1" si="66"/>
        <v>0.33000000000000007</v>
      </c>
      <c r="O225">
        <f t="shared" ca="1" si="67"/>
        <v>0.33000000000000007</v>
      </c>
      <c r="P225">
        <f t="shared" ca="1" si="68"/>
        <v>0</v>
      </c>
      <c r="Q225">
        <f t="shared" ca="1" si="72"/>
        <v>9.1228497322309046E-2</v>
      </c>
      <c r="R225">
        <f t="shared" ca="1" si="73"/>
        <v>5.3019779096166023E-2</v>
      </c>
      <c r="S225">
        <f t="shared" ca="1" si="70"/>
        <v>1.7206502719832339</v>
      </c>
      <c r="T225">
        <f t="shared" ca="1" si="71"/>
        <v>63.244081376506948</v>
      </c>
      <c r="U225">
        <f>70</f>
        <v>70</v>
      </c>
      <c r="V225">
        <f>30</f>
        <v>30</v>
      </c>
      <c r="W225">
        <f t="shared" ca="1" si="69"/>
        <v>13.404828806085579</v>
      </c>
      <c r="X225">
        <f t="shared" ca="1" si="79"/>
        <v>13.311295395293159</v>
      </c>
      <c r="Y225">
        <f t="shared" ca="1" si="78"/>
        <v>0.11334231321122523</v>
      </c>
      <c r="Z225">
        <f t="shared" ca="1" si="59"/>
        <v>9.4064405826222386E-2</v>
      </c>
      <c r="AA225">
        <f t="shared" ca="1" si="60"/>
        <v>1.9277907385002846E-2</v>
      </c>
      <c r="AB225">
        <f t="shared" ca="1" si="61"/>
        <v>12.510999999999997</v>
      </c>
    </row>
    <row r="226" spans="1:28" x14ac:dyDescent="0.25">
      <c r="A226" s="20">
        <f t="shared" ca="1" si="62"/>
        <v>46027</v>
      </c>
      <c r="B226" vm="625">
        <f ca="1"/>
        <v>46029</v>
      </c>
      <c r="C226" vm="626">
        <f ca="1"/>
        <v>13.74</v>
      </c>
      <c r="D226" vm="627">
        <f ca="1"/>
        <v>50608950</v>
      </c>
      <c r="E226">
        <f t="shared" ca="1" si="63"/>
        <v>695366973</v>
      </c>
      <c r="F226">
        <f ca="1">SUM($E$2:E226)/SUM($D$2:D226)</f>
        <v>11.048253607486757</v>
      </c>
      <c r="G226">
        <f ca="1">_xlfn.STDEV.P($C$2:C226)</f>
        <v>1.3172211558175326</v>
      </c>
      <c r="H226">
        <f t="shared" ca="1" si="64"/>
        <v>12.36547476330429</v>
      </c>
      <c r="I226">
        <f t="shared" ca="1" si="65"/>
        <v>9.7310324516692237</v>
      </c>
      <c r="J226">
        <f t="shared" ca="1" si="74"/>
        <v>13.435000000000002</v>
      </c>
      <c r="K226">
        <f t="shared" ca="1" si="75"/>
        <v>0.21107494303907193</v>
      </c>
      <c r="L226">
        <f t="shared" ca="1" si="76"/>
        <v>13.857149886078146</v>
      </c>
      <c r="M226">
        <f t="shared" ca="1" si="77"/>
        <v>13.012850113921859</v>
      </c>
      <c r="N226">
        <f t="shared" ca="1" si="66"/>
        <v>-6.0000000000000497E-2</v>
      </c>
      <c r="O226">
        <f t="shared" ca="1" si="67"/>
        <v>0</v>
      </c>
      <c r="P226">
        <f t="shared" ca="1" si="68"/>
        <v>6.0000000000000497E-2</v>
      </c>
      <c r="Q226">
        <f t="shared" ca="1" si="72"/>
        <v>8.4712176085001256E-2</v>
      </c>
      <c r="R226">
        <f t="shared" ca="1" si="73"/>
        <v>5.3518366303582768E-2</v>
      </c>
      <c r="S226">
        <f t="shared" ca="1" si="70"/>
        <v>1.5828617713117716</v>
      </c>
      <c r="T226">
        <f t="shared" ca="1" si="71"/>
        <v>61.283255220734297</v>
      </c>
      <c r="U226">
        <f>70</f>
        <v>70</v>
      </c>
      <c r="V226">
        <f>30</f>
        <v>30</v>
      </c>
      <c r="W226">
        <f t="shared" ca="1" si="69"/>
        <v>13.456393605149335</v>
      </c>
      <c r="X226">
        <f t="shared" ca="1" si="79"/>
        <v>13.34305129193811</v>
      </c>
      <c r="Y226">
        <f t="shared" ca="1" si="78"/>
        <v>0.18022003091016181</v>
      </c>
      <c r="Z226">
        <f t="shared" ca="1" si="59"/>
        <v>0.11129553084301028</v>
      </c>
      <c r="AA226">
        <f t="shared" ca="1" si="60"/>
        <v>6.8924500067151534E-2</v>
      </c>
      <c r="AB226">
        <f t="shared" ca="1" si="61"/>
        <v>12.533999999999997</v>
      </c>
    </row>
    <row r="227" spans="1:28" x14ac:dyDescent="0.25">
      <c r="A227" s="20">
        <f t="shared" ca="1" si="62"/>
        <v>46027</v>
      </c>
      <c r="B227" vm="628">
        <f ca="1"/>
        <v>46030</v>
      </c>
      <c r="C227" vm="629">
        <f ca="1"/>
        <v>14.4</v>
      </c>
      <c r="D227" vm="630">
        <f ca="1"/>
        <v>154276839</v>
      </c>
      <c r="E227">
        <f t="shared" ca="1" si="63"/>
        <v>2221586481.5999999</v>
      </c>
      <c r="F227">
        <f ca="1">SUM($E$2:E227)/SUM($D$2:D227)</f>
        <v>11.072999283928723</v>
      </c>
      <c r="G227">
        <f ca="1">_xlfn.STDEV.P($C$2:C227)</f>
        <v>1.3300292388721873</v>
      </c>
      <c r="H227">
        <f t="shared" ca="1" si="64"/>
        <v>12.403028522800911</v>
      </c>
      <c r="I227">
        <f t="shared" ca="1" si="65"/>
        <v>9.742970045056536</v>
      </c>
      <c r="J227">
        <f t="shared" ca="1" si="74"/>
        <v>13.500999999999999</v>
      </c>
      <c r="K227">
        <f t="shared" ca="1" si="75"/>
        <v>0.28696047774819755</v>
      </c>
      <c r="L227">
        <f t="shared" ca="1" si="76"/>
        <v>14.074920955496395</v>
      </c>
      <c r="M227">
        <f t="shared" ca="1" si="77"/>
        <v>12.927079044503603</v>
      </c>
      <c r="N227">
        <f t="shared" ca="1" si="66"/>
        <v>0.66000000000000014</v>
      </c>
      <c r="O227">
        <f t="shared" ca="1" si="67"/>
        <v>0.66000000000000014</v>
      </c>
      <c r="P227">
        <f t="shared" ca="1" si="68"/>
        <v>0</v>
      </c>
      <c r="Q227">
        <f t="shared" ca="1" si="72"/>
        <v>0.12580416350750118</v>
      </c>
      <c r="R227">
        <f t="shared" ca="1" si="73"/>
        <v>4.9695625853326861E-2</v>
      </c>
      <c r="S227">
        <f t="shared" ca="1" si="70"/>
        <v>2.5314936948133684</v>
      </c>
      <c r="T227">
        <f t="shared" ca="1" si="71"/>
        <v>71.683370085902197</v>
      </c>
      <c r="U227">
        <f>70</f>
        <v>70</v>
      </c>
      <c r="V227">
        <f>30</f>
        <v>30</v>
      </c>
      <c r="W227">
        <f t="shared" ca="1" si="69"/>
        <v>13.601563819741745</v>
      </c>
      <c r="X227">
        <f t="shared" ca="1" si="79"/>
        <v>13.421343788831583</v>
      </c>
      <c r="Y227">
        <f t="shared" ca="1" si="78"/>
        <v>0.21460889770094838</v>
      </c>
      <c r="Z227">
        <f t="shared" ca="1" si="59"/>
        <v>0.13195820421459792</v>
      </c>
      <c r="AA227">
        <f t="shared" ca="1" si="60"/>
        <v>8.2650693486350457E-2</v>
      </c>
      <c r="AB227">
        <f t="shared" ca="1" si="61"/>
        <v>12.563599999999999</v>
      </c>
    </row>
    <row r="228" spans="1:28" x14ac:dyDescent="0.25">
      <c r="A228" s="20">
        <f t="shared" ca="1" si="62"/>
        <v>46027</v>
      </c>
      <c r="B228" vm="631">
        <f ca="1"/>
        <v>46031</v>
      </c>
      <c r="C228" vm="632">
        <f ca="1"/>
        <v>14.2</v>
      </c>
      <c r="D228" vm="633">
        <f ca="1"/>
        <v>68436178</v>
      </c>
      <c r="E228">
        <f t="shared" ca="1" si="63"/>
        <v>971793727.5999999</v>
      </c>
      <c r="F228">
        <f ca="1">SUM($E$2:E228)/SUM($D$2:D228)</f>
        <v>11.083206826004602</v>
      </c>
      <c r="G228">
        <f ca="1">_xlfn.STDEV.P($C$2:C228)</f>
        <v>1.3405333639192429</v>
      </c>
      <c r="H228">
        <f t="shared" ca="1" si="64"/>
        <v>12.423740189923844</v>
      </c>
      <c r="I228">
        <f t="shared" ca="1" si="65"/>
        <v>9.7426734620853601</v>
      </c>
      <c r="J228">
        <f t="shared" ca="1" si="74"/>
        <v>13.5405</v>
      </c>
      <c r="K228">
        <f t="shared" ca="1" si="75"/>
        <v>0.32555175835559713</v>
      </c>
      <c r="L228">
        <f t="shared" ca="1" si="76"/>
        <v>14.191603516711194</v>
      </c>
      <c r="M228">
        <f t="shared" ca="1" si="77"/>
        <v>12.889396483288806</v>
      </c>
      <c r="N228">
        <f t="shared" ca="1" si="66"/>
        <v>-0.20000000000000107</v>
      </c>
      <c r="O228">
        <f t="shared" ca="1" si="67"/>
        <v>0</v>
      </c>
      <c r="P228">
        <f t="shared" ca="1" si="68"/>
        <v>0.20000000000000107</v>
      </c>
      <c r="Q228">
        <f t="shared" ca="1" si="72"/>
        <v>0.11681815182839395</v>
      </c>
      <c r="R228">
        <f t="shared" ca="1" si="73"/>
        <v>6.0431652578089301E-2</v>
      </c>
      <c r="S228">
        <f t="shared" ca="1" si="70"/>
        <v>1.9330623414185548</v>
      </c>
      <c r="T228">
        <f t="shared" ca="1" si="71"/>
        <v>65.905941176948971</v>
      </c>
      <c r="U228">
        <f>70</f>
        <v>70</v>
      </c>
      <c r="V228">
        <f>30</f>
        <v>30</v>
      </c>
      <c r="W228">
        <f t="shared" ca="1" si="69"/>
        <v>13.69363092439686</v>
      </c>
      <c r="X228">
        <f t="shared" ca="1" si="79"/>
        <v>13.479022026695912</v>
      </c>
      <c r="Y228">
        <f t="shared" ca="1" si="78"/>
        <v>0.22554480304756552</v>
      </c>
      <c r="Z228">
        <f t="shared" ca="1" si="59"/>
        <v>0.15067552398119144</v>
      </c>
      <c r="AA228">
        <f t="shared" ca="1" si="60"/>
        <v>7.4869279066374084E-2</v>
      </c>
      <c r="AB228">
        <f t="shared" ca="1" si="61"/>
        <v>12.590999999999998</v>
      </c>
    </row>
    <row r="229" spans="1:28" x14ac:dyDescent="0.25">
      <c r="A229" s="20">
        <f t="shared" ca="1" si="62"/>
        <v>46034</v>
      </c>
      <c r="B229" vm="634">
        <f ca="1"/>
        <v>46034</v>
      </c>
      <c r="C229" vm="635">
        <f ca="1"/>
        <v>14.03</v>
      </c>
      <c r="D229" vm="636">
        <f ca="1"/>
        <v>53443964</v>
      </c>
      <c r="E229">
        <f t="shared" ca="1" si="63"/>
        <v>749818814.91999996</v>
      </c>
      <c r="F229">
        <f ca="1">SUM($E$2:E229)/SUM($D$2:D229)</f>
        <v>11.090699728280081</v>
      </c>
      <c r="G229">
        <f ca="1">_xlfn.STDEV.P($C$2:C229)</f>
        <v>1.349230509811294</v>
      </c>
      <c r="H229">
        <f t="shared" ca="1" si="64"/>
        <v>12.439930238091375</v>
      </c>
      <c r="I229">
        <f t="shared" ca="1" si="65"/>
        <v>9.7414692184687866</v>
      </c>
      <c r="J229">
        <f t="shared" ca="1" si="74"/>
        <v>13.560499999999999</v>
      </c>
      <c r="K229">
        <f t="shared" ca="1" si="75"/>
        <v>0.34315064974592813</v>
      </c>
      <c r="L229">
        <f t="shared" ca="1" si="76"/>
        <v>14.246801299491855</v>
      </c>
      <c r="M229">
        <f t="shared" ca="1" si="77"/>
        <v>12.874198700508144</v>
      </c>
      <c r="N229">
        <f t="shared" ca="1" si="66"/>
        <v>-0.16999999999999993</v>
      </c>
      <c r="O229">
        <f t="shared" ca="1" si="67"/>
        <v>0</v>
      </c>
      <c r="P229">
        <f t="shared" ca="1" si="68"/>
        <v>0.16999999999999993</v>
      </c>
      <c r="Q229">
        <f t="shared" ca="1" si="72"/>
        <v>0.10847399812636581</v>
      </c>
      <c r="R229">
        <f t="shared" ca="1" si="73"/>
        <v>6.8257963108225767E-2</v>
      </c>
      <c r="S229">
        <f t="shared" ca="1" si="70"/>
        <v>1.5891771917420958</v>
      </c>
      <c r="T229">
        <f t="shared" ca="1" si="71"/>
        <v>61.377691600660114</v>
      </c>
      <c r="U229">
        <f>70</f>
        <v>70</v>
      </c>
      <c r="V229">
        <f>30</f>
        <v>30</v>
      </c>
      <c r="W229">
        <f t="shared" ca="1" si="69"/>
        <v>13.745380012951188</v>
      </c>
      <c r="X229">
        <f t="shared" ca="1" si="79"/>
        <v>13.519835209903622</v>
      </c>
      <c r="Y229">
        <f t="shared" ca="1" si="78"/>
        <v>0.2275539049225781</v>
      </c>
      <c r="Z229">
        <f t="shared" ca="1" si="59"/>
        <v>0.16605120016946878</v>
      </c>
      <c r="AA229">
        <f t="shared" ca="1" si="60"/>
        <v>6.1502704753109316E-2</v>
      </c>
      <c r="AB229">
        <f t="shared" ca="1" si="61"/>
        <v>12.615499999999995</v>
      </c>
    </row>
    <row r="230" spans="1:28" x14ac:dyDescent="0.25">
      <c r="A230" s="20">
        <f t="shared" ca="1" si="62"/>
        <v>46034</v>
      </c>
      <c r="B230" vm="637">
        <f ca="1"/>
        <v>46035</v>
      </c>
      <c r="C230" vm="638">
        <f ca="1"/>
        <v>13.98</v>
      </c>
      <c r="D230" vm="639">
        <f ca="1"/>
        <v>58867535</v>
      </c>
      <c r="E230">
        <f t="shared" ca="1" si="63"/>
        <v>822968139.30000007</v>
      </c>
      <c r="F230">
        <f ca="1">SUM($E$2:E230)/SUM($D$2:D230)</f>
        <v>11.098769395405574</v>
      </c>
      <c r="G230">
        <f ca="1">_xlfn.STDEV.P($C$2:C230)</f>
        <v>1.3572738864690417</v>
      </c>
      <c r="H230">
        <f t="shared" ca="1" si="64"/>
        <v>12.456043281874615</v>
      </c>
      <c r="I230">
        <f t="shared" ca="1" si="65"/>
        <v>9.7414955089365325</v>
      </c>
      <c r="J230">
        <f t="shared" ca="1" si="74"/>
        <v>13.5715</v>
      </c>
      <c r="K230">
        <f t="shared" ca="1" si="75"/>
        <v>0.35325963316101183</v>
      </c>
      <c r="L230">
        <f t="shared" ca="1" si="76"/>
        <v>14.278019266322024</v>
      </c>
      <c r="M230">
        <f t="shared" ca="1" si="77"/>
        <v>12.864980733677976</v>
      </c>
      <c r="N230">
        <f t="shared" ca="1" si="66"/>
        <v>-4.9999999999998934E-2</v>
      </c>
      <c r="O230">
        <f t="shared" ca="1" si="67"/>
        <v>0</v>
      </c>
      <c r="P230">
        <f t="shared" ca="1" si="68"/>
        <v>4.9999999999998934E-2</v>
      </c>
      <c r="Q230">
        <f t="shared" ca="1" si="72"/>
        <v>0.10072585540305397</v>
      </c>
      <c r="R230">
        <f t="shared" ca="1" si="73"/>
        <v>6.695382288620956E-2</v>
      </c>
      <c r="S230">
        <f t="shared" ca="1" si="70"/>
        <v>1.5044078300688102</v>
      </c>
      <c r="T230">
        <f t="shared" ca="1" si="71"/>
        <v>60.070401154570568</v>
      </c>
      <c r="U230">
        <f>70</f>
        <v>70</v>
      </c>
      <c r="V230">
        <f>30</f>
        <v>30</v>
      </c>
      <c r="W230">
        <f t="shared" ca="1" si="69"/>
        <v>13.781475395574081</v>
      </c>
      <c r="X230">
        <f t="shared" ca="1" si="79"/>
        <v>13.553921490651502</v>
      </c>
      <c r="Y230">
        <f t="shared" ca="1" si="78"/>
        <v>0.21536668952639282</v>
      </c>
      <c r="Z230">
        <f t="shared" ref="Z230:Z252" ca="1" si="80">Y230*(2/(9+1)) + Z229*(1-(2/(9+1)))</f>
        <v>0.1759142980408536</v>
      </c>
      <c r="AA230">
        <f t="shared" ref="AA230:AA252" ca="1" si="81">Y230-Z230</f>
        <v>3.9452391485539223E-2</v>
      </c>
      <c r="AB230">
        <f t="shared" ref="AB230:AB252" ca="1" si="82">AVERAGE(C131:C230)</f>
        <v>12.640399999999998</v>
      </c>
    </row>
    <row r="231" spans="1:28" x14ac:dyDescent="0.25">
      <c r="A231" s="20">
        <f t="shared" ca="1" si="62"/>
        <v>46034</v>
      </c>
      <c r="B231" vm="640">
        <f ca="1"/>
        <v>46036</v>
      </c>
      <c r="C231" vm="486">
        <f ca="1"/>
        <v>13.84</v>
      </c>
      <c r="D231" vm="641">
        <f ca="1"/>
        <v>65318552</v>
      </c>
      <c r="E231">
        <f t="shared" ca="1" si="63"/>
        <v>904008759.67999995</v>
      </c>
      <c r="F231">
        <f ca="1">SUM($E$2:E231)/SUM($D$2:D231)</f>
        <v>11.107238264266584</v>
      </c>
      <c r="G231">
        <f ca="1">_xlfn.STDEV.P($C$2:C231)</f>
        <v>1.3639812764459704</v>
      </c>
      <c r="H231">
        <f t="shared" ca="1" si="64"/>
        <v>12.471219540712555</v>
      </c>
      <c r="I231">
        <f t="shared" ca="1" si="65"/>
        <v>9.7432569878206134</v>
      </c>
      <c r="J231">
        <f t="shared" ca="1" si="74"/>
        <v>13.581</v>
      </c>
      <c r="K231">
        <f t="shared" ca="1" si="75"/>
        <v>0.35800470446776622</v>
      </c>
      <c r="L231">
        <f t="shared" ca="1" si="76"/>
        <v>14.297009408935532</v>
      </c>
      <c r="M231">
        <f t="shared" ca="1" si="77"/>
        <v>12.864990591064467</v>
      </c>
      <c r="N231">
        <f t="shared" ca="1" si="66"/>
        <v>-0.14000000000000057</v>
      </c>
      <c r="O231">
        <f t="shared" ca="1" si="67"/>
        <v>0</v>
      </c>
      <c r="P231">
        <f t="shared" ca="1" si="68"/>
        <v>0.14000000000000057</v>
      </c>
      <c r="Q231">
        <f t="shared" ca="1" si="72"/>
        <v>9.3531151445692975E-2</v>
      </c>
      <c r="R231">
        <f t="shared" ca="1" si="73"/>
        <v>7.2171406965766058E-2</v>
      </c>
      <c r="S231">
        <f t="shared" ca="1" si="70"/>
        <v>1.2959585433890564</v>
      </c>
      <c r="T231">
        <f t="shared" ca="1" si="71"/>
        <v>56.44520660534647</v>
      </c>
      <c r="U231">
        <f>70</f>
        <v>70</v>
      </c>
      <c r="V231">
        <f>30</f>
        <v>30</v>
      </c>
      <c r="W231">
        <f t="shared" ca="1" si="69"/>
        <v>13.790479180870376</v>
      </c>
      <c r="X231">
        <f t="shared" ca="1" si="79"/>
        <v>13.575112491343983</v>
      </c>
      <c r="Y231">
        <f t="shared" ca="1" si="78"/>
        <v>0.20097081775415226</v>
      </c>
      <c r="Z231">
        <f t="shared" ca="1" si="80"/>
        <v>0.18092560198351332</v>
      </c>
      <c r="AA231">
        <f t="shared" ca="1" si="81"/>
        <v>2.0045215770638947E-2</v>
      </c>
      <c r="AB231">
        <f t="shared" ca="1" si="82"/>
        <v>12.665499999999994</v>
      </c>
    </row>
    <row r="232" spans="1:28" x14ac:dyDescent="0.25">
      <c r="A232" s="20">
        <f t="shared" ca="1" si="62"/>
        <v>46034</v>
      </c>
      <c r="B232" vm="642">
        <f ca="1"/>
        <v>46037</v>
      </c>
      <c r="C232" vm="643">
        <f ca="1"/>
        <v>13.81</v>
      </c>
      <c r="D232" vm="644">
        <f ca="1"/>
        <v>44241477</v>
      </c>
      <c r="E232">
        <f t="shared" ca="1" si="63"/>
        <v>610974797.37</v>
      </c>
      <c r="F232">
        <f ca="1">SUM($E$2:E232)/SUM($D$2:D232)</f>
        <v>11.112882080175618</v>
      </c>
      <c r="G232">
        <f ca="1">_xlfn.STDEV.P($C$2:C232)</f>
        <v>1.3702856206311722</v>
      </c>
      <c r="H232">
        <f t="shared" ca="1" si="64"/>
        <v>12.48316770080679</v>
      </c>
      <c r="I232">
        <f t="shared" ca="1" si="65"/>
        <v>9.7425964595444459</v>
      </c>
      <c r="J232">
        <f t="shared" ca="1" si="74"/>
        <v>13.587999999999999</v>
      </c>
      <c r="K232">
        <f t="shared" ca="1" si="75"/>
        <v>0.36119101230293799</v>
      </c>
      <c r="L232">
        <f t="shared" ca="1" si="76"/>
        <v>14.310382024605875</v>
      </c>
      <c r="M232">
        <f t="shared" ca="1" si="77"/>
        <v>12.865617975394123</v>
      </c>
      <c r="N232">
        <f t="shared" ca="1" si="66"/>
        <v>-2.9999999999999361E-2</v>
      </c>
      <c r="O232">
        <f t="shared" ca="1" si="67"/>
        <v>0</v>
      </c>
      <c r="P232">
        <f t="shared" ca="1" si="68"/>
        <v>2.9999999999999361E-2</v>
      </c>
      <c r="Q232">
        <f t="shared" ca="1" si="72"/>
        <v>8.6850354913857758E-2</v>
      </c>
      <c r="R232">
        <f t="shared" ca="1" si="73"/>
        <v>6.9159163611068428E-2</v>
      </c>
      <c r="S232">
        <f t="shared" ca="1" si="70"/>
        <v>1.2558040088841962</v>
      </c>
      <c r="T232">
        <f t="shared" ca="1" si="71"/>
        <v>55.66990766655136</v>
      </c>
      <c r="U232">
        <f>70</f>
        <v>70</v>
      </c>
      <c r="V232">
        <f>30</f>
        <v>30</v>
      </c>
      <c r="W232">
        <f t="shared" ca="1" si="69"/>
        <v>13.793482383813396</v>
      </c>
      <c r="X232">
        <f t="shared" ca="1" si="79"/>
        <v>13.592511566059244</v>
      </c>
      <c r="Y232">
        <f t="shared" ca="1" si="78"/>
        <v>0.1706495983570484</v>
      </c>
      <c r="Z232">
        <f t="shared" ca="1" si="80"/>
        <v>0.17887040125822035</v>
      </c>
      <c r="AA232">
        <f t="shared" ca="1" si="81"/>
        <v>-8.2208029011719419E-3</v>
      </c>
      <c r="AB232">
        <f t="shared" ca="1" si="82"/>
        <v>12.686199999999994</v>
      </c>
    </row>
    <row r="233" spans="1:28" x14ac:dyDescent="0.25">
      <c r="A233" s="20">
        <f t="shared" ca="1" si="62"/>
        <v>46034</v>
      </c>
      <c r="B233" vm="645">
        <f ca="1"/>
        <v>46038</v>
      </c>
      <c r="C233" vm="646">
        <f ca="1"/>
        <v>13.6</v>
      </c>
      <c r="D233" vm="647">
        <f ca="1"/>
        <v>60750836</v>
      </c>
      <c r="E233">
        <f t="shared" ca="1" si="63"/>
        <v>826211369.60000002</v>
      </c>
      <c r="F233">
        <f ca="1">SUM($E$2:E233)/SUM($D$2:D233)</f>
        <v>11.119993242349963</v>
      </c>
      <c r="G233">
        <f ca="1">_xlfn.STDEV.P($C$2:C233)</f>
        <v>1.3749169193092707</v>
      </c>
      <c r="H233">
        <f t="shared" ca="1" si="64"/>
        <v>12.494910161659234</v>
      </c>
      <c r="I233">
        <f t="shared" ca="1" si="65"/>
        <v>9.745076323040692</v>
      </c>
      <c r="J233">
        <f t="shared" ca="1" si="74"/>
        <v>13.602500000000001</v>
      </c>
      <c r="K233">
        <f t="shared" ca="1" si="75"/>
        <v>0.35521490900432007</v>
      </c>
      <c r="L233">
        <f t="shared" ca="1" si="76"/>
        <v>14.312929818008641</v>
      </c>
      <c r="M233">
        <f t="shared" ca="1" si="77"/>
        <v>12.892070181991361</v>
      </c>
      <c r="N233">
        <f t="shared" ca="1" si="66"/>
        <v>-0.21000000000000085</v>
      </c>
      <c r="O233">
        <f t="shared" ca="1" si="67"/>
        <v>0</v>
      </c>
      <c r="P233">
        <f t="shared" ca="1" si="68"/>
        <v>0.21000000000000085</v>
      </c>
      <c r="Q233">
        <f t="shared" ca="1" si="72"/>
        <v>8.064675813429649E-2</v>
      </c>
      <c r="R233">
        <f t="shared" ca="1" si="73"/>
        <v>7.9219223353135026E-2</v>
      </c>
      <c r="S233">
        <f t="shared" ca="1" si="70"/>
        <v>1.018020055243384</v>
      </c>
      <c r="T233">
        <f t="shared" ca="1" si="71"/>
        <v>50.446478596596769</v>
      </c>
      <c r="U233">
        <f>70</f>
        <v>70</v>
      </c>
      <c r="V233">
        <f>30</f>
        <v>30</v>
      </c>
      <c r="W233">
        <f t="shared" ca="1" si="69"/>
        <v>13.76371586322672</v>
      </c>
      <c r="X233">
        <f t="shared" ca="1" si="79"/>
        <v>13.593066264869671</v>
      </c>
      <c r="Y233">
        <f t="shared" ca="1" si="78"/>
        <v>0.11942186693929457</v>
      </c>
      <c r="Z233">
        <f t="shared" ca="1" si="80"/>
        <v>0.16698069439443522</v>
      </c>
      <c r="AA233">
        <f t="shared" ca="1" si="81"/>
        <v>-4.7558827455140645E-2</v>
      </c>
      <c r="AB233">
        <f t="shared" ca="1" si="82"/>
        <v>12.703999999999994</v>
      </c>
    </row>
    <row r="234" spans="1:28" x14ac:dyDescent="0.25">
      <c r="A234" s="20">
        <f t="shared" ca="1" si="62"/>
        <v>46041</v>
      </c>
      <c r="B234" vm="648">
        <f ca="1"/>
        <v>46042</v>
      </c>
      <c r="C234" vm="527">
        <f ca="1"/>
        <v>13.28</v>
      </c>
      <c r="D234" vm="649">
        <f ca="1"/>
        <v>67018098</v>
      </c>
      <c r="E234">
        <f t="shared" ca="1" si="63"/>
        <v>890000341.43999994</v>
      </c>
      <c r="F234">
        <f ca="1">SUM($E$2:E234)/SUM($D$2:D234)</f>
        <v>11.126784832602647</v>
      </c>
      <c r="G234">
        <f ca="1">_xlfn.STDEV.P($C$2:C234)</f>
        <v>1.3774123931519362</v>
      </c>
      <c r="H234">
        <f t="shared" ca="1" si="64"/>
        <v>12.504197225754583</v>
      </c>
      <c r="I234">
        <f t="shared" ca="1" si="65"/>
        <v>9.7493724394507115</v>
      </c>
      <c r="J234">
        <f t="shared" ca="1" si="74"/>
        <v>13.6005</v>
      </c>
      <c r="K234">
        <f t="shared" ca="1" si="75"/>
        <v>0.35699734629708091</v>
      </c>
      <c r="L234">
        <f t="shared" ca="1" si="76"/>
        <v>14.314494692594161</v>
      </c>
      <c r="M234">
        <f t="shared" ca="1" si="77"/>
        <v>12.886505307405839</v>
      </c>
      <c r="N234">
        <f t="shared" ca="1" si="66"/>
        <v>-0.32000000000000028</v>
      </c>
      <c r="O234">
        <f t="shared" ca="1" si="67"/>
        <v>0</v>
      </c>
      <c r="P234">
        <f t="shared" ca="1" si="68"/>
        <v>0.32000000000000028</v>
      </c>
      <c r="Q234">
        <f t="shared" ca="1" si="72"/>
        <v>7.488627541041816E-2</v>
      </c>
      <c r="R234">
        <f t="shared" ca="1" si="73"/>
        <v>9.6417850256482543E-2</v>
      </c>
      <c r="S234">
        <f t="shared" ca="1" si="70"/>
        <v>0.77668476543723053</v>
      </c>
      <c r="T234">
        <f t="shared" ca="1" si="71"/>
        <v>43.715395130665932</v>
      </c>
      <c r="U234">
        <f>70</f>
        <v>70</v>
      </c>
      <c r="V234">
        <f>30</f>
        <v>30</v>
      </c>
      <c r="W234">
        <f t="shared" ca="1" si="69"/>
        <v>13.689298038114917</v>
      </c>
      <c r="X234">
        <f t="shared" ca="1" si="79"/>
        <v>13.569876171175622</v>
      </c>
      <c r="Y234">
        <f t="shared" ca="1" si="78"/>
        <v>0.11701356606283042</v>
      </c>
      <c r="Z234">
        <f t="shared" ca="1" si="80"/>
        <v>0.15698726872811428</v>
      </c>
      <c r="AA234">
        <f t="shared" ca="1" si="81"/>
        <v>-3.9973702665283856E-2</v>
      </c>
      <c r="AB234">
        <f t="shared" ca="1" si="82"/>
        <v>12.718399999999995</v>
      </c>
    </row>
    <row r="235" spans="1:28" x14ac:dyDescent="0.25">
      <c r="A235" s="20">
        <f t="shared" ca="1" si="62"/>
        <v>46041</v>
      </c>
      <c r="B235" vm="650">
        <f ca="1"/>
        <v>46043</v>
      </c>
      <c r="C235" vm="651">
        <f ca="1"/>
        <v>13.77</v>
      </c>
      <c r="D235" vm="652">
        <f ca="1"/>
        <v>58160147</v>
      </c>
      <c r="E235">
        <f t="shared" ca="1" si="63"/>
        <v>800865224.18999994</v>
      </c>
      <c r="F235">
        <f ca="1">SUM($E$2:E235)/SUM($D$2:D235)</f>
        <v>11.133977646975724</v>
      </c>
      <c r="G235">
        <f ca="1">_xlfn.STDEV.P($C$2:C235)</f>
        <v>1.3830196222840327</v>
      </c>
      <c r="H235">
        <f t="shared" ca="1" si="64"/>
        <v>12.516997269259758</v>
      </c>
      <c r="I235">
        <f t="shared" ca="1" si="65"/>
        <v>9.7509580246916912</v>
      </c>
      <c r="J235">
        <f t="shared" ca="1" si="74"/>
        <v>13.615500000000001</v>
      </c>
      <c r="K235">
        <f t="shared" ca="1" si="75"/>
        <v>0.35752769491548342</v>
      </c>
      <c r="L235">
        <f t="shared" ca="1" si="76"/>
        <v>14.330555389830968</v>
      </c>
      <c r="M235">
        <f t="shared" ca="1" si="77"/>
        <v>12.900444610169034</v>
      </c>
      <c r="N235">
        <f t="shared" ca="1" si="66"/>
        <v>0.49000000000000021</v>
      </c>
      <c r="O235">
        <f t="shared" ca="1" si="67"/>
        <v>0.49000000000000021</v>
      </c>
      <c r="P235">
        <f t="shared" ca="1" si="68"/>
        <v>0</v>
      </c>
      <c r="Q235">
        <f t="shared" ca="1" si="72"/>
        <v>0.10453725573824545</v>
      </c>
      <c r="R235">
        <f t="shared" ca="1" si="73"/>
        <v>8.9530860952448083E-2</v>
      </c>
      <c r="S235">
        <f t="shared" ca="1" si="70"/>
        <v>1.167611420533168</v>
      </c>
      <c r="T235">
        <f t="shared" ca="1" si="71"/>
        <v>53.866270009131547</v>
      </c>
      <c r="U235">
        <f>70</f>
        <v>70</v>
      </c>
      <c r="V235">
        <f>30</f>
        <v>30</v>
      </c>
      <c r="W235">
        <f t="shared" ca="1" si="69"/>
        <v>13.701713724558775</v>
      </c>
      <c r="X235">
        <f t="shared" ca="1" si="79"/>
        <v>13.584700158495945</v>
      </c>
      <c r="Y235">
        <f t="shared" ca="1" si="78"/>
        <v>0.10900690792813172</v>
      </c>
      <c r="Z235">
        <f t="shared" ca="1" si="80"/>
        <v>0.14739119656811778</v>
      </c>
      <c r="AA235">
        <f t="shared" ca="1" si="81"/>
        <v>-3.8384288639986053E-2</v>
      </c>
      <c r="AB235">
        <f t="shared" ca="1" si="82"/>
        <v>12.736999999999993</v>
      </c>
    </row>
    <row r="236" spans="1:28" x14ac:dyDescent="0.25">
      <c r="A236" s="20">
        <f t="shared" ca="1" si="62"/>
        <v>46041</v>
      </c>
      <c r="B236" vm="653">
        <f ca="1"/>
        <v>46044</v>
      </c>
      <c r="C236" vm="654">
        <f ca="1"/>
        <v>13.71</v>
      </c>
      <c r="D236" vm="655">
        <f ca="1"/>
        <v>38170250</v>
      </c>
      <c r="E236">
        <f t="shared" ca="1" si="63"/>
        <v>523314127.50000006</v>
      </c>
      <c r="F236">
        <f ca="1">SUM($E$2:E236)/SUM($D$2:D236)</f>
        <v>11.138570055776903</v>
      </c>
      <c r="G236">
        <f ca="1">_xlfn.STDEV.P($C$2:C236)</f>
        <v>1.3880609896544027</v>
      </c>
      <c r="H236">
        <f t="shared" ca="1" si="64"/>
        <v>12.526631045431305</v>
      </c>
      <c r="I236">
        <f t="shared" ca="1" si="65"/>
        <v>9.7505090661225005</v>
      </c>
      <c r="J236">
        <f t="shared" ca="1" si="74"/>
        <v>13.627999999999997</v>
      </c>
      <c r="K236">
        <f t="shared" ca="1" si="75"/>
        <v>0.35617263702932195</v>
      </c>
      <c r="L236">
        <f t="shared" ca="1" si="76"/>
        <v>14.34034527405864</v>
      </c>
      <c r="M236">
        <f t="shared" ca="1" si="77"/>
        <v>12.915654725941353</v>
      </c>
      <c r="N236">
        <f t="shared" ca="1" si="66"/>
        <v>-5.9999999999998721E-2</v>
      </c>
      <c r="O236">
        <f t="shared" ca="1" si="67"/>
        <v>0</v>
      </c>
      <c r="P236">
        <f t="shared" ca="1" si="68"/>
        <v>5.9999999999998721E-2</v>
      </c>
      <c r="Q236">
        <f t="shared" ca="1" si="72"/>
        <v>9.7070308899799354E-2</v>
      </c>
      <c r="R236">
        <f t="shared" ca="1" si="73"/>
        <v>8.7421513741558834E-2</v>
      </c>
      <c r="S236">
        <f t="shared" ca="1" si="70"/>
        <v>1.1103709458379423</v>
      </c>
      <c r="T236">
        <f t="shared" ca="1" si="71"/>
        <v>52.614965536168299</v>
      </c>
      <c r="U236">
        <f>70</f>
        <v>70</v>
      </c>
      <c r="V236">
        <f>30</f>
        <v>30</v>
      </c>
      <c r="W236">
        <f t="shared" ca="1" si="69"/>
        <v>13.702988536165119</v>
      </c>
      <c r="X236">
        <f t="shared" ca="1" si="79"/>
        <v>13.593981628236987</v>
      </c>
      <c r="Y236">
        <f t="shared" ca="1" si="78"/>
        <v>8.9525829242219856E-2</v>
      </c>
      <c r="Z236">
        <f t="shared" ca="1" si="80"/>
        <v>0.1358181231029382</v>
      </c>
      <c r="AA236">
        <f t="shared" ca="1" si="81"/>
        <v>-4.6292293860718342E-2</v>
      </c>
      <c r="AB236">
        <f t="shared" ca="1" si="82"/>
        <v>12.756999999999994</v>
      </c>
    </row>
    <row r="237" spans="1:28" x14ac:dyDescent="0.25">
      <c r="A237" s="20">
        <f t="shared" ca="1" si="62"/>
        <v>46041</v>
      </c>
      <c r="B237" vm="656">
        <f ca="1"/>
        <v>46045</v>
      </c>
      <c r="C237" vm="657">
        <f ca="1"/>
        <v>13.56</v>
      </c>
      <c r="D237" vm="658">
        <f ca="1"/>
        <v>39702051</v>
      </c>
      <c r="E237">
        <f t="shared" ca="1" si="63"/>
        <v>538359811.56000006</v>
      </c>
      <c r="F237">
        <f ca="1">SUM($E$2:E237)/SUM($D$2:D237)</f>
        <v>11.143051791009819</v>
      </c>
      <c r="G237">
        <f ca="1">_xlfn.STDEV.P($C$2:C237)</f>
        <v>1.3919749236578975</v>
      </c>
      <c r="H237">
        <f t="shared" ca="1" si="64"/>
        <v>12.535026714667717</v>
      </c>
      <c r="I237">
        <f t="shared" ca="1" si="65"/>
        <v>9.7510768673519213</v>
      </c>
      <c r="J237">
        <f t="shared" ca="1" si="74"/>
        <v>13.641499999999999</v>
      </c>
      <c r="K237">
        <f t="shared" ca="1" si="75"/>
        <v>0.34770336722405693</v>
      </c>
      <c r="L237">
        <f t="shared" ca="1" si="76"/>
        <v>14.336906734448112</v>
      </c>
      <c r="M237">
        <f t="shared" ca="1" si="77"/>
        <v>12.946093265551886</v>
      </c>
      <c r="N237">
        <f t="shared" ca="1" si="66"/>
        <v>-0.15000000000000036</v>
      </c>
      <c r="O237">
        <f t="shared" ca="1" si="67"/>
        <v>0</v>
      </c>
      <c r="P237">
        <f t="shared" ca="1" si="68"/>
        <v>0.15000000000000036</v>
      </c>
      <c r="Q237">
        <f t="shared" ca="1" si="72"/>
        <v>9.0136715406956544E-2</v>
      </c>
      <c r="R237">
        <f t="shared" ca="1" si="73"/>
        <v>9.1891405617161803E-2</v>
      </c>
      <c r="S237">
        <f t="shared" ca="1" si="70"/>
        <v>0.98090474078157375</v>
      </c>
      <c r="T237">
        <f t="shared" ca="1" si="71"/>
        <v>49.518016721720493</v>
      </c>
      <c r="U237">
        <f>70</f>
        <v>70</v>
      </c>
      <c r="V237">
        <f>30</f>
        <v>30</v>
      </c>
      <c r="W237">
        <f t="shared" ca="1" si="69"/>
        <v>13.680990299832024</v>
      </c>
      <c r="X237">
        <f t="shared" ca="1" si="79"/>
        <v>13.591464470589804</v>
      </c>
      <c r="Y237">
        <f t="shared" ca="1" si="78"/>
        <v>6.3669988912891995E-2</v>
      </c>
      <c r="Z237">
        <f t="shared" ca="1" si="80"/>
        <v>0.12138849626492897</v>
      </c>
      <c r="AA237">
        <f t="shared" ca="1" si="81"/>
        <v>-5.7718507352036971E-2</v>
      </c>
      <c r="AB237">
        <f t="shared" ca="1" si="82"/>
        <v>12.774899999999995</v>
      </c>
    </row>
    <row r="238" spans="1:28" x14ac:dyDescent="0.25">
      <c r="A238" s="20">
        <f t="shared" ca="1" si="62"/>
        <v>46048</v>
      </c>
      <c r="B238" vm="659">
        <f ca="1"/>
        <v>46048</v>
      </c>
      <c r="C238" vm="660">
        <f ca="1"/>
        <v>13.44</v>
      </c>
      <c r="D238" vm="661">
        <f ca="1"/>
        <v>59170963</v>
      </c>
      <c r="E238">
        <f t="shared" ca="1" si="63"/>
        <v>795257742.72000003</v>
      </c>
      <c r="F238">
        <f ca="1">SUM($E$2:E238)/SUM($D$2:D238)</f>
        <v>11.149370448886403</v>
      </c>
      <c r="G238">
        <f ca="1">_xlfn.STDEV.P($C$2:C238)</f>
        <v>1.3950449517811168</v>
      </c>
      <c r="H238">
        <f t="shared" ca="1" si="64"/>
        <v>12.544415400667519</v>
      </c>
      <c r="I238">
        <f t="shared" ca="1" si="65"/>
        <v>9.7543254971052864</v>
      </c>
      <c r="J238">
        <f t="shared" ca="1" si="74"/>
        <v>13.645499999999998</v>
      </c>
      <c r="K238">
        <f t="shared" ca="1" si="75"/>
        <v>0.34474208513489901</v>
      </c>
      <c r="L238">
        <f t="shared" ca="1" si="76"/>
        <v>14.334984170269797</v>
      </c>
      <c r="M238">
        <f t="shared" ca="1" si="77"/>
        <v>12.9560158297302</v>
      </c>
      <c r="N238">
        <f t="shared" ca="1" si="66"/>
        <v>-0.12000000000000099</v>
      </c>
      <c r="O238">
        <f t="shared" ca="1" si="67"/>
        <v>0</v>
      </c>
      <c r="P238">
        <f t="shared" ca="1" si="68"/>
        <v>0.12000000000000099</v>
      </c>
      <c r="Q238">
        <f t="shared" ca="1" si="72"/>
        <v>8.3698378592173925E-2</v>
      </c>
      <c r="R238">
        <f t="shared" ca="1" si="73"/>
        <v>9.389916235879317E-2</v>
      </c>
      <c r="S238">
        <f t="shared" ca="1" si="70"/>
        <v>0.89136448600423546</v>
      </c>
      <c r="T238">
        <f t="shared" ca="1" si="71"/>
        <v>47.128117959292133</v>
      </c>
      <c r="U238">
        <f>70</f>
        <v>70</v>
      </c>
      <c r="V238">
        <f>30</f>
        <v>30</v>
      </c>
      <c r="W238">
        <f t="shared" ca="1" si="69"/>
        <v>13.643914869088636</v>
      </c>
      <c r="X238">
        <f t="shared" ca="1" si="79"/>
        <v>13.580244880175744</v>
      </c>
      <c r="Y238">
        <f t="shared" ca="1" si="78"/>
        <v>8.1775299322529804E-2</v>
      </c>
      <c r="Z238">
        <f t="shared" ca="1" si="80"/>
        <v>0.11346585687644914</v>
      </c>
      <c r="AA238">
        <f t="shared" ca="1" si="81"/>
        <v>-3.1690557553919335E-2</v>
      </c>
      <c r="AB238">
        <f t="shared" ca="1" si="82"/>
        <v>12.792099999999998</v>
      </c>
    </row>
    <row r="239" spans="1:28" x14ac:dyDescent="0.25">
      <c r="A239" s="20">
        <f t="shared" ca="1" si="62"/>
        <v>46048</v>
      </c>
      <c r="B239" vm="662">
        <f ca="1"/>
        <v>46049</v>
      </c>
      <c r="C239" vm="663">
        <f ca="1"/>
        <v>13.93</v>
      </c>
      <c r="D239" vm="664">
        <f ca="1"/>
        <v>100003667</v>
      </c>
      <c r="E239">
        <f t="shared" ca="1" si="63"/>
        <v>1393051081.3099999</v>
      </c>
      <c r="F239">
        <f ca="1">SUM($E$2:E239)/SUM($D$2:D239)</f>
        <v>11.162238405998057</v>
      </c>
      <c r="G239">
        <f ca="1">_xlfn.STDEV.P($C$2:C239)</f>
        <v>1.4013019811683409</v>
      </c>
      <c r="H239">
        <f t="shared" ca="1" si="64"/>
        <v>12.563540387166398</v>
      </c>
      <c r="I239">
        <f t="shared" ca="1" si="65"/>
        <v>9.7609364248297155</v>
      </c>
      <c r="J239">
        <f t="shared" ca="1" si="74"/>
        <v>13.676500000000001</v>
      </c>
      <c r="K239">
        <f t="shared" ca="1" si="75"/>
        <v>0.34083913476810984</v>
      </c>
      <c r="L239">
        <f t="shared" ca="1" si="76"/>
        <v>14.35817826953622</v>
      </c>
      <c r="M239">
        <f t="shared" ca="1" si="77"/>
        <v>12.994821730463782</v>
      </c>
      <c r="N239">
        <f t="shared" ca="1" si="66"/>
        <v>0.49000000000000021</v>
      </c>
      <c r="O239">
        <f t="shared" ca="1" si="67"/>
        <v>0.49000000000000021</v>
      </c>
      <c r="P239">
        <f t="shared" ca="1" si="68"/>
        <v>0</v>
      </c>
      <c r="Q239">
        <f t="shared" ca="1" si="72"/>
        <v>0.11271992297844723</v>
      </c>
      <c r="R239">
        <f t="shared" ca="1" si="73"/>
        <v>8.7192079333165085E-2</v>
      </c>
      <c r="S239">
        <f t="shared" ca="1" si="70"/>
        <v>1.2927770944392671</v>
      </c>
      <c r="T239">
        <f t="shared" ca="1" si="71"/>
        <v>56.384770136384979</v>
      </c>
      <c r="U239">
        <f>70</f>
        <v>70</v>
      </c>
      <c r="V239">
        <f>30</f>
        <v>30</v>
      </c>
      <c r="W239">
        <f t="shared" ca="1" si="69"/>
        <v>13.687927966151921</v>
      </c>
      <c r="X239">
        <f t="shared" ca="1" si="79"/>
        <v>13.606152666829392</v>
      </c>
      <c r="Y239">
        <f t="shared" ca="1" si="78"/>
        <v>8.6253530562874658E-2</v>
      </c>
      <c r="Z239">
        <f t="shared" ca="1" si="80"/>
        <v>0.10802339161373425</v>
      </c>
      <c r="AA239">
        <f t="shared" ca="1" si="81"/>
        <v>-2.1769861050859596E-2</v>
      </c>
      <c r="AB239">
        <f t="shared" ca="1" si="82"/>
        <v>12.815199999999995</v>
      </c>
    </row>
    <row r="240" spans="1:28" x14ac:dyDescent="0.25">
      <c r="A240" s="20">
        <f t="shared" ca="1" si="62"/>
        <v>46048</v>
      </c>
      <c r="B240" vm="665">
        <f ca="1"/>
        <v>46050</v>
      </c>
      <c r="C240" vm="666">
        <f ca="1"/>
        <v>13.82</v>
      </c>
      <c r="D240" vm="667">
        <f ca="1"/>
        <v>48751764</v>
      </c>
      <c r="E240">
        <f t="shared" ca="1" si="63"/>
        <v>673749378.48000002</v>
      </c>
      <c r="F240">
        <f ca="1">SUM($E$2:E240)/SUM($D$2:D240)</f>
        <v>11.168220844358434</v>
      </c>
      <c r="G240">
        <f ca="1">_xlfn.STDEV.P($C$2:C240)</f>
        <v>1.4066175733551409</v>
      </c>
      <c r="H240">
        <f t="shared" ca="1" si="64"/>
        <v>12.574838417713575</v>
      </c>
      <c r="I240">
        <f t="shared" ca="1" si="65"/>
        <v>9.7616032710032918</v>
      </c>
      <c r="J240">
        <f t="shared" ca="1" si="74"/>
        <v>13.7035</v>
      </c>
      <c r="K240">
        <f t="shared" ca="1" si="75"/>
        <v>0.32895808403599325</v>
      </c>
      <c r="L240">
        <f t="shared" ca="1" si="76"/>
        <v>14.361416168071987</v>
      </c>
      <c r="M240">
        <f t="shared" ca="1" si="77"/>
        <v>13.045583831928013</v>
      </c>
      <c r="N240">
        <f t="shared" ca="1" si="66"/>
        <v>-0.10999999999999943</v>
      </c>
      <c r="O240">
        <f t="shared" ca="1" si="67"/>
        <v>0</v>
      </c>
      <c r="P240">
        <f t="shared" ca="1" si="68"/>
        <v>0.10999999999999943</v>
      </c>
      <c r="Q240">
        <f t="shared" ca="1" si="72"/>
        <v>0.10466849990855813</v>
      </c>
      <c r="R240">
        <f t="shared" ca="1" si="73"/>
        <v>8.8821216523653254E-2</v>
      </c>
      <c r="S240">
        <f t="shared" ca="1" si="70"/>
        <v>1.1784177700457943</v>
      </c>
      <c r="T240">
        <f t="shared" ca="1" si="71"/>
        <v>54.095122902941696</v>
      </c>
      <c r="U240">
        <f>70</f>
        <v>70</v>
      </c>
      <c r="V240">
        <f>30</f>
        <v>30</v>
      </c>
      <c r="W240">
        <f t="shared" ca="1" si="69"/>
        <v>13.708246740590088</v>
      </c>
      <c r="X240">
        <f t="shared" ca="1" si="79"/>
        <v>13.621993210027213</v>
      </c>
      <c r="Y240">
        <f t="shared" ca="1" si="78"/>
        <v>0.10313814443422231</v>
      </c>
      <c r="Z240">
        <f t="shared" ca="1" si="80"/>
        <v>0.10704634217783188</v>
      </c>
      <c r="AA240">
        <f t="shared" ca="1" si="81"/>
        <v>-3.908197743609565E-3</v>
      </c>
      <c r="AB240">
        <f t="shared" ca="1" si="82"/>
        <v>12.836599999999997</v>
      </c>
    </row>
    <row r="241" spans="1:28" x14ac:dyDescent="0.25">
      <c r="A241" s="20">
        <f t="shared" ca="1" si="62"/>
        <v>46048</v>
      </c>
      <c r="B241" vm="668">
        <f ca="1"/>
        <v>46051</v>
      </c>
      <c r="C241" vm="669">
        <f ca="1"/>
        <v>14</v>
      </c>
      <c r="D241" vm="670">
        <f ca="1"/>
        <v>84803904</v>
      </c>
      <c r="E241">
        <f t="shared" ca="1" si="63"/>
        <v>1187254656</v>
      </c>
      <c r="F241">
        <f ca="1">SUM($E$2:E241)/SUM($D$2:D241)</f>
        <v>11.179265443082267</v>
      </c>
      <c r="G241">
        <f ca="1">_xlfn.STDEV.P($C$2:C241)</f>
        <v>1.4130896605979393</v>
      </c>
      <c r="H241">
        <f t="shared" ca="1" si="64"/>
        <v>12.592355103680205</v>
      </c>
      <c r="I241">
        <f t="shared" ca="1" si="65"/>
        <v>9.7661757824843285</v>
      </c>
      <c r="J241">
        <f t="shared" ca="1" si="74"/>
        <v>13.742000000000001</v>
      </c>
      <c r="K241">
        <f t="shared" ca="1" si="75"/>
        <v>0.31540450218727073</v>
      </c>
      <c r="L241">
        <f t="shared" ca="1" si="76"/>
        <v>14.372809004374542</v>
      </c>
      <c r="M241">
        <f t="shared" ca="1" si="77"/>
        <v>13.11119099562546</v>
      </c>
      <c r="N241">
        <f t="shared" ca="1" si="66"/>
        <v>0.17999999999999972</v>
      </c>
      <c r="O241">
        <f t="shared" ca="1" si="67"/>
        <v>0.17999999999999972</v>
      </c>
      <c r="P241">
        <f t="shared" ca="1" si="68"/>
        <v>0</v>
      </c>
      <c r="Q241">
        <f t="shared" ca="1" si="72"/>
        <v>0.11004932134366109</v>
      </c>
      <c r="R241">
        <f t="shared" ca="1" si="73"/>
        <v>8.247684391482088E-2</v>
      </c>
      <c r="S241">
        <f t="shared" ca="1" si="70"/>
        <v>1.3343056804806459</v>
      </c>
      <c r="T241">
        <f t="shared" ca="1" si="71"/>
        <v>57.160709140968429</v>
      </c>
      <c r="U241">
        <f>70</f>
        <v>70</v>
      </c>
      <c r="V241">
        <f>30</f>
        <v>30</v>
      </c>
      <c r="W241">
        <f t="shared" ca="1" si="69"/>
        <v>13.753131857422382</v>
      </c>
      <c r="X241">
        <f t="shared" ca="1" si="79"/>
        <v>13.649993712988159</v>
      </c>
      <c r="Y241">
        <f t="shared" ca="1" si="78"/>
        <v>0.10561881747377733</v>
      </c>
      <c r="Z241">
        <f t="shared" ca="1" si="80"/>
        <v>0.10676083723702097</v>
      </c>
      <c r="AA241">
        <f t="shared" ca="1" si="81"/>
        <v>-1.142019763243643E-3</v>
      </c>
      <c r="AB241">
        <f t="shared" ca="1" si="82"/>
        <v>12.859199999999996</v>
      </c>
    </row>
    <row r="242" spans="1:28" x14ac:dyDescent="0.25">
      <c r="A242" s="20">
        <f t="shared" ca="1" si="62"/>
        <v>46048</v>
      </c>
      <c r="B242" vm="671">
        <f ca="1"/>
        <v>46052</v>
      </c>
      <c r="C242" vm="672">
        <f ca="1"/>
        <v>13.88</v>
      </c>
      <c r="D242" vm="673">
        <f ca="1"/>
        <v>66996343</v>
      </c>
      <c r="E242">
        <f t="shared" ca="1" si="63"/>
        <v>929909240.84000003</v>
      </c>
      <c r="F242">
        <f ca="1">SUM($E$2:E242)/SUM($D$2:D242)</f>
        <v>11.187561497744559</v>
      </c>
      <c r="G242">
        <f ca="1">_xlfn.STDEV.P($C$2:C242)</f>
        <v>1.4185434048473791</v>
      </c>
      <c r="H242">
        <f t="shared" ca="1" si="64"/>
        <v>12.606104902591937</v>
      </c>
      <c r="I242">
        <f t="shared" ca="1" si="65"/>
        <v>9.7690180928971806</v>
      </c>
      <c r="J242">
        <f t="shared" ca="1" si="74"/>
        <v>13.780000000000001</v>
      </c>
      <c r="K242">
        <f t="shared" ca="1" si="75"/>
        <v>0.28035691537752377</v>
      </c>
      <c r="L242">
        <f t="shared" ca="1" si="76"/>
        <v>14.340713830755048</v>
      </c>
      <c r="M242">
        <f t="shared" ca="1" si="77"/>
        <v>13.219286169244954</v>
      </c>
      <c r="N242">
        <f t="shared" ca="1" si="66"/>
        <v>-0.11999999999999922</v>
      </c>
      <c r="O242">
        <f t="shared" ca="1" si="67"/>
        <v>0</v>
      </c>
      <c r="P242">
        <f t="shared" ca="1" si="68"/>
        <v>0.11999999999999922</v>
      </c>
      <c r="Q242">
        <f t="shared" ca="1" si="72"/>
        <v>0.10218865553339959</v>
      </c>
      <c r="R242">
        <f t="shared" ca="1" si="73"/>
        <v>8.5157069349476464E-2</v>
      </c>
      <c r="S242">
        <f t="shared" ca="1" si="70"/>
        <v>1.2000020234847106</v>
      </c>
      <c r="T242">
        <f t="shared" ca="1" si="71"/>
        <v>54.545496352951439</v>
      </c>
      <c r="U242">
        <f>70</f>
        <v>70</v>
      </c>
      <c r="V242">
        <f>30</f>
        <v>30</v>
      </c>
      <c r="W242">
        <f t="shared" ca="1" si="69"/>
        <v>13.772650033203554</v>
      </c>
      <c r="X242">
        <f t="shared" ca="1" si="79"/>
        <v>13.667031215729777</v>
      </c>
      <c r="Y242">
        <f t="shared" ca="1" si="78"/>
        <v>0.10077468589537908</v>
      </c>
      <c r="Z242">
        <f t="shared" ca="1" si="80"/>
        <v>0.1055636069686926</v>
      </c>
      <c r="AA242">
        <f t="shared" ca="1" si="81"/>
        <v>-4.7889210733135235E-3</v>
      </c>
      <c r="AB242">
        <f t="shared" ca="1" si="82"/>
        <v>12.881099999999998</v>
      </c>
    </row>
    <row r="243" spans="1:28" x14ac:dyDescent="0.25">
      <c r="A243" s="20">
        <f t="shared" ca="1" si="62"/>
        <v>46055</v>
      </c>
      <c r="B243" vm="674">
        <f ca="1"/>
        <v>46055</v>
      </c>
      <c r="C243" vm="643">
        <f ca="1"/>
        <v>13.81</v>
      </c>
      <c r="D243" vm="675">
        <f ca="1"/>
        <v>54218120</v>
      </c>
      <c r="E243">
        <f t="shared" ca="1" si="63"/>
        <v>748752237.20000005</v>
      </c>
      <c r="F243">
        <f ca="1">SUM($E$2:E243)/SUM($D$2:D243)</f>
        <v>11.194064443055124</v>
      </c>
      <c r="G243">
        <f ca="1">_xlfn.STDEV.P($C$2:C243)</f>
        <v>1.4233870819716883</v>
      </c>
      <c r="H243">
        <f t="shared" ca="1" si="64"/>
        <v>12.617451525026812</v>
      </c>
      <c r="I243">
        <f t="shared" ca="1" si="65"/>
        <v>9.7706773610834361</v>
      </c>
      <c r="J243">
        <f t="shared" ca="1" si="74"/>
        <v>13.803500000000003</v>
      </c>
      <c r="K243">
        <f t="shared" ca="1" si="75"/>
        <v>0.26053133966447956</v>
      </c>
      <c r="L243">
        <f t="shared" ca="1" si="76"/>
        <v>14.324562679328963</v>
      </c>
      <c r="M243">
        <f t="shared" ca="1" si="77"/>
        <v>13.282437320671043</v>
      </c>
      <c r="N243">
        <f t="shared" ca="1" si="66"/>
        <v>-7.0000000000000284E-2</v>
      </c>
      <c r="O243">
        <f t="shared" ca="1" si="67"/>
        <v>0</v>
      </c>
      <c r="P243">
        <f t="shared" ca="1" si="68"/>
        <v>7.0000000000000284E-2</v>
      </c>
      <c r="Q243">
        <f t="shared" ca="1" si="72"/>
        <v>9.4889465852442484E-2</v>
      </c>
      <c r="R243">
        <f t="shared" ca="1" si="73"/>
        <v>8.4074421538799599E-2</v>
      </c>
      <c r="S243">
        <f t="shared" ca="1" si="70"/>
        <v>1.1286365593208612</v>
      </c>
      <c r="T243">
        <f t="shared" ca="1" si="71"/>
        <v>53.02157169004704</v>
      </c>
      <c r="U243">
        <f>70</f>
        <v>70</v>
      </c>
      <c r="V243">
        <f>30</f>
        <v>30</v>
      </c>
      <c r="W243">
        <f t="shared" ca="1" si="69"/>
        <v>13.778396181941469</v>
      </c>
      <c r="X243">
        <f t="shared" ca="1" si="79"/>
        <v>13.67762149604609</v>
      </c>
      <c r="Y243">
        <f t="shared" ca="1" si="78"/>
        <v>8.944923026107432E-2</v>
      </c>
      <c r="Z243">
        <f t="shared" ca="1" si="80"/>
        <v>0.10234073162716895</v>
      </c>
      <c r="AA243">
        <f t="shared" ca="1" si="81"/>
        <v>-1.2891501366094626E-2</v>
      </c>
      <c r="AB243">
        <f t="shared" ca="1" si="82"/>
        <v>12.904299999999999</v>
      </c>
    </row>
    <row r="244" spans="1:28" x14ac:dyDescent="0.25">
      <c r="A244" s="20">
        <f t="shared" ca="1" si="62"/>
        <v>46055</v>
      </c>
      <c r="B244" vm="676">
        <f ca="1"/>
        <v>46056</v>
      </c>
      <c r="C244" vm="677">
        <f ca="1"/>
        <v>13.73</v>
      </c>
      <c r="D244" vm="678">
        <f ca="1"/>
        <v>76637980</v>
      </c>
      <c r="E244">
        <f t="shared" ca="1" si="63"/>
        <v>1052239465.4</v>
      </c>
      <c r="F244">
        <f ca="1">SUM($E$2:E244)/SUM($D$2:D244)</f>
        <v>11.20292218449805</v>
      </c>
      <c r="G244">
        <f ca="1">_xlfn.STDEV.P($C$2:C244)</f>
        <v>1.4275907976182147</v>
      </c>
      <c r="H244">
        <f t="shared" ca="1" si="64"/>
        <v>12.630512982116265</v>
      </c>
      <c r="I244">
        <f t="shared" ca="1" si="65"/>
        <v>9.7753313868798344</v>
      </c>
      <c r="J244">
        <f t="shared" ca="1" si="74"/>
        <v>13.816500000000001</v>
      </c>
      <c r="K244">
        <f t="shared" ca="1" si="75"/>
        <v>0.24925731789922598</v>
      </c>
      <c r="L244">
        <f t="shared" ca="1" si="76"/>
        <v>14.315014635798454</v>
      </c>
      <c r="M244">
        <f t="shared" ca="1" si="77"/>
        <v>13.317985364201549</v>
      </c>
      <c r="N244">
        <f t="shared" ca="1" si="66"/>
        <v>-8.0000000000000071E-2</v>
      </c>
      <c r="O244">
        <f t="shared" ca="1" si="67"/>
        <v>0</v>
      </c>
      <c r="P244">
        <f t="shared" ca="1" si="68"/>
        <v>8.0000000000000071E-2</v>
      </c>
      <c r="Q244">
        <f t="shared" ca="1" si="72"/>
        <v>8.8111646862982312E-2</v>
      </c>
      <c r="R244">
        <f t="shared" ca="1" si="73"/>
        <v>8.3783391428885343E-2</v>
      </c>
      <c r="S244">
        <f t="shared" ca="1" si="70"/>
        <v>1.0516600648443644</v>
      </c>
      <c r="T244">
        <f t="shared" ca="1" si="71"/>
        <v>51.258982073335901</v>
      </c>
      <c r="U244">
        <f>70</f>
        <v>70</v>
      </c>
      <c r="V244">
        <f>30</f>
        <v>30</v>
      </c>
      <c r="W244">
        <f t="shared" ca="1" si="69"/>
        <v>13.770950615488935</v>
      </c>
      <c r="X244">
        <f t="shared" ca="1" si="79"/>
        <v>13.681501385227861</v>
      </c>
      <c r="Y244">
        <f t="shared" ca="1" si="78"/>
        <v>8.6736132766834118E-2</v>
      </c>
      <c r="Z244">
        <f t="shared" ca="1" si="80"/>
        <v>9.921981185510198E-2</v>
      </c>
      <c r="AA244">
        <f t="shared" ca="1" si="81"/>
        <v>-1.2483679088267863E-2</v>
      </c>
      <c r="AB244">
        <f t="shared" ca="1" si="82"/>
        <v>12.9274</v>
      </c>
    </row>
    <row r="245" spans="1:28" x14ac:dyDescent="0.25">
      <c r="A245" s="20">
        <f t="shared" ca="1" si="62"/>
        <v>46055</v>
      </c>
      <c r="B245" vm="679">
        <f ca="1"/>
        <v>46057</v>
      </c>
      <c r="C245" vm="666">
        <f ca="1"/>
        <v>13.82</v>
      </c>
      <c r="D245" vm="680">
        <f ca="1"/>
        <v>70488674</v>
      </c>
      <c r="E245">
        <f t="shared" ca="1" si="63"/>
        <v>974153474.68000007</v>
      </c>
      <c r="F245">
        <f ca="1">SUM($E$2:E245)/SUM($D$2:D245)</f>
        <v>11.211302950687113</v>
      </c>
      <c r="G245">
        <f ca="1">_xlfn.STDEV.P($C$2:C245)</f>
        <v>1.4322703611853875</v>
      </c>
      <c r="H245">
        <f t="shared" ca="1" si="64"/>
        <v>12.643573311872501</v>
      </c>
      <c r="I245">
        <f t="shared" ca="1" si="65"/>
        <v>9.7790325895017247</v>
      </c>
      <c r="J245">
        <f t="shared" ca="1" si="74"/>
        <v>13.817500000000001</v>
      </c>
      <c r="K245">
        <f t="shared" ca="1" si="75"/>
        <v>0.24922775464263716</v>
      </c>
      <c r="L245">
        <f t="shared" ca="1" si="76"/>
        <v>14.315955509285276</v>
      </c>
      <c r="M245">
        <f t="shared" ca="1" si="77"/>
        <v>13.319044490714726</v>
      </c>
      <c r="N245">
        <f t="shared" ca="1" si="66"/>
        <v>8.9999999999999858E-2</v>
      </c>
      <c r="O245">
        <f t="shared" ca="1" si="67"/>
        <v>8.9999999999999858E-2</v>
      </c>
      <c r="P245">
        <f t="shared" ca="1" si="68"/>
        <v>0</v>
      </c>
      <c r="Q245">
        <f t="shared" ca="1" si="72"/>
        <v>8.8246529229912135E-2</v>
      </c>
      <c r="R245">
        <f t="shared" ca="1" si="73"/>
        <v>7.779886346967925E-2</v>
      </c>
      <c r="S245">
        <f t="shared" ca="1" si="70"/>
        <v>1.1342907247520997</v>
      </c>
      <c r="T245">
        <f t="shared" ca="1" si="71"/>
        <v>53.14602699610424</v>
      </c>
      <c r="U245">
        <f>70</f>
        <v>70</v>
      </c>
      <c r="V245">
        <f>30</f>
        <v>30</v>
      </c>
      <c r="W245">
        <f t="shared" ca="1" si="69"/>
        <v>13.778496674644483</v>
      </c>
      <c r="X245">
        <f t="shared" ca="1" si="79"/>
        <v>13.691760541877649</v>
      </c>
      <c r="Y245">
        <f t="shared" ca="1" si="78"/>
        <v>7.5644832647224547E-2</v>
      </c>
      <c r="Z245">
        <f t="shared" ca="1" si="80"/>
        <v>9.4504816013526505E-2</v>
      </c>
      <c r="AA245">
        <f t="shared" ca="1" si="81"/>
        <v>-1.8859983366301958E-2</v>
      </c>
      <c r="AB245">
        <f t="shared" ca="1" si="82"/>
        <v>12.947999999999997</v>
      </c>
    </row>
    <row r="246" spans="1:28" x14ac:dyDescent="0.25">
      <c r="A246" s="20">
        <f t="shared" ca="1" si="62"/>
        <v>46055</v>
      </c>
      <c r="B246" vm="681">
        <f ca="1"/>
        <v>46058</v>
      </c>
      <c r="C246" vm="682">
        <f ca="1"/>
        <v>13.72</v>
      </c>
      <c r="D246" vm="683">
        <f ca="1"/>
        <v>79719943</v>
      </c>
      <c r="E246">
        <f t="shared" ca="1" si="63"/>
        <v>1093757617.96</v>
      </c>
      <c r="F246">
        <f ca="1">SUM($E$2:E246)/SUM($D$2:D246)</f>
        <v>11.220355958500029</v>
      </c>
      <c r="G246">
        <f ca="1">_xlfn.STDEV.P($C$2:C246)</f>
        <v>1.4361989979975471</v>
      </c>
      <c r="H246">
        <f t="shared" ca="1" si="64"/>
        <v>12.656554956497576</v>
      </c>
      <c r="I246">
        <f t="shared" ca="1" si="65"/>
        <v>9.7841569605024823</v>
      </c>
      <c r="J246">
        <f t="shared" ca="1" si="74"/>
        <v>13.816500000000001</v>
      </c>
      <c r="K246">
        <f t="shared" ca="1" si="75"/>
        <v>0.24959493500259053</v>
      </c>
      <c r="L246">
        <f t="shared" ca="1" si="76"/>
        <v>14.315689870005182</v>
      </c>
      <c r="M246">
        <f t="shared" ca="1" si="77"/>
        <v>13.317310129994821</v>
      </c>
      <c r="N246">
        <f t="shared" ca="1" si="66"/>
        <v>-9.9999999999999645E-2</v>
      </c>
      <c r="O246">
        <f t="shared" ca="1" si="67"/>
        <v>0</v>
      </c>
      <c r="P246">
        <f t="shared" ca="1" si="68"/>
        <v>9.9999999999999645E-2</v>
      </c>
      <c r="Q246">
        <f t="shared" ca="1" si="72"/>
        <v>8.1943205713489828E-2</v>
      </c>
      <c r="R246">
        <f t="shared" ca="1" si="73"/>
        <v>7.9384658936130698E-2</v>
      </c>
      <c r="S246">
        <f t="shared" ca="1" si="70"/>
        <v>1.0322297382346584</v>
      </c>
      <c r="T246">
        <f t="shared" ca="1" si="71"/>
        <v>50.792964929807972</v>
      </c>
      <c r="U246">
        <f>70</f>
        <v>70</v>
      </c>
      <c r="V246">
        <f>30</f>
        <v>30</v>
      </c>
      <c r="W246">
        <f t="shared" ca="1" si="69"/>
        <v>13.76949718623764</v>
      </c>
      <c r="X246">
        <f t="shared" ca="1" si="79"/>
        <v>13.693852353590415</v>
      </c>
      <c r="Y246">
        <f t="shared" ca="1" si="78"/>
        <v>7.2474784603116404E-2</v>
      </c>
      <c r="Z246">
        <f t="shared" ca="1" si="80"/>
        <v>9.009880973144449E-2</v>
      </c>
      <c r="AA246">
        <f t="shared" ca="1" si="81"/>
        <v>-1.7624025128328086E-2</v>
      </c>
      <c r="AB246">
        <f t="shared" ca="1" si="82"/>
        <v>12.968399999999999</v>
      </c>
    </row>
    <row r="247" spans="1:28" x14ac:dyDescent="0.25">
      <c r="A247" s="20">
        <f t="shared" ca="1" si="62"/>
        <v>46055</v>
      </c>
      <c r="B247" vm="684">
        <f ca="1"/>
        <v>46059</v>
      </c>
      <c r="C247" vm="623">
        <f ca="1"/>
        <v>13.8</v>
      </c>
      <c r="D247" vm="685">
        <f ca="1"/>
        <v>55588190</v>
      </c>
      <c r="E247">
        <f t="shared" ca="1" si="63"/>
        <v>767117022</v>
      </c>
      <c r="F247">
        <f ca="1">SUM($E$2:E247)/SUM($D$2:D247)</f>
        <v>11.226830791563302</v>
      </c>
      <c r="G247">
        <f ca="1">_xlfn.STDEV.P($C$2:C247)</f>
        <v>1.4405311802598135</v>
      </c>
      <c r="H247">
        <f t="shared" ca="1" si="64"/>
        <v>12.667361971823116</v>
      </c>
      <c r="I247">
        <f t="shared" ca="1" si="65"/>
        <v>9.7862996113034875</v>
      </c>
      <c r="J247">
        <f t="shared" ca="1" si="74"/>
        <v>13.7865</v>
      </c>
      <c r="K247">
        <f t="shared" ca="1" si="75"/>
        <v>0.2084346420343797</v>
      </c>
      <c r="L247">
        <f t="shared" ca="1" si="76"/>
        <v>14.20336928406876</v>
      </c>
      <c r="M247">
        <f t="shared" ca="1" si="77"/>
        <v>13.36963071593124</v>
      </c>
      <c r="N247">
        <f t="shared" ca="1" si="66"/>
        <v>8.0000000000000071E-2</v>
      </c>
      <c r="O247">
        <f t="shared" ca="1" si="67"/>
        <v>8.0000000000000071E-2</v>
      </c>
      <c r="P247">
        <f t="shared" ca="1" si="68"/>
        <v>0</v>
      </c>
      <c r="Q247">
        <f t="shared" ca="1" si="72"/>
        <v>8.1804405305383424E-2</v>
      </c>
      <c r="R247">
        <f t="shared" ca="1" si="73"/>
        <v>7.3714326154978513E-2</v>
      </c>
      <c r="S247">
        <f t="shared" ca="1" si="70"/>
        <v>1.1097490755514221</v>
      </c>
      <c r="T247">
        <f t="shared" ca="1" si="71"/>
        <v>52.600998308832935</v>
      </c>
      <c r="U247">
        <f>70</f>
        <v>70</v>
      </c>
      <c r="V247">
        <f>30</f>
        <v>30</v>
      </c>
      <c r="W247">
        <f t="shared" ca="1" si="69"/>
        <v>13.774189926816463</v>
      </c>
      <c r="X247">
        <f t="shared" ca="1" si="79"/>
        <v>13.701715142213347</v>
      </c>
      <c r="Y247">
        <f t="shared" ca="1" si="78"/>
        <v>5.2413068504707283E-2</v>
      </c>
      <c r="Z247">
        <f t="shared" ca="1" si="80"/>
        <v>8.256166148609706E-2</v>
      </c>
      <c r="AA247">
        <f t="shared" ca="1" si="81"/>
        <v>-3.0148592981389777E-2</v>
      </c>
      <c r="AB247">
        <f t="shared" ca="1" si="82"/>
        <v>12.989599999999996</v>
      </c>
    </row>
    <row r="248" spans="1:28" x14ac:dyDescent="0.25">
      <c r="A248" s="20">
        <f t="shared" ca="1" si="62"/>
        <v>46062</v>
      </c>
      <c r="B248" vm="686">
        <f ca="1"/>
        <v>46062</v>
      </c>
      <c r="C248" vm="687">
        <f ca="1"/>
        <v>13.59</v>
      </c>
      <c r="D248" vm="688">
        <f ca="1"/>
        <v>59777960</v>
      </c>
      <c r="E248">
        <f t="shared" ca="1" si="63"/>
        <v>812382476.39999998</v>
      </c>
      <c r="F248">
        <f ca="1">SUM($E$2:E248)/SUM($D$2:D248)</f>
        <v>11.233192174230762</v>
      </c>
      <c r="G248">
        <f ca="1">_xlfn.STDEV.P($C$2:C248)</f>
        <v>1.4434936895255668</v>
      </c>
      <c r="H248">
        <f t="shared" ca="1" si="64"/>
        <v>12.67668586375633</v>
      </c>
      <c r="I248">
        <f t="shared" ca="1" si="65"/>
        <v>9.7896984847051947</v>
      </c>
      <c r="J248">
        <f t="shared" ca="1" si="74"/>
        <v>13.755999999999997</v>
      </c>
      <c r="K248">
        <f t="shared" ca="1" si="75"/>
        <v>0.18841164339928967</v>
      </c>
      <c r="L248">
        <f t="shared" ca="1" si="76"/>
        <v>14.132823286798576</v>
      </c>
      <c r="M248">
        <f t="shared" ca="1" si="77"/>
        <v>13.379176713201417</v>
      </c>
      <c r="N248">
        <f t="shared" ca="1" si="66"/>
        <v>-0.21000000000000085</v>
      </c>
      <c r="O248">
        <f t="shared" ca="1" si="67"/>
        <v>0</v>
      </c>
      <c r="P248">
        <f t="shared" ca="1" si="68"/>
        <v>0.21000000000000085</v>
      </c>
      <c r="Q248">
        <f t="shared" ca="1" si="72"/>
        <v>7.5961233497856037E-2</v>
      </c>
      <c r="R248">
        <f t="shared" ca="1" si="73"/>
        <v>8.3449017143908691E-2</v>
      </c>
      <c r="S248">
        <f t="shared" ca="1" si="70"/>
        <v>0.91027115833923011</v>
      </c>
      <c r="T248">
        <f t="shared" ca="1" si="71"/>
        <v>47.651410867272389</v>
      </c>
      <c r="U248">
        <f>70</f>
        <v>70</v>
      </c>
      <c r="V248">
        <f>30</f>
        <v>30</v>
      </c>
      <c r="W248">
        <f t="shared" ca="1" si="69"/>
        <v>13.745853014998547</v>
      </c>
      <c r="X248">
        <f t="shared" ca="1" si="79"/>
        <v>13.693439946493839</v>
      </c>
      <c r="Y248">
        <f t="shared" ca="1" si="78"/>
        <v>3.4502458245214029E-2</v>
      </c>
      <c r="Z248">
        <f t="shared" ca="1" si="80"/>
        <v>7.2949820837920454E-2</v>
      </c>
      <c r="AA248">
        <f t="shared" ca="1" si="81"/>
        <v>-3.8447362592706424E-2</v>
      </c>
      <c r="AB248">
        <f t="shared" ca="1" si="82"/>
        <v>13.009399999999996</v>
      </c>
    </row>
    <row r="249" spans="1:28" x14ac:dyDescent="0.25">
      <c r="A249" s="20">
        <f t="shared" ca="1" si="62"/>
        <v>46062</v>
      </c>
      <c r="B249" vm="689">
        <f ca="1"/>
        <v>46063</v>
      </c>
      <c r="C249" vm="690">
        <f ca="1"/>
        <v>13.57</v>
      </c>
      <c r="D249" vm="691">
        <f ca="1"/>
        <v>80827666</v>
      </c>
      <c r="E249">
        <f t="shared" ca="1" si="63"/>
        <v>1096831427.6200001</v>
      </c>
      <c r="F249">
        <f ca="1">SUM($E$2:E249)/SUM($D$2:D249)</f>
        <v>11.241666804892665</v>
      </c>
      <c r="G249">
        <f ca="1">_xlfn.STDEV.P($C$2:C249)</f>
        <v>1.4462664355150086</v>
      </c>
      <c r="H249">
        <f t="shared" ca="1" si="64"/>
        <v>12.687933240407673</v>
      </c>
      <c r="I249">
        <f t="shared" ca="1" si="65"/>
        <v>9.7954003693776563</v>
      </c>
      <c r="J249">
        <f t="shared" ca="1" si="74"/>
        <v>13.732999999999999</v>
      </c>
      <c r="K249">
        <f t="shared" ca="1" si="75"/>
        <v>0.18113966696272935</v>
      </c>
      <c r="L249">
        <f t="shared" ca="1" si="76"/>
        <v>14.095279333925458</v>
      </c>
      <c r="M249">
        <f t="shared" ca="1" si="77"/>
        <v>13.37072066607454</v>
      </c>
      <c r="N249">
        <f t="shared" ca="1" si="66"/>
        <v>-1.9999999999999574E-2</v>
      </c>
      <c r="O249">
        <f t="shared" ca="1" si="67"/>
        <v>0</v>
      </c>
      <c r="P249">
        <f t="shared" ca="1" si="68"/>
        <v>1.9999999999999574E-2</v>
      </c>
      <c r="Q249">
        <f t="shared" ca="1" si="72"/>
        <v>7.0535431105152036E-2</v>
      </c>
      <c r="R249">
        <f t="shared" ca="1" si="73"/>
        <v>7.8916944490772328E-2</v>
      </c>
      <c r="S249">
        <f t="shared" ca="1" si="70"/>
        <v>0.89379323490406637</v>
      </c>
      <c r="T249">
        <f t="shared" ca="1" si="71"/>
        <v>47.195925005474166</v>
      </c>
      <c r="U249">
        <f>70</f>
        <v>70</v>
      </c>
      <c r="V249">
        <f>30</f>
        <v>30</v>
      </c>
      <c r="W249">
        <f t="shared" ca="1" si="69"/>
        <v>13.71879870499877</v>
      </c>
      <c r="X249">
        <f t="shared" ca="1" si="79"/>
        <v>13.684296246753556</v>
      </c>
      <c r="Y249">
        <f t="shared" ca="1" si="78"/>
        <v>4.2412920768459372E-2</v>
      </c>
      <c r="Z249">
        <f t="shared" ca="1" si="80"/>
        <v>6.6842440824028238E-2</v>
      </c>
      <c r="AA249">
        <f t="shared" ca="1" si="81"/>
        <v>-2.4429520055568865E-2</v>
      </c>
      <c r="AB249">
        <f t="shared" ca="1" si="82"/>
        <v>13.028499999999994</v>
      </c>
    </row>
    <row r="250" spans="1:28" x14ac:dyDescent="0.25">
      <c r="A250" s="20">
        <f t="shared" ca="1" si="62"/>
        <v>46062</v>
      </c>
      <c r="B250" vm="692">
        <f ca="1"/>
        <v>46064</v>
      </c>
      <c r="C250" vm="693">
        <f ca="1"/>
        <v>13.85</v>
      </c>
      <c r="D250" vm="694">
        <f ca="1"/>
        <v>129595007</v>
      </c>
      <c r="E250">
        <f t="shared" ca="1" si="63"/>
        <v>1794890846.95</v>
      </c>
      <c r="F250">
        <f ca="1">SUM($E$2:E250)/SUM($D$2:D250)</f>
        <v>11.25674575521383</v>
      </c>
      <c r="G250">
        <f ca="1">_xlfn.STDEV.P($C$2:C250)</f>
        <v>1.4506299914654552</v>
      </c>
      <c r="H250">
        <f t="shared" ca="1" si="64"/>
        <v>12.707375746679284</v>
      </c>
      <c r="I250">
        <f t="shared" ca="1" si="65"/>
        <v>9.8061157637483749</v>
      </c>
      <c r="J250">
        <f t="shared" ca="1" si="74"/>
        <v>13.726500000000001</v>
      </c>
      <c r="K250">
        <f t="shared" ca="1" si="75"/>
        <v>0.17400166363391034</v>
      </c>
      <c r="L250">
        <f t="shared" ca="1" si="76"/>
        <v>14.074503327267822</v>
      </c>
      <c r="M250">
        <f t="shared" ca="1" si="77"/>
        <v>13.378496672732181</v>
      </c>
      <c r="N250">
        <f t="shared" ca="1" si="66"/>
        <v>0.27999999999999936</v>
      </c>
      <c r="O250">
        <f t="shared" ca="1" si="67"/>
        <v>0.27999999999999936</v>
      </c>
      <c r="P250">
        <f t="shared" ca="1" si="68"/>
        <v>0</v>
      </c>
      <c r="Q250">
        <f t="shared" ca="1" si="72"/>
        <v>8.5497186026212563E-2</v>
      </c>
      <c r="R250">
        <f t="shared" ca="1" si="73"/>
        <v>7.3280019884288589E-2</v>
      </c>
      <c r="S250">
        <f t="shared" ca="1" si="70"/>
        <v>1.1667189250387111</v>
      </c>
      <c r="T250">
        <f t="shared" ca="1" si="71"/>
        <v>53.847267015395921</v>
      </c>
      <c r="U250">
        <f>70</f>
        <v>70</v>
      </c>
      <c r="V250">
        <f>30</f>
        <v>30</v>
      </c>
      <c r="W250">
        <f t="shared" ca="1" si="69"/>
        <v>13.738983519614344</v>
      </c>
      <c r="X250">
        <f t="shared" ca="1" si="79"/>
        <v>13.696570598845884</v>
      </c>
      <c r="Y250">
        <f t="shared" ca="1" si="78"/>
        <v>6.0093050428910999E-2</v>
      </c>
      <c r="Z250">
        <f t="shared" ca="1" si="80"/>
        <v>6.5492562745004784E-2</v>
      </c>
      <c r="AA250">
        <f t="shared" ca="1" si="81"/>
        <v>-5.3995123160937852E-3</v>
      </c>
      <c r="AB250">
        <f t="shared" ca="1" si="82"/>
        <v>13.049599999999993</v>
      </c>
    </row>
    <row r="251" spans="1:28" x14ac:dyDescent="0.25">
      <c r="A251" s="20">
        <f t="shared" ca="1" si="62"/>
        <v>46062</v>
      </c>
      <c r="B251" vm="695">
        <f ca="1"/>
        <v>46065</v>
      </c>
      <c r="C251" vm="669">
        <f ca="1"/>
        <v>14</v>
      </c>
      <c r="D251" vm="696">
        <f ca="1"/>
        <v>133257187</v>
      </c>
      <c r="E251">
        <f t="shared" ca="1" si="63"/>
        <v>1865600618</v>
      </c>
      <c r="F251">
        <f ca="1">SUM($E$2:E251)/SUM($D$2:D251)</f>
        <v>11.272956481845702</v>
      </c>
      <c r="G251">
        <f ca="1">_xlfn.STDEV.P($C$2:C251)</f>
        <v>1.4558568748334795</v>
      </c>
      <c r="H251">
        <f t="shared" ca="1" si="64"/>
        <v>12.728813356679181</v>
      </c>
      <c r="I251">
        <f t="shared" ca="1" si="65"/>
        <v>9.8170996070122225</v>
      </c>
      <c r="J251">
        <f t="shared" ca="1" si="74"/>
        <v>13.734500000000001</v>
      </c>
      <c r="K251">
        <f t="shared" ca="1" si="75"/>
        <v>0.18294304549432019</v>
      </c>
      <c r="L251">
        <f t="shared" ca="1" si="76"/>
        <v>14.100386090988641</v>
      </c>
      <c r="M251">
        <f t="shared" ca="1" si="77"/>
        <v>13.36861390901136</v>
      </c>
      <c r="N251">
        <f t="shared" ca="1" si="66"/>
        <v>0.15000000000000036</v>
      </c>
      <c r="O251">
        <f t="shared" ca="1" si="67"/>
        <v>0.15000000000000036</v>
      </c>
      <c r="P251">
        <f t="shared" ca="1" si="68"/>
        <v>0</v>
      </c>
      <c r="Q251">
        <f t="shared" ca="1" si="72"/>
        <v>9.0104529881483111E-2</v>
      </c>
      <c r="R251">
        <f t="shared" ca="1" si="73"/>
        <v>6.8045732749696539E-2</v>
      </c>
      <c r="S251">
        <f t="shared" ca="1" si="70"/>
        <v>1.3241760539625456</v>
      </c>
      <c r="T251">
        <f t="shared" ca="1" si="71"/>
        <v>56.973999525764192</v>
      </c>
      <c r="U251">
        <f>70</f>
        <v>70</v>
      </c>
      <c r="V251">
        <f>30</f>
        <v>30</v>
      </c>
      <c r="W251">
        <f t="shared" ca="1" si="69"/>
        <v>13.779139901212137</v>
      </c>
      <c r="X251">
        <f t="shared" ca="1" si="79"/>
        <v>13.719046850783226</v>
      </c>
      <c r="Y251">
        <f t="shared" ca="1" si="78"/>
        <v>8.2832832351726893E-2</v>
      </c>
      <c r="Z251">
        <f t="shared" ca="1" si="80"/>
        <v>6.89606166663492E-2</v>
      </c>
      <c r="AA251">
        <f t="shared" ca="1" si="81"/>
        <v>1.3872215685377692E-2</v>
      </c>
      <c r="AB251">
        <f t="shared" ca="1" si="82"/>
        <v>13.073399999999994</v>
      </c>
    </row>
    <row r="252" spans="1:28" x14ac:dyDescent="0.25">
      <c r="A252" s="20">
        <f t="shared" ca="1" si="62"/>
        <v>46062</v>
      </c>
      <c r="B252" vm="697">
        <f ca="1"/>
        <v>46066</v>
      </c>
      <c r="C252" vm="698">
        <f ca="1"/>
        <v>14.12</v>
      </c>
      <c r="D252" vm="699">
        <f ca="1"/>
        <v>87400202</v>
      </c>
      <c r="E252">
        <f t="shared" ca="1" si="63"/>
        <v>1234090852.24</v>
      </c>
      <c r="F252">
        <f ca="1">SUM($E$2:E252)/SUM($D$2:D252)</f>
        <v>11.283948371250464</v>
      </c>
      <c r="G252">
        <f ca="1">_xlfn.STDEV.P($C$2:C252)</f>
        <v>1.4617691109838005</v>
      </c>
      <c r="H252">
        <f t="shared" ca="1" si="64"/>
        <v>12.745717482234264</v>
      </c>
      <c r="I252">
        <f t="shared" ca="1" si="65"/>
        <v>9.8221792602666635</v>
      </c>
      <c r="J252">
        <f t="shared" ca="1" si="74"/>
        <v>13.75</v>
      </c>
      <c r="K252">
        <f t="shared" ca="1" si="75"/>
        <v>0.20183369913189217</v>
      </c>
      <c r="L252">
        <f t="shared" ca="1" si="76"/>
        <v>14.153667398263785</v>
      </c>
      <c r="M252">
        <f t="shared" ca="1" si="77"/>
        <v>13.346332601736215</v>
      </c>
      <c r="N252">
        <f t="shared" ca="1" si="66"/>
        <v>0.11999999999999922</v>
      </c>
      <c r="O252">
        <f t="shared" ca="1" si="67"/>
        <v>0.11999999999999922</v>
      </c>
      <c r="P252">
        <f t="shared" ca="1" si="68"/>
        <v>0</v>
      </c>
      <c r="Q252">
        <f t="shared" ca="1" si="72"/>
        <v>9.2239920604234263E-2</v>
      </c>
      <c r="R252">
        <f t="shared" ca="1" si="73"/>
        <v>6.3185323267575352E-2</v>
      </c>
      <c r="S252">
        <f t="shared" ca="1" si="70"/>
        <v>1.4598314265738477</v>
      </c>
      <c r="T252">
        <f t="shared" ca="1" si="71"/>
        <v>59.346807704101892</v>
      </c>
      <c r="U252">
        <f>70</f>
        <v>70</v>
      </c>
      <c r="V252">
        <f>30</f>
        <v>30</v>
      </c>
      <c r="W252">
        <f t="shared" ca="1" si="69"/>
        <v>13.83157991641027</v>
      </c>
      <c r="X252">
        <f t="shared" ca="1" si="79"/>
        <v>13.748747084058543</v>
      </c>
      <c r="Y252">
        <v>8.2832832351726893E-2</v>
      </c>
      <c r="Z252">
        <f t="shared" ref="Z252" ca="1" si="83">Y252*(2/(9+1)) + Z251*(1-(2/(9+1)))</f>
        <v>7.1735059803424733E-2</v>
      </c>
      <c r="AA252">
        <f t="shared" ref="AA252" ca="1" si="84">Y252-Z252</f>
        <v>1.1097772548302159E-2</v>
      </c>
      <c r="AB252">
        <f t="shared" ca="1" si="82"/>
        <v>13.097999999999995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DEC9-3338-4BBC-944C-A012EBEEB1C5}">
  <dimension ref="A1:B54"/>
  <sheetViews>
    <sheetView topLeftCell="A43" workbookViewId="0">
      <selection activeCell="B53" sqref="B53:B54"/>
    </sheetView>
  </sheetViews>
  <sheetFormatPr defaultRowHeight="15" x14ac:dyDescent="0.25"/>
  <cols>
    <col min="1" max="2" width="10.42578125" bestFit="1" customWidth="1"/>
  </cols>
  <sheetData>
    <row r="1" spans="1:2" x14ac:dyDescent="0.25">
      <c r="A1" t="s">
        <v>45</v>
      </c>
      <c r="B1" t="s">
        <v>46</v>
      </c>
    </row>
    <row r="2" spans="1:2" x14ac:dyDescent="0.25">
      <c r="A2" s="22">
        <v>45698</v>
      </c>
      <c r="B2">
        <v>9.33</v>
      </c>
    </row>
    <row r="3" spans="1:2" x14ac:dyDescent="0.25">
      <c r="A3" s="22">
        <v>45705</v>
      </c>
      <c r="B3">
        <v>9.3249999999999993</v>
      </c>
    </row>
    <row r="4" spans="1:2" x14ac:dyDescent="0.25">
      <c r="A4" s="22">
        <v>45712</v>
      </c>
      <c r="B4">
        <v>9.4160000000000004</v>
      </c>
    </row>
    <row r="5" spans="1:2" x14ac:dyDescent="0.25">
      <c r="A5" s="22">
        <v>45719</v>
      </c>
      <c r="B5">
        <v>9.5340000000000007</v>
      </c>
    </row>
    <row r="6" spans="1:2" x14ac:dyDescent="0.25">
      <c r="A6" s="22">
        <v>45726</v>
      </c>
      <c r="B6">
        <v>9.6999999999999993</v>
      </c>
    </row>
    <row r="7" spans="1:2" x14ac:dyDescent="0.25">
      <c r="A7" s="22">
        <v>45733</v>
      </c>
      <c r="B7">
        <v>10.01</v>
      </c>
    </row>
    <row r="8" spans="1:2" x14ac:dyDescent="0.25">
      <c r="A8" s="22">
        <v>45740</v>
      </c>
      <c r="B8">
        <v>10.092000000000001</v>
      </c>
    </row>
    <row r="9" spans="1:2" x14ac:dyDescent="0.25">
      <c r="A9" s="22">
        <v>45747</v>
      </c>
      <c r="B9">
        <v>9.847999999999999</v>
      </c>
    </row>
    <row r="10" spans="1:2" x14ac:dyDescent="0.25">
      <c r="A10" s="22">
        <v>45754</v>
      </c>
      <c r="B10">
        <v>9.18</v>
      </c>
    </row>
    <row r="11" spans="1:2" x14ac:dyDescent="0.25">
      <c r="A11" s="22">
        <v>45761</v>
      </c>
      <c r="B11">
        <v>9.5474999999999994</v>
      </c>
    </row>
    <row r="12" spans="1:2" x14ac:dyDescent="0.25">
      <c r="A12" s="22">
        <v>45768</v>
      </c>
      <c r="B12">
        <v>9.8000000000000007</v>
      </c>
    </row>
    <row r="13" spans="1:2" x14ac:dyDescent="0.25">
      <c r="A13" s="22">
        <v>45775</v>
      </c>
      <c r="B13">
        <v>10.128</v>
      </c>
    </row>
    <row r="14" spans="1:2" x14ac:dyDescent="0.25">
      <c r="A14" s="22">
        <v>45782</v>
      </c>
      <c r="B14">
        <v>10.32</v>
      </c>
    </row>
    <row r="15" spans="1:2" x14ac:dyDescent="0.25">
      <c r="A15" s="22">
        <v>45789</v>
      </c>
      <c r="B15">
        <v>10.67</v>
      </c>
    </row>
    <row r="16" spans="1:2" x14ac:dyDescent="0.25">
      <c r="A16" s="22">
        <v>45796</v>
      </c>
      <c r="B16">
        <v>10.55</v>
      </c>
    </row>
    <row r="17" spans="1:2" x14ac:dyDescent="0.25">
      <c r="A17" s="22">
        <v>45803</v>
      </c>
      <c r="B17">
        <v>10.27</v>
      </c>
    </row>
    <row r="18" spans="1:2" x14ac:dyDescent="0.25">
      <c r="A18" s="22">
        <v>45810</v>
      </c>
      <c r="B18">
        <v>10.154</v>
      </c>
    </row>
    <row r="19" spans="1:2" x14ac:dyDescent="0.25">
      <c r="A19" s="22">
        <v>45817</v>
      </c>
      <c r="B19">
        <v>10.512</v>
      </c>
    </row>
    <row r="20" spans="1:2" x14ac:dyDescent="0.25">
      <c r="A20" s="22">
        <v>45824</v>
      </c>
      <c r="B20">
        <v>10.515000000000001</v>
      </c>
    </row>
    <row r="21" spans="1:2" x14ac:dyDescent="0.25">
      <c r="A21" s="22">
        <v>45831</v>
      </c>
      <c r="B21">
        <v>10.678000000000001</v>
      </c>
    </row>
    <row r="22" spans="1:2" x14ac:dyDescent="0.25">
      <c r="A22" s="22">
        <v>45838</v>
      </c>
      <c r="B22">
        <v>11.445</v>
      </c>
    </row>
    <row r="23" spans="1:2" x14ac:dyDescent="0.25">
      <c r="A23" s="22">
        <v>45845</v>
      </c>
      <c r="B23">
        <v>11.757999999999999</v>
      </c>
    </row>
    <row r="24" spans="1:2" x14ac:dyDescent="0.25">
      <c r="A24" s="22">
        <v>45852</v>
      </c>
      <c r="B24">
        <v>11.4</v>
      </c>
    </row>
    <row r="25" spans="1:2" x14ac:dyDescent="0.25">
      <c r="A25" s="22">
        <v>45859</v>
      </c>
      <c r="B25">
        <v>11.322000000000001</v>
      </c>
    </row>
    <row r="26" spans="1:2" x14ac:dyDescent="0.25">
      <c r="A26" s="22">
        <v>45866</v>
      </c>
      <c r="B26">
        <v>11.023999999999999</v>
      </c>
    </row>
    <row r="27" spans="1:2" x14ac:dyDescent="0.25">
      <c r="A27" s="22">
        <v>45873</v>
      </c>
      <c r="B27">
        <v>11.164</v>
      </c>
    </row>
    <row r="28" spans="1:2" x14ac:dyDescent="0.25">
      <c r="A28" s="22">
        <v>45880</v>
      </c>
      <c r="B28">
        <v>11.342000000000001</v>
      </c>
    </row>
    <row r="29" spans="1:2" x14ac:dyDescent="0.25">
      <c r="A29" s="22">
        <v>45887</v>
      </c>
      <c r="B29">
        <v>11.52</v>
      </c>
    </row>
    <row r="30" spans="1:2" x14ac:dyDescent="0.25">
      <c r="A30" s="22">
        <v>45894</v>
      </c>
      <c r="B30">
        <v>11.81</v>
      </c>
    </row>
    <row r="31" spans="1:2" x14ac:dyDescent="0.25">
      <c r="A31" s="22">
        <v>45901</v>
      </c>
      <c r="B31">
        <v>11.69</v>
      </c>
    </row>
    <row r="32" spans="1:2" x14ac:dyDescent="0.25">
      <c r="A32" s="22">
        <v>45908</v>
      </c>
      <c r="B32">
        <v>11.608000000000001</v>
      </c>
    </row>
    <row r="33" spans="1:2" x14ac:dyDescent="0.25">
      <c r="A33" s="22">
        <v>45915</v>
      </c>
      <c r="B33">
        <v>11.661999999999999</v>
      </c>
    </row>
    <row r="34" spans="1:2" x14ac:dyDescent="0.25">
      <c r="A34" s="22">
        <v>45922</v>
      </c>
      <c r="B34">
        <v>11.73</v>
      </c>
    </row>
    <row r="35" spans="1:2" x14ac:dyDescent="0.25">
      <c r="A35" s="22">
        <v>45929</v>
      </c>
      <c r="B35">
        <v>12.242000000000001</v>
      </c>
    </row>
    <row r="36" spans="1:2" x14ac:dyDescent="0.25">
      <c r="A36" s="22">
        <v>45936</v>
      </c>
      <c r="B36">
        <v>11.853999999999999</v>
      </c>
    </row>
    <row r="37" spans="1:2" x14ac:dyDescent="0.25">
      <c r="A37" s="22">
        <v>45943</v>
      </c>
      <c r="B37">
        <v>11.722</v>
      </c>
    </row>
    <row r="38" spans="1:2" x14ac:dyDescent="0.25">
      <c r="A38" s="22">
        <v>45950</v>
      </c>
      <c r="B38">
        <v>12.632</v>
      </c>
    </row>
    <row r="39" spans="1:2" x14ac:dyDescent="0.25">
      <c r="A39" s="22">
        <v>45957</v>
      </c>
      <c r="B39">
        <v>13.164</v>
      </c>
    </row>
    <row r="40" spans="1:2" x14ac:dyDescent="0.25">
      <c r="A40" s="22">
        <v>45964</v>
      </c>
      <c r="B40">
        <v>13.048</v>
      </c>
    </row>
    <row r="41" spans="1:2" x14ac:dyDescent="0.25">
      <c r="A41" s="22">
        <v>45971</v>
      </c>
      <c r="B41">
        <v>13.276</v>
      </c>
    </row>
    <row r="42" spans="1:2" x14ac:dyDescent="0.25">
      <c r="A42" s="22">
        <v>45978</v>
      </c>
      <c r="B42">
        <v>12.808</v>
      </c>
    </row>
    <row r="43" spans="1:2" x14ac:dyDescent="0.25">
      <c r="A43" s="22">
        <v>45985</v>
      </c>
      <c r="B43">
        <v>13.15</v>
      </c>
    </row>
    <row r="44" spans="1:2" x14ac:dyDescent="0.25">
      <c r="A44" s="22">
        <v>45992</v>
      </c>
      <c r="B44">
        <v>13.076000000000001</v>
      </c>
    </row>
    <row r="45" spans="1:2" x14ac:dyDescent="0.25">
      <c r="A45" s="22">
        <v>45999</v>
      </c>
      <c r="B45">
        <v>13.404</v>
      </c>
    </row>
    <row r="46" spans="1:2" x14ac:dyDescent="0.25">
      <c r="A46" s="22">
        <v>46006</v>
      </c>
      <c r="B46">
        <v>13.484</v>
      </c>
    </row>
    <row r="47" spans="1:2" x14ac:dyDescent="0.25">
      <c r="A47" s="22">
        <v>46013</v>
      </c>
      <c r="B47">
        <v>13.355</v>
      </c>
    </row>
    <row r="48" spans="1:2" x14ac:dyDescent="0.25">
      <c r="A48" s="22">
        <v>46020</v>
      </c>
      <c r="B48">
        <v>13.2425</v>
      </c>
    </row>
    <row r="49" spans="1:2" x14ac:dyDescent="0.25">
      <c r="A49" s="22">
        <v>46027</v>
      </c>
      <c r="B49">
        <v>13.922000000000001</v>
      </c>
    </row>
    <row r="50" spans="1:2" x14ac:dyDescent="0.25">
      <c r="A50" s="22">
        <v>46034</v>
      </c>
      <c r="B50">
        <v>13.852</v>
      </c>
    </row>
    <row r="51" spans="1:2" x14ac:dyDescent="0.25">
      <c r="A51" s="22">
        <v>46041</v>
      </c>
      <c r="B51">
        <v>13.58</v>
      </c>
    </row>
    <row r="52" spans="1:2" x14ac:dyDescent="0.25">
      <c r="A52" s="22">
        <v>46048</v>
      </c>
      <c r="B52">
        <v>13.814</v>
      </c>
    </row>
    <row r="53" spans="1:2" x14ac:dyDescent="0.25">
      <c r="A53" s="22">
        <v>46055</v>
      </c>
      <c r="B53">
        <v>13.776</v>
      </c>
    </row>
    <row r="54" spans="1:2" x14ac:dyDescent="0.25">
      <c r="A54" s="22">
        <v>46062</v>
      </c>
      <c r="B54">
        <v>13.826000000000001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1C1E-11D6-40A1-B3C0-6E8DE06A55BD}">
  <dimension ref="A1:B252"/>
  <sheetViews>
    <sheetView workbookViewId="0">
      <selection sqref="A1:B252"/>
    </sheetView>
  </sheetViews>
  <sheetFormatPr defaultRowHeight="15" x14ac:dyDescent="0.25"/>
  <cols>
    <col min="1" max="1" width="13.140625" style="20" customWidth="1"/>
    <col min="2" max="2" width="10.5703125" bestFit="1" customWidth="1"/>
  </cols>
  <sheetData>
    <row r="1" spans="1:2" x14ac:dyDescent="0.25">
      <c r="A1" s="19" t="s">
        <v>45</v>
      </c>
      <c r="B1" s="4" t="s">
        <v>43</v>
      </c>
    </row>
    <row r="2" spans="1:2" x14ac:dyDescent="0.25">
      <c r="A2" s="20">
        <v>45698</v>
      </c>
      <c r="B2" vm="2">
        <v>9.33</v>
      </c>
    </row>
    <row r="3" spans="1:2" x14ac:dyDescent="0.25">
      <c r="A3" s="20">
        <v>45705</v>
      </c>
      <c r="B3" vm="5">
        <v>9.2899999999999991</v>
      </c>
    </row>
    <row r="4" spans="1:2" x14ac:dyDescent="0.25">
      <c r="A4" s="20">
        <v>45705</v>
      </c>
      <c r="B4" vm="8">
        <v>9.34</v>
      </c>
    </row>
    <row r="5" spans="1:2" x14ac:dyDescent="0.25">
      <c r="A5" s="20">
        <v>45705</v>
      </c>
      <c r="B5" vm="11">
        <v>9.39</v>
      </c>
    </row>
    <row r="6" spans="1:2" x14ac:dyDescent="0.25">
      <c r="A6" s="20">
        <v>45705</v>
      </c>
      <c r="B6" vm="14">
        <v>9.2799999999999994</v>
      </c>
    </row>
    <row r="7" spans="1:2" x14ac:dyDescent="0.25">
      <c r="A7" s="20">
        <v>45712</v>
      </c>
      <c r="B7" vm="17">
        <v>9.35</v>
      </c>
    </row>
    <row r="8" spans="1:2" x14ac:dyDescent="0.25">
      <c r="A8" s="20">
        <v>45712</v>
      </c>
      <c r="B8" vm="20">
        <v>9.42</v>
      </c>
    </row>
    <row r="9" spans="1:2" x14ac:dyDescent="0.25">
      <c r="A9" s="20">
        <v>45712</v>
      </c>
      <c r="B9" vm="23">
        <v>9.4700000000000006</v>
      </c>
    </row>
    <row r="10" spans="1:2" x14ac:dyDescent="0.25">
      <c r="A10" s="20">
        <v>45712</v>
      </c>
      <c r="B10" vm="5">
        <v>9.2899999999999991</v>
      </c>
    </row>
    <row r="11" spans="1:2" x14ac:dyDescent="0.25">
      <c r="A11" s="20">
        <v>45712</v>
      </c>
      <c r="B11" vm="28">
        <v>9.5500000000000007</v>
      </c>
    </row>
    <row r="12" spans="1:2" x14ac:dyDescent="0.25">
      <c r="A12" s="20">
        <v>45719</v>
      </c>
      <c r="B12" vm="11">
        <v>9.39</v>
      </c>
    </row>
    <row r="13" spans="1:2" x14ac:dyDescent="0.25">
      <c r="A13" s="20">
        <v>45719</v>
      </c>
      <c r="B13" vm="33">
        <v>9.1199999999999992</v>
      </c>
    </row>
    <row r="14" spans="1:2" x14ac:dyDescent="0.25">
      <c r="A14" s="20">
        <v>45719</v>
      </c>
      <c r="B14" vm="36">
        <v>9.65</v>
      </c>
    </row>
    <row r="15" spans="1:2" x14ac:dyDescent="0.25">
      <c r="A15" s="20">
        <v>45719</v>
      </c>
      <c r="B15" vm="39">
        <v>9.61</v>
      </c>
    </row>
    <row r="16" spans="1:2" x14ac:dyDescent="0.25">
      <c r="A16" s="20">
        <v>45719</v>
      </c>
      <c r="B16" vm="42">
        <v>9.9</v>
      </c>
    </row>
    <row r="17" spans="1:2" x14ac:dyDescent="0.25">
      <c r="A17" s="20">
        <v>45726</v>
      </c>
      <c r="B17" vm="45">
        <v>9.9600000000000009</v>
      </c>
    </row>
    <row r="18" spans="1:2" x14ac:dyDescent="0.25">
      <c r="A18" s="20">
        <v>45726</v>
      </c>
      <c r="B18" vm="48">
        <v>9.69</v>
      </c>
    </row>
    <row r="19" spans="1:2" x14ac:dyDescent="0.25">
      <c r="A19" s="20">
        <v>45726</v>
      </c>
      <c r="B19" vm="51">
        <v>9.59</v>
      </c>
    </row>
    <row r="20" spans="1:2" x14ac:dyDescent="0.25">
      <c r="A20" s="20">
        <v>45726</v>
      </c>
      <c r="B20" vm="54">
        <v>9.5299999999999994</v>
      </c>
    </row>
    <row r="21" spans="1:2" x14ac:dyDescent="0.25">
      <c r="A21" s="20">
        <v>45726</v>
      </c>
      <c r="B21" vm="57">
        <v>9.73</v>
      </c>
    </row>
    <row r="22" spans="1:2" x14ac:dyDescent="0.25">
      <c r="A22" s="20">
        <v>45733</v>
      </c>
      <c r="B22" vm="60">
        <v>9.92</v>
      </c>
    </row>
    <row r="23" spans="1:2" x14ac:dyDescent="0.25">
      <c r="A23" s="20">
        <v>45733</v>
      </c>
      <c r="B23" vm="63">
        <v>9.9499999999999993</v>
      </c>
    </row>
    <row r="24" spans="1:2" x14ac:dyDescent="0.25">
      <c r="A24" s="20">
        <v>45733</v>
      </c>
      <c r="B24" vm="66">
        <v>10.17</v>
      </c>
    </row>
    <row r="25" spans="1:2" x14ac:dyDescent="0.25">
      <c r="A25" s="20">
        <v>45733</v>
      </c>
      <c r="B25" vm="69">
        <v>10.01</v>
      </c>
    </row>
    <row r="26" spans="1:2" x14ac:dyDescent="0.25">
      <c r="A26" s="20">
        <v>45733</v>
      </c>
      <c r="B26" vm="72">
        <v>10</v>
      </c>
    </row>
    <row r="27" spans="1:2" x14ac:dyDescent="0.25">
      <c r="A27" s="20">
        <v>45740</v>
      </c>
      <c r="B27" vm="75">
        <v>10.25</v>
      </c>
    </row>
    <row r="28" spans="1:2" x14ac:dyDescent="0.25">
      <c r="A28" s="20">
        <v>45740</v>
      </c>
      <c r="B28" vm="78">
        <v>10.29</v>
      </c>
    </row>
    <row r="29" spans="1:2" x14ac:dyDescent="0.25">
      <c r="A29" s="20">
        <v>45740</v>
      </c>
      <c r="B29" vm="81">
        <v>10.3</v>
      </c>
    </row>
    <row r="30" spans="1:2" x14ac:dyDescent="0.25">
      <c r="A30" s="20">
        <v>45740</v>
      </c>
      <c r="B30" vm="42">
        <v>9.9</v>
      </c>
    </row>
    <row r="31" spans="1:2" x14ac:dyDescent="0.25">
      <c r="A31" s="20">
        <v>45740</v>
      </c>
      <c r="B31" vm="86">
        <v>9.7200000000000006</v>
      </c>
    </row>
    <row r="32" spans="1:2" x14ac:dyDescent="0.25">
      <c r="A32" s="20">
        <v>45747</v>
      </c>
      <c r="B32" vm="89">
        <v>10.029999999999999</v>
      </c>
    </row>
    <row r="33" spans="1:2" x14ac:dyDescent="0.25">
      <c r="A33" s="20">
        <v>45747</v>
      </c>
      <c r="B33" vm="92">
        <v>9.94</v>
      </c>
    </row>
    <row r="34" spans="1:2" x14ac:dyDescent="0.25">
      <c r="A34" s="20">
        <v>45747</v>
      </c>
      <c r="B34" vm="95">
        <v>10.15</v>
      </c>
    </row>
    <row r="35" spans="1:2" x14ac:dyDescent="0.25">
      <c r="A35" s="20">
        <v>45747</v>
      </c>
      <c r="B35" vm="98">
        <v>9.5399999999999991</v>
      </c>
    </row>
    <row r="36" spans="1:2" x14ac:dyDescent="0.25">
      <c r="A36" s="20">
        <v>45747</v>
      </c>
      <c r="B36" vm="101">
        <v>9.58</v>
      </c>
    </row>
    <row r="37" spans="1:2" x14ac:dyDescent="0.25">
      <c r="A37" s="20">
        <v>45754</v>
      </c>
      <c r="B37" vm="104">
        <v>9.24</v>
      </c>
    </row>
    <row r="38" spans="1:2" x14ac:dyDescent="0.25">
      <c r="A38" s="20">
        <v>45754</v>
      </c>
      <c r="B38" vm="107">
        <v>8.69</v>
      </c>
    </row>
    <row r="39" spans="1:2" x14ac:dyDescent="0.25">
      <c r="A39" s="20">
        <v>45754</v>
      </c>
      <c r="B39" vm="110">
        <v>9.5</v>
      </c>
    </row>
    <row r="40" spans="1:2" x14ac:dyDescent="0.25">
      <c r="A40" s="20">
        <v>45754</v>
      </c>
      <c r="B40" vm="113">
        <v>9.14</v>
      </c>
    </row>
    <row r="41" spans="1:2" x14ac:dyDescent="0.25">
      <c r="A41" s="20">
        <v>45754</v>
      </c>
      <c r="B41" vm="2">
        <v>9.33</v>
      </c>
    </row>
    <row r="42" spans="1:2" x14ac:dyDescent="0.25">
      <c r="A42" s="20">
        <v>45761</v>
      </c>
      <c r="B42" vm="118">
        <v>9.7100000000000009</v>
      </c>
    </row>
    <row r="43" spans="1:2" x14ac:dyDescent="0.25">
      <c r="A43" s="20">
        <v>45761</v>
      </c>
      <c r="B43" vm="121">
        <v>9.4499999999999993</v>
      </c>
    </row>
    <row r="44" spans="1:2" x14ac:dyDescent="0.25">
      <c r="A44" s="20">
        <v>45761</v>
      </c>
      <c r="B44" vm="124">
        <v>9.4</v>
      </c>
    </row>
    <row r="45" spans="1:2" x14ac:dyDescent="0.25">
      <c r="A45" s="20">
        <v>45761</v>
      </c>
      <c r="B45" vm="127">
        <v>9.6300000000000008</v>
      </c>
    </row>
    <row r="46" spans="1:2" x14ac:dyDescent="0.25">
      <c r="A46" s="20">
        <v>45768</v>
      </c>
      <c r="B46" vm="23">
        <v>9.4700000000000006</v>
      </c>
    </row>
    <row r="47" spans="1:2" x14ac:dyDescent="0.25">
      <c r="A47" s="20">
        <v>45768</v>
      </c>
      <c r="B47" vm="36">
        <v>9.65</v>
      </c>
    </row>
    <row r="48" spans="1:2" x14ac:dyDescent="0.25">
      <c r="A48" s="20">
        <v>45768</v>
      </c>
      <c r="B48" vm="134">
        <v>9.7799999999999994</v>
      </c>
    </row>
    <row r="49" spans="1:2" x14ac:dyDescent="0.25">
      <c r="A49" s="20">
        <v>45768</v>
      </c>
      <c r="B49" vm="137">
        <v>10.06</v>
      </c>
    </row>
    <row r="50" spans="1:2" x14ac:dyDescent="0.25">
      <c r="A50" s="20">
        <v>45768</v>
      </c>
      <c r="B50" vm="140">
        <v>10.039999999999999</v>
      </c>
    </row>
    <row r="51" spans="1:2" x14ac:dyDescent="0.25">
      <c r="A51" s="20">
        <v>45775</v>
      </c>
      <c r="B51" vm="143">
        <v>10.02</v>
      </c>
    </row>
    <row r="52" spans="1:2" x14ac:dyDescent="0.25">
      <c r="A52" s="20">
        <v>45775</v>
      </c>
      <c r="B52" vm="95">
        <v>10.15</v>
      </c>
    </row>
    <row r="53" spans="1:2" x14ac:dyDescent="0.25">
      <c r="A53" s="20">
        <v>45775</v>
      </c>
      <c r="B53" vm="69">
        <v>10.01</v>
      </c>
    </row>
    <row r="54" spans="1:2" x14ac:dyDescent="0.25">
      <c r="A54" s="20">
        <v>45775</v>
      </c>
      <c r="B54" vm="150">
        <v>10.18</v>
      </c>
    </row>
    <row r="55" spans="1:2" x14ac:dyDescent="0.25">
      <c r="A55" s="20">
        <v>45775</v>
      </c>
      <c r="B55" vm="153">
        <v>10.28</v>
      </c>
    </row>
    <row r="56" spans="1:2" x14ac:dyDescent="0.25">
      <c r="A56" s="20">
        <v>45782</v>
      </c>
      <c r="B56" vm="66">
        <v>10.17</v>
      </c>
    </row>
    <row r="57" spans="1:2" x14ac:dyDescent="0.25">
      <c r="A57" s="20">
        <v>45782</v>
      </c>
      <c r="B57" vm="158">
        <v>10.44</v>
      </c>
    </row>
    <row r="58" spans="1:2" x14ac:dyDescent="0.25">
      <c r="A58" s="20">
        <v>45782</v>
      </c>
      <c r="B58" vm="153">
        <v>10.28</v>
      </c>
    </row>
    <row r="59" spans="1:2" x14ac:dyDescent="0.25">
      <c r="A59" s="20">
        <v>45782</v>
      </c>
      <c r="B59" vm="153">
        <v>10.28</v>
      </c>
    </row>
    <row r="60" spans="1:2" x14ac:dyDescent="0.25">
      <c r="A60" s="20">
        <v>45782</v>
      </c>
      <c r="B60" vm="165">
        <v>10.43</v>
      </c>
    </row>
    <row r="61" spans="1:2" x14ac:dyDescent="0.25">
      <c r="A61" s="20">
        <v>45789</v>
      </c>
      <c r="B61" vm="168">
        <v>10.55</v>
      </c>
    </row>
    <row r="62" spans="1:2" x14ac:dyDescent="0.25">
      <c r="A62" s="20">
        <v>45789</v>
      </c>
      <c r="B62" vm="171">
        <v>10.6</v>
      </c>
    </row>
    <row r="63" spans="1:2" x14ac:dyDescent="0.25">
      <c r="A63" s="20">
        <v>45789</v>
      </c>
      <c r="B63" vm="174">
        <v>10.65</v>
      </c>
    </row>
    <row r="64" spans="1:2" x14ac:dyDescent="0.25">
      <c r="A64" s="20">
        <v>45789</v>
      </c>
      <c r="B64" vm="177">
        <v>10.75</v>
      </c>
    </row>
    <row r="65" spans="1:2" x14ac:dyDescent="0.25">
      <c r="A65" s="20">
        <v>45789</v>
      </c>
      <c r="B65" vm="180">
        <v>10.8</v>
      </c>
    </row>
    <row r="66" spans="1:2" x14ac:dyDescent="0.25">
      <c r="A66" s="20">
        <v>45796</v>
      </c>
      <c r="B66" vm="177">
        <v>10.75</v>
      </c>
    </row>
    <row r="67" spans="1:2" x14ac:dyDescent="0.25">
      <c r="A67" s="20">
        <v>45796</v>
      </c>
      <c r="B67" vm="185">
        <v>10.72</v>
      </c>
    </row>
    <row r="68" spans="1:2" x14ac:dyDescent="0.25">
      <c r="A68" s="20">
        <v>45796</v>
      </c>
      <c r="B68" vm="188">
        <v>10.48</v>
      </c>
    </row>
    <row r="69" spans="1:2" x14ac:dyDescent="0.25">
      <c r="A69" s="20">
        <v>45796</v>
      </c>
      <c r="B69" vm="158">
        <v>10.44</v>
      </c>
    </row>
    <row r="70" spans="1:2" x14ac:dyDescent="0.25">
      <c r="A70" s="20">
        <v>45796</v>
      </c>
      <c r="B70" vm="193">
        <v>10.36</v>
      </c>
    </row>
    <row r="71" spans="1:2" x14ac:dyDescent="0.25">
      <c r="A71" s="20">
        <v>45803</v>
      </c>
      <c r="B71" vm="196">
        <v>10.31</v>
      </c>
    </row>
    <row r="72" spans="1:2" x14ac:dyDescent="0.25">
      <c r="A72" s="20">
        <v>45803</v>
      </c>
      <c r="B72" vm="66">
        <v>10.17</v>
      </c>
    </row>
    <row r="73" spans="1:2" x14ac:dyDescent="0.25">
      <c r="A73" s="20">
        <v>45803</v>
      </c>
      <c r="B73" vm="201">
        <v>10.220000000000001</v>
      </c>
    </row>
    <row r="74" spans="1:2" x14ac:dyDescent="0.25">
      <c r="A74" s="20">
        <v>45803</v>
      </c>
      <c r="B74" vm="204">
        <v>10.38</v>
      </c>
    </row>
    <row r="75" spans="1:2" x14ac:dyDescent="0.25">
      <c r="A75" s="20">
        <v>45810</v>
      </c>
      <c r="B75" vm="207">
        <v>9.98</v>
      </c>
    </row>
    <row r="76" spans="1:2" x14ac:dyDescent="0.25">
      <c r="A76" s="20">
        <v>45810</v>
      </c>
      <c r="B76" vm="210">
        <v>10.19</v>
      </c>
    </row>
    <row r="77" spans="1:2" x14ac:dyDescent="0.25">
      <c r="A77" s="20">
        <v>45810</v>
      </c>
      <c r="B77" vm="213">
        <v>10.24</v>
      </c>
    </row>
    <row r="78" spans="1:2" x14ac:dyDescent="0.25">
      <c r="A78" s="20">
        <v>45810</v>
      </c>
      <c r="B78" vm="216">
        <v>10.1</v>
      </c>
    </row>
    <row r="79" spans="1:2" x14ac:dyDescent="0.25">
      <c r="A79" s="20">
        <v>45810</v>
      </c>
      <c r="B79" vm="219">
        <v>10.26</v>
      </c>
    </row>
    <row r="80" spans="1:2" x14ac:dyDescent="0.25">
      <c r="A80" s="20">
        <v>45817</v>
      </c>
      <c r="B80" vm="222">
        <v>10.34</v>
      </c>
    </row>
    <row r="81" spans="1:2" x14ac:dyDescent="0.25">
      <c r="A81" s="20">
        <v>45817</v>
      </c>
      <c r="B81" vm="171">
        <v>10.6</v>
      </c>
    </row>
    <row r="82" spans="1:2" x14ac:dyDescent="0.25">
      <c r="A82" s="20">
        <v>45817</v>
      </c>
      <c r="B82" vm="227">
        <v>10.66</v>
      </c>
    </row>
    <row r="83" spans="1:2" x14ac:dyDescent="0.25">
      <c r="A83" s="20">
        <v>45817</v>
      </c>
      <c r="B83" vm="230">
        <v>10.53</v>
      </c>
    </row>
    <row r="84" spans="1:2" x14ac:dyDescent="0.25">
      <c r="A84" s="20">
        <v>45817</v>
      </c>
      <c r="B84" vm="165">
        <v>10.43</v>
      </c>
    </row>
    <row r="85" spans="1:2" x14ac:dyDescent="0.25">
      <c r="A85" s="20">
        <v>45824</v>
      </c>
      <c r="B85" vm="235">
        <v>10.62</v>
      </c>
    </row>
    <row r="86" spans="1:2" x14ac:dyDescent="0.25">
      <c r="A86" s="20">
        <v>45824</v>
      </c>
      <c r="B86" vm="238">
        <v>10.42</v>
      </c>
    </row>
    <row r="87" spans="1:2" x14ac:dyDescent="0.25">
      <c r="A87" s="20">
        <v>45824</v>
      </c>
      <c r="B87" vm="165">
        <v>10.43</v>
      </c>
    </row>
    <row r="88" spans="1:2" x14ac:dyDescent="0.25">
      <c r="A88" s="20">
        <v>45824</v>
      </c>
      <c r="B88" vm="243">
        <v>10.59</v>
      </c>
    </row>
    <row r="89" spans="1:2" x14ac:dyDescent="0.25">
      <c r="A89" s="20">
        <v>45831</v>
      </c>
      <c r="B89" vm="177">
        <v>10.75</v>
      </c>
    </row>
    <row r="90" spans="1:2" x14ac:dyDescent="0.25">
      <c r="A90" s="20">
        <v>45831</v>
      </c>
      <c r="B90" vm="248">
        <v>10.73</v>
      </c>
    </row>
    <row r="91" spans="1:2" x14ac:dyDescent="0.25">
      <c r="A91" s="20">
        <v>45831</v>
      </c>
      <c r="B91" vm="188">
        <v>10.48</v>
      </c>
    </row>
    <row r="92" spans="1:2" x14ac:dyDescent="0.25">
      <c r="A92" s="20">
        <v>45831</v>
      </c>
      <c r="B92" vm="253">
        <v>10.63</v>
      </c>
    </row>
    <row r="93" spans="1:2" x14ac:dyDescent="0.25">
      <c r="A93" s="20">
        <v>45831</v>
      </c>
      <c r="B93" vm="180">
        <v>10.8</v>
      </c>
    </row>
    <row r="94" spans="1:2" x14ac:dyDescent="0.25">
      <c r="A94" s="20">
        <v>45838</v>
      </c>
      <c r="B94" vm="258">
        <v>10.85</v>
      </c>
    </row>
    <row r="95" spans="1:2" x14ac:dyDescent="0.25">
      <c r="A95" s="20">
        <v>45838</v>
      </c>
      <c r="B95" vm="261">
        <v>11.35</v>
      </c>
    </row>
    <row r="96" spans="1:2" x14ac:dyDescent="0.25">
      <c r="A96" s="20">
        <v>45838</v>
      </c>
      <c r="B96" vm="264">
        <v>11.77</v>
      </c>
    </row>
    <row r="97" spans="1:2" x14ac:dyDescent="0.25">
      <c r="A97" s="20">
        <v>45838</v>
      </c>
      <c r="B97" vm="267">
        <v>11.81</v>
      </c>
    </row>
    <row r="98" spans="1:2" x14ac:dyDescent="0.25">
      <c r="A98" s="20">
        <v>45845</v>
      </c>
      <c r="B98" vm="270">
        <v>11.59</v>
      </c>
    </row>
    <row r="99" spans="1:2" x14ac:dyDescent="0.25">
      <c r="A99" s="20">
        <v>45845</v>
      </c>
      <c r="B99" vm="273">
        <v>11.68</v>
      </c>
    </row>
    <row r="100" spans="1:2" x14ac:dyDescent="0.25">
      <c r="A100" s="20">
        <v>45845</v>
      </c>
      <c r="B100" vm="276">
        <v>11.83</v>
      </c>
    </row>
    <row r="101" spans="1:2" x14ac:dyDescent="0.25">
      <c r="A101" s="20">
        <v>45845</v>
      </c>
      <c r="B101" vm="279">
        <v>11.91</v>
      </c>
    </row>
    <row r="102" spans="1:2" x14ac:dyDescent="0.25">
      <c r="A102" s="20">
        <v>45845</v>
      </c>
      <c r="B102" vm="282">
        <v>11.78</v>
      </c>
    </row>
    <row r="103" spans="1:2" x14ac:dyDescent="0.25">
      <c r="A103" s="20">
        <v>45852</v>
      </c>
      <c r="B103" vm="285">
        <v>11.88</v>
      </c>
    </row>
    <row r="104" spans="1:2" x14ac:dyDescent="0.25">
      <c r="A104" s="20">
        <v>45852</v>
      </c>
      <c r="B104" vm="288">
        <v>11.57</v>
      </c>
    </row>
    <row r="105" spans="1:2" x14ac:dyDescent="0.25">
      <c r="A105" s="20">
        <v>45852</v>
      </c>
      <c r="B105" vm="291">
        <v>11.24</v>
      </c>
    </row>
    <row r="106" spans="1:2" x14ac:dyDescent="0.25">
      <c r="A106" s="20">
        <v>45852</v>
      </c>
      <c r="B106" vm="294">
        <v>11.15</v>
      </c>
    </row>
    <row r="107" spans="1:2" x14ac:dyDescent="0.25">
      <c r="A107" s="20">
        <v>45852</v>
      </c>
      <c r="B107" vm="297">
        <v>11.16</v>
      </c>
    </row>
    <row r="108" spans="1:2" x14ac:dyDescent="0.25">
      <c r="A108" s="20">
        <v>45859</v>
      </c>
      <c r="B108" vm="300">
        <v>11.31</v>
      </c>
    </row>
    <row r="109" spans="1:2" x14ac:dyDescent="0.25">
      <c r="A109" s="20">
        <v>45859</v>
      </c>
      <c r="B109" vm="303">
        <v>11.19</v>
      </c>
    </row>
    <row r="110" spans="1:2" x14ac:dyDescent="0.25">
      <c r="A110" s="20">
        <v>45859</v>
      </c>
      <c r="B110" vm="306">
        <v>11.38</v>
      </c>
    </row>
    <row r="111" spans="1:2" x14ac:dyDescent="0.25">
      <c r="A111" s="20">
        <v>45859</v>
      </c>
      <c r="B111" vm="309">
        <v>11.26</v>
      </c>
    </row>
    <row r="112" spans="1:2" x14ac:dyDescent="0.25">
      <c r="A112" s="20">
        <v>45859</v>
      </c>
      <c r="B112" vm="312">
        <v>11.47</v>
      </c>
    </row>
    <row r="113" spans="1:2" x14ac:dyDescent="0.25">
      <c r="A113" s="20">
        <v>45866</v>
      </c>
      <c r="B113" vm="315">
        <v>11.28</v>
      </c>
    </row>
    <row r="114" spans="1:2" x14ac:dyDescent="0.25">
      <c r="A114" s="20">
        <v>45866</v>
      </c>
      <c r="B114" vm="318">
        <v>11.08</v>
      </c>
    </row>
    <row r="115" spans="1:2" x14ac:dyDescent="0.25">
      <c r="A115" s="20">
        <v>45866</v>
      </c>
      <c r="B115" vm="321">
        <v>10.87</v>
      </c>
    </row>
    <row r="116" spans="1:2" x14ac:dyDescent="0.25">
      <c r="A116" s="20">
        <v>45866</v>
      </c>
      <c r="B116" vm="324">
        <v>11.07</v>
      </c>
    </row>
    <row r="117" spans="1:2" x14ac:dyDescent="0.25">
      <c r="A117" s="20">
        <v>45866</v>
      </c>
      <c r="B117" vm="327">
        <v>10.82</v>
      </c>
    </row>
    <row r="118" spans="1:2" x14ac:dyDescent="0.25">
      <c r="A118" s="20">
        <v>45873</v>
      </c>
      <c r="B118" vm="330">
        <v>10.95</v>
      </c>
    </row>
    <row r="119" spans="1:2" x14ac:dyDescent="0.25">
      <c r="A119" s="20">
        <v>45873</v>
      </c>
      <c r="B119" vm="333">
        <v>11.06</v>
      </c>
    </row>
    <row r="120" spans="1:2" x14ac:dyDescent="0.25">
      <c r="A120" s="20">
        <v>45873</v>
      </c>
      <c r="B120" vm="336">
        <v>11.21</v>
      </c>
    </row>
    <row r="121" spans="1:2" x14ac:dyDescent="0.25">
      <c r="A121" s="20">
        <v>45873</v>
      </c>
      <c r="B121" vm="315">
        <v>11.28</v>
      </c>
    </row>
    <row r="122" spans="1:2" x14ac:dyDescent="0.25">
      <c r="A122" s="20">
        <v>45873</v>
      </c>
      <c r="B122" vm="341">
        <v>11.32</v>
      </c>
    </row>
    <row r="123" spans="1:2" x14ac:dyDescent="0.25">
      <c r="A123" s="20">
        <v>45880</v>
      </c>
      <c r="B123" vm="344">
        <v>11.14</v>
      </c>
    </row>
    <row r="124" spans="1:2" x14ac:dyDescent="0.25">
      <c r="A124" s="20">
        <v>45880</v>
      </c>
      <c r="B124" vm="347">
        <v>11.25</v>
      </c>
    </row>
    <row r="125" spans="1:2" x14ac:dyDescent="0.25">
      <c r="A125" s="20">
        <v>45880</v>
      </c>
      <c r="B125" vm="350">
        <v>11.44</v>
      </c>
    </row>
    <row r="126" spans="1:2" x14ac:dyDescent="0.25">
      <c r="A126" s="20">
        <v>45880</v>
      </c>
      <c r="B126" vm="350">
        <v>11.44</v>
      </c>
    </row>
    <row r="127" spans="1:2" x14ac:dyDescent="0.25">
      <c r="A127" s="20">
        <v>45880</v>
      </c>
      <c r="B127" vm="350">
        <v>11.44</v>
      </c>
    </row>
    <row r="128" spans="1:2" x14ac:dyDescent="0.25">
      <c r="A128" s="20">
        <v>45887</v>
      </c>
      <c r="B128" vm="357">
        <v>11.46</v>
      </c>
    </row>
    <row r="129" spans="1:2" x14ac:dyDescent="0.25">
      <c r="A129" s="20">
        <v>45887</v>
      </c>
      <c r="B129" vm="360">
        <v>11.58</v>
      </c>
    </row>
    <row r="130" spans="1:2" x14ac:dyDescent="0.25">
      <c r="A130" s="20">
        <v>45887</v>
      </c>
      <c r="B130" vm="363">
        <v>11.49</v>
      </c>
    </row>
    <row r="131" spans="1:2" x14ac:dyDescent="0.25">
      <c r="A131" s="20">
        <v>45887</v>
      </c>
      <c r="B131" vm="366">
        <v>11.33</v>
      </c>
    </row>
    <row r="132" spans="1:2" x14ac:dyDescent="0.25">
      <c r="A132" s="20">
        <v>45887</v>
      </c>
      <c r="B132" vm="369">
        <v>11.74</v>
      </c>
    </row>
    <row r="133" spans="1:2" x14ac:dyDescent="0.25">
      <c r="A133" s="20">
        <v>45894</v>
      </c>
      <c r="B133" vm="372">
        <v>11.82</v>
      </c>
    </row>
    <row r="134" spans="1:2" x14ac:dyDescent="0.25">
      <c r="A134" s="20">
        <v>45894</v>
      </c>
      <c r="B134" vm="375">
        <v>11.84</v>
      </c>
    </row>
    <row r="135" spans="1:2" x14ac:dyDescent="0.25">
      <c r="A135" s="20">
        <v>45894</v>
      </c>
      <c r="B135" vm="279">
        <v>11.91</v>
      </c>
    </row>
    <row r="136" spans="1:2" x14ac:dyDescent="0.25">
      <c r="A136" s="20">
        <v>45894</v>
      </c>
      <c r="B136" vm="380">
        <v>11.71</v>
      </c>
    </row>
    <row r="137" spans="1:2" x14ac:dyDescent="0.25">
      <c r="A137" s="20">
        <v>45894</v>
      </c>
      <c r="B137" vm="264">
        <v>11.77</v>
      </c>
    </row>
    <row r="138" spans="1:2" x14ac:dyDescent="0.25">
      <c r="A138" s="20">
        <v>45901</v>
      </c>
      <c r="B138" vm="385">
        <v>11.72</v>
      </c>
    </row>
    <row r="139" spans="1:2" x14ac:dyDescent="0.25">
      <c r="A139" s="20">
        <v>45901</v>
      </c>
      <c r="B139" vm="388">
        <v>11.62</v>
      </c>
    </row>
    <row r="140" spans="1:2" x14ac:dyDescent="0.25">
      <c r="A140" s="20">
        <v>45901</v>
      </c>
      <c r="B140" vm="273">
        <v>11.68</v>
      </c>
    </row>
    <row r="141" spans="1:2" x14ac:dyDescent="0.25">
      <c r="A141" s="20">
        <v>45901</v>
      </c>
      <c r="B141" vm="369">
        <v>11.74</v>
      </c>
    </row>
    <row r="142" spans="1:2" x14ac:dyDescent="0.25">
      <c r="A142" s="20">
        <v>45908</v>
      </c>
      <c r="B142" vm="395">
        <v>11.69</v>
      </c>
    </row>
    <row r="143" spans="1:2" x14ac:dyDescent="0.25">
      <c r="A143" s="20">
        <v>45908</v>
      </c>
      <c r="B143" vm="363">
        <v>11.49</v>
      </c>
    </row>
    <row r="144" spans="1:2" x14ac:dyDescent="0.25">
      <c r="A144" s="20">
        <v>45908</v>
      </c>
      <c r="B144" vm="400">
        <v>11.42</v>
      </c>
    </row>
    <row r="145" spans="1:2" x14ac:dyDescent="0.25">
      <c r="A145" s="20">
        <v>45908</v>
      </c>
      <c r="B145" vm="403">
        <v>11.76</v>
      </c>
    </row>
    <row r="146" spans="1:2" x14ac:dyDescent="0.25">
      <c r="A146" s="20">
        <v>45908</v>
      </c>
      <c r="B146" vm="273">
        <v>11.68</v>
      </c>
    </row>
    <row r="147" spans="1:2" x14ac:dyDescent="0.25">
      <c r="A147" s="20">
        <v>45915</v>
      </c>
      <c r="B147" vm="273">
        <v>11.68</v>
      </c>
    </row>
    <row r="148" spans="1:2" x14ac:dyDescent="0.25">
      <c r="A148" s="20">
        <v>45915</v>
      </c>
      <c r="B148" vm="410">
        <v>11.61</v>
      </c>
    </row>
    <row r="149" spans="1:2" x14ac:dyDescent="0.25">
      <c r="A149" s="20">
        <v>45915</v>
      </c>
      <c r="B149" vm="413">
        <v>11.66</v>
      </c>
    </row>
    <row r="150" spans="1:2" x14ac:dyDescent="0.25">
      <c r="A150" s="20">
        <v>45915</v>
      </c>
      <c r="B150" vm="369">
        <v>11.74</v>
      </c>
    </row>
    <row r="151" spans="1:2" x14ac:dyDescent="0.25">
      <c r="A151" s="20">
        <v>45915</v>
      </c>
      <c r="B151" vm="388">
        <v>11.62</v>
      </c>
    </row>
    <row r="152" spans="1:2" x14ac:dyDescent="0.25">
      <c r="A152" s="20">
        <v>45922</v>
      </c>
      <c r="B152" vm="413">
        <v>11.66</v>
      </c>
    </row>
    <row r="153" spans="1:2" x14ac:dyDescent="0.25">
      <c r="A153" s="20">
        <v>45922</v>
      </c>
      <c r="B153" vm="422">
        <v>11.73</v>
      </c>
    </row>
    <row r="154" spans="1:2" x14ac:dyDescent="0.25">
      <c r="A154" s="20">
        <v>45922</v>
      </c>
      <c r="B154" vm="425">
        <v>11.63</v>
      </c>
    </row>
    <row r="155" spans="1:2" x14ac:dyDescent="0.25">
      <c r="A155" s="20">
        <v>45922</v>
      </c>
      <c r="B155" vm="388">
        <v>11.62</v>
      </c>
    </row>
    <row r="156" spans="1:2" x14ac:dyDescent="0.25">
      <c r="A156" s="20">
        <v>45922</v>
      </c>
      <c r="B156" vm="430">
        <v>12.01</v>
      </c>
    </row>
    <row r="157" spans="1:2" x14ac:dyDescent="0.25">
      <c r="A157" s="20">
        <v>45929</v>
      </c>
      <c r="B157" vm="433">
        <v>12.09</v>
      </c>
    </row>
    <row r="158" spans="1:2" x14ac:dyDescent="0.25">
      <c r="A158" s="20">
        <v>45929</v>
      </c>
      <c r="B158" vm="436">
        <v>11.96</v>
      </c>
    </row>
    <row r="159" spans="1:2" x14ac:dyDescent="0.25">
      <c r="A159" s="20">
        <v>45929</v>
      </c>
      <c r="B159" vm="439">
        <v>12.27</v>
      </c>
    </row>
    <row r="160" spans="1:2" x14ac:dyDescent="0.25">
      <c r="A160" s="20">
        <v>45929</v>
      </c>
      <c r="B160" vm="442">
        <v>12.22</v>
      </c>
    </row>
    <row r="161" spans="1:2" x14ac:dyDescent="0.25">
      <c r="A161" s="20">
        <v>45929</v>
      </c>
      <c r="B161" vm="445">
        <v>12.67</v>
      </c>
    </row>
    <row r="162" spans="1:2" x14ac:dyDescent="0.25">
      <c r="A162" s="20">
        <v>45936</v>
      </c>
      <c r="B162" vm="448">
        <v>12.7</v>
      </c>
    </row>
    <row r="163" spans="1:2" x14ac:dyDescent="0.25">
      <c r="A163" s="20">
        <v>45936</v>
      </c>
      <c r="B163" vm="451">
        <v>11.92</v>
      </c>
    </row>
    <row r="164" spans="1:2" x14ac:dyDescent="0.25">
      <c r="A164" s="20">
        <v>45936</v>
      </c>
      <c r="B164" vm="369">
        <v>11.74</v>
      </c>
    </row>
    <row r="165" spans="1:2" x14ac:dyDescent="0.25">
      <c r="A165" s="20">
        <v>45936</v>
      </c>
      <c r="B165" vm="456">
        <v>11.5</v>
      </c>
    </row>
    <row r="166" spans="1:2" x14ac:dyDescent="0.25">
      <c r="A166" s="20">
        <v>45936</v>
      </c>
      <c r="B166" vm="459">
        <v>11.41</v>
      </c>
    </row>
    <row r="167" spans="1:2" x14ac:dyDescent="0.25">
      <c r="A167" s="20">
        <v>45943</v>
      </c>
      <c r="B167" vm="462">
        <v>11.54</v>
      </c>
    </row>
    <row r="168" spans="1:2" x14ac:dyDescent="0.25">
      <c r="A168" s="20">
        <v>45943</v>
      </c>
      <c r="B168" vm="465">
        <v>11.65</v>
      </c>
    </row>
    <row r="169" spans="1:2" x14ac:dyDescent="0.25">
      <c r="A169" s="20">
        <v>45943</v>
      </c>
      <c r="B169" vm="403">
        <v>11.76</v>
      </c>
    </row>
    <row r="170" spans="1:2" x14ac:dyDescent="0.25">
      <c r="A170" s="20">
        <v>45943</v>
      </c>
      <c r="B170" vm="369">
        <v>11.74</v>
      </c>
    </row>
    <row r="171" spans="1:2" x14ac:dyDescent="0.25">
      <c r="A171" s="20">
        <v>45943</v>
      </c>
      <c r="B171" vm="451">
        <v>11.92</v>
      </c>
    </row>
    <row r="172" spans="1:2" x14ac:dyDescent="0.25">
      <c r="A172" s="20">
        <v>45950</v>
      </c>
      <c r="B172" vm="474">
        <v>11.99</v>
      </c>
    </row>
    <row r="173" spans="1:2" x14ac:dyDescent="0.25">
      <c r="A173" s="20">
        <v>45950</v>
      </c>
      <c r="B173" vm="477">
        <v>12.56</v>
      </c>
    </row>
    <row r="174" spans="1:2" x14ac:dyDescent="0.25">
      <c r="A174" s="20">
        <v>45950</v>
      </c>
      <c r="B174" vm="480">
        <v>12.43</v>
      </c>
    </row>
    <row r="175" spans="1:2" x14ac:dyDescent="0.25">
      <c r="A175" s="20">
        <v>45950</v>
      </c>
      <c r="B175" vm="483">
        <v>12.34</v>
      </c>
    </row>
    <row r="176" spans="1:2" x14ac:dyDescent="0.25">
      <c r="A176" s="20">
        <v>45950</v>
      </c>
      <c r="B176" vm="486">
        <v>13.84</v>
      </c>
    </row>
    <row r="177" spans="1:2" x14ac:dyDescent="0.25">
      <c r="A177" s="20">
        <v>45957</v>
      </c>
      <c r="B177" vm="489">
        <v>13.26</v>
      </c>
    </row>
    <row r="178" spans="1:2" x14ac:dyDescent="0.25">
      <c r="A178" s="20">
        <v>45957</v>
      </c>
      <c r="B178" vm="492">
        <v>13.13</v>
      </c>
    </row>
    <row r="179" spans="1:2" x14ac:dyDescent="0.25">
      <c r="A179" s="20">
        <v>45957</v>
      </c>
      <c r="B179" vm="495">
        <v>13.24</v>
      </c>
    </row>
    <row r="180" spans="1:2" x14ac:dyDescent="0.25">
      <c r="A180" s="20">
        <v>45957</v>
      </c>
      <c r="B180" vm="498">
        <v>13.06</v>
      </c>
    </row>
    <row r="181" spans="1:2" x14ac:dyDescent="0.25">
      <c r="A181" s="20">
        <v>45957</v>
      </c>
      <c r="B181" vm="492">
        <v>13.13</v>
      </c>
    </row>
    <row r="182" spans="1:2" x14ac:dyDescent="0.25">
      <c r="A182" s="20">
        <v>45964</v>
      </c>
      <c r="B182" vm="503">
        <v>13.01</v>
      </c>
    </row>
    <row r="183" spans="1:2" x14ac:dyDescent="0.25">
      <c r="A183" s="20">
        <v>45964</v>
      </c>
      <c r="B183" vm="506">
        <v>12.79</v>
      </c>
    </row>
    <row r="184" spans="1:2" x14ac:dyDescent="0.25">
      <c r="A184" s="20">
        <v>45964</v>
      </c>
      <c r="B184" vm="509">
        <v>13.11</v>
      </c>
    </row>
    <row r="185" spans="1:2" x14ac:dyDescent="0.25">
      <c r="A185" s="20">
        <v>45964</v>
      </c>
      <c r="B185" vm="512">
        <v>13.12</v>
      </c>
    </row>
    <row r="186" spans="1:2" x14ac:dyDescent="0.25">
      <c r="A186" s="20">
        <v>45964</v>
      </c>
      <c r="B186" vm="515">
        <v>13.21</v>
      </c>
    </row>
    <row r="187" spans="1:2" x14ac:dyDescent="0.25">
      <c r="A187" s="20">
        <v>45971</v>
      </c>
      <c r="B187" vm="518">
        <v>13.16</v>
      </c>
    </row>
    <row r="188" spans="1:2" x14ac:dyDescent="0.25">
      <c r="A188" s="20">
        <v>45971</v>
      </c>
      <c r="B188" vm="521">
        <v>13.3</v>
      </c>
    </row>
    <row r="189" spans="1:2" x14ac:dyDescent="0.25">
      <c r="A189" s="20">
        <v>45971</v>
      </c>
      <c r="B189" vm="524">
        <v>13.45</v>
      </c>
    </row>
    <row r="190" spans="1:2" x14ac:dyDescent="0.25">
      <c r="A190" s="20">
        <v>45971</v>
      </c>
      <c r="B190" vm="527">
        <v>13.28</v>
      </c>
    </row>
    <row r="191" spans="1:2" x14ac:dyDescent="0.25">
      <c r="A191" s="20">
        <v>45971</v>
      </c>
      <c r="B191" vm="530">
        <v>13.19</v>
      </c>
    </row>
    <row r="192" spans="1:2" x14ac:dyDescent="0.25">
      <c r="A192" s="20">
        <v>45978</v>
      </c>
      <c r="B192" vm="533">
        <v>12.88</v>
      </c>
    </row>
    <row r="193" spans="1:2" x14ac:dyDescent="0.25">
      <c r="A193" s="20">
        <v>45978</v>
      </c>
      <c r="B193" vm="536">
        <v>13.02</v>
      </c>
    </row>
    <row r="194" spans="1:2" x14ac:dyDescent="0.25">
      <c r="A194" s="20">
        <v>45978</v>
      </c>
      <c r="B194" vm="539">
        <v>12.9</v>
      </c>
    </row>
    <row r="195" spans="1:2" x14ac:dyDescent="0.25">
      <c r="A195" s="20">
        <v>45978</v>
      </c>
      <c r="B195" vm="542">
        <v>12.41</v>
      </c>
    </row>
    <row r="196" spans="1:2" x14ac:dyDescent="0.25">
      <c r="A196" s="20">
        <v>45978</v>
      </c>
      <c r="B196" vm="545">
        <v>12.83</v>
      </c>
    </row>
    <row r="197" spans="1:2" x14ac:dyDescent="0.25">
      <c r="A197" s="20">
        <v>45985</v>
      </c>
      <c r="B197" vm="548">
        <v>12.96</v>
      </c>
    </row>
    <row r="198" spans="1:2" x14ac:dyDescent="0.25">
      <c r="A198" s="20">
        <v>45985</v>
      </c>
      <c r="B198" vm="551">
        <v>13.17</v>
      </c>
    </row>
    <row r="199" spans="1:2" x14ac:dyDescent="0.25">
      <c r="A199" s="20">
        <v>45985</v>
      </c>
      <c r="B199" vm="530">
        <v>13.19</v>
      </c>
    </row>
    <row r="200" spans="1:2" x14ac:dyDescent="0.25">
      <c r="A200" s="20">
        <v>45985</v>
      </c>
      <c r="B200" vm="527">
        <v>13.28</v>
      </c>
    </row>
    <row r="201" spans="1:2" x14ac:dyDescent="0.25">
      <c r="A201" s="20">
        <v>45992</v>
      </c>
      <c r="B201" vm="518">
        <v>13.16</v>
      </c>
    </row>
    <row r="202" spans="1:2" x14ac:dyDescent="0.25">
      <c r="A202" s="20">
        <v>45992</v>
      </c>
      <c r="B202" vm="548">
        <v>12.96</v>
      </c>
    </row>
    <row r="203" spans="1:2" x14ac:dyDescent="0.25">
      <c r="A203" s="20">
        <v>45992</v>
      </c>
      <c r="B203" vm="562">
        <v>13.09</v>
      </c>
    </row>
    <row r="204" spans="1:2" x14ac:dyDescent="0.25">
      <c r="A204" s="20">
        <v>45992</v>
      </c>
      <c r="B204" vm="565">
        <v>13.14</v>
      </c>
    </row>
    <row r="205" spans="1:2" x14ac:dyDescent="0.25">
      <c r="A205" s="20">
        <v>45992</v>
      </c>
      <c r="B205" vm="568">
        <v>13.03</v>
      </c>
    </row>
    <row r="206" spans="1:2" x14ac:dyDescent="0.25">
      <c r="A206" s="20">
        <v>45999</v>
      </c>
      <c r="B206" vm="565">
        <v>13.14</v>
      </c>
    </row>
    <row r="207" spans="1:2" x14ac:dyDescent="0.25">
      <c r="A207" s="20">
        <v>45999</v>
      </c>
      <c r="B207" vm="573">
        <v>13.08</v>
      </c>
    </row>
    <row r="208" spans="1:2" x14ac:dyDescent="0.25">
      <c r="A208" s="20">
        <v>45999</v>
      </c>
      <c r="B208" vm="576">
        <v>13.41</v>
      </c>
    </row>
    <row r="209" spans="1:2" x14ac:dyDescent="0.25">
      <c r="A209" s="20">
        <v>45999</v>
      </c>
      <c r="B209" vm="579">
        <v>13.63</v>
      </c>
    </row>
    <row r="210" spans="1:2" x14ac:dyDescent="0.25">
      <c r="A210" s="20">
        <v>45999</v>
      </c>
      <c r="B210" vm="582">
        <v>13.76</v>
      </c>
    </row>
    <row r="211" spans="1:2" x14ac:dyDescent="0.25">
      <c r="A211" s="20">
        <v>46006</v>
      </c>
      <c r="B211" vm="585">
        <v>13.65</v>
      </c>
    </row>
    <row r="212" spans="1:2" x14ac:dyDescent="0.25">
      <c r="A212" s="20">
        <v>46006</v>
      </c>
      <c r="B212" vm="588">
        <v>13.67</v>
      </c>
    </row>
    <row r="213" spans="1:2" x14ac:dyDescent="0.25">
      <c r="A213" s="20">
        <v>46006</v>
      </c>
      <c r="B213" vm="591">
        <v>13.31</v>
      </c>
    </row>
    <row r="214" spans="1:2" x14ac:dyDescent="0.25">
      <c r="A214" s="20">
        <v>46006</v>
      </c>
      <c r="B214" vm="594">
        <v>13.32</v>
      </c>
    </row>
    <row r="215" spans="1:2" x14ac:dyDescent="0.25">
      <c r="A215" s="20">
        <v>46006</v>
      </c>
      <c r="B215" vm="597">
        <v>13.47</v>
      </c>
    </row>
    <row r="216" spans="1:2" x14ac:dyDescent="0.25">
      <c r="A216" s="20">
        <v>46013</v>
      </c>
      <c r="B216" vm="600">
        <v>13.46</v>
      </c>
    </row>
    <row r="217" spans="1:2" x14ac:dyDescent="0.25">
      <c r="A217" s="20">
        <v>46013</v>
      </c>
      <c r="B217" vm="603">
        <v>13.29</v>
      </c>
    </row>
    <row r="218" spans="1:2" x14ac:dyDescent="0.25">
      <c r="A218" s="20">
        <v>46013</v>
      </c>
      <c r="B218" vm="606">
        <v>13.36</v>
      </c>
    </row>
    <row r="219" spans="1:2" x14ac:dyDescent="0.25">
      <c r="A219" s="20">
        <v>46013</v>
      </c>
      <c r="B219" vm="591">
        <v>13.31</v>
      </c>
    </row>
    <row r="220" spans="1:2" x14ac:dyDescent="0.25">
      <c r="A220" s="20">
        <v>46020</v>
      </c>
      <c r="B220" vm="527">
        <v>13.28</v>
      </c>
    </row>
    <row r="221" spans="1:2" x14ac:dyDescent="0.25">
      <c r="A221" s="20">
        <v>46020</v>
      </c>
      <c r="B221" vm="613">
        <v>13.23</v>
      </c>
    </row>
    <row r="222" spans="1:2" x14ac:dyDescent="0.25">
      <c r="A222" s="20">
        <v>46020</v>
      </c>
      <c r="B222" vm="512">
        <v>13.12</v>
      </c>
    </row>
    <row r="223" spans="1:2" x14ac:dyDescent="0.25">
      <c r="A223" s="20">
        <v>46020</v>
      </c>
      <c r="B223" vm="618">
        <v>13.34</v>
      </c>
    </row>
    <row r="224" spans="1:2" x14ac:dyDescent="0.25">
      <c r="A224" s="20">
        <v>46027</v>
      </c>
      <c r="B224" vm="597">
        <v>13.47</v>
      </c>
    </row>
    <row r="225" spans="1:2" x14ac:dyDescent="0.25">
      <c r="A225" s="20">
        <v>46027</v>
      </c>
      <c r="B225" vm="623">
        <v>13.8</v>
      </c>
    </row>
    <row r="226" spans="1:2" x14ac:dyDescent="0.25">
      <c r="A226" s="20">
        <v>46027</v>
      </c>
      <c r="B226" vm="626">
        <v>13.74</v>
      </c>
    </row>
    <row r="227" spans="1:2" x14ac:dyDescent="0.25">
      <c r="A227" s="20">
        <v>46027</v>
      </c>
      <c r="B227" vm="629">
        <v>14.4</v>
      </c>
    </row>
    <row r="228" spans="1:2" x14ac:dyDescent="0.25">
      <c r="A228" s="20">
        <v>46027</v>
      </c>
      <c r="B228" vm="632">
        <v>14.2</v>
      </c>
    </row>
    <row r="229" spans="1:2" x14ac:dyDescent="0.25">
      <c r="A229" s="20">
        <v>46034</v>
      </c>
      <c r="B229" vm="635">
        <v>14.03</v>
      </c>
    </row>
    <row r="230" spans="1:2" x14ac:dyDescent="0.25">
      <c r="A230" s="20">
        <v>46034</v>
      </c>
      <c r="B230" vm="638">
        <v>13.98</v>
      </c>
    </row>
    <row r="231" spans="1:2" x14ac:dyDescent="0.25">
      <c r="A231" s="20">
        <v>46034</v>
      </c>
      <c r="B231" vm="486">
        <v>13.84</v>
      </c>
    </row>
    <row r="232" spans="1:2" x14ac:dyDescent="0.25">
      <c r="A232" s="20">
        <v>46034</v>
      </c>
      <c r="B232" vm="643">
        <v>13.81</v>
      </c>
    </row>
    <row r="233" spans="1:2" x14ac:dyDescent="0.25">
      <c r="A233" s="20">
        <v>46034</v>
      </c>
      <c r="B233" vm="646">
        <v>13.6</v>
      </c>
    </row>
    <row r="234" spans="1:2" x14ac:dyDescent="0.25">
      <c r="A234" s="20">
        <v>46041</v>
      </c>
      <c r="B234" vm="527">
        <v>13.28</v>
      </c>
    </row>
    <row r="235" spans="1:2" x14ac:dyDescent="0.25">
      <c r="A235" s="20">
        <v>46041</v>
      </c>
      <c r="B235" vm="651">
        <v>13.77</v>
      </c>
    </row>
    <row r="236" spans="1:2" x14ac:dyDescent="0.25">
      <c r="A236" s="20">
        <v>46041</v>
      </c>
      <c r="B236" vm="654">
        <v>13.71</v>
      </c>
    </row>
    <row r="237" spans="1:2" x14ac:dyDescent="0.25">
      <c r="A237" s="20">
        <v>46041</v>
      </c>
      <c r="B237" vm="657">
        <v>13.56</v>
      </c>
    </row>
    <row r="238" spans="1:2" x14ac:dyDescent="0.25">
      <c r="A238" s="20">
        <v>46048</v>
      </c>
      <c r="B238" vm="660">
        <v>13.44</v>
      </c>
    </row>
    <row r="239" spans="1:2" x14ac:dyDescent="0.25">
      <c r="A239" s="20">
        <v>46048</v>
      </c>
      <c r="B239" vm="663">
        <v>13.93</v>
      </c>
    </row>
    <row r="240" spans="1:2" x14ac:dyDescent="0.25">
      <c r="A240" s="20">
        <v>46048</v>
      </c>
      <c r="B240" vm="666">
        <v>13.82</v>
      </c>
    </row>
    <row r="241" spans="1:2" x14ac:dyDescent="0.25">
      <c r="A241" s="20">
        <v>46048</v>
      </c>
      <c r="B241" vm="669">
        <v>14</v>
      </c>
    </row>
    <row r="242" spans="1:2" x14ac:dyDescent="0.25">
      <c r="A242" s="20">
        <v>46048</v>
      </c>
      <c r="B242" vm="672">
        <v>13.88</v>
      </c>
    </row>
    <row r="243" spans="1:2" x14ac:dyDescent="0.25">
      <c r="A243" s="20">
        <v>46055</v>
      </c>
      <c r="B243" vm="643">
        <v>13.81</v>
      </c>
    </row>
    <row r="244" spans="1:2" x14ac:dyDescent="0.25">
      <c r="A244" s="20">
        <v>46055</v>
      </c>
      <c r="B244" vm="677">
        <v>13.73</v>
      </c>
    </row>
    <row r="245" spans="1:2" x14ac:dyDescent="0.25">
      <c r="A245" s="20">
        <v>46055</v>
      </c>
      <c r="B245" vm="666">
        <v>13.82</v>
      </c>
    </row>
    <row r="246" spans="1:2" x14ac:dyDescent="0.25">
      <c r="A246" s="20">
        <v>46055</v>
      </c>
      <c r="B246" vm="682">
        <v>13.72</v>
      </c>
    </row>
    <row r="247" spans="1:2" x14ac:dyDescent="0.25">
      <c r="A247" s="20">
        <v>46055</v>
      </c>
      <c r="B247" vm="623">
        <v>13.8</v>
      </c>
    </row>
    <row r="248" spans="1:2" x14ac:dyDescent="0.25">
      <c r="A248" s="20">
        <v>46062</v>
      </c>
      <c r="B248" vm="687">
        <v>13.59</v>
      </c>
    </row>
    <row r="249" spans="1:2" x14ac:dyDescent="0.25">
      <c r="A249" s="20">
        <v>46062</v>
      </c>
      <c r="B249" vm="690">
        <v>13.57</v>
      </c>
    </row>
    <row r="250" spans="1:2" x14ac:dyDescent="0.25">
      <c r="A250" s="20">
        <v>46062</v>
      </c>
      <c r="B250" vm="693">
        <v>13.85</v>
      </c>
    </row>
    <row r="251" spans="1:2" x14ac:dyDescent="0.25">
      <c r="A251" s="20">
        <v>46062</v>
      </c>
      <c r="B251" vm="669">
        <v>14</v>
      </c>
    </row>
    <row r="252" spans="1:2" x14ac:dyDescent="0.25">
      <c r="A252" s="20">
        <v>46062</v>
      </c>
      <c r="B252" vm="698">
        <v>14.12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0C5B-AB24-4456-B8D7-DED79383BDEE}">
  <dimension ref="A1:F120"/>
  <sheetViews>
    <sheetView workbookViewId="0">
      <selection sqref="A1:F1048576"/>
    </sheetView>
  </sheetViews>
  <sheetFormatPr defaultRowHeight="15" x14ac:dyDescent="0.25"/>
  <cols>
    <col min="1" max="1" width="10.42578125" style="20" bestFit="1" customWidth="1"/>
    <col min="2" max="2" width="10.42578125" bestFit="1" customWidth="1"/>
    <col min="3" max="3" width="13.5703125" bestFit="1" customWidth="1"/>
    <col min="4" max="4" width="15.5703125" bestFit="1" customWidth="1"/>
    <col min="5" max="5" width="16.140625" bestFit="1" customWidth="1"/>
  </cols>
  <sheetData>
    <row r="1" spans="1:6" x14ac:dyDescent="0.25">
      <c r="A1" s="20" t="s">
        <v>45</v>
      </c>
      <c r="B1" t="s">
        <v>46</v>
      </c>
      <c r="C1" s="25" t="s">
        <v>51</v>
      </c>
      <c r="D1" t="s">
        <v>47</v>
      </c>
      <c r="E1" t="s">
        <v>48</v>
      </c>
      <c r="F1" t="s">
        <v>52</v>
      </c>
    </row>
    <row r="2" spans="1:6" x14ac:dyDescent="0.25">
      <c r="A2" s="20">
        <v>45292</v>
      </c>
      <c r="B2">
        <v>11.6625</v>
      </c>
    </row>
    <row r="3" spans="1:6" x14ac:dyDescent="0.25">
      <c r="A3" s="20">
        <v>45299</v>
      </c>
      <c r="B3">
        <v>11.575899999999999</v>
      </c>
    </row>
    <row r="4" spans="1:6" x14ac:dyDescent="0.25">
      <c r="A4" s="20">
        <v>45306</v>
      </c>
      <c r="B4">
        <v>11.052325</v>
      </c>
    </row>
    <row r="5" spans="1:6" x14ac:dyDescent="0.25">
      <c r="A5" s="20">
        <v>45313</v>
      </c>
      <c r="B5">
        <v>11.087759999999999</v>
      </c>
    </row>
    <row r="6" spans="1:6" x14ac:dyDescent="0.25">
      <c r="A6" s="20">
        <v>45320</v>
      </c>
      <c r="B6">
        <v>11.670400000000001</v>
      </c>
    </row>
    <row r="7" spans="1:6" x14ac:dyDescent="0.25">
      <c r="A7" s="20">
        <v>45327</v>
      </c>
      <c r="B7">
        <v>12.19792</v>
      </c>
    </row>
    <row r="8" spans="1:6" x14ac:dyDescent="0.25">
      <c r="A8" s="20">
        <v>45334</v>
      </c>
      <c r="B8">
        <v>12.40854</v>
      </c>
    </row>
    <row r="9" spans="1:6" x14ac:dyDescent="0.25">
      <c r="A9" s="20">
        <v>45341</v>
      </c>
      <c r="B9">
        <v>11.970075000000001</v>
      </c>
    </row>
    <row r="10" spans="1:6" x14ac:dyDescent="0.25">
      <c r="A10" s="20">
        <v>45348</v>
      </c>
      <c r="B10">
        <v>12.034559999999999</v>
      </c>
    </row>
    <row r="11" spans="1:6" x14ac:dyDescent="0.25">
      <c r="A11" s="20">
        <v>45355</v>
      </c>
      <c r="B11">
        <v>12.26092</v>
      </c>
    </row>
    <row r="12" spans="1:6" x14ac:dyDescent="0.25">
      <c r="A12" s="20">
        <v>45362</v>
      </c>
      <c r="B12">
        <v>11.95384</v>
      </c>
    </row>
    <row r="13" spans="1:6" x14ac:dyDescent="0.25">
      <c r="A13" s="20">
        <v>45369</v>
      </c>
      <c r="B13">
        <v>12.442</v>
      </c>
    </row>
    <row r="14" spans="1:6" x14ac:dyDescent="0.25">
      <c r="A14" s="20">
        <v>45376</v>
      </c>
      <c r="B14">
        <v>12.7156</v>
      </c>
    </row>
    <row r="15" spans="1:6" x14ac:dyDescent="0.25">
      <c r="A15" s="20">
        <v>45383</v>
      </c>
      <c r="B15">
        <v>13.130940000000001</v>
      </c>
    </row>
    <row r="16" spans="1:6" x14ac:dyDescent="0.25">
      <c r="A16" s="20">
        <v>45390</v>
      </c>
      <c r="B16">
        <v>12.92426</v>
      </c>
    </row>
    <row r="17" spans="1:2" x14ac:dyDescent="0.25">
      <c r="A17" s="20">
        <v>45397</v>
      </c>
      <c r="B17">
        <v>11.920360000000001</v>
      </c>
    </row>
    <row r="18" spans="1:2" x14ac:dyDescent="0.25">
      <c r="A18" s="20">
        <v>45404</v>
      </c>
      <c r="B18">
        <v>12.7156</v>
      </c>
    </row>
    <row r="19" spans="1:2" x14ac:dyDescent="0.25">
      <c r="A19" s="20">
        <v>45411</v>
      </c>
      <c r="B19">
        <v>12.20778</v>
      </c>
    </row>
    <row r="20" spans="1:2" x14ac:dyDescent="0.25">
      <c r="A20" s="20">
        <v>45418</v>
      </c>
      <c r="B20">
        <v>11.995200000000001</v>
      </c>
    </row>
    <row r="21" spans="1:2" x14ac:dyDescent="0.25">
      <c r="A21" s="20">
        <v>45425</v>
      </c>
      <c r="B21">
        <v>12.15264</v>
      </c>
    </row>
    <row r="22" spans="1:2" x14ac:dyDescent="0.25">
      <c r="A22" s="20">
        <v>45432</v>
      </c>
      <c r="B22">
        <v>11.92826</v>
      </c>
    </row>
    <row r="23" spans="1:2" x14ac:dyDescent="0.25">
      <c r="A23" s="20">
        <v>45439</v>
      </c>
      <c r="B23">
        <v>11.598549999999999</v>
      </c>
    </row>
    <row r="24" spans="1:2" x14ac:dyDescent="0.25">
      <c r="A24" s="20">
        <v>45446</v>
      </c>
      <c r="B24">
        <v>11.91058</v>
      </c>
    </row>
    <row r="25" spans="1:2" x14ac:dyDescent="0.25">
      <c r="A25" s="20">
        <v>45453</v>
      </c>
      <c r="B25">
        <v>11.853439999999999</v>
      </c>
    </row>
    <row r="26" spans="1:2" x14ac:dyDescent="0.25">
      <c r="A26" s="20">
        <v>45460</v>
      </c>
      <c r="B26">
        <v>11.664975</v>
      </c>
    </row>
    <row r="27" spans="1:2" x14ac:dyDescent="0.25">
      <c r="A27" s="20">
        <v>45467</v>
      </c>
      <c r="B27">
        <v>12.046340000000001</v>
      </c>
    </row>
    <row r="28" spans="1:2" x14ac:dyDescent="0.25">
      <c r="A28" s="20">
        <v>45474</v>
      </c>
      <c r="B28">
        <v>12.63195</v>
      </c>
    </row>
    <row r="29" spans="1:2" x14ac:dyDescent="0.25">
      <c r="A29" s="20">
        <v>45481</v>
      </c>
      <c r="B29">
        <v>13.09944</v>
      </c>
    </row>
    <row r="30" spans="1:2" x14ac:dyDescent="0.25">
      <c r="A30" s="20">
        <v>45488</v>
      </c>
      <c r="B30">
        <v>14.099360000000001</v>
      </c>
    </row>
    <row r="31" spans="1:2" x14ac:dyDescent="0.25">
      <c r="A31" s="20">
        <v>45495</v>
      </c>
      <c r="B31">
        <v>12.59158</v>
      </c>
    </row>
    <row r="32" spans="1:2" x14ac:dyDescent="0.25">
      <c r="A32" s="20">
        <v>45502</v>
      </c>
      <c r="B32">
        <v>10.50906</v>
      </c>
    </row>
    <row r="33" spans="1:2" x14ac:dyDescent="0.25">
      <c r="A33" s="20">
        <v>45509</v>
      </c>
      <c r="B33">
        <v>9.7414000000000005</v>
      </c>
    </row>
    <row r="34" spans="1:2" x14ac:dyDescent="0.25">
      <c r="A34" s="20">
        <v>45516</v>
      </c>
      <c r="B34">
        <v>10.068160000000001</v>
      </c>
    </row>
    <row r="35" spans="1:2" x14ac:dyDescent="0.25">
      <c r="A35" s="20">
        <v>45523</v>
      </c>
      <c r="B35">
        <v>10.71574</v>
      </c>
    </row>
    <row r="36" spans="1:2" x14ac:dyDescent="0.25">
      <c r="A36" s="20">
        <v>45530</v>
      </c>
      <c r="B36">
        <v>10.9421</v>
      </c>
    </row>
    <row r="37" spans="1:2" x14ac:dyDescent="0.25">
      <c r="A37" s="20">
        <v>45537</v>
      </c>
      <c r="B37">
        <v>10.648825</v>
      </c>
    </row>
    <row r="38" spans="1:2" x14ac:dyDescent="0.25">
      <c r="A38" s="20">
        <v>45544</v>
      </c>
      <c r="B38">
        <v>10.38114</v>
      </c>
    </row>
    <row r="39" spans="1:2" x14ac:dyDescent="0.25">
      <c r="A39" s="20">
        <v>45551</v>
      </c>
      <c r="B39">
        <v>10.72362</v>
      </c>
    </row>
    <row r="40" spans="1:2" x14ac:dyDescent="0.25">
      <c r="A40" s="20">
        <v>45558</v>
      </c>
      <c r="B40">
        <v>10.56222</v>
      </c>
    </row>
    <row r="41" spans="1:2" x14ac:dyDescent="0.25">
      <c r="A41" s="20">
        <v>45565</v>
      </c>
      <c r="B41">
        <v>10.3949</v>
      </c>
    </row>
    <row r="42" spans="1:2" x14ac:dyDescent="0.25">
      <c r="A42" s="20">
        <v>45572</v>
      </c>
      <c r="B42">
        <v>10.43228</v>
      </c>
    </row>
    <row r="43" spans="1:2" x14ac:dyDescent="0.25">
      <c r="A43" s="20">
        <v>45579</v>
      </c>
      <c r="B43">
        <v>10.818099999999999</v>
      </c>
    </row>
    <row r="44" spans="1:2" x14ac:dyDescent="0.25">
      <c r="A44" s="20">
        <v>45586</v>
      </c>
      <c r="B44">
        <v>10.896840000000001</v>
      </c>
    </row>
    <row r="45" spans="1:2" x14ac:dyDescent="0.25">
      <c r="A45" s="20">
        <v>45593</v>
      </c>
      <c r="B45">
        <v>10.385059999999999</v>
      </c>
    </row>
    <row r="46" spans="1:2" x14ac:dyDescent="0.25">
      <c r="A46" s="20">
        <v>45600</v>
      </c>
      <c r="B46">
        <v>10.6449</v>
      </c>
    </row>
    <row r="47" spans="1:2" x14ac:dyDescent="0.25">
      <c r="A47" s="20">
        <v>45607</v>
      </c>
      <c r="B47">
        <v>10.926360000000001</v>
      </c>
    </row>
    <row r="48" spans="1:2" x14ac:dyDescent="0.25">
      <c r="A48" s="20">
        <v>45614</v>
      </c>
      <c r="B48">
        <v>10.820079999999999</v>
      </c>
    </row>
    <row r="49" spans="1:2" x14ac:dyDescent="0.25">
      <c r="A49" s="20">
        <v>45621</v>
      </c>
      <c r="B49">
        <v>11.005600000000001</v>
      </c>
    </row>
    <row r="50" spans="1:2" x14ac:dyDescent="0.25">
      <c r="A50" s="20">
        <v>45628</v>
      </c>
      <c r="B50">
        <v>10.528740000000001</v>
      </c>
    </row>
    <row r="51" spans="1:2" x14ac:dyDescent="0.25">
      <c r="A51" s="20">
        <v>45635</v>
      </c>
      <c r="B51">
        <v>10.30434</v>
      </c>
    </row>
    <row r="52" spans="1:2" x14ac:dyDescent="0.25">
      <c r="A52" s="20">
        <v>45642</v>
      </c>
      <c r="B52">
        <v>9.6981199999999994</v>
      </c>
    </row>
    <row r="53" spans="1:2" x14ac:dyDescent="0.25">
      <c r="A53" s="20">
        <v>45649</v>
      </c>
      <c r="B53">
        <v>9.8467249999999993</v>
      </c>
    </row>
    <row r="54" spans="1:2" x14ac:dyDescent="0.25">
      <c r="A54" s="20">
        <v>45656</v>
      </c>
      <c r="B54">
        <v>9.6720249999999997</v>
      </c>
    </row>
    <row r="55" spans="1:2" x14ac:dyDescent="0.25">
      <c r="A55" s="20">
        <v>45663</v>
      </c>
      <c r="B55">
        <v>9.6129750000000005</v>
      </c>
    </row>
    <row r="56" spans="1:2" x14ac:dyDescent="0.25">
      <c r="A56" s="20">
        <v>45670</v>
      </c>
      <c r="B56">
        <v>9.7689799999999991</v>
      </c>
    </row>
    <row r="57" spans="1:2" x14ac:dyDescent="0.25">
      <c r="A57" s="20">
        <v>45677</v>
      </c>
      <c r="B57">
        <v>10.023875</v>
      </c>
    </row>
    <row r="58" spans="1:2" x14ac:dyDescent="0.25">
      <c r="A58" s="20">
        <v>45684</v>
      </c>
      <c r="B58">
        <v>10.02092</v>
      </c>
    </row>
    <row r="59" spans="1:2" x14ac:dyDescent="0.25">
      <c r="A59" s="20">
        <v>45691</v>
      </c>
      <c r="B59">
        <v>9.5583399999999994</v>
      </c>
    </row>
    <row r="60" spans="1:2" x14ac:dyDescent="0.25">
      <c r="A60" s="20">
        <v>45698</v>
      </c>
      <c r="B60">
        <v>9.1548400000000001</v>
      </c>
    </row>
    <row r="61" spans="1:2" x14ac:dyDescent="0.25">
      <c r="A61" s="20">
        <v>45705</v>
      </c>
      <c r="B61">
        <v>9.3249999999999993</v>
      </c>
    </row>
    <row r="62" spans="1:2" x14ac:dyDescent="0.25">
      <c r="A62" s="20">
        <v>45712</v>
      </c>
      <c r="B62">
        <v>9.4160000000000004</v>
      </c>
    </row>
    <row r="63" spans="1:2" x14ac:dyDescent="0.25">
      <c r="A63" s="20">
        <v>45719</v>
      </c>
      <c r="B63">
        <v>9.5340000000000007</v>
      </c>
    </row>
    <row r="64" spans="1:2" x14ac:dyDescent="0.25">
      <c r="A64" s="20">
        <v>45726</v>
      </c>
      <c r="B64">
        <v>9.6999999999999993</v>
      </c>
    </row>
    <row r="65" spans="1:2" x14ac:dyDescent="0.25">
      <c r="A65" s="20">
        <v>45733</v>
      </c>
      <c r="B65">
        <v>10.01</v>
      </c>
    </row>
    <row r="66" spans="1:2" x14ac:dyDescent="0.25">
      <c r="A66" s="20">
        <v>45740</v>
      </c>
      <c r="B66">
        <v>10.092000000000001</v>
      </c>
    </row>
    <row r="67" spans="1:2" x14ac:dyDescent="0.25">
      <c r="A67" s="20">
        <v>45747</v>
      </c>
      <c r="B67">
        <v>9.847999999999999</v>
      </c>
    </row>
    <row r="68" spans="1:2" x14ac:dyDescent="0.25">
      <c r="A68" s="20">
        <v>45754</v>
      </c>
      <c r="B68">
        <v>9.18</v>
      </c>
    </row>
    <row r="69" spans="1:2" x14ac:dyDescent="0.25">
      <c r="A69" s="20">
        <v>45761</v>
      </c>
      <c r="B69">
        <v>9.5474999999999994</v>
      </c>
    </row>
    <row r="70" spans="1:2" x14ac:dyDescent="0.25">
      <c r="A70" s="20">
        <v>45768</v>
      </c>
      <c r="B70">
        <v>9.8000000000000007</v>
      </c>
    </row>
    <row r="71" spans="1:2" x14ac:dyDescent="0.25">
      <c r="A71" s="20">
        <v>45775</v>
      </c>
      <c r="B71">
        <v>10.128</v>
      </c>
    </row>
    <row r="72" spans="1:2" x14ac:dyDescent="0.25">
      <c r="A72" s="20">
        <v>45782</v>
      </c>
      <c r="B72">
        <v>10.32</v>
      </c>
    </row>
    <row r="73" spans="1:2" x14ac:dyDescent="0.25">
      <c r="A73" s="20">
        <v>45789</v>
      </c>
      <c r="B73">
        <v>10.67</v>
      </c>
    </row>
    <row r="74" spans="1:2" x14ac:dyDescent="0.25">
      <c r="A74" s="20">
        <v>45796</v>
      </c>
      <c r="B74">
        <v>10.55</v>
      </c>
    </row>
    <row r="75" spans="1:2" x14ac:dyDescent="0.25">
      <c r="A75" s="20">
        <v>45803</v>
      </c>
      <c r="B75">
        <v>10.27</v>
      </c>
    </row>
    <row r="76" spans="1:2" x14ac:dyDescent="0.25">
      <c r="A76" s="20">
        <v>45810</v>
      </c>
      <c r="B76">
        <v>10.154</v>
      </c>
    </row>
    <row r="77" spans="1:2" x14ac:dyDescent="0.25">
      <c r="A77" s="20">
        <v>45817</v>
      </c>
      <c r="B77">
        <v>10.512</v>
      </c>
    </row>
    <row r="78" spans="1:2" x14ac:dyDescent="0.25">
      <c r="A78" s="20">
        <v>45824</v>
      </c>
      <c r="B78">
        <v>10.515000000000001</v>
      </c>
    </row>
    <row r="79" spans="1:2" x14ac:dyDescent="0.25">
      <c r="A79" s="20">
        <v>45831</v>
      </c>
      <c r="B79">
        <v>10.678000000000001</v>
      </c>
    </row>
    <row r="80" spans="1:2" x14ac:dyDescent="0.25">
      <c r="A80" s="20">
        <v>45838</v>
      </c>
      <c r="B80">
        <v>11.445</v>
      </c>
    </row>
    <row r="81" spans="1:2" x14ac:dyDescent="0.25">
      <c r="A81" s="20">
        <v>45845</v>
      </c>
      <c r="B81">
        <v>11.757999999999999</v>
      </c>
    </row>
    <row r="82" spans="1:2" x14ac:dyDescent="0.25">
      <c r="A82" s="20">
        <v>45852</v>
      </c>
      <c r="B82">
        <v>11.4</v>
      </c>
    </row>
    <row r="83" spans="1:2" x14ac:dyDescent="0.25">
      <c r="A83" s="20">
        <v>45859</v>
      </c>
      <c r="B83">
        <v>11.322000000000001</v>
      </c>
    </row>
    <row r="84" spans="1:2" x14ac:dyDescent="0.25">
      <c r="A84" s="20">
        <v>45866</v>
      </c>
      <c r="B84">
        <v>11.023999999999999</v>
      </c>
    </row>
    <row r="85" spans="1:2" x14ac:dyDescent="0.25">
      <c r="A85" s="20">
        <v>45873</v>
      </c>
      <c r="B85">
        <v>11.164</v>
      </c>
    </row>
    <row r="86" spans="1:2" x14ac:dyDescent="0.25">
      <c r="A86" s="20">
        <v>45880</v>
      </c>
      <c r="B86">
        <v>11.342000000000001</v>
      </c>
    </row>
    <row r="87" spans="1:2" x14ac:dyDescent="0.25">
      <c r="A87" s="20">
        <v>45887</v>
      </c>
      <c r="B87">
        <v>11.52</v>
      </c>
    </row>
    <row r="88" spans="1:2" x14ac:dyDescent="0.25">
      <c r="A88" s="20">
        <v>45894</v>
      </c>
      <c r="B88">
        <v>11.81</v>
      </c>
    </row>
    <row r="89" spans="1:2" x14ac:dyDescent="0.25">
      <c r="A89" s="20">
        <v>45901</v>
      </c>
      <c r="B89">
        <v>11.69</v>
      </c>
    </row>
    <row r="90" spans="1:2" x14ac:dyDescent="0.25">
      <c r="A90" s="20">
        <v>45908</v>
      </c>
      <c r="B90">
        <v>11.608000000000001</v>
      </c>
    </row>
    <row r="91" spans="1:2" x14ac:dyDescent="0.25">
      <c r="A91" s="20">
        <v>45915</v>
      </c>
      <c r="B91">
        <v>11.661999999999999</v>
      </c>
    </row>
    <row r="92" spans="1:2" x14ac:dyDescent="0.25">
      <c r="A92" s="20">
        <v>45922</v>
      </c>
      <c r="B92">
        <v>11.73</v>
      </c>
    </row>
    <row r="93" spans="1:2" x14ac:dyDescent="0.25">
      <c r="A93" s="20">
        <v>45929</v>
      </c>
      <c r="B93">
        <v>12.242000000000001</v>
      </c>
    </row>
    <row r="94" spans="1:2" x14ac:dyDescent="0.25">
      <c r="A94" s="20">
        <v>45936</v>
      </c>
      <c r="B94">
        <v>11.853999999999999</v>
      </c>
    </row>
    <row r="95" spans="1:2" x14ac:dyDescent="0.25">
      <c r="A95" s="20">
        <v>45943</v>
      </c>
      <c r="B95">
        <v>11.722</v>
      </c>
    </row>
    <row r="96" spans="1:2" x14ac:dyDescent="0.25">
      <c r="A96" s="20">
        <v>45950</v>
      </c>
      <c r="B96">
        <v>12.632</v>
      </c>
    </row>
    <row r="97" spans="1:6" x14ac:dyDescent="0.25">
      <c r="A97" s="20">
        <v>45957</v>
      </c>
      <c r="B97">
        <v>13.164</v>
      </c>
    </row>
    <row r="98" spans="1:6" x14ac:dyDescent="0.25">
      <c r="A98" s="20">
        <v>45964</v>
      </c>
      <c r="B98">
        <v>13.048</v>
      </c>
    </row>
    <row r="99" spans="1:6" x14ac:dyDescent="0.25">
      <c r="A99" s="20">
        <v>45971</v>
      </c>
      <c r="B99">
        <v>13.276</v>
      </c>
    </row>
    <row r="100" spans="1:6" x14ac:dyDescent="0.25">
      <c r="A100" s="20">
        <v>45978</v>
      </c>
      <c r="B100">
        <v>12.808</v>
      </c>
    </row>
    <row r="101" spans="1:6" x14ac:dyDescent="0.25">
      <c r="A101" s="20">
        <v>45985</v>
      </c>
      <c r="B101">
        <v>13.15</v>
      </c>
    </row>
    <row r="102" spans="1:6" x14ac:dyDescent="0.25">
      <c r="A102" s="20">
        <v>45992</v>
      </c>
      <c r="B102">
        <v>13.076000000000001</v>
      </c>
    </row>
    <row r="103" spans="1:6" x14ac:dyDescent="0.25">
      <c r="A103" s="20">
        <v>45999</v>
      </c>
      <c r="B103">
        <v>13.404</v>
      </c>
    </row>
    <row r="104" spans="1:6" x14ac:dyDescent="0.25">
      <c r="A104" s="20">
        <v>46006</v>
      </c>
      <c r="B104">
        <v>13.484</v>
      </c>
    </row>
    <row r="105" spans="1:6" x14ac:dyDescent="0.25">
      <c r="A105" s="20">
        <v>46013</v>
      </c>
      <c r="B105">
        <v>13.355</v>
      </c>
    </row>
    <row r="106" spans="1:6" ht="15.75" thickBot="1" x14ac:dyDescent="0.3">
      <c r="A106" s="20">
        <v>46020</v>
      </c>
      <c r="B106">
        <v>13.2425</v>
      </c>
    </row>
    <row r="107" spans="1:6" ht="15.75" thickBot="1" x14ac:dyDescent="0.3">
      <c r="A107" s="20">
        <v>46027</v>
      </c>
      <c r="C107">
        <v>13.922000000000001</v>
      </c>
      <c r="D107">
        <f>_xlfn.FORECAST.ETS(Forecast[[#This Row],[Week]],B2:B106,A2:A106,11,1,1)</f>
        <v>13.573230573750191</v>
      </c>
      <c r="E107">
        <v>13.5308047765783</v>
      </c>
      <c r="F107" s="26">
        <v>13.327014</v>
      </c>
    </row>
    <row r="108" spans="1:6" ht="15.75" thickBot="1" x14ac:dyDescent="0.3">
      <c r="A108" s="20">
        <v>46034</v>
      </c>
      <c r="C108">
        <v>13.852</v>
      </c>
      <c r="D108">
        <f>_xlfn.FORECAST.ETS(Forecast[[#This Row],[Week]],B3:B107,A3:A107,11,1,1)</f>
        <v>13.288154028890251</v>
      </c>
      <c r="E108">
        <v>13.4076340455377</v>
      </c>
      <c r="F108" s="27">
        <v>13.339311</v>
      </c>
    </row>
    <row r="109" spans="1:6" ht="15.75" thickBot="1" x14ac:dyDescent="0.3">
      <c r="A109" s="20">
        <v>46041</v>
      </c>
      <c r="C109">
        <v>13.58</v>
      </c>
      <c r="D109">
        <f>_xlfn.FORECAST.ETS(Forecast[[#This Row],[Week]],B4:B108,A4:A108,11,1,1)</f>
        <v>12.954897437339927</v>
      </c>
      <c r="E109">
        <v>13.258119600864701</v>
      </c>
      <c r="F109" s="26">
        <v>13.357758</v>
      </c>
    </row>
    <row r="110" spans="1:6" ht="15.75" thickBot="1" x14ac:dyDescent="0.3">
      <c r="A110" s="20">
        <v>46048</v>
      </c>
      <c r="C110">
        <v>13.814</v>
      </c>
      <c r="D110">
        <f>_xlfn.FORECAST.ETS(Forecast[[#This Row],[Week]],B5:B109,A5:A109,11,1,1)</f>
        <v>12.834001190007045</v>
      </c>
      <c r="E110">
        <v>13.330594842903601</v>
      </c>
      <c r="F110" s="27">
        <v>13.374674000000001</v>
      </c>
    </row>
    <row r="111" spans="1:6" ht="15.75" thickBot="1" x14ac:dyDescent="0.3">
      <c r="A111" s="20">
        <v>46055</v>
      </c>
      <c r="C111">
        <v>13.776</v>
      </c>
      <c r="D111">
        <f>_xlfn.FORECAST.ETS(Forecast[[#This Row],[Week]],B6:B110,A6:A110,11,1,1)</f>
        <v>12.646223556919345</v>
      </c>
      <c r="E111">
        <v>13.3461309467612</v>
      </c>
      <c r="F111" s="26">
        <v>13.391069</v>
      </c>
    </row>
    <row r="112" spans="1:6" ht="15.75" thickBot="1" x14ac:dyDescent="0.3">
      <c r="A112" s="20">
        <v>46062</v>
      </c>
      <c r="C112">
        <v>13.776</v>
      </c>
      <c r="D112">
        <f>_xlfn.FORECAST.ETS(Forecast[[#This Row],[Week]],B7:B111,A7:A111,11,1,1)</f>
        <v>12.914146155353494</v>
      </c>
      <c r="E112">
        <v>13.298527768781801</v>
      </c>
      <c r="F112" s="27">
        <v>13.407285999999999</v>
      </c>
    </row>
    <row r="113" spans="1:6" ht="15.75" thickBot="1" x14ac:dyDescent="0.3">
      <c r="A113" s="20">
        <v>46069</v>
      </c>
      <c r="C113">
        <v>13.826000000000001</v>
      </c>
      <c r="D113">
        <f>_xlfn.FORECAST.ETS(Forecast[[#This Row],[Week]],B8:B112,A8:A112,11,1,1)</f>
        <v>13.081425979006651</v>
      </c>
      <c r="E113">
        <v>13.414747795551399</v>
      </c>
      <c r="F113" s="26">
        <v>13.823093</v>
      </c>
    </row>
    <row r="114" spans="1:6" ht="15.75" thickBot="1" x14ac:dyDescent="0.3">
      <c r="A114" s="20">
        <v>46076</v>
      </c>
      <c r="D114">
        <f>_xlfn.FORECAST.ETS(Forecast[[#This Row],[Week]],B9:B113,A9:A113,11,1,1)</f>
        <v>13.100705290504974</v>
      </c>
      <c r="E114">
        <v>13.513520631819601</v>
      </c>
      <c r="F114" s="27">
        <v>13.439579</v>
      </c>
    </row>
    <row r="115" spans="1:6" ht="15.75" thickBot="1" x14ac:dyDescent="0.3">
      <c r="A115" s="20">
        <v>46083</v>
      </c>
      <c r="D115">
        <f>_xlfn.FORECAST.ETS(Forecast[[#This Row],[Week]],B10:B114,A10:A114,11,1,1)</f>
        <v>13.106546955823179</v>
      </c>
      <c r="E115">
        <v>13.803751369496901</v>
      </c>
      <c r="F115" s="26">
        <v>13.938418</v>
      </c>
    </row>
    <row r="116" spans="1:6" ht="15.75" thickBot="1" x14ac:dyDescent="0.3">
      <c r="A116" s="20">
        <v>46090</v>
      </c>
      <c r="D116">
        <f>_xlfn.FORECAST.ETS(Forecast[[#This Row],[Week]],B11:B115,A11:A115,11,1,1)</f>
        <v>13.055322035709073</v>
      </c>
      <c r="E116">
        <v>13.9405480842044</v>
      </c>
      <c r="F116" s="27">
        <v>13.471833999999999</v>
      </c>
    </row>
    <row r="117" spans="1:6" ht="15.75" thickBot="1" x14ac:dyDescent="0.3">
      <c r="A117" s="20">
        <v>46097</v>
      </c>
      <c r="D117">
        <f>_xlfn.FORECAST.ETS(Forecast[[#This Row],[Week]],B12:B116,A12:A116,11,1,1)</f>
        <v>13.283291023306278</v>
      </c>
      <c r="E117">
        <v>14.401604281742101</v>
      </c>
      <c r="F117" s="26">
        <v>13.852399999999999</v>
      </c>
    </row>
    <row r="118" spans="1:6" ht="15.75" thickBot="1" x14ac:dyDescent="0.3">
      <c r="A118" s="20">
        <v>46104</v>
      </c>
      <c r="D118">
        <f>_xlfn.FORECAST.ETS(Forecast[[#This Row],[Week]],B13:B117,A13:A117,11,1,1)</f>
        <v>13.567377126403672</v>
      </c>
      <c r="E118">
        <v>14.312079429637</v>
      </c>
      <c r="F118" s="27">
        <v>13.504085</v>
      </c>
    </row>
    <row r="119" spans="1:6" ht="15.75" thickBot="1" x14ac:dyDescent="0.3">
      <c r="A119" s="20">
        <v>46111</v>
      </c>
      <c r="D119">
        <f>_xlfn.FORECAST.ETS(Forecast[[#This Row],[Week]],B14:B118,A14:A118,11,1,1)</f>
        <v>13.364408995615634</v>
      </c>
      <c r="E119">
        <v>13.7604433440273</v>
      </c>
      <c r="F119" s="26">
        <v>13.520210000000001</v>
      </c>
    </row>
    <row r="120" spans="1:6" ht="15.75" thickBot="1" x14ac:dyDescent="0.3">
      <c r="A120" s="20">
        <v>46118</v>
      </c>
      <c r="D120">
        <f>_xlfn.FORECAST.ETS(Forecast[[#This Row],[Week]],B15:B119,A15:A119,11,1,1)</f>
        <v>14.058386326177496</v>
      </c>
      <c r="E120">
        <v>14.054913243488601</v>
      </c>
      <c r="F120" s="27">
        <v>13.536334999999999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83" workbookViewId="0">
      <selection activeCell="O60" sqref="O60"/>
    </sheetView>
  </sheetViews>
  <sheetFormatPr defaultRowHeight="15" x14ac:dyDescent="0.25"/>
  <cols>
    <col min="1" max="16384" width="9.140625" style="21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E50A-E299-439D-A2AA-837DC999D981}">
  <dimension ref="A1:B78"/>
  <sheetViews>
    <sheetView workbookViewId="0">
      <selection activeCell="F17" sqref="F17"/>
    </sheetView>
  </sheetViews>
  <sheetFormatPr defaultRowHeight="15" x14ac:dyDescent="0.25"/>
  <cols>
    <col min="1" max="1" width="20.7109375" style="20" customWidth="1"/>
    <col min="2" max="2" width="10.140625" bestFit="1" customWidth="1"/>
  </cols>
  <sheetData>
    <row r="1" spans="1:2" x14ac:dyDescent="0.25">
      <c r="A1" s="24" t="s">
        <v>49</v>
      </c>
      <c r="B1" s="23" t="s">
        <v>50</v>
      </c>
    </row>
    <row r="2" spans="1:2" x14ac:dyDescent="0.25">
      <c r="A2" s="20">
        <v>36553</v>
      </c>
      <c r="B2">
        <v>0.27477200000000002</v>
      </c>
    </row>
    <row r="3" spans="1:2" x14ac:dyDescent="0.25">
      <c r="A3" s="20">
        <v>36644</v>
      </c>
      <c r="B3">
        <v>0.27477200000000002</v>
      </c>
    </row>
    <row r="4" spans="1:2" x14ac:dyDescent="0.25">
      <c r="A4" s="20">
        <v>36731</v>
      </c>
      <c r="B4">
        <v>0.28601300000000002</v>
      </c>
    </row>
    <row r="5" spans="1:2" x14ac:dyDescent="0.25">
      <c r="A5" s="20">
        <v>36829</v>
      </c>
      <c r="B5">
        <v>0.3</v>
      </c>
    </row>
    <row r="6" spans="1:2" x14ac:dyDescent="0.25">
      <c r="A6" s="20">
        <v>36917</v>
      </c>
      <c r="B6">
        <v>0.3</v>
      </c>
    </row>
    <row r="7" spans="1:2" x14ac:dyDescent="0.25">
      <c r="A7" s="20">
        <v>37011</v>
      </c>
      <c r="B7">
        <v>0.3</v>
      </c>
    </row>
    <row r="8" spans="1:2" x14ac:dyDescent="0.25">
      <c r="A8" s="20">
        <v>37104</v>
      </c>
      <c r="B8">
        <v>0.3</v>
      </c>
    </row>
    <row r="9" spans="1:2" x14ac:dyDescent="0.25">
      <c r="A9" s="20">
        <v>37195</v>
      </c>
      <c r="B9">
        <v>0.15</v>
      </c>
    </row>
    <row r="10" spans="1:2" x14ac:dyDescent="0.25">
      <c r="A10" s="20">
        <v>37284</v>
      </c>
      <c r="B10">
        <v>0.1</v>
      </c>
    </row>
    <row r="11" spans="1:2" x14ac:dyDescent="0.25">
      <c r="A11" s="20">
        <v>37377</v>
      </c>
      <c r="B11">
        <v>0.1</v>
      </c>
    </row>
    <row r="12" spans="1:2" x14ac:dyDescent="0.25">
      <c r="A12" s="20">
        <v>37468</v>
      </c>
      <c r="B12">
        <v>0.1</v>
      </c>
    </row>
    <row r="13" spans="1:2" x14ac:dyDescent="0.25">
      <c r="A13" s="20">
        <v>37559</v>
      </c>
      <c r="B13">
        <v>0.1</v>
      </c>
    </row>
    <row r="14" spans="1:2" x14ac:dyDescent="0.25">
      <c r="A14" s="20">
        <v>37650</v>
      </c>
      <c r="B14">
        <v>0.1</v>
      </c>
    </row>
    <row r="15" spans="1:2" x14ac:dyDescent="0.25">
      <c r="A15" s="20">
        <v>37741</v>
      </c>
      <c r="B15">
        <v>0.1</v>
      </c>
    </row>
    <row r="16" spans="1:2" x14ac:dyDescent="0.25">
      <c r="A16" s="20">
        <v>37832</v>
      </c>
      <c r="B16">
        <v>0.1</v>
      </c>
    </row>
    <row r="17" spans="1:2" x14ac:dyDescent="0.25">
      <c r="A17" s="20">
        <v>37923</v>
      </c>
      <c r="B17">
        <v>0.1</v>
      </c>
    </row>
    <row r="18" spans="1:2" x14ac:dyDescent="0.25">
      <c r="A18" s="20">
        <v>38014</v>
      </c>
      <c r="B18">
        <v>0.1</v>
      </c>
    </row>
    <row r="19" spans="1:2" x14ac:dyDescent="0.25">
      <c r="A19" s="20">
        <v>38105</v>
      </c>
      <c r="B19">
        <v>0.1</v>
      </c>
    </row>
    <row r="20" spans="1:2" x14ac:dyDescent="0.25">
      <c r="A20" s="20">
        <v>38196</v>
      </c>
      <c r="B20">
        <v>0.1</v>
      </c>
    </row>
    <row r="21" spans="1:2" x14ac:dyDescent="0.25">
      <c r="A21" s="20">
        <v>38288</v>
      </c>
      <c r="B21">
        <v>0.1</v>
      </c>
    </row>
    <row r="22" spans="1:2" x14ac:dyDescent="0.25">
      <c r="A22" s="20">
        <v>38378</v>
      </c>
      <c r="B22">
        <v>0.1</v>
      </c>
    </row>
    <row r="23" spans="1:2" x14ac:dyDescent="0.25">
      <c r="A23" s="20">
        <v>38470</v>
      </c>
      <c r="B23">
        <v>0.1</v>
      </c>
    </row>
    <row r="24" spans="1:2" x14ac:dyDescent="0.25">
      <c r="A24" s="20">
        <v>38562</v>
      </c>
      <c r="B24">
        <v>0.1</v>
      </c>
    </row>
    <row r="25" spans="1:2" x14ac:dyDescent="0.25">
      <c r="A25" s="20">
        <v>38653</v>
      </c>
      <c r="B25">
        <v>0.1</v>
      </c>
    </row>
    <row r="26" spans="1:2" x14ac:dyDescent="0.25">
      <c r="A26" s="20">
        <v>38743</v>
      </c>
      <c r="B26">
        <v>0.1</v>
      </c>
    </row>
    <row r="27" spans="1:2" x14ac:dyDescent="0.25">
      <c r="A27" s="20">
        <v>38835</v>
      </c>
      <c r="B27">
        <v>0.1</v>
      </c>
    </row>
    <row r="28" spans="1:2" x14ac:dyDescent="0.25">
      <c r="A28" s="20">
        <v>38929</v>
      </c>
      <c r="B28">
        <v>0.05</v>
      </c>
    </row>
    <row r="29" spans="1:2" x14ac:dyDescent="0.25">
      <c r="A29" s="20">
        <v>40935</v>
      </c>
      <c r="B29">
        <v>0.05</v>
      </c>
    </row>
    <row r="30" spans="1:2" x14ac:dyDescent="0.25">
      <c r="A30" s="20">
        <v>41029</v>
      </c>
      <c r="B30">
        <v>0.05</v>
      </c>
    </row>
    <row r="31" spans="1:2" x14ac:dyDescent="0.25">
      <c r="A31" s="20">
        <v>41122</v>
      </c>
      <c r="B31">
        <v>0.05</v>
      </c>
    </row>
    <row r="32" spans="1:2" x14ac:dyDescent="0.25">
      <c r="A32" s="20">
        <v>41213</v>
      </c>
      <c r="B32">
        <v>0.05</v>
      </c>
    </row>
    <row r="33" spans="1:2" x14ac:dyDescent="0.25">
      <c r="A33" s="20">
        <v>41302</v>
      </c>
      <c r="B33">
        <v>0.1</v>
      </c>
    </row>
    <row r="34" spans="1:2" x14ac:dyDescent="0.25">
      <c r="A34" s="20">
        <v>41395</v>
      </c>
      <c r="B34">
        <v>0.1</v>
      </c>
    </row>
    <row r="35" spans="1:2" x14ac:dyDescent="0.25">
      <c r="A35" s="20">
        <v>41486</v>
      </c>
      <c r="B35">
        <v>0.1</v>
      </c>
    </row>
    <row r="36" spans="1:2" x14ac:dyDescent="0.25">
      <c r="A36" s="20">
        <v>41577</v>
      </c>
      <c r="B36">
        <v>0.1</v>
      </c>
    </row>
    <row r="37" spans="1:2" x14ac:dyDescent="0.25">
      <c r="A37" s="20">
        <v>41668</v>
      </c>
      <c r="B37">
        <v>0.125</v>
      </c>
    </row>
    <row r="38" spans="1:2" x14ac:dyDescent="0.25">
      <c r="A38" s="20">
        <v>41759</v>
      </c>
      <c r="B38">
        <v>0.125</v>
      </c>
    </row>
    <row r="39" spans="1:2" x14ac:dyDescent="0.25">
      <c r="A39" s="20">
        <v>41850</v>
      </c>
      <c r="B39">
        <v>0.125</v>
      </c>
    </row>
    <row r="40" spans="1:2" x14ac:dyDescent="0.25">
      <c r="A40" s="20">
        <v>41941</v>
      </c>
      <c r="B40">
        <v>0.125</v>
      </c>
    </row>
    <row r="41" spans="1:2" x14ac:dyDescent="0.25">
      <c r="A41" s="20">
        <v>42032</v>
      </c>
      <c r="B41">
        <v>0.15</v>
      </c>
    </row>
    <row r="42" spans="1:2" x14ac:dyDescent="0.25">
      <c r="A42" s="20">
        <v>42123</v>
      </c>
      <c r="B42">
        <v>0.15</v>
      </c>
    </row>
    <row r="43" spans="1:2" x14ac:dyDescent="0.25">
      <c r="A43" s="20">
        <v>42214</v>
      </c>
      <c r="B43">
        <v>0.15</v>
      </c>
    </row>
    <row r="44" spans="1:2" x14ac:dyDescent="0.25">
      <c r="A44" s="20">
        <v>42305</v>
      </c>
      <c r="B44">
        <v>0.15</v>
      </c>
    </row>
    <row r="45" spans="1:2" x14ac:dyDescent="0.25">
      <c r="A45" s="20">
        <v>42396</v>
      </c>
      <c r="B45">
        <v>0.4</v>
      </c>
    </row>
    <row r="46" spans="1:2" x14ac:dyDescent="0.25">
      <c r="A46" s="20">
        <v>42487</v>
      </c>
      <c r="B46">
        <v>0.15</v>
      </c>
    </row>
    <row r="47" spans="1:2" x14ac:dyDescent="0.25">
      <c r="A47" s="20">
        <v>42577</v>
      </c>
      <c r="B47">
        <v>0.15</v>
      </c>
    </row>
    <row r="48" spans="1:2" x14ac:dyDescent="0.25">
      <c r="A48" s="20">
        <v>42668</v>
      </c>
      <c r="B48">
        <v>0.15</v>
      </c>
    </row>
    <row r="49" spans="1:2" x14ac:dyDescent="0.25">
      <c r="A49" s="20">
        <v>42753</v>
      </c>
      <c r="B49">
        <v>0.2</v>
      </c>
    </row>
    <row r="50" spans="1:2" x14ac:dyDescent="0.25">
      <c r="A50" s="20">
        <v>42843</v>
      </c>
      <c r="B50">
        <v>0.15</v>
      </c>
    </row>
    <row r="51" spans="1:2" x14ac:dyDescent="0.25">
      <c r="A51" s="20">
        <v>42936</v>
      </c>
      <c r="B51">
        <v>0.15</v>
      </c>
    </row>
    <row r="52" spans="1:2" x14ac:dyDescent="0.25">
      <c r="A52" s="20">
        <v>43028</v>
      </c>
      <c r="B52">
        <v>0.15</v>
      </c>
    </row>
    <row r="53" spans="1:2" x14ac:dyDescent="0.25">
      <c r="A53" s="20">
        <v>43129</v>
      </c>
      <c r="B53">
        <v>0.28000000000000003</v>
      </c>
    </row>
    <row r="54" spans="1:2" x14ac:dyDescent="0.25">
      <c r="A54" s="20">
        <v>43209</v>
      </c>
      <c r="B54">
        <v>0.15</v>
      </c>
    </row>
    <row r="55" spans="1:2" x14ac:dyDescent="0.25">
      <c r="A55" s="20">
        <v>43301</v>
      </c>
      <c r="B55">
        <v>0.15</v>
      </c>
    </row>
    <row r="56" spans="1:2" x14ac:dyDescent="0.25">
      <c r="A56" s="20">
        <v>43395</v>
      </c>
      <c r="B56">
        <v>0.15</v>
      </c>
    </row>
    <row r="57" spans="1:2" x14ac:dyDescent="0.25">
      <c r="A57" s="20">
        <v>43495</v>
      </c>
      <c r="B57">
        <v>0.15</v>
      </c>
    </row>
    <row r="58" spans="1:2" x14ac:dyDescent="0.25">
      <c r="A58" s="20">
        <v>43578</v>
      </c>
      <c r="B58">
        <v>0.15</v>
      </c>
    </row>
    <row r="59" spans="1:2" x14ac:dyDescent="0.25">
      <c r="A59" s="20">
        <v>43668</v>
      </c>
      <c r="B59">
        <v>0.15</v>
      </c>
    </row>
    <row r="60" spans="1:2" x14ac:dyDescent="0.25">
      <c r="A60" s="20">
        <v>43759</v>
      </c>
      <c r="B60">
        <v>0.15</v>
      </c>
    </row>
    <row r="61" spans="1:2" x14ac:dyDescent="0.25">
      <c r="A61" s="20">
        <v>43859</v>
      </c>
      <c r="B61">
        <v>0.15</v>
      </c>
    </row>
    <row r="62" spans="1:2" x14ac:dyDescent="0.25">
      <c r="A62" s="20">
        <v>44518</v>
      </c>
      <c r="B62">
        <v>0.1</v>
      </c>
    </row>
    <row r="63" spans="1:2" x14ac:dyDescent="0.25">
      <c r="A63" s="20">
        <v>44589</v>
      </c>
      <c r="B63">
        <v>0.1</v>
      </c>
    </row>
    <row r="64" spans="1:2" x14ac:dyDescent="0.25">
      <c r="A64" s="20">
        <v>44676</v>
      </c>
      <c r="B64">
        <v>0.1</v>
      </c>
    </row>
    <row r="65" spans="1:2" x14ac:dyDescent="0.25">
      <c r="A65" s="20">
        <v>44783</v>
      </c>
      <c r="B65">
        <v>0.15</v>
      </c>
    </row>
    <row r="66" spans="1:2" x14ac:dyDescent="0.25">
      <c r="A66" s="20">
        <v>44879</v>
      </c>
      <c r="B66">
        <v>0.15</v>
      </c>
    </row>
    <row r="67" spans="1:2" x14ac:dyDescent="0.25">
      <c r="A67" s="20">
        <v>44967</v>
      </c>
      <c r="B67">
        <v>0.8</v>
      </c>
    </row>
    <row r="68" spans="1:2" x14ac:dyDescent="0.25">
      <c r="A68" s="20">
        <v>45041</v>
      </c>
      <c r="B68">
        <v>0.15</v>
      </c>
    </row>
    <row r="69" spans="1:2" x14ac:dyDescent="0.25">
      <c r="A69" s="20">
        <v>45131</v>
      </c>
      <c r="B69">
        <v>0.15</v>
      </c>
    </row>
    <row r="70" spans="1:2" x14ac:dyDescent="0.25">
      <c r="A70" s="20">
        <v>45230</v>
      </c>
      <c r="B70">
        <v>0.15</v>
      </c>
    </row>
    <row r="71" spans="1:2" x14ac:dyDescent="0.25">
      <c r="A71" s="20">
        <v>45337</v>
      </c>
      <c r="B71">
        <v>0.33</v>
      </c>
    </row>
    <row r="72" spans="1:2" x14ac:dyDescent="0.25">
      <c r="A72" s="20">
        <v>45419</v>
      </c>
      <c r="B72">
        <v>0.15</v>
      </c>
    </row>
    <row r="73" spans="1:2" x14ac:dyDescent="0.25">
      <c r="A73" s="20">
        <v>45511</v>
      </c>
      <c r="B73">
        <v>0.15</v>
      </c>
    </row>
    <row r="74" spans="1:2" x14ac:dyDescent="0.25">
      <c r="A74" s="20">
        <v>45603</v>
      </c>
      <c r="B74">
        <v>0.15</v>
      </c>
    </row>
    <row r="75" spans="1:2" x14ac:dyDescent="0.25">
      <c r="A75" s="20">
        <v>45706</v>
      </c>
      <c r="B75">
        <v>0.3</v>
      </c>
    </row>
    <row r="76" spans="1:2" x14ac:dyDescent="0.25">
      <c r="A76" s="20">
        <v>45789</v>
      </c>
      <c r="B76">
        <v>0.15</v>
      </c>
    </row>
    <row r="77" spans="1:2" x14ac:dyDescent="0.25">
      <c r="A77" s="20">
        <v>45880</v>
      </c>
      <c r="B77">
        <v>0.15</v>
      </c>
    </row>
    <row r="78" spans="1:2" x14ac:dyDescent="0.25">
      <c r="A78" s="20">
        <v>45968</v>
      </c>
      <c r="B78">
        <v>0.15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Intro</vt:lpstr>
      <vt:lpstr>Data</vt:lpstr>
      <vt:lpstr>Weekly (2)</vt:lpstr>
      <vt:lpstr>Weekly</vt:lpstr>
      <vt:lpstr>Forecast</vt:lpstr>
      <vt:lpstr>Dashboard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2026-02-15T00:59:08Z</dcterms:modified>
</cp:coreProperties>
</file>