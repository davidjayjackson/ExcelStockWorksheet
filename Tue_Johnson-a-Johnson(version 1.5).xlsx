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oksheet_old\"/>
    </mc:Choice>
  </mc:AlternateContent>
  <xr:revisionPtr revIDLastSave="0" documentId="13_ncr:1_{1654799A-2DD3-46D2-B509-0863284D718D}" xr6:coauthVersionLast="47" xr6:coauthVersionMax="47" xr10:uidLastSave="{00000000-0000-0000-0000-000000000000}"/>
  <bookViews>
    <workbookView xWindow="5685" yWindow="150" windowWidth="7500" windowHeight="10620" firstSheet="3" activeTab="3" xr2:uid="{92AFEA67-FCE1-458C-9A7E-ADF426D7B024}"/>
  </bookViews>
  <sheets>
    <sheet name="Intro" sheetId="10" r:id="rId1"/>
    <sheet name="Data" sheetId="1" r:id="rId2"/>
    <sheet name="Weekly" sheetId="11" r:id="rId3"/>
    <sheet name="Dashboard" sheetId="7" r:id="rId4"/>
  </sheets>
  <definedNames>
    <definedName name="data">Data!$1:$1048576</definedName>
    <definedName name="ExternalData_1" localSheetId="2" hidden="1">Weekly!$A$1:$B$120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1" l="1"/>
  <c r="F110" i="11"/>
  <c r="F111" i="11"/>
  <c r="F112" i="11"/>
  <c r="F113" i="11"/>
  <c r="F114" i="11"/>
  <c r="F115" i="11"/>
  <c r="F116" i="11"/>
  <c r="F117" i="11"/>
  <c r="F118" i="11"/>
  <c r="F119" i="11"/>
  <c r="F120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X514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15" i="1"/>
  <c r="C111" i="11"/>
  <c r="C109" i="11"/>
  <c r="C120" i="11"/>
  <c r="C119" i="11"/>
  <c r="C112" i="11"/>
  <c r="C110" i="11"/>
  <c r="C116" i="11"/>
  <c r="C113" i="11"/>
  <c r="C114" i="11"/>
  <c r="C115" i="11"/>
  <c r="C118" i="11"/>
  <c r="C117" i="11"/>
  <c r="D110" i="11"/>
  <c r="D111" i="11"/>
  <c r="D119" i="11"/>
  <c r="D112" i="11"/>
  <c r="D120" i="11"/>
  <c r="D113" i="11"/>
  <c r="D114" i="11"/>
  <c r="D116" i="11"/>
  <c r="D115" i="11"/>
  <c r="D117" i="11"/>
  <c r="D118" i="11"/>
  <c r="D109" i="11"/>
  <c r="A1" i="1" a="1"/>
  <c r="A1" i="1" l="1"/>
  <c r="AA102" i="1" l="1"/>
  <c r="M96" i="1"/>
  <c r="AA172" i="1"/>
  <c r="AA198" i="1"/>
  <c r="M192" i="1"/>
  <c r="AA278" i="1"/>
  <c r="M272" i="1"/>
  <c r="M427" i="1"/>
  <c r="M114" i="1"/>
  <c r="AA105" i="1"/>
  <c r="J294" i="1"/>
  <c r="AA241" i="1"/>
  <c r="AA366" i="1"/>
  <c r="M34" i="1"/>
  <c r="AA361" i="1"/>
  <c r="AA495" i="1"/>
  <c r="AA268" i="1"/>
  <c r="AA489" i="1"/>
  <c r="M108" i="1"/>
  <c r="M315" i="1"/>
  <c r="M329" i="1"/>
  <c r="AA482" i="1"/>
  <c r="AA413" i="1"/>
  <c r="AA178" i="1"/>
  <c r="AA476" i="1"/>
  <c r="AA509" i="1"/>
  <c r="AA283" i="1"/>
  <c r="M54" i="1"/>
  <c r="M342" i="1"/>
  <c r="AA267" i="1"/>
  <c r="J372" i="1"/>
  <c r="M324" i="1"/>
  <c r="AA327" i="1"/>
  <c r="M474" i="1"/>
  <c r="M142" i="1"/>
  <c r="AA423" i="1"/>
  <c r="M59" i="1"/>
  <c r="AA503" i="1"/>
  <c r="M139" i="1"/>
  <c r="M145" i="1"/>
  <c r="M332" i="1"/>
  <c r="AA101" i="1"/>
  <c r="J327" i="1"/>
  <c r="AA115" i="1"/>
  <c r="AA104" i="1"/>
  <c r="M291" i="1"/>
  <c r="AA211" i="1"/>
  <c r="AA217" i="1"/>
  <c r="AA291" i="1"/>
  <c r="AA220" i="1"/>
  <c r="J278" i="1"/>
  <c r="M132" i="1"/>
  <c r="M121" i="1"/>
  <c r="M510" i="1"/>
  <c r="M71" i="1"/>
  <c r="AA379" i="1"/>
  <c r="AA312" i="1"/>
  <c r="M167" i="1"/>
  <c r="AA389" i="1"/>
  <c r="M80" i="1"/>
  <c r="M456" i="1"/>
  <c r="M56" i="1"/>
  <c r="AA343" i="1"/>
  <c r="J102" i="1"/>
  <c r="AA505" i="1"/>
  <c r="AA174" i="1"/>
  <c r="M168" i="1"/>
  <c r="AA145" i="1"/>
  <c r="AA303" i="1"/>
  <c r="AA225" i="1"/>
  <c r="AA350" i="1"/>
  <c r="M299" i="1"/>
  <c r="M452" i="1"/>
  <c r="M386" i="1"/>
  <c r="AA297" i="1"/>
  <c r="AA334" i="1"/>
  <c r="M353" i="1"/>
  <c r="M51" i="1"/>
  <c r="M150" i="1"/>
  <c r="J205" i="1"/>
  <c r="M53" i="1"/>
  <c r="J411" i="1"/>
  <c r="M125" i="1"/>
  <c r="AA235" i="1"/>
  <c r="J53" i="1"/>
  <c r="AA135" i="1"/>
  <c r="M282" i="1"/>
  <c r="AA485" i="1"/>
  <c r="AA231" i="1"/>
  <c r="M378" i="1"/>
  <c r="AA311" i="1"/>
  <c r="M458" i="1"/>
  <c r="M77" i="1"/>
  <c r="M437" i="1"/>
  <c r="AA300" i="1"/>
  <c r="J135" i="1"/>
  <c r="AA426" i="1"/>
  <c r="AA399" i="1"/>
  <c r="M35" i="1"/>
  <c r="AA116" i="1"/>
  <c r="AA345" i="1"/>
  <c r="AA484" i="1"/>
  <c r="AA215" i="1"/>
  <c r="J86" i="1"/>
  <c r="M129" i="1"/>
  <c r="M513" i="1"/>
  <c r="M126" i="1"/>
  <c r="M390" i="1"/>
  <c r="AA187" i="1"/>
  <c r="AA120" i="1"/>
  <c r="M486" i="1"/>
  <c r="AA197" i="1"/>
  <c r="M55" i="1"/>
  <c r="M362" i="1"/>
  <c r="M350" i="1"/>
  <c r="J511" i="1"/>
  <c r="M5" i="1"/>
  <c r="AA352" i="1"/>
  <c r="M384" i="1"/>
  <c r="M143" i="1"/>
  <c r="AA448" i="1"/>
  <c r="AA111" i="1"/>
  <c r="AA441" i="1"/>
  <c r="AA158" i="1"/>
  <c r="M303" i="1"/>
  <c r="M165" i="1"/>
  <c r="M328" i="1"/>
  <c r="AA216" i="1"/>
  <c r="AA260" i="1"/>
  <c r="AA121" i="1"/>
  <c r="AA190" i="1"/>
  <c r="AA125" i="1"/>
  <c r="AA402" i="1"/>
  <c r="AA205" i="1"/>
  <c r="AA188" i="1"/>
  <c r="AA364" i="1"/>
  <c r="J286" i="1"/>
  <c r="M68" i="1"/>
  <c r="AA422" i="1"/>
  <c r="M90" i="1"/>
  <c r="AA293" i="1"/>
  <c r="AA353" i="1"/>
  <c r="M186" i="1"/>
  <c r="AA119" i="1"/>
  <c r="M266" i="1"/>
  <c r="M492" i="1"/>
  <c r="M175" i="1"/>
  <c r="AA131" i="1"/>
  <c r="J451" i="1"/>
  <c r="AA234" i="1"/>
  <c r="AA207" i="1"/>
  <c r="M354" i="1"/>
  <c r="AA330" i="1"/>
  <c r="AA328" i="1"/>
  <c r="AA410" i="1"/>
  <c r="AA383" i="1"/>
  <c r="M488" i="1"/>
  <c r="M311" i="1"/>
  <c r="M243" i="1"/>
  <c r="AA237" i="1"/>
  <c r="AA272" i="1"/>
  <c r="M195" i="1"/>
  <c r="M375" i="1"/>
  <c r="M219" i="1"/>
  <c r="I150" i="1"/>
  <c r="M347" i="1"/>
  <c r="J441" i="1"/>
  <c r="J480" i="1"/>
  <c r="M352" i="1"/>
  <c r="J436" i="1"/>
  <c r="AA160" i="1"/>
  <c r="M29" i="1"/>
  <c r="M462" i="1"/>
  <c r="AA256" i="1"/>
  <c r="AA398" i="1"/>
  <c r="AA336" i="1"/>
  <c r="M363" i="1"/>
  <c r="M508" i="1"/>
  <c r="M100" i="1"/>
  <c r="M111" i="1"/>
  <c r="J164" i="1"/>
  <c r="AA435" i="1"/>
  <c r="AA424" i="1"/>
  <c r="M480" i="1"/>
  <c r="AA132" i="1"/>
  <c r="AA210" i="1"/>
  <c r="AA236" i="1"/>
  <c r="AA356" i="1"/>
  <c r="AA279" i="1"/>
  <c r="J94" i="1"/>
  <c r="M377" i="1"/>
  <c r="AA230" i="1"/>
  <c r="M224" i="1"/>
  <c r="AA492" i="1"/>
  <c r="AA326" i="1"/>
  <c r="M320" i="1"/>
  <c r="AA406" i="1"/>
  <c r="M74" i="1"/>
  <c r="M217" i="1"/>
  <c r="M370" i="1"/>
  <c r="AA122" i="1"/>
  <c r="J422" i="1"/>
  <c r="AA393" i="1"/>
  <c r="AA494" i="1"/>
  <c r="M162" i="1"/>
  <c r="AA138" i="1"/>
  <c r="AA136" i="1"/>
  <c r="AA218" i="1"/>
  <c r="AA191" i="1"/>
  <c r="M380" i="1"/>
  <c r="M340" i="1"/>
  <c r="M331" i="1"/>
  <c r="AA323" i="1"/>
  <c r="M6" i="1"/>
  <c r="AA306" i="1"/>
  <c r="AA223" i="1"/>
  <c r="M102" i="1"/>
  <c r="AA411" i="1"/>
  <c r="M182" i="1"/>
  <c r="M87" i="1"/>
  <c r="AA252" i="1"/>
  <c r="J127" i="1"/>
  <c r="M496" i="1"/>
  <c r="AA455" i="1"/>
  <c r="M91" i="1"/>
  <c r="M270" i="1"/>
  <c r="AA228" i="1"/>
  <c r="AA206" i="1"/>
  <c r="AA144" i="1"/>
  <c r="M489" i="1"/>
  <c r="M356" i="1"/>
  <c r="M503" i="1"/>
  <c r="M238" i="1"/>
  <c r="J455" i="1"/>
  <c r="AA243" i="1"/>
  <c r="AA232" i="1"/>
  <c r="M203" i="1"/>
  <c r="AA339" i="1"/>
  <c r="AA369" i="1"/>
  <c r="AA419" i="1"/>
  <c r="AA417" i="1"/>
  <c r="J406" i="1"/>
  <c r="M509" i="1"/>
  <c r="M17" i="1"/>
  <c r="M88" i="1"/>
  <c r="M267" i="1"/>
  <c r="M415" i="1"/>
  <c r="M220" i="1"/>
  <c r="M359" i="1"/>
  <c r="AA420" i="1"/>
  <c r="J316" i="1"/>
  <c r="J370" i="1"/>
  <c r="J32" i="1"/>
  <c r="M169" i="1"/>
  <c r="M268" i="1"/>
  <c r="AA177" i="1"/>
  <c r="AA302" i="1"/>
  <c r="M296" i="1"/>
  <c r="AA273" i="1"/>
  <c r="AA431" i="1"/>
  <c r="AA377" i="1"/>
  <c r="AA478" i="1"/>
  <c r="M475" i="1"/>
  <c r="M45" i="1"/>
  <c r="M123" i="1"/>
  <c r="AA314" i="1"/>
  <c r="AA349" i="1"/>
  <c r="AA114" i="1"/>
  <c r="AA510" i="1"/>
  <c r="AA445" i="1"/>
  <c r="AA219" i="1"/>
  <c r="W27" i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M214" i="1"/>
  <c r="AA107" i="1"/>
  <c r="J355" i="1"/>
  <c r="M221" i="1"/>
  <c r="AA263" i="1"/>
  <c r="M410" i="1"/>
  <c r="M78" i="1"/>
  <c r="AA359" i="1"/>
  <c r="M506" i="1"/>
  <c r="AA439" i="1"/>
  <c r="M75" i="1"/>
  <c r="M493" i="1"/>
  <c r="M229" i="1"/>
  <c r="AA373" i="1"/>
  <c r="J263" i="1"/>
  <c r="AA308" i="1"/>
  <c r="AA433" i="1"/>
  <c r="M163" i="1"/>
  <c r="AA147" i="1"/>
  <c r="AA153" i="1"/>
  <c r="AA227" i="1"/>
  <c r="AA368" i="1"/>
  <c r="J214" i="1"/>
  <c r="M401" i="1"/>
  <c r="M461" i="1"/>
  <c r="M382" i="1"/>
  <c r="M7" i="1"/>
  <c r="AA315" i="1"/>
  <c r="AA248" i="1"/>
  <c r="M103" i="1"/>
  <c r="AA325" i="1"/>
  <c r="M16" i="1"/>
  <c r="M107" i="1"/>
  <c r="M95" i="1"/>
  <c r="AA310" i="1"/>
  <c r="J38" i="1"/>
  <c r="AA480" i="1"/>
  <c r="AA110" i="1"/>
  <c r="M104" i="1"/>
  <c r="AA412" i="1"/>
  <c r="AA239" i="1"/>
  <c r="AA161" i="1"/>
  <c r="AA286" i="1"/>
  <c r="M196" i="1"/>
  <c r="M367" i="1"/>
  <c r="M258" i="1"/>
  <c r="AA129" i="1"/>
  <c r="AA157" i="1"/>
  <c r="AA249" i="1"/>
  <c r="AA318" i="1"/>
  <c r="AA253" i="1"/>
  <c r="AA244" i="1"/>
  <c r="AA333" i="1"/>
  <c r="AA341" i="1"/>
  <c r="AA452" i="1"/>
  <c r="J414" i="1"/>
  <c r="M69" i="1"/>
  <c r="AA212" i="1"/>
  <c r="M325" i="1"/>
  <c r="M444" i="1"/>
  <c r="M468" i="1"/>
  <c r="J175" i="1"/>
  <c r="M152" i="1"/>
  <c r="AA471" i="1"/>
  <c r="J291" i="1"/>
  <c r="J129" i="1"/>
  <c r="J504" i="1"/>
  <c r="J488" i="1"/>
  <c r="AA362" i="1"/>
  <c r="AA335" i="1"/>
  <c r="M482" i="1"/>
  <c r="AA458" i="1"/>
  <c r="AA456" i="1"/>
  <c r="AA276" i="1"/>
  <c r="AA182" i="1"/>
  <c r="J22" i="1"/>
  <c r="M485" i="1"/>
  <c r="M428" i="1"/>
  <c r="V13" i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M326" i="1"/>
  <c r="AA123" i="1"/>
  <c r="AA497" i="1"/>
  <c r="M422" i="1"/>
  <c r="AA133" i="1"/>
  <c r="M502" i="1"/>
  <c r="M234" i="1"/>
  <c r="M222" i="1"/>
  <c r="J447" i="1"/>
  <c r="M360" i="1"/>
  <c r="AA288" i="1"/>
  <c r="M292" i="1"/>
  <c r="M79" i="1"/>
  <c r="AA384" i="1"/>
  <c r="AA425" i="1"/>
  <c r="AA464" i="1"/>
  <c r="M33" i="1"/>
  <c r="M499" i="1"/>
  <c r="M457" i="1"/>
  <c r="M200" i="1"/>
  <c r="AA407" i="1"/>
  <c r="AA164" i="1"/>
  <c r="AA513" i="1"/>
  <c r="AA126" i="1"/>
  <c r="AA332" i="1"/>
  <c r="AA338" i="1"/>
  <c r="AA141" i="1"/>
  <c r="AA427" i="1"/>
  <c r="AA408" i="1"/>
  <c r="J222" i="1"/>
  <c r="M369" i="1"/>
  <c r="AA358" i="1"/>
  <c r="M26" i="1"/>
  <c r="AA229" i="1"/>
  <c r="AA454" i="1"/>
  <c r="M122" i="1"/>
  <c r="AA457" i="1"/>
  <c r="M202" i="1"/>
  <c r="M407" i="1"/>
  <c r="M115" i="1"/>
  <c r="AA450" i="1"/>
  <c r="J368" i="1"/>
  <c r="AA170" i="1"/>
  <c r="AA143" i="1"/>
  <c r="M290" i="1"/>
  <c r="AA266" i="1"/>
  <c r="AA264" i="1"/>
  <c r="AA346" i="1"/>
  <c r="AA319" i="1"/>
  <c r="M327" i="1"/>
  <c r="M209" i="1"/>
  <c r="M117" i="1"/>
  <c r="AA316" i="1"/>
  <c r="M134" i="1"/>
  <c r="AA434" i="1"/>
  <c r="AA351" i="1"/>
  <c r="M230" i="1"/>
  <c r="AA140" i="1"/>
  <c r="M310" i="1"/>
  <c r="M176" i="1"/>
  <c r="AA365" i="1"/>
  <c r="J255" i="1"/>
  <c r="M275" i="1"/>
  <c r="AA500" i="1"/>
  <c r="M440" i="1"/>
  <c r="J238" i="1"/>
  <c r="M476" i="1"/>
  <c r="J192" i="1"/>
  <c r="M207" i="1"/>
  <c r="M264" i="1"/>
  <c r="J357" i="1"/>
  <c r="J58" i="1"/>
  <c r="J40" i="1"/>
  <c r="J354" i="1"/>
  <c r="AA371" i="1"/>
  <c r="AA360" i="1"/>
  <c r="M395" i="1"/>
  <c r="AA467" i="1"/>
  <c r="AA146" i="1"/>
  <c r="AA148" i="1"/>
  <c r="AA418" i="1"/>
  <c r="AA246" i="1"/>
  <c r="J30" i="1"/>
  <c r="M284" i="1"/>
  <c r="AA166" i="1"/>
  <c r="M160" i="1"/>
  <c r="AA284" i="1"/>
  <c r="AA262" i="1"/>
  <c r="M256" i="1"/>
  <c r="AA342" i="1"/>
  <c r="M10" i="1"/>
  <c r="M76" i="1"/>
  <c r="M242" i="1"/>
  <c r="AA265" i="1"/>
  <c r="J358" i="1"/>
  <c r="AA305" i="1"/>
  <c r="AA430" i="1"/>
  <c r="M98" i="1"/>
  <c r="AA449" i="1"/>
  <c r="AA388" i="1"/>
  <c r="AA154" i="1"/>
  <c r="AA127" i="1"/>
  <c r="M236" i="1"/>
  <c r="M28" i="1"/>
  <c r="M137" i="1"/>
  <c r="AA139" i="1"/>
  <c r="AA477" i="1"/>
  <c r="AA242" i="1"/>
  <c r="AA159" i="1"/>
  <c r="M38" i="1"/>
  <c r="AA347" i="1"/>
  <c r="M118" i="1"/>
  <c r="M470" i="1"/>
  <c r="AA451" i="1"/>
  <c r="J63" i="1"/>
  <c r="M411" i="1"/>
  <c r="AA391" i="1"/>
  <c r="M27" i="1"/>
  <c r="M206" i="1"/>
  <c r="AA487" i="1"/>
  <c r="AA142" i="1"/>
  <c r="AA428" i="1"/>
  <c r="M49" i="1"/>
  <c r="M259" i="1"/>
  <c r="M417" i="1"/>
  <c r="M110" i="1"/>
  <c r="J391" i="1"/>
  <c r="AA179" i="1"/>
  <c r="AA168" i="1"/>
  <c r="M52" i="1"/>
  <c r="AA275" i="1"/>
  <c r="AA281" i="1"/>
  <c r="AA355" i="1"/>
  <c r="AA233" i="1"/>
  <c r="J342" i="1"/>
  <c r="M349" i="1"/>
  <c r="M365" i="1"/>
  <c r="M127" i="1"/>
  <c r="M135" i="1"/>
  <c r="AA443" i="1"/>
  <c r="AA376" i="1"/>
  <c r="M64" i="1"/>
  <c r="AA150" i="1"/>
  <c r="M144" i="1"/>
  <c r="M93" i="1"/>
  <c r="M184" i="1"/>
  <c r="AA176" i="1"/>
  <c r="J166" i="1"/>
  <c r="M227" i="1"/>
  <c r="M494" i="1"/>
  <c r="AA496" i="1"/>
  <c r="J254" i="1"/>
  <c r="J289" i="1"/>
  <c r="J70" i="1"/>
  <c r="M245" i="1"/>
  <c r="I302" i="1"/>
  <c r="J244" i="1"/>
  <c r="J137" i="1"/>
  <c r="J341" i="1"/>
  <c r="AA285" i="1"/>
  <c r="M262" i="1"/>
  <c r="AA401" i="1"/>
  <c r="AA461" i="1"/>
  <c r="M84" i="1"/>
  <c r="AA295" i="1"/>
  <c r="M295" i="1"/>
  <c r="AA490" i="1"/>
  <c r="AA468" i="1"/>
  <c r="M261" i="1"/>
  <c r="AA251" i="1"/>
  <c r="M119" i="1"/>
  <c r="M351" i="1"/>
  <c r="AA512" i="1"/>
  <c r="M41" i="1"/>
  <c r="AA444" i="1"/>
  <c r="AA466" i="1"/>
  <c r="J350" i="1"/>
  <c r="AA357" i="1"/>
  <c r="M330" i="1"/>
  <c r="J444" i="1"/>
  <c r="J95" i="1"/>
  <c r="AA203" i="1"/>
  <c r="I408" i="1"/>
  <c r="J221" i="1"/>
  <c r="AA289" i="1"/>
  <c r="M297" i="1"/>
  <c r="M460" i="1"/>
  <c r="M180" i="1"/>
  <c r="I214" i="1"/>
  <c r="M85" i="1"/>
  <c r="J505" i="1"/>
  <c r="M418" i="1"/>
  <c r="AA405" i="1"/>
  <c r="AA277" i="1"/>
  <c r="J223" i="1"/>
  <c r="J346" i="1"/>
  <c r="J496" i="1"/>
  <c r="J454" i="1"/>
  <c r="AA469" i="1"/>
  <c r="J470" i="1"/>
  <c r="M92" i="1"/>
  <c r="M357" i="1"/>
  <c r="J487" i="1"/>
  <c r="M73" i="1"/>
  <c r="AA171" i="1"/>
  <c r="J37" i="1"/>
  <c r="J321" i="1"/>
  <c r="J239" i="1"/>
  <c r="J297" i="1"/>
  <c r="I156" i="1"/>
  <c r="AA313" i="1"/>
  <c r="M372" i="1"/>
  <c r="AA354" i="1"/>
  <c r="J510" i="1"/>
  <c r="J491" i="1"/>
  <c r="J260" i="1"/>
  <c r="M368" i="1"/>
  <c r="I82" i="1"/>
  <c r="J235" i="1"/>
  <c r="M198" i="1"/>
  <c r="J319" i="1"/>
  <c r="AA502" i="1"/>
  <c r="J62" i="1"/>
  <c r="J97" i="1"/>
  <c r="M65" i="1"/>
  <c r="M396" i="1"/>
  <c r="I110" i="1"/>
  <c r="J378" i="1"/>
  <c r="J28" i="1"/>
  <c r="J100" i="1"/>
  <c r="M128" i="1"/>
  <c r="M140" i="1"/>
  <c r="M306" i="1"/>
  <c r="AA395" i="1"/>
  <c r="J77" i="1"/>
  <c r="M67" i="1"/>
  <c r="J216" i="1"/>
  <c r="M249" i="1"/>
  <c r="AA193" i="1"/>
  <c r="J427" i="1"/>
  <c r="I280" i="1"/>
  <c r="M408" i="1"/>
  <c r="J252" i="1"/>
  <c r="J55" i="1"/>
  <c r="I458" i="1"/>
  <c r="J248" i="1"/>
  <c r="I94" i="1"/>
  <c r="J268" i="1"/>
  <c r="I355" i="1"/>
  <c r="F506" i="1"/>
  <c r="I356" i="1"/>
  <c r="I127" i="1"/>
  <c r="F221" i="1"/>
  <c r="D213" i="1"/>
  <c r="F309" i="1"/>
  <c r="F297" i="1"/>
  <c r="F435" i="1"/>
  <c r="I323" i="1"/>
  <c r="D474" i="1"/>
  <c r="D475" i="1"/>
  <c r="F252" i="1"/>
  <c r="D106" i="1"/>
  <c r="J154" i="1"/>
  <c r="J36" i="1"/>
  <c r="I28" i="1"/>
  <c r="J371" i="1"/>
  <c r="I69" i="1"/>
  <c r="J361" i="1"/>
  <c r="I188" i="1"/>
  <c r="I177" i="1"/>
  <c r="F134" i="1"/>
  <c r="I416" i="1"/>
  <c r="F289" i="1"/>
  <c r="F472" i="1"/>
  <c r="F193" i="1"/>
  <c r="I197" i="1"/>
  <c r="J311" i="1"/>
  <c r="J181" i="1"/>
  <c r="J80" i="1"/>
  <c r="I87" i="1"/>
  <c r="J89" i="1"/>
  <c r="I326" i="1"/>
  <c r="J288" i="1"/>
  <c r="I483" i="1"/>
  <c r="D21" i="1"/>
  <c r="I125" i="1"/>
  <c r="I48" i="1"/>
  <c r="F113" i="1"/>
  <c r="F212" i="1"/>
  <c r="M314" i="1"/>
  <c r="J483" i="1"/>
  <c r="J275" i="1"/>
  <c r="I382" i="1"/>
  <c r="I402" i="1"/>
  <c r="I78" i="1"/>
  <c r="I248" i="1"/>
  <c r="J413" i="1"/>
  <c r="J69" i="1"/>
  <c r="F361" i="1"/>
  <c r="F135" i="1"/>
  <c r="I244" i="1"/>
  <c r="I306" i="1"/>
  <c r="F364" i="1"/>
  <c r="F403" i="1"/>
  <c r="F384" i="1"/>
  <c r="D144" i="1"/>
  <c r="F432" i="1"/>
  <c r="D158" i="1"/>
  <c r="D381" i="1"/>
  <c r="F482" i="1"/>
  <c r="I180" i="1"/>
  <c r="J377" i="1"/>
  <c r="J501" i="1"/>
  <c r="J49" i="1"/>
  <c r="I215" i="1"/>
  <c r="J345" i="1"/>
  <c r="I502" i="1"/>
  <c r="J113" i="1"/>
  <c r="I68" i="1"/>
  <c r="F20" i="1"/>
  <c r="F195" i="1"/>
  <c r="I304" i="1"/>
  <c r="F217" i="1"/>
  <c r="F24" i="1"/>
  <c r="F418" i="1"/>
  <c r="F81" i="1"/>
  <c r="D39" i="1"/>
  <c r="F286" i="1"/>
  <c r="D191" i="1"/>
  <c r="M21" i="1"/>
  <c r="AA324" i="1"/>
  <c r="M438" i="1"/>
  <c r="M173" i="1"/>
  <c r="AA320" i="1"/>
  <c r="M276" i="1"/>
  <c r="AA499" i="1"/>
  <c r="AA274" i="1"/>
  <c r="J158" i="1"/>
  <c r="AA165" i="1"/>
  <c r="M138" i="1"/>
  <c r="J486" i="1"/>
  <c r="AA202" i="1"/>
  <c r="M89" i="1"/>
  <c r="M70" i="1"/>
  <c r="AA475" i="1"/>
  <c r="J191" i="1"/>
  <c r="M334" i="1"/>
  <c r="M157" i="1"/>
  <c r="J272" i="1"/>
  <c r="J512" i="1"/>
  <c r="M253" i="1"/>
  <c r="I265" i="1"/>
  <c r="I503" i="1"/>
  <c r="AA414" i="1"/>
  <c r="M105" i="1"/>
  <c r="M323" i="1"/>
  <c r="M445" i="1"/>
  <c r="AA472" i="1"/>
  <c r="J103" i="1"/>
  <c r="J434" i="1"/>
  <c r="AA394" i="1"/>
  <c r="M361" i="1"/>
  <c r="M120" i="1"/>
  <c r="AA438" i="1"/>
  <c r="J267" i="1"/>
  <c r="M190" i="1"/>
  <c r="J435" i="1"/>
  <c r="AA307" i="1"/>
  <c r="M316" i="1"/>
  <c r="J430" i="1"/>
  <c r="M188" i="1"/>
  <c r="J132" i="1"/>
  <c r="M425" i="1"/>
  <c r="M241" i="1"/>
  <c r="J340" i="1"/>
  <c r="J250" i="1"/>
  <c r="J232" i="1"/>
  <c r="J147" i="1"/>
  <c r="I245" i="1"/>
  <c r="AA382" i="1"/>
  <c r="M18" i="1"/>
  <c r="M30" i="1"/>
  <c r="J351" i="1"/>
  <c r="J474" i="1"/>
  <c r="AA151" i="1"/>
  <c r="J500" i="1"/>
  <c r="M151" i="1"/>
  <c r="J301" i="1"/>
  <c r="AA498" i="1"/>
  <c r="M423" i="1"/>
  <c r="AA514" i="1"/>
  <c r="J424" i="1"/>
  <c r="J26" i="1"/>
  <c r="J87" i="1"/>
  <c r="M185" i="1"/>
  <c r="AA465" i="1"/>
  <c r="J299" i="1"/>
  <c r="J457" i="1"/>
  <c r="I374" i="1"/>
  <c r="AA214" i="1"/>
  <c r="M387" i="1"/>
  <c r="M179" i="1"/>
  <c r="M501" i="1"/>
  <c r="I22" i="1"/>
  <c r="M251" i="1"/>
  <c r="J313" i="1"/>
  <c r="J310" i="1"/>
  <c r="M338" i="1"/>
  <c r="J437" i="1"/>
  <c r="I137" i="1"/>
  <c r="I238" i="1"/>
  <c r="M66" i="1"/>
  <c r="J106" i="1"/>
  <c r="I511" i="1"/>
  <c r="J274" i="1"/>
  <c r="I103" i="1"/>
  <c r="J42" i="1"/>
  <c r="I324" i="1"/>
  <c r="F463" i="1"/>
  <c r="F9" i="1"/>
  <c r="I161" i="1"/>
  <c r="F59" i="1"/>
  <c r="F225" i="1"/>
  <c r="F203" i="1"/>
  <c r="F167" i="1"/>
  <c r="D16" i="1"/>
  <c r="F125" i="1"/>
  <c r="D445" i="1"/>
  <c r="F414" i="1"/>
  <c r="D389" i="1"/>
  <c r="F513" i="1"/>
  <c r="J295" i="1"/>
  <c r="J130" i="1"/>
  <c r="I501" i="1"/>
  <c r="J509" i="1"/>
  <c r="M164" i="1"/>
  <c r="J211" i="1"/>
  <c r="M430" i="1"/>
  <c r="I122" i="1"/>
  <c r="F459" i="1"/>
  <c r="I349" i="1"/>
  <c r="J184" i="1"/>
  <c r="F292" i="1"/>
  <c r="F445" i="1"/>
  <c r="I276" i="1"/>
  <c r="M147" i="1"/>
  <c r="M453" i="1"/>
  <c r="J490" i="1"/>
  <c r="I40" i="1"/>
  <c r="J443" i="1"/>
  <c r="I231" i="1"/>
  <c r="J298" i="1"/>
  <c r="I452" i="1"/>
  <c r="F359" i="1"/>
  <c r="F162" i="1"/>
  <c r="I417" i="1"/>
  <c r="F444" i="1"/>
  <c r="D182" i="1"/>
  <c r="M255" i="1"/>
  <c r="J186" i="1"/>
  <c r="I199" i="1"/>
  <c r="I495" i="1"/>
  <c r="I481" i="1"/>
  <c r="I95" i="1"/>
  <c r="I105" i="1"/>
  <c r="I221" i="1"/>
  <c r="I400" i="1"/>
  <c r="F90" i="1"/>
  <c r="F5" i="1"/>
  <c r="F72" i="1"/>
  <c r="I57" i="1"/>
  <c r="D53" i="1"/>
  <c r="D84" i="1"/>
  <c r="F423" i="1"/>
  <c r="D315" i="1"/>
  <c r="F273" i="1"/>
  <c r="F126" i="1"/>
  <c r="I146" i="1"/>
  <c r="D201" i="1"/>
  <c r="F462" i="1"/>
  <c r="M449" i="1"/>
  <c r="J200" i="1"/>
  <c r="J283" i="1"/>
  <c r="I168" i="1"/>
  <c r="J195" i="1"/>
  <c r="I359" i="1"/>
  <c r="J116" i="1"/>
  <c r="I93" i="1"/>
  <c r="D340" i="1"/>
  <c r="D4" i="1"/>
  <c r="I106" i="1"/>
  <c r="J507" i="1"/>
  <c r="F483" i="1"/>
  <c r="F400" i="1"/>
  <c r="F367" i="1"/>
  <c r="F354" i="1"/>
  <c r="F261" i="1"/>
  <c r="F321" i="1"/>
  <c r="I274" i="1"/>
  <c r="J201" i="1"/>
  <c r="AA446" i="1"/>
  <c r="M86" i="1"/>
  <c r="AA199" i="1"/>
  <c r="M442" i="1"/>
  <c r="M97" i="1"/>
  <c r="AA463" i="1"/>
  <c r="AA163" i="1"/>
  <c r="M308" i="1"/>
  <c r="AA184" i="1"/>
  <c r="M490" i="1"/>
  <c r="AA416" i="1"/>
  <c r="AA175" i="1"/>
  <c r="M271" i="1"/>
  <c r="AA185" i="1"/>
  <c r="AA269" i="1"/>
  <c r="M339" i="1"/>
  <c r="AA103" i="1"/>
  <c r="M257" i="1"/>
  <c r="M398" i="1"/>
  <c r="J218" i="1"/>
  <c r="J45" i="1"/>
  <c r="I285" i="1"/>
  <c r="I399" i="1"/>
  <c r="M389" i="1"/>
  <c r="M187" i="1"/>
  <c r="M148" i="1"/>
  <c r="J279" i="1"/>
  <c r="M194" i="1"/>
  <c r="AA473" i="1"/>
  <c r="J395" i="1"/>
  <c r="AA392" i="1"/>
  <c r="M36" i="1"/>
  <c r="M436" i="1"/>
  <c r="M136" i="1"/>
  <c r="J333" i="1"/>
  <c r="M344" i="1"/>
  <c r="J57" i="1"/>
  <c r="AA296" i="1"/>
  <c r="M181" i="1"/>
  <c r="AA186" i="1"/>
  <c r="J446" i="1"/>
  <c r="J481" i="1"/>
  <c r="J384" i="1"/>
  <c r="M20" i="1"/>
  <c r="I494" i="1"/>
  <c r="J171" i="1"/>
  <c r="J329" i="1"/>
  <c r="I158" i="1"/>
  <c r="M464" i="1"/>
  <c r="AA317" i="1"/>
  <c r="M341" i="1"/>
  <c r="M50" i="1"/>
  <c r="AA385" i="1"/>
  <c r="J84" i="1"/>
  <c r="M240" i="1"/>
  <c r="J88" i="1"/>
  <c r="M451" i="1"/>
  <c r="I246" i="1"/>
  <c r="AA415" i="1"/>
  <c r="M146" i="1"/>
  <c r="M158" i="1"/>
  <c r="J415" i="1"/>
  <c r="J499" i="1"/>
  <c r="AA504" i="1"/>
  <c r="J111" i="1"/>
  <c r="M280" i="1"/>
  <c r="J365" i="1"/>
  <c r="J386" i="1"/>
  <c r="I263" i="1"/>
  <c r="M208" i="1"/>
  <c r="M371" i="1"/>
  <c r="M429" i="1"/>
  <c r="M273" i="1"/>
  <c r="I479" i="1"/>
  <c r="J438" i="1"/>
  <c r="J242" i="1"/>
  <c r="J336" i="1"/>
  <c r="M412" i="1"/>
  <c r="AA149" i="1"/>
  <c r="M218" i="1"/>
  <c r="J462" i="1"/>
  <c r="J226" i="1"/>
  <c r="J477" i="1"/>
  <c r="I424" i="1"/>
  <c r="J261" i="1"/>
  <c r="I56" i="1"/>
  <c r="J29" i="1"/>
  <c r="J153" i="1"/>
  <c r="F85" i="1"/>
  <c r="F396" i="1"/>
  <c r="I403" i="1"/>
  <c r="J251" i="1"/>
  <c r="F169" i="1"/>
  <c r="D195" i="1"/>
  <c r="D428" i="1"/>
  <c r="D328" i="1"/>
  <c r="F21" i="1"/>
  <c r="F160" i="1"/>
  <c r="D231" i="1"/>
  <c r="D419" i="1"/>
  <c r="I497" i="1"/>
  <c r="M213" i="1"/>
  <c r="J117" i="1"/>
  <c r="J471" i="1"/>
  <c r="I23" i="1"/>
  <c r="J108" i="1"/>
  <c r="I222" i="1"/>
  <c r="J144" i="1"/>
  <c r="I419" i="1"/>
  <c r="D140" i="1"/>
  <c r="I484" i="1"/>
  <c r="I383" i="1"/>
  <c r="F112" i="1"/>
  <c r="F339" i="1"/>
  <c r="AA167" i="1"/>
  <c r="J119" i="1"/>
  <c r="J484" i="1"/>
  <c r="I294" i="1"/>
  <c r="I138" i="1"/>
  <c r="J68" i="1"/>
  <c r="I184" i="1"/>
  <c r="J285" i="1"/>
  <c r="J380" i="1"/>
  <c r="F488" i="1"/>
  <c r="F208" i="1"/>
  <c r="I116" i="1"/>
  <c r="I262" i="1"/>
  <c r="F491" i="1"/>
  <c r="M434" i="1"/>
  <c r="I54" i="1"/>
  <c r="I397" i="1"/>
  <c r="J334" i="1"/>
  <c r="I203" i="1"/>
  <c r="AA378" i="1"/>
  <c r="I477" i="1"/>
  <c r="I234" i="1"/>
  <c r="I205" i="1"/>
  <c r="M24" i="1"/>
  <c r="D285" i="1"/>
  <c r="F182" i="1"/>
  <c r="I299" i="1"/>
  <c r="J325" i="1"/>
  <c r="F43" i="1"/>
  <c r="D61" i="1"/>
  <c r="D156" i="1"/>
  <c r="D335" i="1"/>
  <c r="D249" i="1"/>
  <c r="J61" i="1"/>
  <c r="D116" i="1"/>
  <c r="AA247" i="1"/>
  <c r="J96" i="1"/>
  <c r="J213" i="1"/>
  <c r="I462" i="1"/>
  <c r="I25" i="1"/>
  <c r="I206" i="1"/>
  <c r="I312" i="1"/>
  <c r="J284" i="1"/>
  <c r="J21" i="1"/>
  <c r="F299" i="1"/>
  <c r="F369" i="1"/>
  <c r="I372" i="1"/>
  <c r="I183" i="1"/>
  <c r="F285" i="1"/>
  <c r="F276" i="1"/>
  <c r="F241" i="1"/>
  <c r="D171" i="1"/>
  <c r="F471" i="1"/>
  <c r="D431" i="1"/>
  <c r="J408" i="1"/>
  <c r="AA479" i="1"/>
  <c r="M106" i="1"/>
  <c r="AA224" i="1"/>
  <c r="AA462" i="1"/>
  <c r="M333" i="1"/>
  <c r="AA488" i="1"/>
  <c r="AA372" i="1"/>
  <c r="M463" i="1"/>
  <c r="AA390" i="1"/>
  <c r="M319" i="1"/>
  <c r="AA106" i="1"/>
  <c r="AA200" i="1"/>
  <c r="M61" i="1"/>
  <c r="AA370" i="1"/>
  <c r="M246" i="1"/>
  <c r="M149" i="1"/>
  <c r="AA128" i="1"/>
  <c r="M441" i="1"/>
  <c r="AA192" i="1"/>
  <c r="J139" i="1"/>
  <c r="J396" i="1"/>
  <c r="I507" i="1"/>
  <c r="AA113" i="1"/>
  <c r="M348" i="1"/>
  <c r="J302" i="1"/>
  <c r="M237" i="1"/>
  <c r="J256" i="1"/>
  <c r="M431" i="1"/>
  <c r="M298" i="1"/>
  <c r="J421" i="1"/>
  <c r="AA474" i="1"/>
  <c r="M388" i="1"/>
  <c r="M193" i="1"/>
  <c r="M124" i="1"/>
  <c r="I278" i="1"/>
  <c r="M497" i="1"/>
  <c r="J228" i="1"/>
  <c r="M305" i="1"/>
  <c r="M216" i="1"/>
  <c r="AA437" i="1"/>
  <c r="J287" i="1"/>
  <c r="J410" i="1"/>
  <c r="J452" i="1"/>
  <c r="J456" i="1"/>
  <c r="M302" i="1"/>
  <c r="J237" i="1"/>
  <c r="J258" i="1"/>
  <c r="I135" i="1"/>
  <c r="J177" i="1"/>
  <c r="AA436" i="1"/>
  <c r="M483" i="1"/>
  <c r="M373" i="1"/>
  <c r="M466" i="1"/>
  <c r="J461" i="1"/>
  <c r="M233" i="1"/>
  <c r="J185" i="1"/>
  <c r="M252" i="1"/>
  <c r="M8" i="1"/>
  <c r="M294" i="1"/>
  <c r="M491" i="1"/>
  <c r="M178" i="1"/>
  <c r="AA506" i="1"/>
  <c r="J404" i="1"/>
  <c r="M210" i="1"/>
  <c r="J152" i="1"/>
  <c r="M309" i="1"/>
  <c r="AA460" i="1"/>
  <c r="J307" i="1"/>
  <c r="I216" i="1"/>
  <c r="M279" i="1"/>
  <c r="M172" i="1"/>
  <c r="M413" i="1"/>
  <c r="J196" i="1"/>
  <c r="M174" i="1"/>
  <c r="J379" i="1"/>
  <c r="J163" i="1"/>
  <c r="J356" i="1"/>
  <c r="J326" i="1"/>
  <c r="J72" i="1"/>
  <c r="AA459" i="1"/>
  <c r="J257" i="1"/>
  <c r="I487" i="1"/>
  <c r="I207" i="1"/>
  <c r="I281" i="1"/>
  <c r="I162" i="1"/>
  <c r="I210" i="1"/>
  <c r="I422" i="1"/>
  <c r="I437" i="1"/>
  <c r="F496" i="1"/>
  <c r="D85" i="1"/>
  <c r="F259" i="1"/>
  <c r="I328" i="1"/>
  <c r="F370" i="1"/>
  <c r="F10" i="1"/>
  <c r="D380" i="1"/>
  <c r="D96" i="1"/>
  <c r="F448" i="1"/>
  <c r="D146" i="1"/>
  <c r="D387" i="1"/>
  <c r="D118" i="1"/>
  <c r="D187" i="1"/>
  <c r="AA226" i="1"/>
  <c r="M345" i="1"/>
  <c r="J362" i="1"/>
  <c r="I466" i="1"/>
  <c r="J402" i="1"/>
  <c r="I167" i="1"/>
  <c r="J170" i="1"/>
  <c r="I388" i="1"/>
  <c r="F358" i="1"/>
  <c r="F249" i="1"/>
  <c r="I289" i="1"/>
  <c r="F142" i="1"/>
  <c r="D20" i="1"/>
  <c r="M402" i="1"/>
  <c r="J122" i="1"/>
  <c r="I71" i="1"/>
  <c r="I335" i="1"/>
  <c r="I409" i="1"/>
  <c r="I31" i="1"/>
  <c r="I41" i="1"/>
  <c r="I242" i="1"/>
  <c r="I272" i="1"/>
  <c r="F378" i="1"/>
  <c r="F84" i="1"/>
  <c r="F181" i="1"/>
  <c r="I258" i="1"/>
  <c r="D172" i="1"/>
  <c r="AA301" i="1"/>
  <c r="M467" i="1"/>
  <c r="I59" i="1"/>
  <c r="J337" i="1"/>
  <c r="I172" i="1"/>
  <c r="J212" i="1"/>
  <c r="I347" i="1"/>
  <c r="I448" i="1"/>
  <c r="I468" i="1"/>
  <c r="I447" i="1"/>
  <c r="F236" i="1"/>
  <c r="D268" i="1"/>
  <c r="I485" i="1"/>
  <c r="I464" i="1"/>
  <c r="D35" i="1"/>
  <c r="D240" i="1"/>
  <c r="D346" i="1"/>
  <c r="F421" i="1"/>
  <c r="D281" i="1"/>
  <c r="I164" i="1"/>
  <c r="D283" i="1"/>
  <c r="M37" i="1"/>
  <c r="J506" i="1"/>
  <c r="I391" i="1"/>
  <c r="I426" i="1"/>
  <c r="I314" i="1"/>
  <c r="I159" i="1"/>
  <c r="I169" i="1"/>
  <c r="I47" i="1"/>
  <c r="I489" i="1"/>
  <c r="D291" i="1"/>
  <c r="F22" i="1"/>
  <c r="F73" i="1"/>
  <c r="I185" i="1"/>
  <c r="F123" i="1"/>
  <c r="D366" i="1"/>
  <c r="D244" i="1"/>
  <c r="F248" i="1"/>
  <c r="D243" i="1"/>
  <c r="D395" i="1"/>
  <c r="J306" i="1"/>
  <c r="AA381" i="1"/>
  <c r="AA442" i="1"/>
  <c r="M346" i="1"/>
  <c r="AA375" i="1"/>
  <c r="AA213" i="1"/>
  <c r="M99" i="1"/>
  <c r="AA112" i="1"/>
  <c r="M254" i="1"/>
  <c r="M39" i="1"/>
  <c r="M478" i="1"/>
  <c r="M469" i="1"/>
  <c r="AA508" i="1"/>
  <c r="M130" i="1"/>
  <c r="AA254" i="1"/>
  <c r="AA173" i="1"/>
  <c r="AA486" i="1"/>
  <c r="M250" i="1"/>
  <c r="M116" i="1"/>
  <c r="J448" i="1"/>
  <c r="J399" i="1"/>
  <c r="J66" i="1"/>
  <c r="I476" i="1"/>
  <c r="AA238" i="1"/>
  <c r="M514" i="1"/>
  <c r="AA169" i="1"/>
  <c r="J318" i="1"/>
  <c r="J353" i="1"/>
  <c r="J246" i="1"/>
  <c r="M505" i="1"/>
  <c r="I366" i="1"/>
  <c r="AA447" i="1"/>
  <c r="M235" i="1"/>
  <c r="M409" i="1"/>
  <c r="J54" i="1"/>
  <c r="AA409" i="1"/>
  <c r="J207" i="1"/>
  <c r="J498" i="1"/>
  <c r="AA403" i="1"/>
  <c r="M177" i="1"/>
  <c r="M248" i="1"/>
  <c r="AA344" i="1"/>
  <c r="J331" i="1"/>
  <c r="M47" i="1"/>
  <c r="J24" i="1"/>
  <c r="M397" i="1"/>
  <c r="I182" i="1"/>
  <c r="J179" i="1"/>
  <c r="I88" i="1"/>
  <c r="J27" i="1"/>
  <c r="AA397" i="1"/>
  <c r="M391" i="1"/>
  <c r="M500" i="1"/>
  <c r="M153" i="1"/>
  <c r="I406" i="1"/>
  <c r="J78" i="1"/>
  <c r="J114" i="1"/>
  <c r="J335" i="1"/>
  <c r="M472" i="1"/>
  <c r="AA204" i="1"/>
  <c r="M141" i="1"/>
  <c r="M512" i="1"/>
  <c r="M9" i="1"/>
  <c r="J156" i="1"/>
  <c r="M484" i="1"/>
  <c r="J249" i="1"/>
  <c r="J134" i="1"/>
  <c r="M42" i="1"/>
  <c r="J373" i="1"/>
  <c r="I73" i="1"/>
  <c r="M312" i="1"/>
  <c r="J110" i="1"/>
  <c r="M197" i="1"/>
  <c r="J64" i="1"/>
  <c r="M244" i="1"/>
  <c r="M278" i="1"/>
  <c r="J229" i="1"/>
  <c r="J513" i="1"/>
  <c r="J376" i="1"/>
  <c r="J98" i="1"/>
  <c r="AA280" i="1"/>
  <c r="J109" i="1"/>
  <c r="I344" i="1"/>
  <c r="M481" i="1"/>
  <c r="I413" i="1"/>
  <c r="I415" i="1"/>
  <c r="I425" i="1"/>
  <c r="I303" i="1"/>
  <c r="I385" i="1"/>
  <c r="F316" i="1"/>
  <c r="F271" i="1"/>
  <c r="D68" i="1"/>
  <c r="I154" i="1"/>
  <c r="J409" i="1"/>
  <c r="F341" i="1"/>
  <c r="D65" i="1"/>
  <c r="D398" i="1"/>
  <c r="F175" i="1"/>
  <c r="F362" i="1"/>
  <c r="F152" i="1"/>
  <c r="D154" i="1"/>
  <c r="AA421" i="1"/>
  <c r="J23" i="1"/>
  <c r="J482" i="1"/>
  <c r="I166" i="1"/>
  <c r="I488" i="1"/>
  <c r="J389" i="1"/>
  <c r="I120" i="1"/>
  <c r="J157" i="1"/>
  <c r="J82" i="1"/>
  <c r="F238" i="1"/>
  <c r="F317" i="1"/>
  <c r="I229" i="1"/>
  <c r="J317" i="1"/>
  <c r="F279" i="1"/>
  <c r="M414" i="1"/>
  <c r="J493" i="1"/>
  <c r="I505" i="1"/>
  <c r="M300" i="1"/>
  <c r="I139" i="1"/>
  <c r="I506" i="1"/>
  <c r="I394" i="1"/>
  <c r="I431" i="1"/>
  <c r="I50" i="1"/>
  <c r="F128" i="1"/>
  <c r="D404" i="1"/>
  <c r="F75" i="1"/>
  <c r="I171" i="1"/>
  <c r="J259" i="1"/>
  <c r="J141" i="1"/>
  <c r="J168" i="1"/>
  <c r="I220" i="1"/>
  <c r="J187" i="1"/>
  <c r="I309" i="1"/>
  <c r="J34" i="1"/>
  <c r="I316" i="1"/>
  <c r="I305" i="1"/>
  <c r="F327" i="1"/>
  <c r="I461" i="1"/>
  <c r="D246" i="1"/>
  <c r="F185" i="1"/>
  <c r="F458" i="1"/>
  <c r="I51" i="1"/>
  <c r="J25" i="1"/>
  <c r="F28" i="1"/>
  <c r="F218" i="1"/>
  <c r="D217" i="1"/>
  <c r="D289" i="1"/>
  <c r="F346" i="1"/>
  <c r="F15" i="1"/>
  <c r="M281" i="1"/>
  <c r="I118" i="1"/>
  <c r="I201" i="1"/>
  <c r="J151" i="1"/>
  <c r="I267" i="1"/>
  <c r="M406" i="1"/>
  <c r="I114" i="1"/>
  <c r="I301" i="1"/>
  <c r="I115" i="1"/>
  <c r="M479" i="1"/>
  <c r="F355" i="1"/>
  <c r="F460" i="1"/>
  <c r="I427" i="1"/>
  <c r="I270" i="1"/>
  <c r="F102" i="1"/>
  <c r="F156" i="1"/>
  <c r="D192" i="1"/>
  <c r="D296" i="1"/>
  <c r="D409" i="1"/>
  <c r="M358" i="1"/>
  <c r="M94" i="1"/>
  <c r="M189" i="1"/>
  <c r="AA400" i="1"/>
  <c r="M72" i="1"/>
  <c r="AA118" i="1"/>
  <c r="AA259" i="1"/>
  <c r="AA294" i="1"/>
  <c r="M58" i="1"/>
  <c r="M498" i="1"/>
  <c r="AA380" i="1"/>
  <c r="AA282" i="1"/>
  <c r="M459" i="1"/>
  <c r="AA287" i="1"/>
  <c r="M48" i="1"/>
  <c r="AA337" i="1"/>
  <c r="AA270" i="1"/>
  <c r="M283" i="1"/>
  <c r="M19" i="1"/>
  <c r="AA156" i="1"/>
  <c r="J276" i="1"/>
  <c r="M82" i="1"/>
  <c r="M232" i="1"/>
  <c r="AA130" i="1"/>
  <c r="AA109" i="1"/>
  <c r="J159" i="1"/>
  <c r="J282" i="1"/>
  <c r="J495" i="1"/>
  <c r="J270" i="1"/>
  <c r="AA404" i="1"/>
  <c r="M277" i="1"/>
  <c r="M381" i="1"/>
  <c r="M260" i="1"/>
  <c r="J375" i="1"/>
  <c r="M43" i="1"/>
  <c r="AA194" i="1"/>
  <c r="J180" i="1"/>
  <c r="AA481" i="1"/>
  <c r="M321" i="1"/>
  <c r="M228" i="1"/>
  <c r="M170" i="1"/>
  <c r="J397" i="1"/>
  <c r="M269" i="1"/>
  <c r="J121" i="1"/>
  <c r="M212" i="1"/>
  <c r="M318" i="1"/>
  <c r="J245" i="1"/>
  <c r="I330" i="1"/>
  <c r="I38" i="1"/>
  <c r="AA493" i="1"/>
  <c r="M421" i="1"/>
  <c r="M433" i="1"/>
  <c r="J390" i="1"/>
  <c r="AA108" i="1"/>
  <c r="J407" i="1"/>
  <c r="J35" i="1"/>
  <c r="J312" i="1"/>
  <c r="M404" i="1"/>
  <c r="M374" i="1"/>
  <c r="M109" i="1"/>
  <c r="M205" i="1"/>
  <c r="M265" i="1"/>
  <c r="I470" i="1"/>
  <c r="J262" i="1"/>
  <c r="J178" i="1"/>
  <c r="J431" i="1"/>
  <c r="M335" i="1"/>
  <c r="AA240" i="1"/>
  <c r="M32" i="1"/>
  <c r="AA432" i="1"/>
  <c r="AA511" i="1"/>
  <c r="J126" i="1"/>
  <c r="J161" i="1"/>
  <c r="M455" i="1"/>
  <c r="M376" i="1"/>
  <c r="I174" i="1"/>
  <c r="J442" i="1"/>
  <c r="J420" i="1"/>
  <c r="J85" i="1"/>
  <c r="J190" i="1"/>
  <c r="M4" i="1"/>
  <c r="I253" i="1"/>
  <c r="J92" i="1"/>
  <c r="I181" i="1"/>
  <c r="M289" i="1"/>
  <c r="I155" i="1"/>
  <c r="I256" i="1"/>
  <c r="I84" i="1"/>
  <c r="J123" i="1"/>
  <c r="F41" i="1"/>
  <c r="F497" i="1"/>
  <c r="I396" i="1"/>
  <c r="I80" i="1"/>
  <c r="F233" i="1"/>
  <c r="D284" i="1"/>
  <c r="D353" i="1"/>
  <c r="D174" i="1"/>
  <c r="F308" i="1"/>
  <c r="I473" i="1"/>
  <c r="D491" i="1"/>
  <c r="J71" i="1"/>
  <c r="J308" i="1"/>
  <c r="I389" i="1"/>
  <c r="I271" i="1"/>
  <c r="I345" i="1"/>
  <c r="I490" i="1"/>
  <c r="I482" i="1"/>
  <c r="I510" i="1"/>
  <c r="I144" i="1"/>
  <c r="F409" i="1"/>
  <c r="F211" i="1"/>
  <c r="F260" i="1"/>
  <c r="I456" i="1"/>
  <c r="F350" i="1"/>
  <c r="J360" i="1"/>
  <c r="M471" i="1"/>
  <c r="I250" i="1"/>
  <c r="J209" i="1"/>
  <c r="I108" i="1"/>
  <c r="J247" i="1"/>
  <c r="I283" i="1"/>
  <c r="I384" i="1"/>
  <c r="I340" i="1"/>
  <c r="I134" i="1"/>
  <c r="F363" i="1"/>
  <c r="D67" i="1"/>
  <c r="I157" i="1"/>
  <c r="I336" i="1"/>
  <c r="M215" i="1"/>
  <c r="J322" i="1"/>
  <c r="AA304" i="1"/>
  <c r="I198" i="1"/>
  <c r="M337" i="1"/>
  <c r="J460" i="1"/>
  <c r="M57" i="1"/>
  <c r="I35" i="1"/>
  <c r="F253" i="1"/>
  <c r="I259" i="1"/>
  <c r="J210" i="1"/>
  <c r="F104" i="1"/>
  <c r="F447" i="1"/>
  <c r="I45" i="1"/>
  <c r="I235" i="1"/>
  <c r="D506" i="1"/>
  <c r="I373" i="1"/>
  <c r="D501" i="1"/>
  <c r="D228" i="1"/>
  <c r="F23" i="1"/>
  <c r="F230" i="1"/>
  <c r="M307" i="1"/>
  <c r="M432" i="1"/>
  <c r="I123" i="1"/>
  <c r="J465" i="1"/>
  <c r="I236" i="1"/>
  <c r="J136" i="1"/>
  <c r="I411" i="1"/>
  <c r="I512" i="1"/>
  <c r="I109" i="1"/>
  <c r="I119" i="1"/>
  <c r="F157" i="1"/>
  <c r="D149" i="1"/>
  <c r="F387" i="1"/>
  <c r="I290" i="1"/>
  <c r="D236" i="1"/>
  <c r="D73" i="1"/>
  <c r="D22" i="1"/>
  <c r="F194" i="1"/>
  <c r="M394" i="1"/>
  <c r="J160" i="1"/>
  <c r="J469" i="1"/>
  <c r="AA155" i="1"/>
  <c r="J199" i="1"/>
  <c r="AA261" i="1"/>
  <c r="AA440" i="1"/>
  <c r="AA183" i="1"/>
  <c r="I386" i="1"/>
  <c r="M159" i="1"/>
  <c r="J320" i="1"/>
  <c r="M424" i="1"/>
  <c r="J485" i="1"/>
  <c r="M420" i="1"/>
  <c r="J231" i="1"/>
  <c r="I79" i="1"/>
  <c r="J472" i="1"/>
  <c r="J385" i="1"/>
  <c r="M199" i="1"/>
  <c r="J99" i="1"/>
  <c r="AA507" i="1"/>
  <c r="J90" i="1"/>
  <c r="J403" i="1"/>
  <c r="J143" i="1"/>
  <c r="J233" i="1"/>
  <c r="I288" i="1"/>
  <c r="I449" i="1"/>
  <c r="D304" i="1"/>
  <c r="AA363" i="1"/>
  <c r="I75" i="1"/>
  <c r="I186" i="1"/>
  <c r="I43" i="1"/>
  <c r="I92" i="1"/>
  <c r="I252" i="1"/>
  <c r="D44" i="1"/>
  <c r="J296" i="1"/>
  <c r="J217" i="1"/>
  <c r="F147" i="1"/>
  <c r="F133" i="1"/>
  <c r="I509" i="1"/>
  <c r="J453" i="1"/>
  <c r="J315" i="1"/>
  <c r="I369" i="1"/>
  <c r="F478" i="1"/>
  <c r="F479" i="1"/>
  <c r="M435" i="1"/>
  <c r="I329" i="1"/>
  <c r="J400" i="1"/>
  <c r="I331" i="1"/>
  <c r="M301" i="1"/>
  <c r="I410" i="1"/>
  <c r="I64" i="1"/>
  <c r="I243" i="1"/>
  <c r="J176" i="1"/>
  <c r="F228" i="1"/>
  <c r="F381" i="1"/>
  <c r="I381" i="1"/>
  <c r="I346" i="1"/>
  <c r="F428" i="1"/>
  <c r="D280" i="1"/>
  <c r="D361" i="1"/>
  <c r="D129" i="1"/>
  <c r="D58" i="1"/>
  <c r="I96" i="1"/>
  <c r="J227" i="1"/>
  <c r="I126" i="1"/>
  <c r="J433" i="1"/>
  <c r="I343" i="1"/>
  <c r="J476" i="1"/>
  <c r="I514" i="1"/>
  <c r="J369" i="1"/>
  <c r="I196" i="1"/>
  <c r="F453" i="1"/>
  <c r="F117" i="1"/>
  <c r="I170" i="1"/>
  <c r="D108" i="1"/>
  <c r="F410" i="1"/>
  <c r="D196" i="1"/>
  <c r="D341" i="1"/>
  <c r="D226" i="1"/>
  <c r="D59" i="1"/>
  <c r="F82" i="1"/>
  <c r="D265" i="1"/>
  <c r="I286" i="1"/>
  <c r="D204" i="1"/>
  <c r="F141" i="1"/>
  <c r="D107" i="1"/>
  <c r="F154" i="1"/>
  <c r="F166" i="1"/>
  <c r="F315" i="1"/>
  <c r="D242" i="1"/>
  <c r="D210" i="1"/>
  <c r="D10" i="1"/>
  <c r="D454" i="1"/>
  <c r="I351" i="1"/>
  <c r="J432" i="1"/>
  <c r="D302" i="1"/>
  <c r="D36" i="1"/>
  <c r="D184" i="1"/>
  <c r="D257" i="1"/>
  <c r="D87" i="1"/>
  <c r="F111" i="1"/>
  <c r="D423" i="1"/>
  <c r="AA348" i="1"/>
  <c r="AA374" i="1"/>
  <c r="AA470" i="1"/>
  <c r="AA491" i="1"/>
  <c r="AA208" i="1"/>
  <c r="I471" i="1"/>
  <c r="M171" i="1"/>
  <c r="J292" i="1"/>
  <c r="J382" i="1"/>
  <c r="I430" i="1"/>
  <c r="J206" i="1"/>
  <c r="J224" i="1"/>
  <c r="AA221" i="1"/>
  <c r="J33" i="1"/>
  <c r="J314" i="1"/>
  <c r="M44" i="1"/>
  <c r="J165" i="1"/>
  <c r="AA134" i="1"/>
  <c r="J428" i="1"/>
  <c r="J429" i="1"/>
  <c r="J348" i="1"/>
  <c r="J83" i="1"/>
  <c r="I74" i="1"/>
  <c r="I148" i="1"/>
  <c r="F284" i="1"/>
  <c r="J31" i="1"/>
  <c r="I44" i="1"/>
  <c r="I212" i="1"/>
  <c r="I37" i="1"/>
  <c r="F323" i="1"/>
  <c r="M393" i="1"/>
  <c r="J281" i="1"/>
  <c r="M191" i="1"/>
  <c r="J67" i="1"/>
  <c r="D139" i="1"/>
  <c r="F27" i="1"/>
  <c r="F19" i="1"/>
  <c r="J445" i="1"/>
  <c r="I310" i="1"/>
  <c r="I99" i="1"/>
  <c r="F105" i="1"/>
  <c r="D459" i="1"/>
  <c r="J43" i="1"/>
  <c r="I251" i="1"/>
  <c r="J412" i="1"/>
  <c r="I300" i="1"/>
  <c r="J264" i="1"/>
  <c r="I475" i="1"/>
  <c r="I226" i="1"/>
  <c r="I357" i="1"/>
  <c r="I375" i="1"/>
  <c r="F48" i="1"/>
  <c r="F275" i="1"/>
  <c r="F324" i="1"/>
  <c r="I65" i="1"/>
  <c r="D117" i="1"/>
  <c r="D178" i="1"/>
  <c r="D102" i="1"/>
  <c r="D436" i="1"/>
  <c r="D372" i="1"/>
  <c r="F3" i="1"/>
  <c r="M379" i="1"/>
  <c r="J169" i="1"/>
  <c r="J344" i="1"/>
  <c r="AA396" i="1"/>
  <c r="J440" i="1"/>
  <c r="AA189" i="1"/>
  <c r="AA299" i="1"/>
  <c r="J208" i="1"/>
  <c r="J324" i="1"/>
  <c r="AA298" i="1"/>
  <c r="J464" i="1"/>
  <c r="AA483" i="1"/>
  <c r="I342" i="1"/>
  <c r="M504" i="1"/>
  <c r="AA258" i="1"/>
  <c r="M12" i="1"/>
  <c r="J343" i="1"/>
  <c r="J328" i="1"/>
  <c r="J467" i="1"/>
  <c r="J230" i="1"/>
  <c r="J183" i="1"/>
  <c r="J387" i="1"/>
  <c r="I443" i="1"/>
  <c r="I124" i="1"/>
  <c r="F510" i="1"/>
  <c r="F254" i="1"/>
  <c r="D229" i="1"/>
  <c r="J173" i="1"/>
  <c r="I98" i="1"/>
  <c r="F237" i="1"/>
  <c r="J338" i="1"/>
  <c r="J59" i="1"/>
  <c r="I241" i="1"/>
  <c r="F439" i="1"/>
  <c r="J309" i="1"/>
  <c r="I414" i="1"/>
  <c r="I405" i="1"/>
  <c r="F353" i="1"/>
  <c r="D494" i="1"/>
  <c r="I86" i="1"/>
  <c r="I21" i="1"/>
  <c r="F489" i="1"/>
  <c r="D132" i="1"/>
  <c r="F16" i="1"/>
  <c r="AA322" i="1"/>
  <c r="I348" i="1"/>
  <c r="J300" i="1"/>
  <c r="F451" i="1"/>
  <c r="J290" i="1"/>
  <c r="I444" i="1"/>
  <c r="I433" i="1"/>
  <c r="F366" i="1"/>
  <c r="I273" i="1"/>
  <c r="F507" i="1"/>
  <c r="D267" i="1"/>
  <c r="D13" i="1"/>
  <c r="I307" i="1"/>
  <c r="I438" i="1"/>
  <c r="D91" i="1"/>
  <c r="F14" i="1"/>
  <c r="D464" i="1"/>
  <c r="D14" i="1"/>
  <c r="M419" i="1"/>
  <c r="J65" i="1"/>
  <c r="I30" i="1"/>
  <c r="I453" i="1"/>
  <c r="I153" i="1"/>
  <c r="I398" i="1"/>
  <c r="I440" i="1"/>
  <c r="I230" i="1"/>
  <c r="I63" i="1"/>
  <c r="F93" i="1"/>
  <c r="D3" i="1"/>
  <c r="I149" i="1"/>
  <c r="I72" i="1"/>
  <c r="F7" i="1"/>
  <c r="F88" i="1"/>
  <c r="F393" i="1"/>
  <c r="D371" i="1"/>
  <c r="F188" i="1"/>
  <c r="D225" i="1"/>
  <c r="D27" i="1"/>
  <c r="I217" i="1"/>
  <c r="I200" i="1"/>
  <c r="F440" i="1"/>
  <c r="F122" i="1"/>
  <c r="D368" i="1"/>
  <c r="F334" i="1"/>
  <c r="D385" i="1"/>
  <c r="I491" i="1"/>
  <c r="D234" i="1"/>
  <c r="D467" i="1"/>
  <c r="D433" i="1"/>
  <c r="I239" i="1"/>
  <c r="F420" i="1"/>
  <c r="F375" i="1"/>
  <c r="M101" i="1"/>
  <c r="D262" i="1"/>
  <c r="I317" i="1"/>
  <c r="D209" i="1"/>
  <c r="F465" i="1"/>
  <c r="D241" i="1"/>
  <c r="D317" i="1"/>
  <c r="I218" i="1"/>
  <c r="F40" i="1"/>
  <c r="D162" i="1"/>
  <c r="D64" i="1"/>
  <c r="D508" i="1"/>
  <c r="F467" i="1"/>
  <c r="F192" i="1"/>
  <c r="D142" i="1"/>
  <c r="D379" i="1"/>
  <c r="D230" i="1"/>
  <c r="D417" i="1"/>
  <c r="J105" i="1"/>
  <c r="I321" i="1"/>
  <c r="D408" i="1"/>
  <c r="D165" i="1"/>
  <c r="J383" i="1"/>
  <c r="AA196" i="1"/>
  <c r="AA290" i="1"/>
  <c r="M166" i="1"/>
  <c r="M366" i="1"/>
  <c r="J234" i="1"/>
  <c r="M446" i="1"/>
  <c r="AA271" i="1"/>
  <c r="J417" i="1"/>
  <c r="AA250" i="1"/>
  <c r="AA292" i="1"/>
  <c r="M263" i="1"/>
  <c r="J478" i="1"/>
  <c r="M285" i="1"/>
  <c r="J352" i="1"/>
  <c r="J388" i="1"/>
  <c r="J449" i="1"/>
  <c r="M274" i="1"/>
  <c r="AA162" i="1"/>
  <c r="J450" i="1"/>
  <c r="I117" i="1"/>
  <c r="AA386" i="1"/>
  <c r="M3" i="1"/>
  <c r="I293" i="1"/>
  <c r="D441" i="1"/>
  <c r="M204" i="1"/>
  <c r="J280" i="1"/>
  <c r="J189" i="1"/>
  <c r="I208" i="1"/>
  <c r="I70" i="1"/>
  <c r="I450" i="1"/>
  <c r="F213" i="1"/>
  <c r="J47" i="1"/>
  <c r="I295" i="1"/>
  <c r="F183" i="1"/>
  <c r="F509" i="1"/>
  <c r="D89" i="1"/>
  <c r="M511" i="1"/>
  <c r="J374" i="1"/>
  <c r="F144" i="1"/>
  <c r="F282" i="1"/>
  <c r="I368" i="1"/>
  <c r="M223" i="1"/>
  <c r="M293" i="1"/>
  <c r="I390" i="1"/>
  <c r="J167" i="1"/>
  <c r="J277" i="1"/>
  <c r="M403" i="1"/>
  <c r="I163" i="1"/>
  <c r="F145" i="1"/>
  <c r="I133" i="1"/>
  <c r="J197" i="1"/>
  <c r="F74" i="1"/>
  <c r="F306" i="1"/>
  <c r="I493" i="1"/>
  <c r="I420" i="1"/>
  <c r="D397" i="1"/>
  <c r="I81" i="1"/>
  <c r="D120" i="1"/>
  <c r="D310" i="1"/>
  <c r="M287" i="1"/>
  <c r="J107" i="1"/>
  <c r="I24" i="1"/>
  <c r="M46" i="1"/>
  <c r="I90" i="1"/>
  <c r="I287" i="1"/>
  <c r="M15" i="1"/>
  <c r="AA152" i="1"/>
  <c r="M226" i="1"/>
  <c r="AA181" i="1"/>
  <c r="M31" i="1"/>
  <c r="AA367" i="1"/>
  <c r="J269" i="1"/>
  <c r="M343" i="1"/>
  <c r="J398" i="1"/>
  <c r="M336" i="1"/>
  <c r="J303" i="1"/>
  <c r="J182" i="1"/>
  <c r="J494" i="1"/>
  <c r="M161" i="1"/>
  <c r="AA501" i="1"/>
  <c r="M364" i="1"/>
  <c r="J439" i="1"/>
  <c r="M286" i="1"/>
  <c r="J215" i="1"/>
  <c r="I327" i="1"/>
  <c r="J381" i="1"/>
  <c r="I26" i="1"/>
  <c r="F419" i="1"/>
  <c r="D56" i="1"/>
  <c r="D75" i="1"/>
  <c r="I58" i="1"/>
  <c r="I219" i="1"/>
  <c r="F130" i="1"/>
  <c r="AA340" i="1"/>
  <c r="M487" i="1"/>
  <c r="F332" i="1"/>
  <c r="F336" i="1"/>
  <c r="J155" i="1"/>
  <c r="J426" i="1"/>
  <c r="I354" i="1"/>
  <c r="F174" i="1"/>
  <c r="F226" i="1"/>
  <c r="J514" i="1"/>
  <c r="J149" i="1"/>
  <c r="I387" i="1"/>
  <c r="I165" i="1"/>
  <c r="D159" i="1"/>
  <c r="I62" i="1"/>
  <c r="J124" i="1"/>
  <c r="I232" i="1"/>
  <c r="J323" i="1"/>
  <c r="I423" i="1"/>
  <c r="J91" i="1"/>
  <c r="AA387" i="1"/>
  <c r="D221" i="1"/>
  <c r="D62" i="1"/>
  <c r="I469" i="1"/>
  <c r="J392" i="1"/>
  <c r="F356" i="1"/>
  <c r="F374" i="1"/>
  <c r="F108" i="1"/>
  <c r="D500" i="1"/>
  <c r="F335" i="1"/>
  <c r="D336" i="1"/>
  <c r="D202" i="1"/>
  <c r="J79" i="1"/>
  <c r="J502" i="1"/>
  <c r="I315" i="1"/>
  <c r="J138" i="1"/>
  <c r="I364" i="1"/>
  <c r="J188" i="1"/>
  <c r="I261" i="1"/>
  <c r="I189" i="1"/>
  <c r="F131" i="1"/>
  <c r="I32" i="1"/>
  <c r="F49" i="1"/>
  <c r="F148" i="1"/>
  <c r="F245" i="1"/>
  <c r="I193" i="1"/>
  <c r="F187" i="1"/>
  <c r="D384" i="1"/>
  <c r="J74" i="1"/>
  <c r="D38" i="1"/>
  <c r="F219" i="1"/>
  <c r="F373" i="1"/>
  <c r="I334" i="1"/>
  <c r="F127" i="1"/>
  <c r="D269" i="1"/>
  <c r="F95" i="1"/>
  <c r="D443" i="1"/>
  <c r="I225" i="1"/>
  <c r="D376" i="1"/>
  <c r="F274" i="1"/>
  <c r="F480" i="1"/>
  <c r="D405" i="1"/>
  <c r="I152" i="1"/>
  <c r="F343" i="1"/>
  <c r="D232" i="1"/>
  <c r="D103" i="1"/>
  <c r="D307" i="1"/>
  <c r="D12" i="1"/>
  <c r="F109" i="1"/>
  <c r="D481" i="1"/>
  <c r="D457" i="1"/>
  <c r="D511" i="1"/>
  <c r="D453" i="1"/>
  <c r="M156" i="1"/>
  <c r="I455" i="1"/>
  <c r="D512" i="1"/>
  <c r="F115" i="1"/>
  <c r="D17" i="1"/>
  <c r="D80" i="1"/>
  <c r="D48" i="1"/>
  <c r="D150" i="1"/>
  <c r="D448" i="1"/>
  <c r="D253" i="1"/>
  <c r="J128" i="1"/>
  <c r="F132" i="1"/>
  <c r="I353" i="1"/>
  <c r="D30" i="1"/>
  <c r="M11" i="1"/>
  <c r="M454" i="1"/>
  <c r="AA222" i="1"/>
  <c r="M154" i="1"/>
  <c r="J118" i="1"/>
  <c r="M131" i="1"/>
  <c r="AA429" i="1"/>
  <c r="J366" i="1"/>
  <c r="M83" i="1"/>
  <c r="M355" i="1"/>
  <c r="J50" i="1"/>
  <c r="I457" i="1"/>
  <c r="M443" i="1"/>
  <c r="J101" i="1"/>
  <c r="M507" i="1"/>
  <c r="J503" i="1"/>
  <c r="J463" i="1"/>
  <c r="J140" i="1"/>
  <c r="AA137" i="1"/>
  <c r="J225" i="1"/>
  <c r="I492" i="1"/>
  <c r="F53" i="1"/>
  <c r="F137" i="1"/>
  <c r="I209" i="1"/>
  <c r="D495" i="1"/>
  <c r="M465" i="1"/>
  <c r="I367" i="1"/>
  <c r="D326" i="1"/>
  <c r="J104" i="1"/>
  <c r="J489" i="1"/>
  <c r="I42" i="1"/>
  <c r="I194" i="1"/>
  <c r="I151" i="1"/>
  <c r="I325" i="1"/>
  <c r="F106" i="1"/>
  <c r="D365" i="1"/>
  <c r="F63" i="1"/>
  <c r="I284" i="1"/>
  <c r="I380" i="1"/>
  <c r="F51" i="1"/>
  <c r="J475" i="1"/>
  <c r="M113" i="1"/>
  <c r="J41" i="1"/>
  <c r="I418" i="1"/>
  <c r="I89" i="1"/>
  <c r="I318" i="1"/>
  <c r="I376" i="1"/>
  <c r="I102" i="1"/>
  <c r="I446" i="1"/>
  <c r="F172" i="1"/>
  <c r="F434" i="1"/>
  <c r="I500" i="1"/>
  <c r="I439" i="1"/>
  <c r="F176" i="1"/>
  <c r="F197" i="1"/>
  <c r="F178" i="1"/>
  <c r="F504" i="1"/>
  <c r="D181" i="1"/>
  <c r="D392" i="1"/>
  <c r="D127" i="1"/>
  <c r="M23" i="1"/>
  <c r="J265" i="1"/>
  <c r="I412" i="1"/>
  <c r="J125" i="1"/>
  <c r="AA321" i="1"/>
  <c r="J418" i="1"/>
  <c r="I508" i="1"/>
  <c r="I66" i="1"/>
  <c r="D251" i="1"/>
  <c r="I401" i="1"/>
  <c r="F380" i="1"/>
  <c r="D468" i="1"/>
  <c r="F139" i="1"/>
  <c r="I435" i="1"/>
  <c r="I322" i="1"/>
  <c r="D437" i="1"/>
  <c r="D212" i="1"/>
  <c r="D19" i="1"/>
  <c r="D293" i="1"/>
  <c r="M317" i="1"/>
  <c r="I319" i="1"/>
  <c r="F493" i="1"/>
  <c r="F425" i="1"/>
  <c r="F326" i="1"/>
  <c r="F501" i="1"/>
  <c r="M14" i="1"/>
  <c r="AA124" i="1"/>
  <c r="M225" i="1"/>
  <c r="M383" i="1"/>
  <c r="J142" i="1"/>
  <c r="J394" i="1"/>
  <c r="D123" i="1"/>
  <c r="J75" i="1"/>
  <c r="J363" i="1"/>
  <c r="F66" i="1"/>
  <c r="I179" i="1"/>
  <c r="I279" i="1"/>
  <c r="I132" i="1"/>
  <c r="F290" i="1"/>
  <c r="D330" i="1"/>
  <c r="M201" i="1"/>
  <c r="I478" i="1"/>
  <c r="I297" i="1"/>
  <c r="I129" i="1"/>
  <c r="F422" i="1"/>
  <c r="I441" i="1"/>
  <c r="F78" i="1"/>
  <c r="D416" i="1"/>
  <c r="D199" i="1"/>
  <c r="I486" i="1"/>
  <c r="D263" i="1"/>
  <c r="D223" i="1"/>
  <c r="D69" i="1"/>
  <c r="D219" i="1"/>
  <c r="F92" i="1"/>
  <c r="I338" i="1"/>
  <c r="F98" i="1"/>
  <c r="D74" i="1"/>
  <c r="F29" i="1"/>
  <c r="F338" i="1"/>
  <c r="F382" i="1"/>
  <c r="F413" i="1"/>
  <c r="I91" i="1"/>
  <c r="I352" i="1"/>
  <c r="F101" i="1"/>
  <c r="D435" i="1"/>
  <c r="F140" i="1"/>
  <c r="I311" i="1"/>
  <c r="D286" i="1"/>
  <c r="F45" i="1"/>
  <c r="I60" i="1"/>
  <c r="F502" i="1"/>
  <c r="D121" i="1"/>
  <c r="D41" i="1"/>
  <c r="D60" i="1"/>
  <c r="D105" i="1"/>
  <c r="F68" i="1"/>
  <c r="D220" i="1"/>
  <c r="F37" i="1"/>
  <c r="D505" i="1"/>
  <c r="I85" i="1"/>
  <c r="D396" i="1"/>
  <c r="I277" i="1"/>
  <c r="D282" i="1"/>
  <c r="F288" i="1"/>
  <c r="J492" i="1"/>
  <c r="F454" i="1"/>
  <c r="D300" i="1"/>
  <c r="D200" i="1"/>
  <c r="F171" i="1"/>
  <c r="J198" i="1"/>
  <c r="I463" i="1"/>
  <c r="D382" i="1"/>
  <c r="D45" i="1"/>
  <c r="D110" i="1"/>
  <c r="D148" i="1"/>
  <c r="F402" i="1"/>
  <c r="J133" i="1"/>
  <c r="F168" i="1"/>
  <c r="D190" i="1"/>
  <c r="F278" i="1"/>
  <c r="D254" i="1"/>
  <c r="D270" i="1"/>
  <c r="D83" i="1"/>
  <c r="F204" i="1"/>
  <c r="D37" i="1"/>
  <c r="D46" i="1"/>
  <c r="D316" i="1"/>
  <c r="D18" i="1"/>
  <c r="D141" i="1"/>
  <c r="D124" i="1"/>
  <c r="F512" i="1"/>
  <c r="D2" i="1"/>
  <c r="F17" i="1"/>
  <c r="F430" i="1"/>
  <c r="D498" i="1"/>
  <c r="J148" i="1"/>
  <c r="F263" i="1"/>
  <c r="D472" i="1"/>
  <c r="D49" i="1"/>
  <c r="F302" i="1"/>
  <c r="D514" i="1"/>
  <c r="D362" i="1"/>
  <c r="F177" i="1"/>
  <c r="D350" i="1"/>
  <c r="F379" i="1"/>
  <c r="F498" i="1"/>
  <c r="D507" i="1"/>
  <c r="I39" i="1"/>
  <c r="D197" i="1"/>
  <c r="F429" i="1"/>
  <c r="D394" i="1"/>
  <c r="D451" i="1"/>
  <c r="D418" i="1"/>
  <c r="I33" i="1"/>
  <c r="F293" i="1"/>
  <c r="D138" i="1"/>
  <c r="F269" i="1"/>
  <c r="I332" i="1"/>
  <c r="D347" i="1"/>
  <c r="F170" i="1"/>
  <c r="D125" i="1"/>
  <c r="F200" i="1"/>
  <c r="D9" i="1"/>
  <c r="I339" i="1"/>
  <c r="D24" i="1"/>
  <c r="D115" i="1"/>
  <c r="F424" i="1"/>
  <c r="F205" i="1"/>
  <c r="D168" i="1"/>
  <c r="D299" i="1"/>
  <c r="D180" i="1"/>
  <c r="D167" i="1"/>
  <c r="D297" i="1"/>
  <c r="J56" i="1"/>
  <c r="I460" i="1"/>
  <c r="F264" i="1"/>
  <c r="F514" i="1"/>
  <c r="D290" i="1"/>
  <c r="D93" i="1"/>
  <c r="D29" i="1"/>
  <c r="I358" i="1"/>
  <c r="I407" i="1"/>
  <c r="F476" i="1"/>
  <c r="D482" i="1"/>
  <c r="D306" i="1"/>
  <c r="J497" i="1"/>
  <c r="D203" i="1"/>
  <c r="F468" i="1"/>
  <c r="J204" i="1"/>
  <c r="D185" i="1"/>
  <c r="D311" i="1"/>
  <c r="D412" i="1"/>
  <c r="F389" i="1"/>
  <c r="D42" i="1"/>
  <c r="M62" i="1"/>
  <c r="F255" i="1"/>
  <c r="F328" i="1"/>
  <c r="F62" i="1"/>
  <c r="J349" i="1"/>
  <c r="F469" i="1"/>
  <c r="F6" i="1"/>
  <c r="D179" i="1"/>
  <c r="F394" i="1"/>
  <c r="D352" i="1"/>
  <c r="D70" i="1"/>
  <c r="D370" i="1"/>
  <c r="I260" i="1"/>
  <c r="D375" i="1"/>
  <c r="AA453" i="1"/>
  <c r="F30" i="1"/>
  <c r="F398" i="1"/>
  <c r="M247" i="1"/>
  <c r="J401" i="1"/>
  <c r="F55" i="1"/>
  <c r="M448" i="1"/>
  <c r="J423" i="1"/>
  <c r="M392" i="1"/>
  <c r="M447" i="1"/>
  <c r="J44" i="1"/>
  <c r="M450" i="1"/>
  <c r="D287" i="1"/>
  <c r="J194" i="1"/>
  <c r="I104" i="1"/>
  <c r="D390" i="1"/>
  <c r="I52" i="1"/>
  <c r="I365" i="1"/>
  <c r="I341" i="1"/>
  <c r="I313" i="1"/>
  <c r="D327" i="1"/>
  <c r="J508" i="1"/>
  <c r="I296" i="1"/>
  <c r="I27" i="1"/>
  <c r="I371" i="1"/>
  <c r="F149" i="1"/>
  <c r="I140" i="1"/>
  <c r="F349" i="1"/>
  <c r="F475" i="1"/>
  <c r="D403" i="1"/>
  <c r="I504" i="1"/>
  <c r="I83" i="1"/>
  <c r="F416" i="1"/>
  <c r="D429" i="1"/>
  <c r="D489" i="1"/>
  <c r="D264" i="1"/>
  <c r="I361" i="1"/>
  <c r="D216" i="1"/>
  <c r="F267" i="1"/>
  <c r="F47" i="1"/>
  <c r="D383" i="1"/>
  <c r="D164" i="1"/>
  <c r="D411" i="1"/>
  <c r="I192" i="1"/>
  <c r="D157" i="1"/>
  <c r="D456" i="1"/>
  <c r="D356" i="1"/>
  <c r="F36" i="1"/>
  <c r="I173" i="1"/>
  <c r="D313" i="1"/>
  <c r="D206" i="1"/>
  <c r="I49" i="1"/>
  <c r="D25" i="1"/>
  <c r="F455" i="1"/>
  <c r="D183" i="1"/>
  <c r="F312" i="1"/>
  <c r="D82" i="1"/>
  <c r="F340" i="1"/>
  <c r="F499" i="1"/>
  <c r="D303" i="1"/>
  <c r="I34" i="1"/>
  <c r="I434" i="1"/>
  <c r="F240" i="1"/>
  <c r="F495" i="1"/>
  <c r="I97" i="1"/>
  <c r="D8" i="1"/>
  <c r="I292" i="1"/>
  <c r="F184" i="1"/>
  <c r="D252" i="1"/>
  <c r="D477" i="1"/>
  <c r="F372" i="1"/>
  <c r="I130" i="1"/>
  <c r="F300" i="1"/>
  <c r="D318" i="1"/>
  <c r="F138" i="1"/>
  <c r="F390" i="1"/>
  <c r="F38" i="1"/>
  <c r="D79" i="1"/>
  <c r="I237" i="1"/>
  <c r="F103" i="1"/>
  <c r="I136" i="1"/>
  <c r="D248" i="1"/>
  <c r="D250" i="1"/>
  <c r="F333" i="1"/>
  <c r="D6" i="1"/>
  <c r="F100" i="1"/>
  <c r="F13" i="1"/>
  <c r="D374" i="1"/>
  <c r="J293" i="1"/>
  <c r="I249" i="1"/>
  <c r="D410" i="1"/>
  <c r="D351" i="1"/>
  <c r="F481" i="1"/>
  <c r="I337" i="1"/>
  <c r="F466" i="1"/>
  <c r="D461" i="1"/>
  <c r="I496" i="1"/>
  <c r="D449" i="1"/>
  <c r="D40" i="1"/>
  <c r="D364" i="1"/>
  <c r="D189" i="1"/>
  <c r="D504" i="1"/>
  <c r="D301" i="1"/>
  <c r="F470" i="1"/>
  <c r="D235" i="1"/>
  <c r="F265" i="1"/>
  <c r="D305" i="1"/>
  <c r="F242" i="1"/>
  <c r="I211" i="1"/>
  <c r="F159" i="1"/>
  <c r="F446" i="1"/>
  <c r="D402" i="1"/>
  <c r="D422" i="1"/>
  <c r="F449" i="1"/>
  <c r="D113" i="1"/>
  <c r="F4" i="1"/>
  <c r="D272" i="1"/>
  <c r="D460" i="1"/>
  <c r="F404" i="1"/>
  <c r="M477" i="1"/>
  <c r="I143" i="1"/>
  <c r="J150" i="1"/>
  <c r="AA209" i="1"/>
  <c r="M473" i="1"/>
  <c r="AA180" i="1"/>
  <c r="AA195" i="1"/>
  <c r="I113" i="1"/>
  <c r="I472" i="1"/>
  <c r="I141" i="1"/>
  <c r="J236" i="1"/>
  <c r="J73" i="1"/>
  <c r="F39" i="1"/>
  <c r="J473" i="1"/>
  <c r="F110" i="1"/>
  <c r="F25" i="1"/>
  <c r="F431" i="1"/>
  <c r="AA117" i="1"/>
  <c r="I395" i="1"/>
  <c r="J304" i="1"/>
  <c r="F215" i="1"/>
  <c r="I142" i="1"/>
  <c r="D131" i="1"/>
  <c r="I269" i="1"/>
  <c r="I377" i="1"/>
  <c r="D424" i="1"/>
  <c r="F262" i="1"/>
  <c r="D137" i="1"/>
  <c r="I121" i="1"/>
  <c r="D426" i="1"/>
  <c r="F352" i="1"/>
  <c r="F342" i="1"/>
  <c r="I257" i="1"/>
  <c r="F401" i="1"/>
  <c r="F206" i="1"/>
  <c r="I247" i="1"/>
  <c r="I350" i="1"/>
  <c r="F357" i="1"/>
  <c r="D357" i="1"/>
  <c r="I499" i="1"/>
  <c r="D95" i="1"/>
  <c r="D166" i="1"/>
  <c r="D76" i="1"/>
  <c r="F351" i="1"/>
  <c r="F70" i="1"/>
  <c r="D109" i="1"/>
  <c r="D425" i="1"/>
  <c r="I160" i="1"/>
  <c r="D98" i="1"/>
  <c r="D513" i="1"/>
  <c r="D378" i="1"/>
  <c r="J458" i="1"/>
  <c r="F96" i="1"/>
  <c r="F486" i="1"/>
  <c r="D239" i="1"/>
  <c r="F452" i="1"/>
  <c r="M231" i="1"/>
  <c r="D452" i="1"/>
  <c r="I298" i="1"/>
  <c r="D473" i="1"/>
  <c r="F83" i="1"/>
  <c r="J459" i="1"/>
  <c r="F231" i="1"/>
  <c r="D359" i="1"/>
  <c r="D194" i="1"/>
  <c r="J332" i="1"/>
  <c r="F347" i="1"/>
  <c r="J120" i="1"/>
  <c r="D332" i="1"/>
  <c r="F94" i="1"/>
  <c r="D160" i="1"/>
  <c r="F150" i="1"/>
  <c r="F426" i="1"/>
  <c r="F294" i="1"/>
  <c r="J347" i="1"/>
  <c r="F143" i="1"/>
  <c r="I436" i="1"/>
  <c r="I204" i="1"/>
  <c r="D81" i="1"/>
  <c r="I465" i="1"/>
  <c r="D415" i="1"/>
  <c r="F256" i="1"/>
  <c r="D55" i="1"/>
  <c r="D321" i="1"/>
  <c r="F344" i="1"/>
  <c r="D133" i="1"/>
  <c r="D413" i="1"/>
  <c r="F473" i="1"/>
  <c r="F18" i="1"/>
  <c r="D502" i="1"/>
  <c r="D147" i="1"/>
  <c r="F239" i="1"/>
  <c r="I224" i="1"/>
  <c r="D279" i="1"/>
  <c r="F120" i="1"/>
  <c r="F246" i="1"/>
  <c r="F442" i="1"/>
  <c r="D466" i="1"/>
  <c r="F301" i="1"/>
  <c r="D400" i="1"/>
  <c r="D50" i="1"/>
  <c r="D439" i="1"/>
  <c r="D308" i="1"/>
  <c r="F399" i="1"/>
  <c r="D7" i="1"/>
  <c r="D334" i="1"/>
  <c r="F310" i="1"/>
  <c r="F60" i="1"/>
  <c r="F474" i="1"/>
  <c r="D440" i="1"/>
  <c r="F266" i="1"/>
  <c r="F283" i="1"/>
  <c r="D388" i="1"/>
  <c r="F151" i="1"/>
  <c r="F89" i="1"/>
  <c r="D238" i="1"/>
  <c r="I454" i="1"/>
  <c r="F223" i="1"/>
  <c r="D363" i="1"/>
  <c r="F318" i="1"/>
  <c r="D173" i="1"/>
  <c r="F32" i="1"/>
  <c r="D274" i="1"/>
  <c r="D26" i="1"/>
  <c r="D222" i="1"/>
  <c r="D122" i="1"/>
  <c r="F303" i="1"/>
  <c r="I55" i="1"/>
  <c r="D101" i="1"/>
  <c r="J48" i="1"/>
  <c r="I112" i="1"/>
  <c r="F179" i="1"/>
  <c r="D322" i="1"/>
  <c r="I76" i="1"/>
  <c r="F173" i="1"/>
  <c r="I187" i="1"/>
  <c r="I404" i="1"/>
  <c r="I111" i="1"/>
  <c r="I178" i="1"/>
  <c r="D78" i="1"/>
  <c r="D193" i="1"/>
  <c r="F376" i="1"/>
  <c r="M288" i="1"/>
  <c r="M439" i="1"/>
  <c r="M495" i="1"/>
  <c r="I46" i="1"/>
  <c r="J479" i="1"/>
  <c r="D333" i="1"/>
  <c r="J81" i="1"/>
  <c r="J339" i="1"/>
  <c r="I29" i="1"/>
  <c r="AA245" i="1"/>
  <c r="M81" i="1"/>
  <c r="I223" i="1"/>
  <c r="D492" i="1"/>
  <c r="M416" i="1"/>
  <c r="D444" i="1"/>
  <c r="J115" i="1"/>
  <c r="J416" i="1"/>
  <c r="J219" i="1"/>
  <c r="F291" i="1"/>
  <c r="I147" i="1"/>
  <c r="F277" i="1"/>
  <c r="F368" i="1"/>
  <c r="D11" i="1"/>
  <c r="D503" i="1"/>
  <c r="I445" i="1"/>
  <c r="F329" i="1"/>
  <c r="F107" i="1"/>
  <c r="F485" i="1"/>
  <c r="D134" i="1"/>
  <c r="D23" i="1"/>
  <c r="F443" i="1"/>
  <c r="I77" i="1"/>
  <c r="D323" i="1"/>
  <c r="D324" i="1"/>
  <c r="I308" i="1"/>
  <c r="F392" i="1"/>
  <c r="F503" i="1"/>
  <c r="J202" i="1"/>
  <c r="D177" i="1"/>
  <c r="J419" i="1"/>
  <c r="I363" i="1"/>
  <c r="F116" i="1"/>
  <c r="F199" i="1"/>
  <c r="F153" i="1"/>
  <c r="D237" i="1"/>
  <c r="F186" i="1"/>
  <c r="D367" i="1"/>
  <c r="I333" i="1"/>
  <c r="F161" i="1"/>
  <c r="I467" i="1"/>
  <c r="D345" i="1"/>
  <c r="D51" i="1"/>
  <c r="D32" i="1"/>
  <c r="D298" i="1"/>
  <c r="J393" i="1"/>
  <c r="I266" i="1"/>
  <c r="F124" i="1"/>
  <c r="D275" i="1"/>
  <c r="D245" i="1"/>
  <c r="F67" i="1"/>
  <c r="F235" i="1"/>
  <c r="D145" i="1"/>
  <c r="J220" i="1"/>
  <c r="F388" i="1"/>
  <c r="D469" i="1"/>
  <c r="D427" i="1"/>
  <c r="I451" i="1"/>
  <c r="F457" i="1"/>
  <c r="F201" i="1"/>
  <c r="F450" i="1"/>
  <c r="J266" i="1"/>
  <c r="I282" i="1"/>
  <c r="M40" i="1"/>
  <c r="J203" i="1"/>
  <c r="M133" i="1"/>
  <c r="M304" i="1"/>
  <c r="M25" i="1"/>
  <c r="F190" i="1"/>
  <c r="I513" i="1"/>
  <c r="F456" i="1"/>
  <c r="I176" i="1"/>
  <c r="J162" i="1"/>
  <c r="J51" i="1"/>
  <c r="I202" i="1"/>
  <c r="F196" i="1"/>
  <c r="F2" i="1"/>
  <c r="F52" i="1"/>
  <c r="I393" i="1"/>
  <c r="J364" i="1"/>
  <c r="I175" i="1"/>
  <c r="D373" i="1"/>
  <c r="F79" i="1"/>
  <c r="J60" i="1"/>
  <c r="D271" i="1"/>
  <c r="D325" i="1"/>
  <c r="D260" i="1"/>
  <c r="F298" i="1"/>
  <c r="D483" i="1"/>
  <c r="D463" i="1"/>
  <c r="D486" i="1"/>
  <c r="F406" i="1"/>
  <c r="D447" i="1"/>
  <c r="F441" i="1"/>
  <c r="F397" i="1"/>
  <c r="D478" i="1"/>
  <c r="D276" i="1"/>
  <c r="F270" i="1"/>
  <c r="D487" i="1"/>
  <c r="M313" i="1"/>
  <c r="F319" i="1"/>
  <c r="M60" i="1"/>
  <c r="F189" i="1"/>
  <c r="F511" i="1"/>
  <c r="D355" i="1"/>
  <c r="D143" i="1"/>
  <c r="F224" i="1"/>
  <c r="J39" i="1"/>
  <c r="F69" i="1"/>
  <c r="J52" i="1"/>
  <c r="D259" i="1"/>
  <c r="M183" i="1"/>
  <c r="F80" i="1"/>
  <c r="D54" i="1"/>
  <c r="D104" i="1"/>
  <c r="J468" i="1"/>
  <c r="F258" i="1"/>
  <c r="I53" i="1"/>
  <c r="M112" i="1"/>
  <c r="F345" i="1"/>
  <c r="F407" i="1"/>
  <c r="F114" i="1"/>
  <c r="F385" i="1"/>
  <c r="F337" i="1"/>
  <c r="D34" i="1"/>
  <c r="D119" i="1"/>
  <c r="F214" i="1"/>
  <c r="F436" i="1"/>
  <c r="J271" i="1"/>
  <c r="D277" i="1"/>
  <c r="I362" i="1"/>
  <c r="J359" i="1"/>
  <c r="D450" i="1"/>
  <c r="I255" i="1"/>
  <c r="M211" i="1"/>
  <c r="F164" i="1"/>
  <c r="D205" i="1"/>
  <c r="D343" i="1"/>
  <c r="F163" i="1"/>
  <c r="I480" i="1"/>
  <c r="F216" i="1"/>
  <c r="D294" i="1"/>
  <c r="F438" i="1"/>
  <c r="I264" i="1"/>
  <c r="F371" i="1"/>
  <c r="D266" i="1"/>
  <c r="F417" i="1"/>
  <c r="D100" i="1"/>
  <c r="I254" i="1"/>
  <c r="I421" i="1"/>
  <c r="D337" i="1"/>
  <c r="D153" i="1"/>
  <c r="D152" i="1"/>
  <c r="D295" i="1"/>
  <c r="D399" i="1"/>
  <c r="D186" i="1"/>
  <c r="F484" i="1"/>
  <c r="D438" i="1"/>
  <c r="D470" i="1"/>
  <c r="D442" i="1"/>
  <c r="I213" i="1"/>
  <c r="D92" i="1"/>
  <c r="D5" i="1"/>
  <c r="J146" i="1"/>
  <c r="F412" i="1"/>
  <c r="D480" i="1"/>
  <c r="D128" i="1"/>
  <c r="D312" i="1"/>
  <c r="D126" i="1"/>
  <c r="D314" i="1"/>
  <c r="F129" i="1"/>
  <c r="D33" i="1"/>
  <c r="M400" i="1"/>
  <c r="F281" i="1"/>
  <c r="I145" i="1"/>
  <c r="J241" i="1"/>
  <c r="F202" i="1"/>
  <c r="J405" i="1"/>
  <c r="I100" i="1"/>
  <c r="F492" i="1"/>
  <c r="D218" i="1"/>
  <c r="F405" i="1"/>
  <c r="I442" i="1"/>
  <c r="D57" i="1"/>
  <c r="F395" i="1"/>
  <c r="J240" i="1"/>
  <c r="D484" i="1"/>
  <c r="F42" i="1"/>
  <c r="F77" i="1"/>
  <c r="D161" i="1"/>
  <c r="F91" i="1"/>
  <c r="M63" i="1"/>
  <c r="F325" i="1"/>
  <c r="F243" i="1"/>
  <c r="D188" i="1"/>
  <c r="D28" i="1"/>
  <c r="D155" i="1"/>
  <c r="D273" i="1"/>
  <c r="D163" i="1"/>
  <c r="D509" i="1"/>
  <c r="F320" i="1"/>
  <c r="F57" i="1"/>
  <c r="D111" i="1"/>
  <c r="M155" i="1"/>
  <c r="F305" i="1"/>
  <c r="AA201" i="1"/>
  <c r="J112" i="1"/>
  <c r="F287" i="1"/>
  <c r="F322" i="1"/>
  <c r="AA255" i="1"/>
  <c r="M385" i="1"/>
  <c r="J172" i="1"/>
  <c r="J46" i="1"/>
  <c r="M322" i="1"/>
  <c r="F86" i="1"/>
  <c r="I320" i="1"/>
  <c r="I131" i="1"/>
  <c r="M405" i="1"/>
  <c r="M239" i="1"/>
  <c r="I370" i="1"/>
  <c r="I233" i="1"/>
  <c r="F408" i="1"/>
  <c r="F35" i="1"/>
  <c r="D170" i="1"/>
  <c r="M399" i="1"/>
  <c r="M13" i="1"/>
  <c r="I128" i="1"/>
  <c r="J273" i="1"/>
  <c r="F272" i="1"/>
  <c r="I191" i="1"/>
  <c r="F165" i="1"/>
  <c r="D354" i="1"/>
  <c r="I392" i="1"/>
  <c r="D77" i="1"/>
  <c r="F146" i="1"/>
  <c r="F295" i="1"/>
  <c r="J466" i="1"/>
  <c r="D278" i="1"/>
  <c r="J174" i="1"/>
  <c r="I474" i="1"/>
  <c r="D386" i="1"/>
  <c r="D233" i="1"/>
  <c r="F222" i="1"/>
  <c r="D485" i="1"/>
  <c r="D215" i="1"/>
  <c r="M22" i="1"/>
  <c r="I268" i="1"/>
  <c r="F505" i="1"/>
  <c r="F383" i="1"/>
  <c r="F377" i="1"/>
  <c r="D499" i="1"/>
  <c r="F244" i="1"/>
  <c r="F58" i="1"/>
  <c r="I379" i="1"/>
  <c r="F136" i="1"/>
  <c r="F99" i="1"/>
  <c r="F490" i="1"/>
  <c r="I61" i="1"/>
  <c r="F296" i="1"/>
  <c r="F257" i="1"/>
  <c r="F250" i="1"/>
  <c r="F44" i="1"/>
  <c r="D476" i="1"/>
  <c r="J253" i="1"/>
  <c r="D349" i="1"/>
  <c r="D401" i="1"/>
  <c r="F54" i="1"/>
  <c r="F56" i="1"/>
  <c r="D309" i="1"/>
  <c r="D421" i="1"/>
  <c r="I378" i="1"/>
  <c r="D479" i="1"/>
  <c r="D97" i="1"/>
  <c r="D446" i="1"/>
  <c r="I291" i="1"/>
  <c r="F433" i="1"/>
  <c r="F500" i="1"/>
  <c r="I498" i="1"/>
  <c r="F180" i="1"/>
  <c r="I101" i="1"/>
  <c r="J425" i="1"/>
  <c r="F508" i="1"/>
  <c r="D261" i="1"/>
  <c r="D86" i="1"/>
  <c r="F34" i="1"/>
  <c r="F331" i="1"/>
  <c r="D227" i="1"/>
  <c r="D136" i="1"/>
  <c r="D112" i="1"/>
  <c r="D214" i="1"/>
  <c r="D256" i="1"/>
  <c r="F234" i="1"/>
  <c r="F307" i="1"/>
  <c r="I36" i="1"/>
  <c r="F8" i="1"/>
  <c r="F220" i="1"/>
  <c r="D31" i="1"/>
  <c r="F391" i="1"/>
  <c r="F313" i="1"/>
  <c r="F229" i="1"/>
  <c r="F227" i="1"/>
  <c r="D15" i="1"/>
  <c r="D176" i="1"/>
  <c r="F121" i="1"/>
  <c r="F87" i="1"/>
  <c r="F119" i="1"/>
  <c r="D288" i="1"/>
  <c r="F64" i="1"/>
  <c r="D496" i="1"/>
  <c r="F314" i="1"/>
  <c r="D208" i="1"/>
  <c r="F330" i="1"/>
  <c r="D292" i="1"/>
  <c r="D72" i="1"/>
  <c r="D71" i="1"/>
  <c r="D510" i="1"/>
  <c r="F461" i="1"/>
  <c r="D207" i="1"/>
  <c r="AA257" i="1"/>
  <c r="I190" i="1"/>
  <c r="AA309" i="1"/>
  <c r="F61" i="1"/>
  <c r="J305" i="1"/>
  <c r="I432" i="1"/>
  <c r="D471" i="1"/>
  <c r="J93" i="1"/>
  <c r="I227" i="1"/>
  <c r="F427" i="1"/>
  <c r="D458" i="1"/>
  <c r="J193" i="1"/>
  <c r="F464" i="1"/>
  <c r="F76" i="1"/>
  <c r="D255" i="1"/>
  <c r="D420" i="1"/>
  <c r="J367" i="1"/>
  <c r="F31" i="1"/>
  <c r="F71" i="1"/>
  <c r="F12" i="1"/>
  <c r="D94" i="1"/>
  <c r="D52" i="1"/>
  <c r="F191" i="1"/>
  <c r="I275" i="1"/>
  <c r="D360" i="1"/>
  <c r="F155" i="1"/>
  <c r="D130" i="1"/>
  <c r="F268" i="1"/>
  <c r="F494" i="1"/>
  <c r="D377" i="1"/>
  <c r="D175" i="1"/>
  <c r="D339" i="1"/>
  <c r="AA329" i="1"/>
  <c r="J131" i="1"/>
  <c r="D358" i="1"/>
  <c r="F158" i="1"/>
  <c r="F11" i="1"/>
  <c r="F311" i="1"/>
  <c r="F360" i="1"/>
  <c r="J145" i="1"/>
  <c r="I459" i="1"/>
  <c r="I428" i="1"/>
  <c r="D348" i="1"/>
  <c r="D393" i="1"/>
  <c r="F118" i="1"/>
  <c r="F65" i="1"/>
  <c r="F97" i="1"/>
  <c r="F304" i="1"/>
  <c r="D455" i="1"/>
  <c r="F415" i="1"/>
  <c r="F232" i="1"/>
  <c r="F210" i="1"/>
  <c r="D114" i="1"/>
  <c r="F280" i="1"/>
  <c r="D66" i="1"/>
  <c r="D90" i="1"/>
  <c r="D488" i="1"/>
  <c r="F411" i="1"/>
  <c r="D430" i="1"/>
  <c r="I195" i="1"/>
  <c r="M426" i="1"/>
  <c r="F437" i="1"/>
  <c r="D224" i="1"/>
  <c r="D434" i="1"/>
  <c r="D258" i="1"/>
  <c r="I67" i="1"/>
  <c r="J330" i="1"/>
  <c r="D43" i="1"/>
  <c r="D338" i="1"/>
  <c r="F46" i="1"/>
  <c r="D169" i="1"/>
  <c r="F198" i="1"/>
  <c r="AA331" i="1"/>
  <c r="D344" i="1"/>
  <c r="D497" i="1"/>
  <c r="J76" i="1"/>
  <c r="F477" i="1"/>
  <c r="D414" i="1"/>
  <c r="D198" i="1"/>
  <c r="I360" i="1"/>
  <c r="D151" i="1"/>
  <c r="I107" i="1"/>
  <c r="D47" i="1"/>
  <c r="F251" i="1"/>
  <c r="D63" i="1"/>
  <c r="I228" i="1"/>
  <c r="D493" i="1"/>
  <c r="D88" i="1"/>
  <c r="F247" i="1"/>
  <c r="F207" i="1"/>
  <c r="D406" i="1"/>
  <c r="F386" i="1"/>
  <c r="D369" i="1"/>
  <c r="I429" i="1"/>
  <c r="D247" i="1"/>
  <c r="D99" i="1"/>
  <c r="F487" i="1"/>
  <c r="F348" i="1"/>
  <c r="F209" i="1"/>
  <c r="D319" i="1"/>
  <c r="I240" i="1"/>
  <c r="J243" i="1"/>
  <c r="D211" i="1"/>
  <c r="D329" i="1"/>
  <c r="D342" i="1"/>
  <c r="D432" i="1"/>
  <c r="D465" i="1"/>
  <c r="D407" i="1"/>
  <c r="D331" i="1"/>
  <c r="D320" i="1"/>
  <c r="D462" i="1"/>
  <c r="D490" i="1"/>
  <c r="D391" i="1"/>
  <c r="F50" i="1"/>
  <c r="F33" i="1"/>
  <c r="F26" i="1"/>
  <c r="F365" i="1"/>
  <c r="D135" i="1"/>
  <c r="X28" i="1" l="1"/>
  <c r="X27" i="1"/>
  <c r="L36" i="1"/>
  <c r="K36" i="1"/>
  <c r="L498" i="1"/>
  <c r="K498" i="1"/>
  <c r="L379" i="1"/>
  <c r="K379" i="1"/>
  <c r="N22" i="1"/>
  <c r="O22" i="1"/>
  <c r="K191" i="1"/>
  <c r="L191" i="1"/>
  <c r="L421" i="1"/>
  <c r="K421" i="1"/>
  <c r="L255" i="1"/>
  <c r="K255" i="1"/>
  <c r="L53" i="1"/>
  <c r="K53" i="1"/>
  <c r="N60" i="1"/>
  <c r="O60" i="1"/>
  <c r="L513" i="1"/>
  <c r="K513" i="1"/>
  <c r="L454" i="1"/>
  <c r="K454" i="1"/>
  <c r="L224" i="1"/>
  <c r="K224" i="1"/>
  <c r="K436" i="1"/>
  <c r="L436" i="1"/>
  <c r="K350" i="1"/>
  <c r="L350" i="1"/>
  <c r="L121" i="1"/>
  <c r="K121" i="1"/>
  <c r="O473" i="1"/>
  <c r="N473" i="1"/>
  <c r="L49" i="1"/>
  <c r="K49" i="1"/>
  <c r="K192" i="1"/>
  <c r="L192" i="1"/>
  <c r="K313" i="1"/>
  <c r="L313" i="1"/>
  <c r="O450" i="1"/>
  <c r="N450" i="1"/>
  <c r="N247" i="1"/>
  <c r="O247" i="1"/>
  <c r="L339" i="1"/>
  <c r="K339" i="1"/>
  <c r="L39" i="1"/>
  <c r="K39" i="1"/>
  <c r="E75" i="1"/>
  <c r="E201" i="1"/>
  <c r="E29" i="1"/>
  <c r="E432" i="1"/>
  <c r="E436" i="1"/>
  <c r="E429" i="1"/>
  <c r="E375" i="1"/>
  <c r="E5" i="1"/>
  <c r="E339" i="1"/>
  <c r="E246" i="1"/>
  <c r="E92" i="1"/>
  <c r="E25" i="1"/>
  <c r="E67" i="1"/>
  <c r="E131" i="1"/>
  <c r="E422" i="1"/>
  <c r="E12" i="1"/>
  <c r="E118" i="1"/>
  <c r="E355" i="1"/>
  <c r="E480" i="1"/>
  <c r="E99" i="1"/>
  <c r="E257" i="1"/>
  <c r="E206" i="1"/>
  <c r="E266" i="1"/>
  <c r="E239" i="1"/>
  <c r="E79" i="1"/>
  <c r="E403" i="1"/>
  <c r="E177" i="1"/>
  <c r="E365" i="1"/>
  <c r="E451" i="1"/>
  <c r="E255" i="1"/>
  <c r="E254" i="1"/>
  <c r="E260" i="1"/>
  <c r="E334" i="1"/>
  <c r="E259" i="1"/>
  <c r="E330" i="1"/>
  <c r="E338" i="1"/>
  <c r="E72" i="1"/>
  <c r="E107" i="1"/>
  <c r="E175" i="1"/>
  <c r="E388" i="1"/>
  <c r="E36" i="1"/>
  <c r="E115" i="1"/>
  <c r="E105" i="1"/>
  <c r="E512" i="1"/>
  <c r="E145" i="1"/>
  <c r="E272" i="1"/>
  <c r="E449" i="1"/>
  <c r="E354" i="1"/>
  <c r="E164" i="1"/>
  <c r="E43" i="1"/>
  <c r="E402" i="1"/>
  <c r="E252" i="1"/>
  <c r="E398" i="1"/>
  <c r="E463" i="1"/>
  <c r="E28" i="1"/>
  <c r="E60" i="1"/>
  <c r="E33" i="1"/>
  <c r="E41" i="1"/>
  <c r="E236" i="1"/>
  <c r="E310" i="1"/>
  <c r="E458" i="1"/>
  <c r="E420" i="1"/>
  <c r="E158" i="1"/>
  <c r="E318" i="1"/>
  <c r="E104" i="1"/>
  <c r="E130" i="1"/>
  <c r="E191" i="1"/>
  <c r="E283" i="1"/>
  <c r="E331" i="1"/>
  <c r="E51" i="1"/>
  <c r="E174" i="1"/>
  <c r="E232" i="1"/>
  <c r="E337" i="1"/>
  <c r="E53" i="1"/>
  <c r="E324" i="1"/>
  <c r="E279" i="1"/>
  <c r="E348" i="1"/>
  <c r="E489" i="1"/>
  <c r="E456" i="1"/>
  <c r="E473" i="1"/>
  <c r="E502" i="1"/>
  <c r="E280" i="1"/>
  <c r="E278" i="1"/>
  <c r="E31" i="1"/>
  <c r="E134" i="1"/>
  <c r="E103" i="1"/>
  <c r="E139" i="1"/>
  <c r="E214" i="1"/>
  <c r="E421" i="1"/>
  <c r="E486" i="1"/>
  <c r="E341" i="1"/>
  <c r="E509" i="1"/>
  <c r="E126" i="1"/>
  <c r="E240" i="1"/>
  <c r="E80" i="1"/>
  <c r="E299" i="1"/>
  <c r="E462" i="1"/>
  <c r="E492" i="1"/>
  <c r="E269" i="1"/>
  <c r="E45" i="1"/>
  <c r="E294" i="1"/>
  <c r="E268" i="1"/>
  <c r="E113" i="1"/>
  <c r="E204" i="1"/>
  <c r="E9" i="1"/>
  <c r="E58" i="1"/>
  <c r="E317" i="1"/>
  <c r="E192" i="1"/>
  <c r="E76" i="1"/>
  <c r="E253" i="1"/>
  <c r="E380" i="1"/>
  <c r="E374" i="1"/>
  <c r="E187" i="1"/>
  <c r="E223" i="1"/>
  <c r="E16" i="1"/>
  <c r="E132" i="1"/>
  <c r="E362" i="1"/>
  <c r="E196" i="1"/>
  <c r="E225" i="1"/>
  <c r="E137" i="1"/>
  <c r="E250" i="1"/>
  <c r="E491" i="1"/>
  <c r="E481" i="1"/>
  <c r="E405" i="1"/>
  <c r="E98" i="1"/>
  <c r="E112" i="1"/>
  <c r="E353" i="1"/>
  <c r="E165" i="1"/>
  <c r="E63" i="1"/>
  <c r="E415" i="1"/>
  <c r="E323" i="1"/>
  <c r="E435" i="1"/>
  <c r="E194" i="1"/>
  <c r="E321" i="1"/>
  <c r="E377" i="1"/>
  <c r="E182" i="1"/>
  <c r="E142" i="1"/>
  <c r="E121" i="1"/>
  <c r="E54" i="1"/>
  <c r="E124" i="1"/>
  <c r="E368" i="1"/>
  <c r="E483" i="1"/>
  <c r="E369" i="1"/>
  <c r="E289" i="1"/>
  <c r="E303" i="1"/>
  <c r="E69" i="1"/>
  <c r="E514" i="1"/>
  <c r="E419" i="1"/>
  <c r="E219" i="1"/>
  <c r="E153" i="1"/>
  <c r="E21" i="1"/>
  <c r="E476" i="1"/>
  <c r="E111" i="1"/>
  <c r="E73" i="1"/>
  <c r="E503" i="1"/>
  <c r="E271" i="1"/>
  <c r="E499" i="1"/>
  <c r="E116" i="1"/>
  <c r="E320" i="1"/>
  <c r="E68" i="1"/>
  <c r="E457" i="1"/>
  <c r="E6" i="1"/>
  <c r="E35" i="1"/>
  <c r="E428" i="1"/>
  <c r="E426" i="1"/>
  <c r="E189" i="1"/>
  <c r="E179" i="1"/>
  <c r="E211" i="1"/>
  <c r="E493" i="1"/>
  <c r="E513" i="1"/>
  <c r="E215" i="1"/>
  <c r="E329" i="1"/>
  <c r="E231" i="1"/>
  <c r="E247" i="1"/>
  <c r="E325" i="1"/>
  <c r="E83" i="1"/>
  <c r="E416" i="1"/>
  <c r="E265" i="1"/>
  <c r="E245" i="1"/>
  <c r="E198" i="1"/>
  <c r="E285" i="1"/>
  <c r="E373" i="1"/>
  <c r="E208" i="1"/>
  <c r="E418" i="1"/>
  <c r="E96" i="1"/>
  <c r="E427" i="1"/>
  <c r="E30" i="1"/>
  <c r="E123" i="1"/>
  <c r="E409" i="1"/>
  <c r="E407" i="1"/>
  <c r="E178" i="1"/>
  <c r="E248" i="1"/>
  <c r="E37" i="1"/>
  <c r="E396" i="1"/>
  <c r="E218" i="1"/>
  <c r="E149" i="1"/>
  <c r="E475" i="1"/>
  <c r="E439" i="1"/>
  <c r="E490" i="1"/>
  <c r="E154" i="1"/>
  <c r="E148" i="1"/>
  <c r="E487" i="1"/>
  <c r="E386" i="1"/>
  <c r="E507" i="1"/>
  <c r="E109" i="1"/>
  <c r="E169" i="1"/>
  <c r="E437" i="1"/>
  <c r="E455" i="1"/>
  <c r="E203" i="1"/>
  <c r="E81" i="1"/>
  <c r="E184" i="1"/>
  <c r="E364" i="1"/>
  <c r="E504" i="1"/>
  <c r="E32" i="1"/>
  <c r="E197" i="1"/>
  <c r="E293" i="1"/>
  <c r="E263" i="1"/>
  <c r="E224" i="1"/>
  <c r="E453" i="1"/>
  <c r="E389" i="1"/>
  <c r="E185" i="1"/>
  <c r="E448" i="1"/>
  <c r="E508" i="1"/>
  <c r="E478" i="1"/>
  <c r="E106" i="1"/>
  <c r="E470" i="1"/>
  <c r="E438" i="1"/>
  <c r="E4" i="1"/>
  <c r="E167" i="1"/>
  <c r="E312" i="1"/>
  <c r="E424" i="1"/>
  <c r="E108" i="1"/>
  <c r="E333" i="1"/>
  <c r="E319" i="1"/>
  <c r="E383" i="1"/>
  <c r="E316" i="1"/>
  <c r="E371" i="1"/>
  <c r="E146" i="1"/>
  <c r="E332" i="1"/>
  <c r="E309" i="1"/>
  <c r="E2" i="1"/>
  <c r="E55" i="1"/>
  <c r="E410" i="1"/>
  <c r="E46" i="1"/>
  <c r="E89" i="1"/>
  <c r="E24" i="1"/>
  <c r="E267" i="1"/>
  <c r="E359" i="1"/>
  <c r="E302" i="1"/>
  <c r="E394" i="1"/>
  <c r="E249" i="1"/>
  <c r="E230" i="1"/>
  <c r="E413" i="1"/>
  <c r="E505" i="1"/>
  <c r="E242" i="1"/>
  <c r="E61" i="1"/>
  <c r="E155" i="1"/>
  <c r="E342" i="1"/>
  <c r="E56" i="1"/>
  <c r="E237" i="1"/>
  <c r="E474" i="1"/>
  <c r="E229" i="1"/>
  <c r="E382" i="1"/>
  <c r="E94" i="1"/>
  <c r="E372" i="1"/>
  <c r="E3" i="1"/>
  <c r="E274" i="1"/>
  <c r="E417" i="1"/>
  <c r="E497" i="1"/>
  <c r="E400" i="1"/>
  <c r="E445" i="1"/>
  <c r="E308" i="1"/>
  <c r="E347" i="1"/>
  <c r="E434" i="1"/>
  <c r="E256" i="1"/>
  <c r="E406" i="1"/>
  <c r="E222" i="1"/>
  <c r="E34" i="1"/>
  <c r="E315" i="1"/>
  <c r="E304" i="1"/>
  <c r="E166" i="1"/>
  <c r="E488" i="1"/>
  <c r="E151" i="1"/>
  <c r="E397" i="1"/>
  <c r="E399" i="1"/>
  <c r="E23" i="1"/>
  <c r="E86" i="1"/>
  <c r="E352" i="1"/>
  <c r="E38" i="1"/>
  <c r="E135" i="1"/>
  <c r="E311" i="1"/>
  <c r="E277" i="1"/>
  <c r="E27" i="1"/>
  <c r="E363" i="1"/>
  <c r="E220" i="1"/>
  <c r="E471" i="1"/>
  <c r="E270" i="1"/>
  <c r="E8" i="1"/>
  <c r="E95" i="1"/>
  <c r="E90" i="1"/>
  <c r="E387" i="1"/>
  <c r="E244" i="1"/>
  <c r="E181" i="1"/>
  <c r="E344" i="1"/>
  <c r="E183" i="1"/>
  <c r="E286" i="1"/>
  <c r="E501" i="1"/>
  <c r="E42" i="1"/>
  <c r="E441" i="1"/>
  <c r="E101" i="1"/>
  <c r="E173" i="1"/>
  <c r="E454" i="1"/>
  <c r="E494" i="1"/>
  <c r="E446" i="1"/>
  <c r="E469" i="1"/>
  <c r="E384" i="1"/>
  <c r="E241" i="1"/>
  <c r="E442" i="1"/>
  <c r="E430" i="1"/>
  <c r="E162" i="1"/>
  <c r="E18" i="1"/>
  <c r="E205" i="1"/>
  <c r="E77" i="1"/>
  <c r="E262" i="1"/>
  <c r="E120" i="1"/>
  <c r="E163" i="1"/>
  <c r="E235" i="1"/>
  <c r="E114" i="1"/>
  <c r="E443" i="1"/>
  <c r="E313" i="1"/>
  <c r="E301" i="1"/>
  <c r="E40" i="1"/>
  <c r="E335" i="1"/>
  <c r="E408" i="1"/>
  <c r="E305" i="1"/>
  <c r="E295" i="1"/>
  <c r="E468" i="1"/>
  <c r="E367" i="1"/>
  <c r="E207" i="1"/>
  <c r="E156" i="1"/>
  <c r="E44" i="1"/>
  <c r="E298" i="1"/>
  <c r="E345" i="1"/>
  <c r="E93" i="1"/>
  <c r="E349" i="1"/>
  <c r="E510" i="1"/>
  <c r="E228" i="1"/>
  <c r="E440" i="1"/>
  <c r="E284" i="1"/>
  <c r="E401" i="1"/>
  <c r="E322" i="1"/>
  <c r="E152" i="1"/>
  <c r="E168" i="1"/>
  <c r="E234" i="1"/>
  <c r="E370" i="1"/>
  <c r="E119" i="1"/>
  <c r="E117" i="1"/>
  <c r="E287" i="1"/>
  <c r="E498" i="1"/>
  <c r="E102" i="1"/>
  <c r="E466" i="1"/>
  <c r="E110" i="1"/>
  <c r="E199" i="1"/>
  <c r="E392" i="1"/>
  <c r="E22" i="1"/>
  <c r="E87" i="1"/>
  <c r="E273" i="1"/>
  <c r="E200" i="1"/>
  <c r="E391" i="1"/>
  <c r="E39" i="1"/>
  <c r="E261" i="1"/>
  <c r="E157" i="1"/>
  <c r="E328" i="1"/>
  <c r="E472" i="1"/>
  <c r="E447" i="1"/>
  <c r="E414" i="1"/>
  <c r="E366" i="1"/>
  <c r="E292" i="1"/>
  <c r="E336" i="1"/>
  <c r="E147" i="1"/>
  <c r="E291" i="1"/>
  <c r="E195" i="1"/>
  <c r="E511" i="1"/>
  <c r="E495" i="1"/>
  <c r="E297" i="1"/>
  <c r="E346" i="1"/>
  <c r="E129" i="1"/>
  <c r="E264" i="1"/>
  <c r="E461" i="1"/>
  <c r="E171" i="1"/>
  <c r="E85" i="1"/>
  <c r="E404" i="1"/>
  <c r="E57" i="1"/>
  <c r="E251" i="1"/>
  <c r="E144" i="1"/>
  <c r="E19" i="1"/>
  <c r="E343" i="1"/>
  <c r="E467" i="1"/>
  <c r="E243" i="1"/>
  <c r="E213" i="1"/>
  <c r="E431" i="1"/>
  <c r="E506" i="1"/>
  <c r="E216" i="1"/>
  <c r="E340" i="1"/>
  <c r="E52" i="1"/>
  <c r="E306" i="1"/>
  <c r="E26" i="1"/>
  <c r="E59" i="1"/>
  <c r="E217" i="1"/>
  <c r="E258" i="1"/>
  <c r="E188" i="1"/>
  <c r="E358" i="1"/>
  <c r="E15" i="1"/>
  <c r="E376" i="1"/>
  <c r="E357" i="1"/>
  <c r="E385" i="1"/>
  <c r="E459" i="1"/>
  <c r="E186" i="1"/>
  <c r="E14" i="1"/>
  <c r="E393" i="1"/>
  <c r="E161" i="1"/>
  <c r="E460" i="1"/>
  <c r="E452" i="1"/>
  <c r="E47" i="1"/>
  <c r="E395" i="1"/>
  <c r="E238" i="1"/>
  <c r="E288" i="1"/>
  <c r="E233" i="1"/>
  <c r="E360" i="1"/>
  <c r="E140" i="1"/>
  <c r="E65" i="1"/>
  <c r="E78" i="1"/>
  <c r="E464" i="1"/>
  <c r="E88" i="1"/>
  <c r="E361" i="1"/>
  <c r="E450" i="1"/>
  <c r="E425" i="1"/>
  <c r="E20" i="1"/>
  <c r="E275" i="1"/>
  <c r="E411" i="1"/>
  <c r="E133" i="1"/>
  <c r="E190" i="1"/>
  <c r="E496" i="1"/>
  <c r="E91" i="1"/>
  <c r="E300" i="1"/>
  <c r="E138" i="1"/>
  <c r="E84" i="1"/>
  <c r="E50" i="1"/>
  <c r="E172" i="1"/>
  <c r="E176" i="1"/>
  <c r="E48" i="1"/>
  <c r="E74" i="1"/>
  <c r="E412" i="1"/>
  <c r="E281" i="1"/>
  <c r="E127" i="1"/>
  <c r="E49" i="1"/>
  <c r="E326" i="1"/>
  <c r="E62" i="1"/>
  <c r="E484" i="1"/>
  <c r="E141" i="1"/>
  <c r="E82" i="1"/>
  <c r="E180" i="1"/>
  <c r="E70" i="1"/>
  <c r="E351" i="1"/>
  <c r="E221" i="1"/>
  <c r="E227" i="1"/>
  <c r="E11" i="1"/>
  <c r="E276" i="1"/>
  <c r="E390" i="1"/>
  <c r="E444" i="1"/>
  <c r="E296" i="1"/>
  <c r="E128" i="1"/>
  <c r="E477" i="1"/>
  <c r="E122" i="1"/>
  <c r="E482" i="1"/>
  <c r="E170" i="1"/>
  <c r="E71" i="1"/>
  <c r="E97" i="1"/>
  <c r="E193" i="1"/>
  <c r="E150" i="1"/>
  <c r="E160" i="1"/>
  <c r="E17" i="1"/>
  <c r="E210" i="1"/>
  <c r="E327" i="1"/>
  <c r="E13" i="1"/>
  <c r="E64" i="1"/>
  <c r="E226" i="1"/>
  <c r="E356" i="1"/>
  <c r="E500" i="1"/>
  <c r="E423" i="1"/>
  <c r="E290" i="1"/>
  <c r="E202" i="1"/>
  <c r="E212" i="1"/>
  <c r="E485" i="1"/>
  <c r="E7" i="1"/>
  <c r="E159" i="1"/>
  <c r="E378" i="1"/>
  <c r="E143" i="1"/>
  <c r="E282" i="1"/>
  <c r="E10" i="1"/>
  <c r="E433" i="1"/>
  <c r="E307" i="1"/>
  <c r="E379" i="1"/>
  <c r="E125" i="1"/>
  <c r="E350" i="1"/>
  <c r="E465" i="1"/>
  <c r="E381" i="1"/>
  <c r="E209" i="1"/>
  <c r="E136" i="1"/>
  <c r="E479" i="1"/>
  <c r="E66" i="1"/>
  <c r="E100" i="1"/>
  <c r="E314" i="1"/>
  <c r="K85" i="1"/>
  <c r="L85" i="1"/>
  <c r="N201" i="1"/>
  <c r="O201" i="1"/>
  <c r="O23" i="1"/>
  <c r="N23" i="1"/>
  <c r="L439" i="1"/>
  <c r="K439" i="1"/>
  <c r="K89" i="1"/>
  <c r="L89" i="1"/>
  <c r="L492" i="1"/>
  <c r="K492" i="1"/>
  <c r="N443" i="1"/>
  <c r="O443" i="1"/>
  <c r="K387" i="1"/>
  <c r="L387" i="1"/>
  <c r="O364" i="1"/>
  <c r="N364" i="1"/>
  <c r="O343" i="1"/>
  <c r="N343" i="1"/>
  <c r="K287" i="1"/>
  <c r="L287" i="1"/>
  <c r="L81" i="1"/>
  <c r="K81" i="1"/>
  <c r="L368" i="1"/>
  <c r="K368" i="1"/>
  <c r="K295" i="1"/>
  <c r="L295" i="1"/>
  <c r="O204" i="1"/>
  <c r="N204" i="1"/>
  <c r="O274" i="1"/>
  <c r="N274" i="1"/>
  <c r="L218" i="1"/>
  <c r="K218" i="1"/>
  <c r="K86" i="1"/>
  <c r="L86" i="1"/>
  <c r="L124" i="1"/>
  <c r="K124" i="1"/>
  <c r="O12" i="1"/>
  <c r="N12" i="1"/>
  <c r="K37" i="1"/>
  <c r="L37" i="1"/>
  <c r="K286" i="1"/>
  <c r="L286" i="1"/>
  <c r="K343" i="1"/>
  <c r="L343" i="1"/>
  <c r="L64" i="1"/>
  <c r="K64" i="1"/>
  <c r="N424" i="1"/>
  <c r="O424" i="1"/>
  <c r="L290" i="1"/>
  <c r="K290" i="1"/>
  <c r="L340" i="1"/>
  <c r="K340" i="1"/>
  <c r="L482" i="1"/>
  <c r="K482" i="1"/>
  <c r="K473" i="1"/>
  <c r="L473" i="1"/>
  <c r="O376" i="1"/>
  <c r="N376" i="1"/>
  <c r="N335" i="1"/>
  <c r="O335" i="1"/>
  <c r="O374" i="1"/>
  <c r="N374" i="1"/>
  <c r="N421" i="1"/>
  <c r="O421" i="1"/>
  <c r="N269" i="1"/>
  <c r="O269" i="1"/>
  <c r="O43" i="1"/>
  <c r="N43" i="1"/>
  <c r="N19" i="1"/>
  <c r="O19" i="1"/>
  <c r="O189" i="1"/>
  <c r="N189" i="1"/>
  <c r="K270" i="1"/>
  <c r="L270" i="1"/>
  <c r="O406" i="1"/>
  <c r="N406" i="1"/>
  <c r="L220" i="1"/>
  <c r="K220" i="1"/>
  <c r="K50" i="1"/>
  <c r="L50" i="1"/>
  <c r="N414" i="1"/>
  <c r="O414" i="1"/>
  <c r="K120" i="1"/>
  <c r="L120" i="1"/>
  <c r="O481" i="1"/>
  <c r="N481" i="1"/>
  <c r="O278" i="1"/>
  <c r="N278" i="1"/>
  <c r="N42" i="1"/>
  <c r="O42" i="1"/>
  <c r="N391" i="1"/>
  <c r="O391" i="1"/>
  <c r="O47" i="1"/>
  <c r="N47" i="1"/>
  <c r="N469" i="1"/>
  <c r="O469" i="1"/>
  <c r="O346" i="1"/>
  <c r="N346" i="1"/>
  <c r="K169" i="1"/>
  <c r="L169" i="1"/>
  <c r="K164" i="1"/>
  <c r="L164" i="1"/>
  <c r="K328" i="1"/>
  <c r="L328" i="1"/>
  <c r="L281" i="1"/>
  <c r="K281" i="1"/>
  <c r="O491" i="1"/>
  <c r="N491" i="1"/>
  <c r="O373" i="1"/>
  <c r="N373" i="1"/>
  <c r="N497" i="1"/>
  <c r="O497" i="1"/>
  <c r="N431" i="1"/>
  <c r="O431" i="1"/>
  <c r="L299" i="1"/>
  <c r="K299" i="1"/>
  <c r="K203" i="1"/>
  <c r="L203" i="1"/>
  <c r="K419" i="1"/>
  <c r="L419" i="1"/>
  <c r="L497" i="1"/>
  <c r="K497" i="1"/>
  <c r="K263" i="1"/>
  <c r="L263" i="1"/>
  <c r="N158" i="1"/>
  <c r="O158" i="1"/>
  <c r="K494" i="1"/>
  <c r="L494" i="1"/>
  <c r="N271" i="1"/>
  <c r="O271" i="1"/>
  <c r="N97" i="1"/>
  <c r="O97" i="1"/>
  <c r="O449" i="1"/>
  <c r="N449" i="1"/>
  <c r="K105" i="1"/>
  <c r="L105" i="1"/>
  <c r="K40" i="1"/>
  <c r="L40" i="1"/>
  <c r="L349" i="1"/>
  <c r="K349" i="1"/>
  <c r="N387" i="1"/>
  <c r="O387" i="1"/>
  <c r="O316" i="1"/>
  <c r="N316" i="1"/>
  <c r="L503" i="1"/>
  <c r="K503" i="1"/>
  <c r="K28" i="1"/>
  <c r="L28" i="1"/>
  <c r="K355" i="1"/>
  <c r="L355" i="1"/>
  <c r="L280" i="1"/>
  <c r="K280" i="1"/>
  <c r="O306" i="1"/>
  <c r="N306" i="1"/>
  <c r="N65" i="1"/>
  <c r="O65" i="1"/>
  <c r="O368" i="1"/>
  <c r="N368" i="1"/>
  <c r="N92" i="1"/>
  <c r="O92" i="1"/>
  <c r="N261" i="1"/>
  <c r="O261" i="1"/>
  <c r="O262" i="1"/>
  <c r="N262" i="1"/>
  <c r="O93" i="1"/>
  <c r="N93" i="1"/>
  <c r="O365" i="1"/>
  <c r="N365" i="1"/>
  <c r="O470" i="1"/>
  <c r="N470" i="1"/>
  <c r="N137" i="1"/>
  <c r="O137" i="1"/>
  <c r="N256" i="1"/>
  <c r="O256" i="1"/>
  <c r="O440" i="1"/>
  <c r="N440" i="1"/>
  <c r="O230" i="1"/>
  <c r="N230" i="1"/>
  <c r="O26" i="1"/>
  <c r="N26" i="1"/>
  <c r="N33" i="1"/>
  <c r="O33" i="1"/>
  <c r="N326" i="1"/>
  <c r="O326" i="1"/>
  <c r="N16" i="1"/>
  <c r="O16" i="1"/>
  <c r="N401" i="1"/>
  <c r="O401" i="1"/>
  <c r="N45" i="1"/>
  <c r="O45" i="1"/>
  <c r="O220" i="1"/>
  <c r="N220" i="1"/>
  <c r="N503" i="1"/>
  <c r="O503" i="1"/>
  <c r="O370" i="1"/>
  <c r="N370" i="1"/>
  <c r="O480" i="1"/>
  <c r="N480" i="1"/>
  <c r="N354" i="1"/>
  <c r="O354" i="1"/>
  <c r="N143" i="1"/>
  <c r="O143" i="1"/>
  <c r="N299" i="1"/>
  <c r="O299" i="1"/>
  <c r="O145" i="1"/>
  <c r="N145" i="1"/>
  <c r="O324" i="1"/>
  <c r="N324" i="1"/>
  <c r="O427" i="1"/>
  <c r="N427" i="1"/>
  <c r="L228" i="1"/>
  <c r="K228" i="1"/>
  <c r="K292" i="1"/>
  <c r="L292" i="1"/>
  <c r="K338" i="1"/>
  <c r="L338" i="1"/>
  <c r="L500" i="1"/>
  <c r="K500" i="1"/>
  <c r="K457" i="1"/>
  <c r="L457" i="1"/>
  <c r="K90" i="1"/>
  <c r="L90" i="1"/>
  <c r="L163" i="1"/>
  <c r="K163" i="1"/>
  <c r="N419" i="1"/>
  <c r="O419" i="1"/>
  <c r="L369" i="1"/>
  <c r="K369" i="1"/>
  <c r="O199" i="1"/>
  <c r="N199" i="1"/>
  <c r="K236" i="1"/>
  <c r="L236" i="1"/>
  <c r="K490" i="1"/>
  <c r="L490" i="1"/>
  <c r="K253" i="1"/>
  <c r="L253" i="1"/>
  <c r="O283" i="1"/>
  <c r="N283" i="1"/>
  <c r="L427" i="1"/>
  <c r="K427" i="1"/>
  <c r="L461" i="1"/>
  <c r="K461" i="1"/>
  <c r="L431" i="1"/>
  <c r="K431" i="1"/>
  <c r="L344" i="1"/>
  <c r="K344" i="1"/>
  <c r="O116" i="1"/>
  <c r="N116" i="1"/>
  <c r="K159" i="1"/>
  <c r="L159" i="1"/>
  <c r="O483" i="1"/>
  <c r="N483" i="1"/>
  <c r="L278" i="1"/>
  <c r="K278" i="1"/>
  <c r="N146" i="1"/>
  <c r="O146" i="1"/>
  <c r="N50" i="1"/>
  <c r="O50" i="1"/>
  <c r="O20" i="1"/>
  <c r="N20" i="1"/>
  <c r="O344" i="1"/>
  <c r="N344" i="1"/>
  <c r="N194" i="1"/>
  <c r="O194" i="1"/>
  <c r="N442" i="1"/>
  <c r="O442" i="1"/>
  <c r="L93" i="1"/>
  <c r="K93" i="1"/>
  <c r="L95" i="1"/>
  <c r="K95" i="1"/>
  <c r="L417" i="1"/>
  <c r="K417" i="1"/>
  <c r="K103" i="1"/>
  <c r="L103" i="1"/>
  <c r="O338" i="1"/>
  <c r="N338" i="1"/>
  <c r="K265" i="1"/>
  <c r="L265" i="1"/>
  <c r="K87" i="1"/>
  <c r="L87" i="1"/>
  <c r="K416" i="1"/>
  <c r="L416" i="1"/>
  <c r="N140" i="1"/>
  <c r="O140" i="1"/>
  <c r="O144" i="1"/>
  <c r="N144" i="1"/>
  <c r="O349" i="1"/>
  <c r="N349" i="1"/>
  <c r="N118" i="1"/>
  <c r="O118" i="1"/>
  <c r="O28" i="1"/>
  <c r="N28" i="1"/>
  <c r="N115" i="1"/>
  <c r="O115" i="1"/>
  <c r="N222" i="1"/>
  <c r="O222" i="1"/>
  <c r="N482" i="1"/>
  <c r="O482" i="1"/>
  <c r="O152" i="1"/>
  <c r="N152" i="1"/>
  <c r="O104" i="1"/>
  <c r="N104" i="1"/>
  <c r="N78" i="1"/>
  <c r="O78" i="1"/>
  <c r="N475" i="1"/>
  <c r="O475" i="1"/>
  <c r="N268" i="1"/>
  <c r="O268" i="1"/>
  <c r="O415" i="1"/>
  <c r="N415" i="1"/>
  <c r="O356" i="1"/>
  <c r="N356" i="1"/>
  <c r="N217" i="1"/>
  <c r="O217" i="1"/>
  <c r="N186" i="1"/>
  <c r="O186" i="1"/>
  <c r="O328" i="1"/>
  <c r="N328" i="1"/>
  <c r="N384" i="1"/>
  <c r="O384" i="1"/>
  <c r="O486" i="1"/>
  <c r="N486" i="1"/>
  <c r="O282" i="1"/>
  <c r="N282" i="1"/>
  <c r="O150" i="1"/>
  <c r="N150" i="1"/>
  <c r="N71" i="1"/>
  <c r="O71" i="1"/>
  <c r="O139" i="1"/>
  <c r="N139" i="1"/>
  <c r="N272" i="1"/>
  <c r="O272" i="1"/>
  <c r="K240" i="1"/>
  <c r="L240" i="1"/>
  <c r="N426" i="1"/>
  <c r="O426" i="1"/>
  <c r="K432" i="1"/>
  <c r="L432" i="1"/>
  <c r="L370" i="1"/>
  <c r="K370" i="1"/>
  <c r="N155" i="1"/>
  <c r="O155" i="1"/>
  <c r="L480" i="1"/>
  <c r="K480" i="1"/>
  <c r="O313" i="1"/>
  <c r="N313" i="1"/>
  <c r="N25" i="1"/>
  <c r="O25" i="1"/>
  <c r="L178" i="1"/>
  <c r="K178" i="1"/>
  <c r="L112" i="1"/>
  <c r="K112" i="1"/>
  <c r="L298" i="1"/>
  <c r="K298" i="1"/>
  <c r="K395" i="1"/>
  <c r="L395" i="1"/>
  <c r="K249" i="1"/>
  <c r="L249" i="1"/>
  <c r="K365" i="1"/>
  <c r="L365" i="1"/>
  <c r="N447" i="1"/>
  <c r="O447" i="1"/>
  <c r="L33" i="1"/>
  <c r="K33" i="1"/>
  <c r="K60" i="1"/>
  <c r="L60" i="1"/>
  <c r="L91" i="1"/>
  <c r="K91" i="1"/>
  <c r="L322" i="1"/>
  <c r="K322" i="1"/>
  <c r="K508" i="1"/>
  <c r="L508" i="1"/>
  <c r="L367" i="1"/>
  <c r="K367" i="1"/>
  <c r="O156" i="1"/>
  <c r="N156" i="1"/>
  <c r="L225" i="1"/>
  <c r="K225" i="1"/>
  <c r="L32" i="1"/>
  <c r="K32" i="1"/>
  <c r="N487" i="1"/>
  <c r="O487" i="1"/>
  <c r="K26" i="1"/>
  <c r="L26" i="1"/>
  <c r="N161" i="1"/>
  <c r="O161" i="1"/>
  <c r="N46" i="1"/>
  <c r="O46" i="1"/>
  <c r="K420" i="1"/>
  <c r="L420" i="1"/>
  <c r="O403" i="1"/>
  <c r="N403" i="1"/>
  <c r="L293" i="1"/>
  <c r="K293" i="1"/>
  <c r="L239" i="1"/>
  <c r="K239" i="1"/>
  <c r="L230" i="1"/>
  <c r="K230" i="1"/>
  <c r="L348" i="1"/>
  <c r="K348" i="1"/>
  <c r="N504" i="1"/>
  <c r="O504" i="1"/>
  <c r="L375" i="1"/>
  <c r="K375" i="1"/>
  <c r="K44" i="1"/>
  <c r="L44" i="1"/>
  <c r="L126" i="1"/>
  <c r="K126" i="1"/>
  <c r="K346" i="1"/>
  <c r="L346" i="1"/>
  <c r="N301" i="1"/>
  <c r="O301" i="1"/>
  <c r="K252" i="1"/>
  <c r="L252" i="1"/>
  <c r="L288" i="1"/>
  <c r="K288" i="1"/>
  <c r="O159" i="1"/>
  <c r="N159" i="1"/>
  <c r="L373" i="1"/>
  <c r="K373" i="1"/>
  <c r="N215" i="1"/>
  <c r="O215" i="1"/>
  <c r="L283" i="1"/>
  <c r="K283" i="1"/>
  <c r="K456" i="1"/>
  <c r="L456" i="1"/>
  <c r="K345" i="1"/>
  <c r="L345" i="1"/>
  <c r="N4" i="1"/>
  <c r="O4" i="1"/>
  <c r="K38" i="1"/>
  <c r="L38" i="1"/>
  <c r="N170" i="1"/>
  <c r="O170" i="1"/>
  <c r="O260" i="1"/>
  <c r="N260" i="1"/>
  <c r="O58" i="1"/>
  <c r="N58" i="1"/>
  <c r="N358" i="1"/>
  <c r="O358" i="1"/>
  <c r="L394" i="1"/>
  <c r="K394" i="1"/>
  <c r="K488" i="1"/>
  <c r="L488" i="1"/>
  <c r="N409" i="1"/>
  <c r="O409" i="1"/>
  <c r="N250" i="1"/>
  <c r="O250" i="1"/>
  <c r="N39" i="1"/>
  <c r="O39" i="1"/>
  <c r="L185" i="1"/>
  <c r="K185" i="1"/>
  <c r="K314" i="1"/>
  <c r="L314" i="1"/>
  <c r="L447" i="1"/>
  <c r="K447" i="1"/>
  <c r="N467" i="1"/>
  <c r="O467" i="1"/>
  <c r="K242" i="1"/>
  <c r="L242" i="1"/>
  <c r="K487" i="1"/>
  <c r="L487" i="1"/>
  <c r="N174" i="1"/>
  <c r="O174" i="1"/>
  <c r="N309" i="1"/>
  <c r="O309" i="1"/>
  <c r="O8" i="1"/>
  <c r="N8" i="1"/>
  <c r="N124" i="1"/>
  <c r="O124" i="1"/>
  <c r="N237" i="1"/>
  <c r="O237" i="1"/>
  <c r="N441" i="1"/>
  <c r="O441" i="1"/>
  <c r="N319" i="1"/>
  <c r="O319" i="1"/>
  <c r="O106" i="1"/>
  <c r="N106" i="1"/>
  <c r="K206" i="1"/>
  <c r="L206" i="1"/>
  <c r="L397" i="1"/>
  <c r="K397" i="1"/>
  <c r="L222" i="1"/>
  <c r="K222" i="1"/>
  <c r="K403" i="1"/>
  <c r="L403" i="1"/>
  <c r="O341" i="1"/>
  <c r="N341" i="1"/>
  <c r="O398" i="1"/>
  <c r="N398" i="1"/>
  <c r="L57" i="1"/>
  <c r="K57" i="1"/>
  <c r="L481" i="1"/>
  <c r="K481" i="1"/>
  <c r="N453" i="1"/>
  <c r="O453" i="1"/>
  <c r="K122" i="1"/>
  <c r="L122" i="1"/>
  <c r="K374" i="1"/>
  <c r="L374" i="1"/>
  <c r="N253" i="1"/>
  <c r="O253" i="1"/>
  <c r="O89" i="1"/>
  <c r="N89" i="1"/>
  <c r="O276" i="1"/>
  <c r="N276" i="1"/>
  <c r="K68" i="1"/>
  <c r="L68" i="1"/>
  <c r="K180" i="1"/>
  <c r="L180" i="1"/>
  <c r="L78" i="1"/>
  <c r="K78" i="1"/>
  <c r="L48" i="1"/>
  <c r="K48" i="1"/>
  <c r="L94" i="1"/>
  <c r="K94" i="1"/>
  <c r="N128" i="1"/>
  <c r="O128" i="1"/>
  <c r="L408" i="1"/>
  <c r="K408" i="1"/>
  <c r="N206" i="1"/>
  <c r="O206" i="1"/>
  <c r="O236" i="1"/>
  <c r="N236" i="1"/>
  <c r="N275" i="1"/>
  <c r="O275" i="1"/>
  <c r="O407" i="1"/>
  <c r="N407" i="1"/>
  <c r="O369" i="1"/>
  <c r="N369" i="1"/>
  <c r="O234" i="1"/>
  <c r="N234" i="1"/>
  <c r="O428" i="1"/>
  <c r="N428" i="1"/>
  <c r="N258" i="1"/>
  <c r="O258" i="1"/>
  <c r="N103" i="1"/>
  <c r="O103" i="1"/>
  <c r="O410" i="1"/>
  <c r="N410" i="1"/>
  <c r="O169" i="1"/>
  <c r="N169" i="1"/>
  <c r="O267" i="1"/>
  <c r="N267" i="1"/>
  <c r="N489" i="1"/>
  <c r="O489" i="1"/>
  <c r="N6" i="1"/>
  <c r="O6" i="1"/>
  <c r="O74" i="1"/>
  <c r="N74" i="1"/>
  <c r="O347" i="1"/>
  <c r="N347" i="1"/>
  <c r="N311" i="1"/>
  <c r="O311" i="1"/>
  <c r="O165" i="1"/>
  <c r="N165" i="1"/>
  <c r="N437" i="1"/>
  <c r="O437" i="1"/>
  <c r="O51" i="1"/>
  <c r="N51" i="1"/>
  <c r="O56" i="1"/>
  <c r="N56" i="1"/>
  <c r="O510" i="1"/>
  <c r="N510" i="1"/>
  <c r="N291" i="1"/>
  <c r="O291" i="1"/>
  <c r="N34" i="1"/>
  <c r="O34" i="1"/>
  <c r="L429" i="1"/>
  <c r="K429" i="1"/>
  <c r="O400" i="1"/>
  <c r="N400" i="1"/>
  <c r="K254" i="1"/>
  <c r="L254" i="1"/>
  <c r="L247" i="1"/>
  <c r="K247" i="1"/>
  <c r="K140" i="1"/>
  <c r="L140" i="1"/>
  <c r="K341" i="1"/>
  <c r="L341" i="1"/>
  <c r="O62" i="1"/>
  <c r="N62" i="1"/>
  <c r="L352" i="1"/>
  <c r="K352" i="1"/>
  <c r="L66" i="1"/>
  <c r="K66" i="1"/>
  <c r="K418" i="1"/>
  <c r="L418" i="1"/>
  <c r="N154" i="1"/>
  <c r="O154" i="1"/>
  <c r="L455" i="1"/>
  <c r="K455" i="1"/>
  <c r="L315" i="1"/>
  <c r="K315" i="1"/>
  <c r="K423" i="1"/>
  <c r="L423" i="1"/>
  <c r="K63" i="1"/>
  <c r="L63" i="1"/>
  <c r="K443" i="1"/>
  <c r="L443" i="1"/>
  <c r="L251" i="1"/>
  <c r="K251" i="1"/>
  <c r="L212" i="1"/>
  <c r="K212" i="1"/>
  <c r="L170" i="1"/>
  <c r="K170" i="1"/>
  <c r="K410" i="1"/>
  <c r="L410" i="1"/>
  <c r="L449" i="1"/>
  <c r="K449" i="1"/>
  <c r="K259" i="1"/>
  <c r="L259" i="1"/>
  <c r="L384" i="1"/>
  <c r="K384" i="1"/>
  <c r="O455" i="1"/>
  <c r="N455" i="1"/>
  <c r="N404" i="1"/>
  <c r="O404" i="1"/>
  <c r="O498" i="1"/>
  <c r="N498" i="1"/>
  <c r="N94" i="1"/>
  <c r="O94" i="1"/>
  <c r="L267" i="1"/>
  <c r="K267" i="1"/>
  <c r="N244" i="1"/>
  <c r="O244" i="1"/>
  <c r="N472" i="1"/>
  <c r="O472" i="1"/>
  <c r="O478" i="1"/>
  <c r="N478" i="1"/>
  <c r="L59" i="1"/>
  <c r="K59" i="1"/>
  <c r="K272" i="1"/>
  <c r="L272" i="1"/>
  <c r="N402" i="1"/>
  <c r="O402" i="1"/>
  <c r="K167" i="1"/>
  <c r="L167" i="1"/>
  <c r="L207" i="1"/>
  <c r="K207" i="1"/>
  <c r="O294" i="1"/>
  <c r="N294" i="1"/>
  <c r="K312" i="1"/>
  <c r="L312" i="1"/>
  <c r="K424" i="1"/>
  <c r="L424" i="1"/>
  <c r="N70" i="1"/>
  <c r="O70" i="1"/>
  <c r="K248" i="1"/>
  <c r="L248" i="1"/>
  <c r="O418" i="1"/>
  <c r="N418" i="1"/>
  <c r="N496" i="1"/>
  <c r="O496" i="1"/>
  <c r="O377" i="1"/>
  <c r="N377" i="1"/>
  <c r="N243" i="1"/>
  <c r="O243" i="1"/>
  <c r="L291" i="1"/>
  <c r="K291" i="1"/>
  <c r="K128" i="1"/>
  <c r="L128" i="1"/>
  <c r="O239" i="1"/>
  <c r="N239" i="1"/>
  <c r="O385" i="1"/>
  <c r="N385" i="1"/>
  <c r="L100" i="1"/>
  <c r="K100" i="1"/>
  <c r="L362" i="1"/>
  <c r="K362" i="1"/>
  <c r="L202" i="1"/>
  <c r="K202" i="1"/>
  <c r="N304" i="1"/>
  <c r="O304" i="1"/>
  <c r="L147" i="1"/>
  <c r="K147" i="1"/>
  <c r="L223" i="1"/>
  <c r="K223" i="1"/>
  <c r="K46" i="1"/>
  <c r="L46" i="1"/>
  <c r="L111" i="1"/>
  <c r="K111" i="1"/>
  <c r="K141" i="1"/>
  <c r="L141" i="1"/>
  <c r="K143" i="1"/>
  <c r="L143" i="1"/>
  <c r="K496" i="1"/>
  <c r="L496" i="1"/>
  <c r="K136" i="1"/>
  <c r="L136" i="1"/>
  <c r="K97" i="1"/>
  <c r="L97" i="1"/>
  <c r="L173" i="1"/>
  <c r="K173" i="1"/>
  <c r="K371" i="1"/>
  <c r="L371" i="1"/>
  <c r="L52" i="1"/>
  <c r="K52" i="1"/>
  <c r="N392" i="1"/>
  <c r="O392" i="1"/>
  <c r="K441" i="1"/>
  <c r="L441" i="1"/>
  <c r="L132" i="1"/>
  <c r="K132" i="1"/>
  <c r="K435" i="1"/>
  <c r="L435" i="1"/>
  <c r="O113" i="1"/>
  <c r="N113" i="1"/>
  <c r="K325" i="1"/>
  <c r="L325" i="1"/>
  <c r="O465" i="1"/>
  <c r="N465" i="1"/>
  <c r="N355" i="1"/>
  <c r="O355" i="1"/>
  <c r="N454" i="1"/>
  <c r="O454" i="1"/>
  <c r="K232" i="1"/>
  <c r="L232" i="1"/>
  <c r="N31" i="1"/>
  <c r="O31" i="1"/>
  <c r="L24" i="1"/>
  <c r="K24" i="1"/>
  <c r="K493" i="1"/>
  <c r="L493" i="1"/>
  <c r="K450" i="1"/>
  <c r="L450" i="1"/>
  <c r="O3" i="1"/>
  <c r="N3" i="1"/>
  <c r="N446" i="1"/>
  <c r="O446" i="1"/>
  <c r="L440" i="1"/>
  <c r="K440" i="1"/>
  <c r="L273" i="1"/>
  <c r="K273" i="1"/>
  <c r="L405" i="1"/>
  <c r="K405" i="1"/>
  <c r="K98" i="1"/>
  <c r="L98" i="1"/>
  <c r="L342" i="1"/>
  <c r="K342" i="1"/>
  <c r="K357" i="1"/>
  <c r="L357" i="1"/>
  <c r="K430" i="1"/>
  <c r="L430" i="1"/>
  <c r="K381" i="1"/>
  <c r="L381" i="1"/>
  <c r="L331" i="1"/>
  <c r="K331" i="1"/>
  <c r="K92" i="1"/>
  <c r="L92" i="1"/>
  <c r="L386" i="1"/>
  <c r="K386" i="1"/>
  <c r="N394" i="1"/>
  <c r="O394" i="1"/>
  <c r="K123" i="1"/>
  <c r="L123" i="1"/>
  <c r="K35" i="1"/>
  <c r="L35" i="1"/>
  <c r="L336" i="1"/>
  <c r="K336" i="1"/>
  <c r="K271" i="1"/>
  <c r="L271" i="1"/>
  <c r="L84" i="1"/>
  <c r="K84" i="1"/>
  <c r="L330" i="1"/>
  <c r="K330" i="1"/>
  <c r="N228" i="1"/>
  <c r="O228" i="1"/>
  <c r="O381" i="1"/>
  <c r="N381" i="1"/>
  <c r="K201" i="1"/>
  <c r="L201" i="1"/>
  <c r="K305" i="1"/>
  <c r="L305" i="1"/>
  <c r="K506" i="1"/>
  <c r="L506" i="1"/>
  <c r="L229" i="1"/>
  <c r="K229" i="1"/>
  <c r="K166" i="1"/>
  <c r="L166" i="1"/>
  <c r="L385" i="1"/>
  <c r="K385" i="1"/>
  <c r="N197" i="1"/>
  <c r="O197" i="1"/>
  <c r="O484" i="1"/>
  <c r="N484" i="1"/>
  <c r="L88" i="1"/>
  <c r="K88" i="1"/>
  <c r="N248" i="1"/>
  <c r="O248" i="1"/>
  <c r="O235" i="1"/>
  <c r="N235" i="1"/>
  <c r="N514" i="1"/>
  <c r="O514" i="1"/>
  <c r="N254" i="1"/>
  <c r="O254" i="1"/>
  <c r="L426" i="1"/>
  <c r="K426" i="1"/>
  <c r="K468" i="1"/>
  <c r="L468" i="1"/>
  <c r="K41" i="1"/>
  <c r="L41" i="1"/>
  <c r="K466" i="1"/>
  <c r="L466" i="1"/>
  <c r="O252" i="1"/>
  <c r="N252" i="1"/>
  <c r="O193" i="1"/>
  <c r="N193" i="1"/>
  <c r="K183" i="1"/>
  <c r="L183" i="1"/>
  <c r="L25" i="1"/>
  <c r="K25" i="1"/>
  <c r="N24" i="1"/>
  <c r="O24" i="1"/>
  <c r="L54" i="1"/>
  <c r="K54" i="1"/>
  <c r="L479" i="1"/>
  <c r="K479" i="1"/>
  <c r="N280" i="1"/>
  <c r="O280" i="1"/>
  <c r="K246" i="1"/>
  <c r="L246" i="1"/>
  <c r="O136" i="1"/>
  <c r="N136" i="1"/>
  <c r="O148" i="1"/>
  <c r="N148" i="1"/>
  <c r="N257" i="1"/>
  <c r="O257" i="1"/>
  <c r="O490" i="1"/>
  <c r="N490" i="1"/>
  <c r="O86" i="1"/>
  <c r="N86" i="1"/>
  <c r="L359" i="1"/>
  <c r="K359" i="1"/>
  <c r="K146" i="1"/>
  <c r="L146" i="1"/>
  <c r="L495" i="1"/>
  <c r="K495" i="1"/>
  <c r="O147" i="1"/>
  <c r="N147" i="1"/>
  <c r="N430" i="1"/>
  <c r="O430" i="1"/>
  <c r="L511" i="1"/>
  <c r="K511" i="1"/>
  <c r="N423" i="1"/>
  <c r="O423" i="1"/>
  <c r="O30" i="1"/>
  <c r="N30" i="1"/>
  <c r="O241" i="1"/>
  <c r="N241" i="1"/>
  <c r="N190" i="1"/>
  <c r="O190" i="1"/>
  <c r="L306" i="1"/>
  <c r="K306" i="1"/>
  <c r="K402" i="1"/>
  <c r="L402" i="1"/>
  <c r="L125" i="1"/>
  <c r="K125" i="1"/>
  <c r="L177" i="1"/>
  <c r="K177" i="1"/>
  <c r="O249" i="1"/>
  <c r="N249" i="1"/>
  <c r="O85" i="1"/>
  <c r="N85" i="1"/>
  <c r="N41" i="1"/>
  <c r="O41" i="1"/>
  <c r="O295" i="1"/>
  <c r="N295" i="1"/>
  <c r="O494" i="1"/>
  <c r="N494" i="1"/>
  <c r="O64" i="1"/>
  <c r="N64" i="1"/>
  <c r="O110" i="1"/>
  <c r="N110" i="1"/>
  <c r="O27" i="1"/>
  <c r="N27" i="1"/>
  <c r="O38" i="1"/>
  <c r="N38" i="1"/>
  <c r="N160" i="1"/>
  <c r="O160" i="1"/>
  <c r="N264" i="1"/>
  <c r="O264" i="1"/>
  <c r="O134" i="1"/>
  <c r="N134" i="1"/>
  <c r="O202" i="1"/>
  <c r="N202" i="1"/>
  <c r="N502" i="1"/>
  <c r="O502" i="1"/>
  <c r="N485" i="1"/>
  <c r="O485" i="1"/>
  <c r="O468" i="1"/>
  <c r="N468" i="1"/>
  <c r="N367" i="1"/>
  <c r="O367" i="1"/>
  <c r="O229" i="1"/>
  <c r="N229" i="1"/>
  <c r="N88" i="1"/>
  <c r="O88" i="1"/>
  <c r="O203" i="1"/>
  <c r="N203" i="1"/>
  <c r="N162" i="1"/>
  <c r="O162" i="1"/>
  <c r="O462" i="1"/>
  <c r="N462" i="1"/>
  <c r="L150" i="1"/>
  <c r="K150" i="1"/>
  <c r="N488" i="1"/>
  <c r="O488" i="1"/>
  <c r="N303" i="1"/>
  <c r="O303" i="1"/>
  <c r="N5" i="1"/>
  <c r="O5" i="1"/>
  <c r="N77" i="1"/>
  <c r="O77" i="1"/>
  <c r="N353" i="1"/>
  <c r="O353" i="1"/>
  <c r="O456" i="1"/>
  <c r="N456" i="1"/>
  <c r="O121" i="1"/>
  <c r="N121" i="1"/>
  <c r="N59" i="1"/>
  <c r="O59" i="1"/>
  <c r="N342" i="1"/>
  <c r="O342" i="1"/>
  <c r="N329" i="1"/>
  <c r="O329" i="1"/>
  <c r="O192" i="1"/>
  <c r="N192" i="1"/>
  <c r="O231" i="1"/>
  <c r="N231" i="1"/>
  <c r="L257" i="1"/>
  <c r="K257" i="1"/>
  <c r="L377" i="1"/>
  <c r="K377" i="1"/>
  <c r="K472" i="1"/>
  <c r="L472" i="1"/>
  <c r="N477" i="1"/>
  <c r="O477" i="1"/>
  <c r="K130" i="1"/>
  <c r="L130" i="1"/>
  <c r="K83" i="1"/>
  <c r="L83" i="1"/>
  <c r="K27" i="1"/>
  <c r="L27" i="1"/>
  <c r="L279" i="1"/>
  <c r="K279" i="1"/>
  <c r="O383" i="1"/>
  <c r="N383" i="1"/>
  <c r="L319" i="1"/>
  <c r="K319" i="1"/>
  <c r="K446" i="1"/>
  <c r="L446" i="1"/>
  <c r="K151" i="1"/>
  <c r="L151" i="1"/>
  <c r="O83" i="1"/>
  <c r="N83" i="1"/>
  <c r="N11" i="1"/>
  <c r="O11" i="1"/>
  <c r="K189" i="1"/>
  <c r="L189" i="1"/>
  <c r="L469" i="1"/>
  <c r="K469" i="1"/>
  <c r="K327" i="1"/>
  <c r="L327" i="1"/>
  <c r="N511" i="1"/>
  <c r="O511" i="1"/>
  <c r="L70" i="1"/>
  <c r="K70" i="1"/>
  <c r="O285" i="1"/>
  <c r="N285" i="1"/>
  <c r="K321" i="1"/>
  <c r="L321" i="1"/>
  <c r="L200" i="1"/>
  <c r="K200" i="1"/>
  <c r="L398" i="1"/>
  <c r="K398" i="1"/>
  <c r="K414" i="1"/>
  <c r="L414" i="1"/>
  <c r="K226" i="1"/>
  <c r="L226" i="1"/>
  <c r="O191" i="1"/>
  <c r="N191" i="1"/>
  <c r="K196" i="1"/>
  <c r="L196" i="1"/>
  <c r="K96" i="1"/>
  <c r="L96" i="1"/>
  <c r="L509" i="1"/>
  <c r="K509" i="1"/>
  <c r="L43" i="1"/>
  <c r="K43" i="1"/>
  <c r="L79" i="1"/>
  <c r="K79" i="1"/>
  <c r="K119" i="1"/>
  <c r="L119" i="1"/>
  <c r="O432" i="1"/>
  <c r="N432" i="1"/>
  <c r="K235" i="1"/>
  <c r="L235" i="1"/>
  <c r="O57" i="1"/>
  <c r="N57" i="1"/>
  <c r="K157" i="1"/>
  <c r="L157" i="1"/>
  <c r="K108" i="1"/>
  <c r="L108" i="1"/>
  <c r="L389" i="1"/>
  <c r="K389" i="1"/>
  <c r="L256" i="1"/>
  <c r="K256" i="1"/>
  <c r="L470" i="1"/>
  <c r="K470" i="1"/>
  <c r="O321" i="1"/>
  <c r="N321" i="1"/>
  <c r="N277" i="1"/>
  <c r="O277" i="1"/>
  <c r="N232" i="1"/>
  <c r="O232" i="1"/>
  <c r="O48" i="1"/>
  <c r="N48" i="1"/>
  <c r="O479" i="1"/>
  <c r="N479" i="1"/>
  <c r="L118" i="1"/>
  <c r="K118" i="1"/>
  <c r="K316" i="1"/>
  <c r="L316" i="1"/>
  <c r="L171" i="1"/>
  <c r="K171" i="1"/>
  <c r="K139" i="1"/>
  <c r="L139" i="1"/>
  <c r="L303" i="1"/>
  <c r="K303" i="1"/>
  <c r="O177" i="1"/>
  <c r="N177" i="1"/>
  <c r="L391" i="1"/>
  <c r="K391" i="1"/>
  <c r="K448" i="1"/>
  <c r="L448" i="1"/>
  <c r="L31" i="1"/>
  <c r="K31" i="1"/>
  <c r="K289" i="1"/>
  <c r="L289" i="1"/>
  <c r="L437" i="1"/>
  <c r="K437" i="1"/>
  <c r="N413" i="1"/>
  <c r="O413" i="1"/>
  <c r="O210" i="1"/>
  <c r="N210" i="1"/>
  <c r="K135" i="1"/>
  <c r="L135" i="1"/>
  <c r="N388" i="1"/>
  <c r="O388" i="1"/>
  <c r="N348" i="1"/>
  <c r="O348" i="1"/>
  <c r="N149" i="1"/>
  <c r="O149" i="1"/>
  <c r="N463" i="1"/>
  <c r="O463" i="1"/>
  <c r="K372" i="1"/>
  <c r="L372" i="1"/>
  <c r="K462" i="1"/>
  <c r="L462" i="1"/>
  <c r="L205" i="1"/>
  <c r="K205" i="1"/>
  <c r="O434" i="1"/>
  <c r="N434" i="1"/>
  <c r="K184" i="1"/>
  <c r="L184" i="1"/>
  <c r="K23" i="1"/>
  <c r="L23" i="1"/>
  <c r="N273" i="1"/>
  <c r="O273" i="1"/>
  <c r="N451" i="1"/>
  <c r="O451" i="1"/>
  <c r="N464" i="1"/>
  <c r="O464" i="1"/>
  <c r="O436" i="1"/>
  <c r="N436" i="1"/>
  <c r="N187" i="1"/>
  <c r="O187" i="1"/>
  <c r="L199" i="1"/>
  <c r="K199" i="1"/>
  <c r="K452" i="1"/>
  <c r="L452" i="1"/>
  <c r="K276" i="1"/>
  <c r="L276" i="1"/>
  <c r="K161" i="1"/>
  <c r="L161" i="1"/>
  <c r="O251" i="1"/>
  <c r="N251" i="1"/>
  <c r="O18" i="1"/>
  <c r="N18" i="1"/>
  <c r="N425" i="1"/>
  <c r="O425" i="1"/>
  <c r="O445" i="1"/>
  <c r="N445" i="1"/>
  <c r="O173" i="1"/>
  <c r="N173" i="1"/>
  <c r="K502" i="1"/>
  <c r="L502" i="1"/>
  <c r="K244" i="1"/>
  <c r="L244" i="1"/>
  <c r="L382" i="1"/>
  <c r="K382" i="1"/>
  <c r="L188" i="1"/>
  <c r="K188" i="1"/>
  <c r="L458" i="1"/>
  <c r="K458" i="1"/>
  <c r="L214" i="1"/>
  <c r="K214" i="1"/>
  <c r="N227" i="1"/>
  <c r="O227" i="1"/>
  <c r="N417" i="1"/>
  <c r="O417" i="1"/>
  <c r="O242" i="1"/>
  <c r="N242" i="1"/>
  <c r="O395" i="1"/>
  <c r="N395" i="1"/>
  <c r="O207" i="1"/>
  <c r="N207" i="1"/>
  <c r="O290" i="1"/>
  <c r="N290" i="1"/>
  <c r="O79" i="1"/>
  <c r="N79" i="1"/>
  <c r="O444" i="1"/>
  <c r="N444" i="1"/>
  <c r="N196" i="1"/>
  <c r="O196" i="1"/>
  <c r="N493" i="1"/>
  <c r="O493" i="1"/>
  <c r="N221" i="1"/>
  <c r="O221" i="1"/>
  <c r="O17" i="1"/>
  <c r="N17" i="1"/>
  <c r="O87" i="1"/>
  <c r="N87" i="1"/>
  <c r="O331" i="1"/>
  <c r="N331" i="1"/>
  <c r="N320" i="1"/>
  <c r="O320" i="1"/>
  <c r="O111" i="1"/>
  <c r="N111" i="1"/>
  <c r="N29" i="1"/>
  <c r="O29" i="1"/>
  <c r="N219" i="1"/>
  <c r="O219" i="1"/>
  <c r="O90" i="1"/>
  <c r="N90" i="1"/>
  <c r="O390" i="1"/>
  <c r="N390" i="1"/>
  <c r="N458" i="1"/>
  <c r="O458" i="1"/>
  <c r="N80" i="1"/>
  <c r="O80" i="1"/>
  <c r="O132" i="1"/>
  <c r="N132" i="1"/>
  <c r="O54" i="1"/>
  <c r="N54" i="1"/>
  <c r="O315" i="1"/>
  <c r="N315" i="1"/>
  <c r="L233" i="1"/>
  <c r="K233" i="1"/>
  <c r="K195" i="1"/>
  <c r="L195" i="1"/>
  <c r="L61" i="1"/>
  <c r="K61" i="1"/>
  <c r="N81" i="1"/>
  <c r="O81" i="1"/>
  <c r="N495" i="1"/>
  <c r="O495" i="1"/>
  <c r="K107" i="1"/>
  <c r="L107" i="1"/>
  <c r="K213" i="1"/>
  <c r="L213" i="1"/>
  <c r="L175" i="1"/>
  <c r="K175" i="1"/>
  <c r="K467" i="1"/>
  <c r="L467" i="1"/>
  <c r="N439" i="1"/>
  <c r="O439" i="1"/>
  <c r="L187" i="1"/>
  <c r="K187" i="1"/>
  <c r="L55" i="1"/>
  <c r="K55" i="1"/>
  <c r="L465" i="1"/>
  <c r="K465" i="1"/>
  <c r="K160" i="1"/>
  <c r="L160" i="1"/>
  <c r="K499" i="1"/>
  <c r="L499" i="1"/>
  <c r="L269" i="1"/>
  <c r="K269" i="1"/>
  <c r="K113" i="1"/>
  <c r="L113" i="1"/>
  <c r="L237" i="1"/>
  <c r="K237" i="1"/>
  <c r="L504" i="1"/>
  <c r="K504" i="1"/>
  <c r="K296" i="1"/>
  <c r="L296" i="1"/>
  <c r="K104" i="1"/>
  <c r="L104" i="1"/>
  <c r="O448" i="1"/>
  <c r="N448" i="1"/>
  <c r="L260" i="1"/>
  <c r="K260" i="1"/>
  <c r="L460" i="1"/>
  <c r="K460" i="1"/>
  <c r="K463" i="1"/>
  <c r="L463" i="1"/>
  <c r="K311" i="1"/>
  <c r="L311" i="1"/>
  <c r="K129" i="1"/>
  <c r="L129" i="1"/>
  <c r="L179" i="1"/>
  <c r="K179" i="1"/>
  <c r="O225" i="1"/>
  <c r="N225" i="1"/>
  <c r="O317" i="1"/>
  <c r="N317" i="1"/>
  <c r="K102" i="1"/>
  <c r="L102" i="1"/>
  <c r="L194" i="1"/>
  <c r="K194" i="1"/>
  <c r="L209" i="1"/>
  <c r="K209" i="1"/>
  <c r="K152" i="1"/>
  <c r="L152" i="1"/>
  <c r="L261" i="1"/>
  <c r="K261" i="1"/>
  <c r="L62" i="1"/>
  <c r="K62" i="1"/>
  <c r="K354" i="1"/>
  <c r="L354" i="1"/>
  <c r="K219" i="1"/>
  <c r="L219" i="1"/>
  <c r="N226" i="1"/>
  <c r="O226" i="1"/>
  <c r="O287" i="1"/>
  <c r="N287" i="1"/>
  <c r="K390" i="1"/>
  <c r="L390" i="1"/>
  <c r="K208" i="1"/>
  <c r="L208" i="1"/>
  <c r="K117" i="1"/>
  <c r="L117" i="1"/>
  <c r="O366" i="1"/>
  <c r="N366" i="1"/>
  <c r="L317" i="1"/>
  <c r="K317" i="1"/>
  <c r="K217" i="1"/>
  <c r="L217" i="1"/>
  <c r="L72" i="1"/>
  <c r="K72" i="1"/>
  <c r="K153" i="1"/>
  <c r="L153" i="1"/>
  <c r="K433" i="1"/>
  <c r="L433" i="1"/>
  <c r="L475" i="1"/>
  <c r="K475" i="1"/>
  <c r="L99" i="1"/>
  <c r="K99" i="1"/>
  <c r="L148" i="1"/>
  <c r="K148" i="1"/>
  <c r="O44" i="1"/>
  <c r="N44" i="1"/>
  <c r="L351" i="1"/>
  <c r="K351" i="1"/>
  <c r="K329" i="1"/>
  <c r="L329" i="1"/>
  <c r="K186" i="1"/>
  <c r="L186" i="1"/>
  <c r="K109" i="1"/>
  <c r="L109" i="1"/>
  <c r="N307" i="1"/>
  <c r="O307" i="1"/>
  <c r="L45" i="1"/>
  <c r="K45" i="1"/>
  <c r="L155" i="1"/>
  <c r="K155" i="1"/>
  <c r="O265" i="1"/>
  <c r="N265" i="1"/>
  <c r="O318" i="1"/>
  <c r="N318" i="1"/>
  <c r="O82" i="1"/>
  <c r="N82" i="1"/>
  <c r="L115" i="1"/>
  <c r="K115" i="1"/>
  <c r="O281" i="1"/>
  <c r="N281" i="1"/>
  <c r="K51" i="1"/>
  <c r="L51" i="1"/>
  <c r="N300" i="1"/>
  <c r="O300" i="1"/>
  <c r="L425" i="1"/>
  <c r="K425" i="1"/>
  <c r="O312" i="1"/>
  <c r="N312" i="1"/>
  <c r="O9" i="1"/>
  <c r="N9" i="1"/>
  <c r="L406" i="1"/>
  <c r="K406" i="1"/>
  <c r="L182" i="1"/>
  <c r="K182" i="1"/>
  <c r="K366" i="1"/>
  <c r="L366" i="1"/>
  <c r="K476" i="1"/>
  <c r="L476" i="1"/>
  <c r="O99" i="1"/>
  <c r="N99" i="1"/>
  <c r="L347" i="1"/>
  <c r="K347" i="1"/>
  <c r="K258" i="1"/>
  <c r="L258" i="1"/>
  <c r="L409" i="1"/>
  <c r="K409" i="1"/>
  <c r="O345" i="1"/>
  <c r="N345" i="1"/>
  <c r="K422" i="1"/>
  <c r="L422" i="1"/>
  <c r="O172" i="1"/>
  <c r="N172" i="1"/>
  <c r="O233" i="1"/>
  <c r="N233" i="1"/>
  <c r="N216" i="1"/>
  <c r="O216" i="1"/>
  <c r="O246" i="1"/>
  <c r="N246" i="1"/>
  <c r="K234" i="1"/>
  <c r="L234" i="1"/>
  <c r="L383" i="1"/>
  <c r="K383" i="1"/>
  <c r="O218" i="1"/>
  <c r="N218" i="1"/>
  <c r="O429" i="1"/>
  <c r="N429" i="1"/>
  <c r="L158" i="1"/>
  <c r="K158" i="1"/>
  <c r="O36" i="1"/>
  <c r="N36" i="1"/>
  <c r="O389" i="1"/>
  <c r="N389" i="1"/>
  <c r="N339" i="1"/>
  <c r="O339" i="1"/>
  <c r="N308" i="1"/>
  <c r="O308" i="1"/>
  <c r="L168" i="1"/>
  <c r="K168" i="1"/>
  <c r="N164" i="1"/>
  <c r="O164" i="1"/>
  <c r="O66" i="1"/>
  <c r="N66" i="1"/>
  <c r="L22" i="1"/>
  <c r="K22" i="1"/>
  <c r="N323" i="1"/>
  <c r="O323" i="1"/>
  <c r="N157" i="1"/>
  <c r="O157" i="1"/>
  <c r="O138" i="1"/>
  <c r="N138" i="1"/>
  <c r="O438" i="1"/>
  <c r="N438" i="1"/>
  <c r="K483" i="1"/>
  <c r="L483" i="1"/>
  <c r="K197" i="1"/>
  <c r="L197" i="1"/>
  <c r="K127" i="1"/>
  <c r="L127" i="1"/>
  <c r="N67" i="1"/>
  <c r="O67" i="1"/>
  <c r="O198" i="1"/>
  <c r="N198" i="1"/>
  <c r="O372" i="1"/>
  <c r="N372" i="1"/>
  <c r="N73" i="1"/>
  <c r="O73" i="1"/>
  <c r="N180" i="1"/>
  <c r="O180" i="1"/>
  <c r="N351" i="1"/>
  <c r="O351" i="1"/>
  <c r="N84" i="1"/>
  <c r="O84" i="1"/>
  <c r="L302" i="1"/>
  <c r="K302" i="1"/>
  <c r="N259" i="1"/>
  <c r="O259" i="1"/>
  <c r="N411" i="1"/>
  <c r="O411" i="1"/>
  <c r="N76" i="1"/>
  <c r="O76" i="1"/>
  <c r="O284" i="1"/>
  <c r="N284" i="1"/>
  <c r="O176" i="1"/>
  <c r="N176" i="1"/>
  <c r="N117" i="1"/>
  <c r="O117" i="1"/>
  <c r="O122" i="1"/>
  <c r="N122" i="1"/>
  <c r="N200" i="1"/>
  <c r="O200" i="1"/>
  <c r="O292" i="1"/>
  <c r="N292" i="1"/>
  <c r="N422" i="1"/>
  <c r="O422" i="1"/>
  <c r="O325" i="1"/>
  <c r="N325" i="1"/>
  <c r="N7" i="1"/>
  <c r="O7" i="1"/>
  <c r="O75" i="1"/>
  <c r="N75" i="1"/>
  <c r="O509" i="1"/>
  <c r="N509" i="1"/>
  <c r="O182" i="1"/>
  <c r="N182" i="1"/>
  <c r="O340" i="1"/>
  <c r="N340" i="1"/>
  <c r="N100" i="1"/>
  <c r="O100" i="1"/>
  <c r="O375" i="1"/>
  <c r="N375" i="1"/>
  <c r="N175" i="1"/>
  <c r="O175" i="1"/>
  <c r="N350" i="1"/>
  <c r="O350" i="1"/>
  <c r="O126" i="1"/>
  <c r="N126" i="1"/>
  <c r="N35" i="1"/>
  <c r="O35" i="1"/>
  <c r="O125" i="1"/>
  <c r="N125" i="1"/>
  <c r="O168" i="1"/>
  <c r="N168" i="1"/>
  <c r="N142" i="1"/>
  <c r="O142" i="1"/>
  <c r="O108" i="1"/>
  <c r="N108" i="1"/>
  <c r="K275" i="1"/>
  <c r="L275" i="1"/>
  <c r="N322" i="1"/>
  <c r="O322" i="1"/>
  <c r="O416" i="1"/>
  <c r="N416" i="1"/>
  <c r="O13" i="1"/>
  <c r="N13" i="1"/>
  <c r="O405" i="1"/>
  <c r="N405" i="1"/>
  <c r="O133" i="1"/>
  <c r="N133" i="1"/>
  <c r="L404" i="1"/>
  <c r="K404" i="1"/>
  <c r="K67" i="1"/>
  <c r="L67" i="1"/>
  <c r="K392" i="1"/>
  <c r="L392" i="1"/>
  <c r="N399" i="1"/>
  <c r="O399" i="1"/>
  <c r="K131" i="1"/>
  <c r="L131" i="1"/>
  <c r="L474" i="1"/>
  <c r="K474" i="1"/>
  <c r="K320" i="1"/>
  <c r="L320" i="1"/>
  <c r="N63" i="1"/>
  <c r="O63" i="1"/>
  <c r="K264" i="1"/>
  <c r="L264" i="1"/>
  <c r="O40" i="1"/>
  <c r="N40" i="1"/>
  <c r="K407" i="1"/>
  <c r="L407" i="1"/>
  <c r="L380" i="1"/>
  <c r="K380" i="1"/>
  <c r="O507" i="1"/>
  <c r="N507" i="1"/>
  <c r="L353" i="1"/>
  <c r="K353" i="1"/>
  <c r="K193" i="1"/>
  <c r="L193" i="1"/>
  <c r="O286" i="1"/>
  <c r="N286" i="1"/>
  <c r="O263" i="1"/>
  <c r="N263" i="1"/>
  <c r="L491" i="1"/>
  <c r="K491" i="1"/>
  <c r="L149" i="1"/>
  <c r="K149" i="1"/>
  <c r="K438" i="1"/>
  <c r="L438" i="1"/>
  <c r="K65" i="1"/>
  <c r="L65" i="1"/>
  <c r="L310" i="1"/>
  <c r="K310" i="1"/>
  <c r="O393" i="1"/>
  <c r="N393" i="1"/>
  <c r="L74" i="1"/>
  <c r="K74" i="1"/>
  <c r="L514" i="1"/>
  <c r="K514" i="1"/>
  <c r="O435" i="1"/>
  <c r="N435" i="1"/>
  <c r="L75" i="1"/>
  <c r="K75" i="1"/>
  <c r="N420" i="1"/>
  <c r="O420" i="1"/>
  <c r="K512" i="1"/>
  <c r="L512" i="1"/>
  <c r="O337" i="1"/>
  <c r="N337" i="1"/>
  <c r="L250" i="1"/>
  <c r="K250" i="1"/>
  <c r="L144" i="1"/>
  <c r="K144" i="1"/>
  <c r="L80" i="1"/>
  <c r="K80" i="1"/>
  <c r="N289" i="1"/>
  <c r="O289" i="1"/>
  <c r="O32" i="1"/>
  <c r="N32" i="1"/>
  <c r="O205" i="1"/>
  <c r="N205" i="1"/>
  <c r="N212" i="1"/>
  <c r="O212" i="1"/>
  <c r="N459" i="1"/>
  <c r="O459" i="1"/>
  <c r="O72" i="1"/>
  <c r="N72" i="1"/>
  <c r="K301" i="1"/>
  <c r="L301" i="1"/>
  <c r="K309" i="1"/>
  <c r="L309" i="1"/>
  <c r="K505" i="1"/>
  <c r="L505" i="1"/>
  <c r="K415" i="1"/>
  <c r="L415" i="1"/>
  <c r="L73" i="1"/>
  <c r="K73" i="1"/>
  <c r="N512" i="1"/>
  <c r="O512" i="1"/>
  <c r="O153" i="1"/>
  <c r="N153" i="1"/>
  <c r="O397" i="1"/>
  <c r="N397" i="1"/>
  <c r="N505" i="1"/>
  <c r="O505" i="1"/>
  <c r="O130" i="1"/>
  <c r="N130" i="1"/>
  <c r="K489" i="1"/>
  <c r="L489" i="1"/>
  <c r="N37" i="1"/>
  <c r="O37" i="1"/>
  <c r="L464" i="1"/>
  <c r="K464" i="1"/>
  <c r="L335" i="1"/>
  <c r="K335" i="1"/>
  <c r="K210" i="1"/>
  <c r="L210" i="1"/>
  <c r="N279" i="1"/>
  <c r="O279" i="1"/>
  <c r="N305" i="1"/>
  <c r="O305" i="1"/>
  <c r="K507" i="1"/>
  <c r="L507" i="1"/>
  <c r="K477" i="1"/>
  <c r="L477" i="1"/>
  <c r="K262" i="1"/>
  <c r="L262" i="1"/>
  <c r="L138" i="1"/>
  <c r="K138" i="1"/>
  <c r="K484" i="1"/>
  <c r="L484" i="1"/>
  <c r="N371" i="1"/>
  <c r="O371" i="1"/>
  <c r="O240" i="1"/>
  <c r="N240" i="1"/>
  <c r="O181" i="1"/>
  <c r="N181" i="1"/>
  <c r="K399" i="1"/>
  <c r="L399" i="1"/>
  <c r="K274" i="1"/>
  <c r="L274" i="1"/>
  <c r="L106" i="1"/>
  <c r="K106" i="1"/>
  <c r="K400" i="1"/>
  <c r="L400" i="1"/>
  <c r="N255" i="1"/>
  <c r="O255" i="1"/>
  <c r="K231" i="1"/>
  <c r="L231" i="1"/>
  <c r="K238" i="1"/>
  <c r="L238" i="1"/>
  <c r="N501" i="1"/>
  <c r="O501" i="1"/>
  <c r="N185" i="1"/>
  <c r="O185" i="1"/>
  <c r="O151" i="1"/>
  <c r="N151" i="1"/>
  <c r="K245" i="1"/>
  <c r="L245" i="1"/>
  <c r="O188" i="1"/>
  <c r="N188" i="1"/>
  <c r="N120" i="1"/>
  <c r="O120" i="1"/>
  <c r="O105" i="1"/>
  <c r="N105" i="1"/>
  <c r="N334" i="1"/>
  <c r="O334" i="1"/>
  <c r="K215" i="1"/>
  <c r="L215" i="1"/>
  <c r="L69" i="1"/>
  <c r="K69" i="1"/>
  <c r="K356" i="1"/>
  <c r="L356" i="1"/>
  <c r="L110" i="1"/>
  <c r="K110" i="1"/>
  <c r="O460" i="1"/>
  <c r="N460" i="1"/>
  <c r="O330" i="1"/>
  <c r="N330" i="1"/>
  <c r="O119" i="1"/>
  <c r="N119" i="1"/>
  <c r="O245" i="1"/>
  <c r="N245" i="1"/>
  <c r="O135" i="1"/>
  <c r="N135" i="1"/>
  <c r="N49" i="1"/>
  <c r="O49" i="1"/>
  <c r="O10" i="1"/>
  <c r="N10" i="1"/>
  <c r="N476" i="1"/>
  <c r="O476" i="1"/>
  <c r="O310" i="1"/>
  <c r="N310" i="1"/>
  <c r="N209" i="1"/>
  <c r="O209" i="1"/>
  <c r="O457" i="1"/>
  <c r="N457" i="1"/>
  <c r="O95" i="1"/>
  <c r="N95" i="1"/>
  <c r="N382" i="1"/>
  <c r="O382" i="1"/>
  <c r="O163" i="1"/>
  <c r="N163" i="1"/>
  <c r="O296" i="1"/>
  <c r="N296" i="1"/>
  <c r="N270" i="1"/>
  <c r="O270" i="1"/>
  <c r="O380" i="1"/>
  <c r="N380" i="1"/>
  <c r="N508" i="1"/>
  <c r="O508" i="1"/>
  <c r="N195" i="1"/>
  <c r="O195" i="1"/>
  <c r="N492" i="1"/>
  <c r="O492" i="1"/>
  <c r="N68" i="1"/>
  <c r="O68" i="1"/>
  <c r="O362" i="1"/>
  <c r="N362" i="1"/>
  <c r="O513" i="1"/>
  <c r="N513" i="1"/>
  <c r="N378" i="1"/>
  <c r="O378" i="1"/>
  <c r="N386" i="1"/>
  <c r="O386" i="1"/>
  <c r="O167" i="1"/>
  <c r="N167" i="1"/>
  <c r="N474" i="1"/>
  <c r="O474" i="1"/>
  <c r="N96" i="1"/>
  <c r="O96" i="1"/>
  <c r="K451" i="1"/>
  <c r="L451" i="1"/>
  <c r="L308" i="1"/>
  <c r="K308" i="1"/>
  <c r="L428" i="1"/>
  <c r="K428" i="1"/>
  <c r="K190" i="1"/>
  <c r="L190" i="1"/>
  <c r="L101" i="1"/>
  <c r="K101" i="1"/>
  <c r="O183" i="1"/>
  <c r="N183" i="1"/>
  <c r="L176" i="1"/>
  <c r="K176" i="1"/>
  <c r="L363" i="1"/>
  <c r="K363" i="1"/>
  <c r="L445" i="1"/>
  <c r="K445" i="1"/>
  <c r="K29" i="1"/>
  <c r="L29" i="1"/>
  <c r="N288" i="1"/>
  <c r="O288" i="1"/>
  <c r="L337" i="1"/>
  <c r="K337" i="1"/>
  <c r="L434" i="1"/>
  <c r="K434" i="1"/>
  <c r="K332" i="1"/>
  <c r="L332" i="1"/>
  <c r="L277" i="1"/>
  <c r="K277" i="1"/>
  <c r="L297" i="1"/>
  <c r="K297" i="1"/>
  <c r="K412" i="1"/>
  <c r="L412" i="1"/>
  <c r="K376" i="1"/>
  <c r="L376" i="1"/>
  <c r="L42" i="1"/>
  <c r="K42" i="1"/>
  <c r="L58" i="1"/>
  <c r="K58" i="1"/>
  <c r="O336" i="1"/>
  <c r="N336" i="1"/>
  <c r="N293" i="1"/>
  <c r="O293" i="1"/>
  <c r="O166" i="1"/>
  <c r="N166" i="1"/>
  <c r="K453" i="1"/>
  <c r="L453" i="1"/>
  <c r="L444" i="1"/>
  <c r="K444" i="1"/>
  <c r="O171" i="1"/>
  <c r="N171" i="1"/>
  <c r="V30" i="1"/>
  <c r="L360" i="1"/>
  <c r="K360" i="1"/>
  <c r="L459" i="1"/>
  <c r="K459" i="1"/>
  <c r="L227" i="1"/>
  <c r="K227" i="1"/>
  <c r="K378" i="1"/>
  <c r="L378" i="1"/>
  <c r="K268" i="1"/>
  <c r="L268" i="1"/>
  <c r="K442" i="1"/>
  <c r="L442" i="1"/>
  <c r="L145" i="1"/>
  <c r="K145" i="1"/>
  <c r="O211" i="1"/>
  <c r="N211" i="1"/>
  <c r="O112" i="1"/>
  <c r="N112" i="1"/>
  <c r="L393" i="1"/>
  <c r="K393" i="1"/>
  <c r="L282" i="1"/>
  <c r="K282" i="1"/>
  <c r="K266" i="1"/>
  <c r="L266" i="1"/>
  <c r="L333" i="1"/>
  <c r="K333" i="1"/>
  <c r="K77" i="1"/>
  <c r="L77" i="1"/>
  <c r="L76" i="1"/>
  <c r="K76" i="1"/>
  <c r="K204" i="1"/>
  <c r="L204" i="1"/>
  <c r="L142" i="1"/>
  <c r="K142" i="1"/>
  <c r="L211" i="1"/>
  <c r="K211" i="1"/>
  <c r="K34" i="1"/>
  <c r="L34" i="1"/>
  <c r="L361" i="1"/>
  <c r="K361" i="1"/>
  <c r="L358" i="1"/>
  <c r="K358" i="1"/>
  <c r="K486" i="1"/>
  <c r="L486" i="1"/>
  <c r="L478" i="1"/>
  <c r="K478" i="1"/>
  <c r="O14" i="1"/>
  <c r="N14" i="1"/>
  <c r="K401" i="1"/>
  <c r="L401" i="1"/>
  <c r="L318" i="1"/>
  <c r="K318" i="1"/>
  <c r="K284" i="1"/>
  <c r="L284" i="1"/>
  <c r="O131" i="1"/>
  <c r="N131" i="1"/>
  <c r="K334" i="1"/>
  <c r="L334" i="1"/>
  <c r="L364" i="1"/>
  <c r="K364" i="1"/>
  <c r="K165" i="1"/>
  <c r="L165" i="1"/>
  <c r="N15" i="1"/>
  <c r="O15" i="1"/>
  <c r="L133" i="1"/>
  <c r="K133" i="1"/>
  <c r="O223" i="1"/>
  <c r="N223" i="1"/>
  <c r="N101" i="1"/>
  <c r="O101" i="1"/>
  <c r="K30" i="1"/>
  <c r="L30" i="1"/>
  <c r="K307" i="1"/>
  <c r="L307" i="1"/>
  <c r="K21" i="1"/>
  <c r="L21" i="1"/>
  <c r="K241" i="1"/>
  <c r="L241" i="1"/>
  <c r="O379" i="1"/>
  <c r="N379" i="1"/>
  <c r="L300" i="1"/>
  <c r="K300" i="1"/>
  <c r="L471" i="1"/>
  <c r="K471" i="1"/>
  <c r="K243" i="1"/>
  <c r="L243" i="1"/>
  <c r="L411" i="1"/>
  <c r="K411" i="1"/>
  <c r="L198" i="1"/>
  <c r="K198" i="1"/>
  <c r="K134" i="1"/>
  <c r="L134" i="1"/>
  <c r="O471" i="1"/>
  <c r="N471" i="1"/>
  <c r="L510" i="1"/>
  <c r="K510" i="1"/>
  <c r="K396" i="1"/>
  <c r="L396" i="1"/>
  <c r="K181" i="1"/>
  <c r="L181" i="1"/>
  <c r="L174" i="1"/>
  <c r="K174" i="1"/>
  <c r="N109" i="1"/>
  <c r="O109" i="1"/>
  <c r="O433" i="1"/>
  <c r="N433" i="1"/>
  <c r="K114" i="1"/>
  <c r="L114" i="1"/>
  <c r="K154" i="1"/>
  <c r="L154" i="1"/>
  <c r="L413" i="1"/>
  <c r="K413" i="1"/>
  <c r="N141" i="1"/>
  <c r="O141" i="1"/>
  <c r="N500" i="1"/>
  <c r="O500" i="1"/>
  <c r="K47" i="1"/>
  <c r="L47" i="1"/>
  <c r="K485" i="1"/>
  <c r="L485" i="1"/>
  <c r="L172" i="1"/>
  <c r="K172" i="1"/>
  <c r="L71" i="1"/>
  <c r="K71" i="1"/>
  <c r="K388" i="1"/>
  <c r="L388" i="1"/>
  <c r="K162" i="1"/>
  <c r="L162" i="1"/>
  <c r="K216" i="1"/>
  <c r="L216" i="1"/>
  <c r="O178" i="1"/>
  <c r="N178" i="1"/>
  <c r="O466" i="1"/>
  <c r="N466" i="1"/>
  <c r="N302" i="1"/>
  <c r="O302" i="1"/>
  <c r="O298" i="1"/>
  <c r="N298" i="1"/>
  <c r="N61" i="1"/>
  <c r="O61" i="1"/>
  <c r="O333" i="1"/>
  <c r="N333" i="1"/>
  <c r="L116" i="1"/>
  <c r="K116" i="1"/>
  <c r="L294" i="1"/>
  <c r="K294" i="1"/>
  <c r="O213" i="1"/>
  <c r="N213" i="1"/>
  <c r="L56" i="1"/>
  <c r="K56" i="1"/>
  <c r="O412" i="1"/>
  <c r="N412" i="1"/>
  <c r="O208" i="1"/>
  <c r="N208" i="1"/>
  <c r="L285" i="1"/>
  <c r="K285" i="1"/>
  <c r="L221" i="1"/>
  <c r="K221" i="1"/>
  <c r="L501" i="1"/>
  <c r="K501" i="1"/>
  <c r="K324" i="1"/>
  <c r="L324" i="1"/>
  <c r="K137" i="1"/>
  <c r="L137" i="1"/>
  <c r="O179" i="1"/>
  <c r="N179" i="1"/>
  <c r="O361" i="1"/>
  <c r="N361" i="1"/>
  <c r="N21" i="1"/>
  <c r="O21" i="1"/>
  <c r="L304" i="1"/>
  <c r="K304" i="1"/>
  <c r="O314" i="1"/>
  <c r="N314" i="1"/>
  <c r="L326" i="1"/>
  <c r="K326" i="1"/>
  <c r="L323" i="1"/>
  <c r="K323" i="1"/>
  <c r="O408" i="1"/>
  <c r="N408" i="1"/>
  <c r="N396" i="1"/>
  <c r="O396" i="1"/>
  <c r="L82" i="1"/>
  <c r="K82" i="1"/>
  <c r="K156" i="1"/>
  <c r="L156" i="1"/>
  <c r="O357" i="1"/>
  <c r="N357" i="1"/>
  <c r="O297" i="1"/>
  <c r="N297" i="1"/>
  <c r="O184" i="1"/>
  <c r="N184" i="1"/>
  <c r="O127" i="1"/>
  <c r="N127" i="1"/>
  <c r="O52" i="1"/>
  <c r="N52" i="1"/>
  <c r="O98" i="1"/>
  <c r="N98" i="1"/>
  <c r="O327" i="1"/>
  <c r="N327" i="1"/>
  <c r="N499" i="1"/>
  <c r="O499" i="1"/>
  <c r="O360" i="1"/>
  <c r="N360" i="1"/>
  <c r="N69" i="1"/>
  <c r="O69" i="1"/>
  <c r="O107" i="1"/>
  <c r="N107" i="1"/>
  <c r="N461" i="1"/>
  <c r="O461" i="1"/>
  <c r="O506" i="1"/>
  <c r="N506" i="1"/>
  <c r="N214" i="1"/>
  <c r="O214" i="1"/>
  <c r="O123" i="1"/>
  <c r="N123" i="1"/>
  <c r="O359" i="1"/>
  <c r="N359" i="1"/>
  <c r="N238" i="1"/>
  <c r="O238" i="1"/>
  <c r="O91" i="1"/>
  <c r="N91" i="1"/>
  <c r="O102" i="1"/>
  <c r="N102" i="1"/>
  <c r="O224" i="1"/>
  <c r="N224" i="1"/>
  <c r="O363" i="1"/>
  <c r="N363" i="1"/>
  <c r="O352" i="1"/>
  <c r="N352" i="1"/>
  <c r="O266" i="1"/>
  <c r="N266" i="1"/>
  <c r="O55" i="1"/>
  <c r="N55" i="1"/>
  <c r="O129" i="1"/>
  <c r="N129" i="1"/>
  <c r="N53" i="1"/>
  <c r="O53" i="1"/>
  <c r="O452" i="1"/>
  <c r="N452" i="1"/>
  <c r="O332" i="1"/>
  <c r="N332" i="1"/>
  <c r="O114" i="1"/>
  <c r="N114" i="1"/>
  <c r="G171" i="1" l="1"/>
  <c r="H171" i="1"/>
  <c r="Q15" i="1"/>
  <c r="H465" i="1"/>
  <c r="G465" i="1"/>
  <c r="G143" i="1"/>
  <c r="H143" i="1"/>
  <c r="G423" i="1"/>
  <c r="H423" i="1"/>
  <c r="H17" i="1"/>
  <c r="G17" i="1"/>
  <c r="H122" i="1"/>
  <c r="G122" i="1"/>
  <c r="G227" i="1"/>
  <c r="H227" i="1"/>
  <c r="G62" i="1"/>
  <c r="H62" i="1"/>
  <c r="H176" i="1"/>
  <c r="G176" i="1"/>
  <c r="G190" i="1"/>
  <c r="H190" i="1"/>
  <c r="G88" i="1"/>
  <c r="H88" i="1"/>
  <c r="H238" i="1"/>
  <c r="G238" i="1"/>
  <c r="G186" i="1"/>
  <c r="H186" i="1"/>
  <c r="H258" i="1"/>
  <c r="G258" i="1"/>
  <c r="G506" i="1"/>
  <c r="H506" i="1"/>
  <c r="H251" i="1"/>
  <c r="G251" i="1"/>
  <c r="G346" i="1"/>
  <c r="H346" i="1"/>
  <c r="G292" i="1"/>
  <c r="H292" i="1"/>
  <c r="G39" i="1"/>
  <c r="H39" i="1"/>
  <c r="G110" i="1"/>
  <c r="H110" i="1"/>
  <c r="G234" i="1"/>
  <c r="H234" i="1"/>
  <c r="G510" i="1"/>
  <c r="H510" i="1"/>
  <c r="G367" i="1"/>
  <c r="H367" i="1"/>
  <c r="H313" i="1"/>
  <c r="G313" i="1"/>
  <c r="G205" i="1"/>
  <c r="H205" i="1"/>
  <c r="H446" i="1"/>
  <c r="G446" i="1"/>
  <c r="G286" i="1"/>
  <c r="H286" i="1"/>
  <c r="G8" i="1"/>
  <c r="H8" i="1"/>
  <c r="G135" i="1"/>
  <c r="H135" i="1"/>
  <c r="G488" i="1"/>
  <c r="H488" i="1"/>
  <c r="G434" i="1"/>
  <c r="H434" i="1"/>
  <c r="H3" i="1"/>
  <c r="G3" i="1"/>
  <c r="H342" i="1"/>
  <c r="G342" i="1"/>
  <c r="G394" i="1"/>
  <c r="H394" i="1"/>
  <c r="G55" i="1"/>
  <c r="H55" i="1"/>
  <c r="G319" i="1"/>
  <c r="H319" i="1"/>
  <c r="H470" i="1"/>
  <c r="G470" i="1"/>
  <c r="H224" i="1"/>
  <c r="G224" i="1"/>
  <c r="G81" i="1"/>
  <c r="H81" i="1"/>
  <c r="G487" i="1"/>
  <c r="H487" i="1"/>
  <c r="G396" i="1"/>
  <c r="H396" i="1"/>
  <c r="H427" i="1"/>
  <c r="G427" i="1"/>
  <c r="H265" i="1"/>
  <c r="G265" i="1"/>
  <c r="G513" i="1"/>
  <c r="H513" i="1"/>
  <c r="H6" i="1"/>
  <c r="G6" i="1"/>
  <c r="G73" i="1"/>
  <c r="H73" i="1"/>
  <c r="G69" i="1"/>
  <c r="H69" i="1"/>
  <c r="G121" i="1"/>
  <c r="H121" i="1"/>
  <c r="G415" i="1"/>
  <c r="H415" i="1"/>
  <c r="G491" i="1"/>
  <c r="H491" i="1"/>
  <c r="H223" i="1"/>
  <c r="G223" i="1"/>
  <c r="G58" i="1"/>
  <c r="H58" i="1"/>
  <c r="G492" i="1"/>
  <c r="H492" i="1"/>
  <c r="G486" i="1"/>
  <c r="H486" i="1"/>
  <c r="H280" i="1"/>
  <c r="G280" i="1"/>
  <c r="G53" i="1"/>
  <c r="H53" i="1"/>
  <c r="H130" i="1"/>
  <c r="G130" i="1"/>
  <c r="G41" i="1"/>
  <c r="H41" i="1"/>
  <c r="H43" i="1"/>
  <c r="G43" i="1"/>
  <c r="H115" i="1"/>
  <c r="G115" i="1"/>
  <c r="H259" i="1"/>
  <c r="G259" i="1"/>
  <c r="H403" i="1"/>
  <c r="G403" i="1"/>
  <c r="G355" i="1"/>
  <c r="H355" i="1"/>
  <c r="G246" i="1"/>
  <c r="H246" i="1"/>
  <c r="G201" i="1"/>
  <c r="H201" i="1"/>
  <c r="H306" i="1"/>
  <c r="G306" i="1"/>
  <c r="G314" i="1"/>
  <c r="H314" i="1"/>
  <c r="G350" i="1"/>
  <c r="H350" i="1"/>
  <c r="H378" i="1"/>
  <c r="G378" i="1"/>
  <c r="H500" i="1"/>
  <c r="G500" i="1"/>
  <c r="G160" i="1"/>
  <c r="H160" i="1"/>
  <c r="G477" i="1"/>
  <c r="H477" i="1"/>
  <c r="H221" i="1"/>
  <c r="G221" i="1"/>
  <c r="H326" i="1"/>
  <c r="G326" i="1"/>
  <c r="G172" i="1"/>
  <c r="H172" i="1"/>
  <c r="G133" i="1"/>
  <c r="H133" i="1"/>
  <c r="H464" i="1"/>
  <c r="G464" i="1"/>
  <c r="H395" i="1"/>
  <c r="G395" i="1"/>
  <c r="G459" i="1"/>
  <c r="H459" i="1"/>
  <c r="G217" i="1"/>
  <c r="H217" i="1"/>
  <c r="G431" i="1"/>
  <c r="H431" i="1"/>
  <c r="H57" i="1"/>
  <c r="G57" i="1"/>
  <c r="G297" i="1"/>
  <c r="H297" i="1"/>
  <c r="G366" i="1"/>
  <c r="H366" i="1"/>
  <c r="H391" i="1"/>
  <c r="G391" i="1"/>
  <c r="G466" i="1"/>
  <c r="H466" i="1"/>
  <c r="H168" i="1"/>
  <c r="G168" i="1"/>
  <c r="G349" i="1"/>
  <c r="H349" i="1"/>
  <c r="H468" i="1"/>
  <c r="G468" i="1"/>
  <c r="G443" i="1"/>
  <c r="H443" i="1"/>
  <c r="G18" i="1"/>
  <c r="H18" i="1"/>
  <c r="G494" i="1"/>
  <c r="H494" i="1"/>
  <c r="H183" i="1"/>
  <c r="G183" i="1"/>
  <c r="H270" i="1"/>
  <c r="G270" i="1"/>
  <c r="G38" i="1"/>
  <c r="H38" i="1"/>
  <c r="H166" i="1"/>
  <c r="G166" i="1"/>
  <c r="G347" i="1"/>
  <c r="H347" i="1"/>
  <c r="G372" i="1"/>
  <c r="H372" i="1"/>
  <c r="G155" i="1"/>
  <c r="H155" i="1"/>
  <c r="G302" i="1"/>
  <c r="H302" i="1"/>
  <c r="G2" i="1"/>
  <c r="H2" i="1"/>
  <c r="H333" i="1"/>
  <c r="G333" i="1"/>
  <c r="H106" i="1"/>
  <c r="G106" i="1"/>
  <c r="H263" i="1"/>
  <c r="G263" i="1"/>
  <c r="H203" i="1"/>
  <c r="G203" i="1"/>
  <c r="G148" i="1"/>
  <c r="H148" i="1"/>
  <c r="H37" i="1"/>
  <c r="G37" i="1"/>
  <c r="G96" i="1"/>
  <c r="H96" i="1"/>
  <c r="H416" i="1"/>
  <c r="G416" i="1"/>
  <c r="G493" i="1"/>
  <c r="H493" i="1"/>
  <c r="G457" i="1"/>
  <c r="H457" i="1"/>
  <c r="H111" i="1"/>
  <c r="G111" i="1"/>
  <c r="G303" i="1"/>
  <c r="H303" i="1"/>
  <c r="G142" i="1"/>
  <c r="H142" i="1"/>
  <c r="G63" i="1"/>
  <c r="H63" i="1"/>
  <c r="G250" i="1"/>
  <c r="H250" i="1"/>
  <c r="H187" i="1"/>
  <c r="G187" i="1"/>
  <c r="H9" i="1"/>
  <c r="G9" i="1"/>
  <c r="G462" i="1"/>
  <c r="H462" i="1"/>
  <c r="G421" i="1"/>
  <c r="H421" i="1"/>
  <c r="G502" i="1"/>
  <c r="H502" i="1"/>
  <c r="G337" i="1"/>
  <c r="H337" i="1"/>
  <c r="H104" i="1"/>
  <c r="G104" i="1"/>
  <c r="G33" i="1"/>
  <c r="H33" i="1"/>
  <c r="G164" i="1"/>
  <c r="H164" i="1"/>
  <c r="G36" i="1"/>
  <c r="H36" i="1"/>
  <c r="G334" i="1"/>
  <c r="H334" i="1"/>
  <c r="G79" i="1"/>
  <c r="H79" i="1"/>
  <c r="G118" i="1"/>
  <c r="H118" i="1"/>
  <c r="H339" i="1"/>
  <c r="G339" i="1"/>
  <c r="H75" i="1"/>
  <c r="G75" i="1"/>
  <c r="G467" i="1"/>
  <c r="H467" i="1"/>
  <c r="G100" i="1"/>
  <c r="H100" i="1"/>
  <c r="G125" i="1"/>
  <c r="H125" i="1"/>
  <c r="G159" i="1"/>
  <c r="H159" i="1"/>
  <c r="G356" i="1"/>
  <c r="H356" i="1"/>
  <c r="H150" i="1"/>
  <c r="G150" i="1"/>
  <c r="H128" i="1"/>
  <c r="G128" i="1"/>
  <c r="H351" i="1"/>
  <c r="G351" i="1"/>
  <c r="H49" i="1"/>
  <c r="G49" i="1"/>
  <c r="H50" i="1"/>
  <c r="G50" i="1"/>
  <c r="H411" i="1"/>
  <c r="G411" i="1"/>
  <c r="G78" i="1"/>
  <c r="H78" i="1"/>
  <c r="H47" i="1"/>
  <c r="G47" i="1"/>
  <c r="G385" i="1"/>
  <c r="H385" i="1"/>
  <c r="G59" i="1"/>
  <c r="H59" i="1"/>
  <c r="G213" i="1"/>
  <c r="H213" i="1"/>
  <c r="H404" i="1"/>
  <c r="G404" i="1"/>
  <c r="H495" i="1"/>
  <c r="G495" i="1"/>
  <c r="H414" i="1"/>
  <c r="G414" i="1"/>
  <c r="G200" i="1"/>
  <c r="H200" i="1"/>
  <c r="G102" i="1"/>
  <c r="H102" i="1"/>
  <c r="H152" i="1"/>
  <c r="G152" i="1"/>
  <c r="H93" i="1"/>
  <c r="G93" i="1"/>
  <c r="G295" i="1"/>
  <c r="H295" i="1"/>
  <c r="G114" i="1"/>
  <c r="H114" i="1"/>
  <c r="G162" i="1"/>
  <c r="H162" i="1"/>
  <c r="H454" i="1"/>
  <c r="G454" i="1"/>
  <c r="H344" i="1"/>
  <c r="G344" i="1"/>
  <c r="H471" i="1"/>
  <c r="G471" i="1"/>
  <c r="G352" i="1"/>
  <c r="H352" i="1"/>
  <c r="G304" i="1"/>
  <c r="H304" i="1"/>
  <c r="H308" i="1"/>
  <c r="G308" i="1"/>
  <c r="G94" i="1"/>
  <c r="H94" i="1"/>
  <c r="H61" i="1"/>
  <c r="G61" i="1"/>
  <c r="H359" i="1"/>
  <c r="G359" i="1"/>
  <c r="H309" i="1"/>
  <c r="G309" i="1"/>
  <c r="G108" i="1"/>
  <c r="H108" i="1"/>
  <c r="G478" i="1"/>
  <c r="H478" i="1"/>
  <c r="G293" i="1"/>
  <c r="H293" i="1"/>
  <c r="G455" i="1"/>
  <c r="H455" i="1"/>
  <c r="G154" i="1"/>
  <c r="H154" i="1"/>
  <c r="G248" i="1"/>
  <c r="H248" i="1"/>
  <c r="H418" i="1"/>
  <c r="G418" i="1"/>
  <c r="G83" i="1"/>
  <c r="H83" i="1"/>
  <c r="H211" i="1"/>
  <c r="G211" i="1"/>
  <c r="G68" i="1"/>
  <c r="H68" i="1"/>
  <c r="G476" i="1"/>
  <c r="H476" i="1"/>
  <c r="G289" i="1"/>
  <c r="H289" i="1"/>
  <c r="G182" i="1"/>
  <c r="H182" i="1"/>
  <c r="G165" i="1"/>
  <c r="H165" i="1"/>
  <c r="H137" i="1"/>
  <c r="G137" i="1"/>
  <c r="G374" i="1"/>
  <c r="H374" i="1"/>
  <c r="G204" i="1"/>
  <c r="H204" i="1"/>
  <c r="H299" i="1"/>
  <c r="G299" i="1"/>
  <c r="H214" i="1"/>
  <c r="G214" i="1"/>
  <c r="G473" i="1"/>
  <c r="H473" i="1"/>
  <c r="G232" i="1"/>
  <c r="H232" i="1"/>
  <c r="G318" i="1"/>
  <c r="H318" i="1"/>
  <c r="G60" i="1"/>
  <c r="H60" i="1"/>
  <c r="H354" i="1"/>
  <c r="G354" i="1"/>
  <c r="G388" i="1"/>
  <c r="H388" i="1"/>
  <c r="G260" i="1"/>
  <c r="H260" i="1"/>
  <c r="G239" i="1"/>
  <c r="H239" i="1"/>
  <c r="G12" i="1"/>
  <c r="H12" i="1"/>
  <c r="G5" i="1"/>
  <c r="H5" i="1"/>
  <c r="G195" i="1"/>
  <c r="H195" i="1"/>
  <c r="H66" i="1"/>
  <c r="G66" i="1"/>
  <c r="G379" i="1"/>
  <c r="H379" i="1"/>
  <c r="H7" i="1"/>
  <c r="G7" i="1"/>
  <c r="G226" i="1"/>
  <c r="H226" i="1"/>
  <c r="G193" i="1"/>
  <c r="H193" i="1"/>
  <c r="G296" i="1"/>
  <c r="H296" i="1"/>
  <c r="G70" i="1"/>
  <c r="H70" i="1"/>
  <c r="G127" i="1"/>
  <c r="H127" i="1"/>
  <c r="G84" i="1"/>
  <c r="H84" i="1"/>
  <c r="G275" i="1"/>
  <c r="H275" i="1"/>
  <c r="G65" i="1"/>
  <c r="H65" i="1"/>
  <c r="G452" i="1"/>
  <c r="H452" i="1"/>
  <c r="H357" i="1"/>
  <c r="G357" i="1"/>
  <c r="G26" i="1"/>
  <c r="H26" i="1"/>
  <c r="G243" i="1"/>
  <c r="H243" i="1"/>
  <c r="H85" i="1"/>
  <c r="G85" i="1"/>
  <c r="G511" i="1"/>
  <c r="H511" i="1"/>
  <c r="G447" i="1"/>
  <c r="H447" i="1"/>
  <c r="G273" i="1"/>
  <c r="H273" i="1"/>
  <c r="G498" i="1"/>
  <c r="H498" i="1"/>
  <c r="G322" i="1"/>
  <c r="H322" i="1"/>
  <c r="G345" i="1"/>
  <c r="H345" i="1"/>
  <c r="G305" i="1"/>
  <c r="H305" i="1"/>
  <c r="G235" i="1"/>
  <c r="H235" i="1"/>
  <c r="G430" i="1"/>
  <c r="H430" i="1"/>
  <c r="H173" i="1"/>
  <c r="G173" i="1"/>
  <c r="G181" i="1"/>
  <c r="H181" i="1"/>
  <c r="H220" i="1"/>
  <c r="G220" i="1"/>
  <c r="G86" i="1"/>
  <c r="H86" i="1"/>
  <c r="H315" i="1"/>
  <c r="G315" i="1"/>
  <c r="G445" i="1"/>
  <c r="H445" i="1"/>
  <c r="G382" i="1"/>
  <c r="H382" i="1"/>
  <c r="G242" i="1"/>
  <c r="H242" i="1"/>
  <c r="G267" i="1"/>
  <c r="H267" i="1"/>
  <c r="G332" i="1"/>
  <c r="H332" i="1"/>
  <c r="H424" i="1"/>
  <c r="G424" i="1"/>
  <c r="G508" i="1"/>
  <c r="H508" i="1"/>
  <c r="G197" i="1"/>
  <c r="H197" i="1"/>
  <c r="G437" i="1"/>
  <c r="H437" i="1"/>
  <c r="G490" i="1"/>
  <c r="H490" i="1"/>
  <c r="H178" i="1"/>
  <c r="G178" i="1"/>
  <c r="G208" i="1"/>
  <c r="H208" i="1"/>
  <c r="H325" i="1"/>
  <c r="G325" i="1"/>
  <c r="G179" i="1"/>
  <c r="H179" i="1"/>
  <c r="G320" i="1"/>
  <c r="H320" i="1"/>
  <c r="H21" i="1"/>
  <c r="G21" i="1"/>
  <c r="G369" i="1"/>
  <c r="H369" i="1"/>
  <c r="H377" i="1"/>
  <c r="G377" i="1"/>
  <c r="G353" i="1"/>
  <c r="H353" i="1"/>
  <c r="G225" i="1"/>
  <c r="H225" i="1"/>
  <c r="G380" i="1"/>
  <c r="H380" i="1"/>
  <c r="G113" i="1"/>
  <c r="H113" i="1"/>
  <c r="H80" i="1"/>
  <c r="G80" i="1"/>
  <c r="G139" i="1"/>
  <c r="H139" i="1"/>
  <c r="G456" i="1"/>
  <c r="H456" i="1"/>
  <c r="G174" i="1"/>
  <c r="H174" i="1"/>
  <c r="G158" i="1"/>
  <c r="H158" i="1"/>
  <c r="H28" i="1"/>
  <c r="G28" i="1"/>
  <c r="G449" i="1"/>
  <c r="H449" i="1"/>
  <c r="G175" i="1"/>
  <c r="H175" i="1"/>
  <c r="G254" i="1"/>
  <c r="H254" i="1"/>
  <c r="G266" i="1"/>
  <c r="H266" i="1"/>
  <c r="H422" i="1"/>
  <c r="G422" i="1"/>
  <c r="H375" i="1"/>
  <c r="G375" i="1"/>
  <c r="G401" i="1"/>
  <c r="H401" i="1"/>
  <c r="G298" i="1"/>
  <c r="H298" i="1"/>
  <c r="G408" i="1"/>
  <c r="H408" i="1"/>
  <c r="G163" i="1"/>
  <c r="H163" i="1"/>
  <c r="H442" i="1"/>
  <c r="G442" i="1"/>
  <c r="G101" i="1"/>
  <c r="H101" i="1"/>
  <c r="G244" i="1"/>
  <c r="H244" i="1"/>
  <c r="G363" i="1"/>
  <c r="H363" i="1"/>
  <c r="G23" i="1"/>
  <c r="H23" i="1"/>
  <c r="G34" i="1"/>
  <c r="H34" i="1"/>
  <c r="H400" i="1"/>
  <c r="G400" i="1"/>
  <c r="H229" i="1"/>
  <c r="G229" i="1"/>
  <c r="G505" i="1"/>
  <c r="H505" i="1"/>
  <c r="G24" i="1"/>
  <c r="H24" i="1"/>
  <c r="G146" i="1"/>
  <c r="H146" i="1"/>
  <c r="G312" i="1"/>
  <c r="H312" i="1"/>
  <c r="G448" i="1"/>
  <c r="H448" i="1"/>
  <c r="H32" i="1"/>
  <c r="G32" i="1"/>
  <c r="G169" i="1"/>
  <c r="H169" i="1"/>
  <c r="G439" i="1"/>
  <c r="H439" i="1"/>
  <c r="G407" i="1"/>
  <c r="H407" i="1"/>
  <c r="G373" i="1"/>
  <c r="H373" i="1"/>
  <c r="G247" i="1"/>
  <c r="H247" i="1"/>
  <c r="H189" i="1"/>
  <c r="G189" i="1"/>
  <c r="G116" i="1"/>
  <c r="H116" i="1"/>
  <c r="H153" i="1"/>
  <c r="G153" i="1"/>
  <c r="G483" i="1"/>
  <c r="H483" i="1"/>
  <c r="H321" i="1"/>
  <c r="G321" i="1"/>
  <c r="G112" i="1"/>
  <c r="H112" i="1"/>
  <c r="H196" i="1"/>
  <c r="G196" i="1"/>
  <c r="H253" i="1"/>
  <c r="G253" i="1"/>
  <c r="H268" i="1"/>
  <c r="G268" i="1"/>
  <c r="H240" i="1"/>
  <c r="G240" i="1"/>
  <c r="H103" i="1"/>
  <c r="G103" i="1"/>
  <c r="G489" i="1"/>
  <c r="H489" i="1"/>
  <c r="H51" i="1"/>
  <c r="G51" i="1"/>
  <c r="H420" i="1"/>
  <c r="G420" i="1"/>
  <c r="G463" i="1"/>
  <c r="H463" i="1"/>
  <c r="G272" i="1"/>
  <c r="H272" i="1"/>
  <c r="G107" i="1"/>
  <c r="H107" i="1"/>
  <c r="G255" i="1"/>
  <c r="H255" i="1"/>
  <c r="G206" i="1"/>
  <c r="H206" i="1"/>
  <c r="G131" i="1"/>
  <c r="H131" i="1"/>
  <c r="G429" i="1"/>
  <c r="H429" i="1"/>
  <c r="G485" i="1"/>
  <c r="H485" i="1"/>
  <c r="G180" i="1"/>
  <c r="H180" i="1"/>
  <c r="H138" i="1"/>
  <c r="G138" i="1"/>
  <c r="G20" i="1"/>
  <c r="H20" i="1"/>
  <c r="H472" i="1"/>
  <c r="G472" i="1"/>
  <c r="H136" i="1"/>
  <c r="G136" i="1"/>
  <c r="H433" i="1"/>
  <c r="G433" i="1"/>
  <c r="H212" i="1"/>
  <c r="G212" i="1"/>
  <c r="G13" i="1"/>
  <c r="H13" i="1"/>
  <c r="H71" i="1"/>
  <c r="G71" i="1"/>
  <c r="G390" i="1"/>
  <c r="H390" i="1"/>
  <c r="H82" i="1"/>
  <c r="G82" i="1"/>
  <c r="G412" i="1"/>
  <c r="H412" i="1"/>
  <c r="H300" i="1"/>
  <c r="G300" i="1"/>
  <c r="G425" i="1"/>
  <c r="H425" i="1"/>
  <c r="G360" i="1"/>
  <c r="H360" i="1"/>
  <c r="G161" i="1"/>
  <c r="H161" i="1"/>
  <c r="G15" i="1"/>
  <c r="H15" i="1"/>
  <c r="G52" i="1"/>
  <c r="H52" i="1"/>
  <c r="H343" i="1"/>
  <c r="G343" i="1"/>
  <c r="H461" i="1"/>
  <c r="G461" i="1"/>
  <c r="G291" i="1"/>
  <c r="H291" i="1"/>
  <c r="G328" i="1"/>
  <c r="H328" i="1"/>
  <c r="G22" i="1"/>
  <c r="H22" i="1"/>
  <c r="H117" i="1"/>
  <c r="G117" i="1"/>
  <c r="H284" i="1"/>
  <c r="G284" i="1"/>
  <c r="G44" i="1"/>
  <c r="H44" i="1"/>
  <c r="G335" i="1"/>
  <c r="H335" i="1"/>
  <c r="G120" i="1"/>
  <c r="H120" i="1"/>
  <c r="G241" i="1"/>
  <c r="H241" i="1"/>
  <c r="G441" i="1"/>
  <c r="H441" i="1"/>
  <c r="G387" i="1"/>
  <c r="H387" i="1"/>
  <c r="G27" i="1"/>
  <c r="H27" i="1"/>
  <c r="H399" i="1"/>
  <c r="G399" i="1"/>
  <c r="G222" i="1"/>
  <c r="H222" i="1"/>
  <c r="H497" i="1"/>
  <c r="G497" i="1"/>
  <c r="G474" i="1"/>
  <c r="H474" i="1"/>
  <c r="G413" i="1"/>
  <c r="H413" i="1"/>
  <c r="G89" i="1"/>
  <c r="H89" i="1"/>
  <c r="H371" i="1"/>
  <c r="G371" i="1"/>
  <c r="H167" i="1"/>
  <c r="G167" i="1"/>
  <c r="H185" i="1"/>
  <c r="G185" i="1"/>
  <c r="H504" i="1"/>
  <c r="G504" i="1"/>
  <c r="G109" i="1"/>
  <c r="H109" i="1"/>
  <c r="G475" i="1"/>
  <c r="H475" i="1"/>
  <c r="H409" i="1"/>
  <c r="G409" i="1"/>
  <c r="G285" i="1"/>
  <c r="H285" i="1"/>
  <c r="G231" i="1"/>
  <c r="H231" i="1"/>
  <c r="G426" i="1"/>
  <c r="H426" i="1"/>
  <c r="G499" i="1"/>
  <c r="H499" i="1"/>
  <c r="G219" i="1"/>
  <c r="H219" i="1"/>
  <c r="G368" i="1"/>
  <c r="H368" i="1"/>
  <c r="G194" i="1"/>
  <c r="H194" i="1"/>
  <c r="G98" i="1"/>
  <c r="H98" i="1"/>
  <c r="H362" i="1"/>
  <c r="G362" i="1"/>
  <c r="G76" i="1"/>
  <c r="H76" i="1"/>
  <c r="H294" i="1"/>
  <c r="G294" i="1"/>
  <c r="H126" i="1"/>
  <c r="G126" i="1"/>
  <c r="H134" i="1"/>
  <c r="G134" i="1"/>
  <c r="G348" i="1"/>
  <c r="H348" i="1"/>
  <c r="G331" i="1"/>
  <c r="H331" i="1"/>
  <c r="H458" i="1"/>
  <c r="G458" i="1"/>
  <c r="H398" i="1"/>
  <c r="G398" i="1"/>
  <c r="H145" i="1"/>
  <c r="G145" i="1"/>
  <c r="H72" i="1"/>
  <c r="G72" i="1"/>
  <c r="G451" i="1"/>
  <c r="H451" i="1"/>
  <c r="H257" i="1"/>
  <c r="G257" i="1"/>
  <c r="G67" i="1"/>
  <c r="H67" i="1"/>
  <c r="G436" i="1"/>
  <c r="H436" i="1"/>
  <c r="H307" i="1"/>
  <c r="G307" i="1"/>
  <c r="G64" i="1"/>
  <c r="H64" i="1"/>
  <c r="H97" i="1"/>
  <c r="G97" i="1"/>
  <c r="H281" i="1"/>
  <c r="G281" i="1"/>
  <c r="G140" i="1"/>
  <c r="H140" i="1"/>
  <c r="G376" i="1"/>
  <c r="H376" i="1"/>
  <c r="G87" i="1"/>
  <c r="H87" i="1"/>
  <c r="X29" i="1"/>
  <c r="V31" i="1"/>
  <c r="G209" i="1"/>
  <c r="H209" i="1"/>
  <c r="G10" i="1"/>
  <c r="H10" i="1"/>
  <c r="H202" i="1"/>
  <c r="G202" i="1"/>
  <c r="G327" i="1"/>
  <c r="H327" i="1"/>
  <c r="H170" i="1"/>
  <c r="G170" i="1"/>
  <c r="G276" i="1"/>
  <c r="H276" i="1"/>
  <c r="G141" i="1"/>
  <c r="H141" i="1"/>
  <c r="H74" i="1"/>
  <c r="G74" i="1"/>
  <c r="H91" i="1"/>
  <c r="G91" i="1"/>
  <c r="H450" i="1"/>
  <c r="G450" i="1"/>
  <c r="G233" i="1"/>
  <c r="H233" i="1"/>
  <c r="G393" i="1"/>
  <c r="H393" i="1"/>
  <c r="H358" i="1"/>
  <c r="G358" i="1"/>
  <c r="G340" i="1"/>
  <c r="H340" i="1"/>
  <c r="G19" i="1"/>
  <c r="H19" i="1"/>
  <c r="H264" i="1"/>
  <c r="G264" i="1"/>
  <c r="H147" i="1"/>
  <c r="G147" i="1"/>
  <c r="G157" i="1"/>
  <c r="H157" i="1"/>
  <c r="G392" i="1"/>
  <c r="H392" i="1"/>
  <c r="G119" i="1"/>
  <c r="H119" i="1"/>
  <c r="G440" i="1"/>
  <c r="H440" i="1"/>
  <c r="G156" i="1"/>
  <c r="H156" i="1"/>
  <c r="H40" i="1"/>
  <c r="G40" i="1"/>
  <c r="G262" i="1"/>
  <c r="H262" i="1"/>
  <c r="G384" i="1"/>
  <c r="H384" i="1"/>
  <c r="G42" i="1"/>
  <c r="H42" i="1"/>
  <c r="G90" i="1"/>
  <c r="H90" i="1"/>
  <c r="G277" i="1"/>
  <c r="H277" i="1"/>
  <c r="H397" i="1"/>
  <c r="G397" i="1"/>
  <c r="G406" i="1"/>
  <c r="H406" i="1"/>
  <c r="G417" i="1"/>
  <c r="H417" i="1"/>
  <c r="G237" i="1"/>
  <c r="H237" i="1"/>
  <c r="H230" i="1"/>
  <c r="G230" i="1"/>
  <c r="G46" i="1"/>
  <c r="H46" i="1"/>
  <c r="H316" i="1"/>
  <c r="G316" i="1"/>
  <c r="H4" i="1"/>
  <c r="G4" i="1"/>
  <c r="G389" i="1"/>
  <c r="H389" i="1"/>
  <c r="G364" i="1"/>
  <c r="H364" i="1"/>
  <c r="G507" i="1"/>
  <c r="H507" i="1"/>
  <c r="G149" i="1"/>
  <c r="H149" i="1"/>
  <c r="G123" i="1"/>
  <c r="H123" i="1"/>
  <c r="G198" i="1"/>
  <c r="H198" i="1"/>
  <c r="H329" i="1"/>
  <c r="G329" i="1"/>
  <c r="G428" i="1"/>
  <c r="H428" i="1"/>
  <c r="G271" i="1"/>
  <c r="H271" i="1"/>
  <c r="H419" i="1"/>
  <c r="G419" i="1"/>
  <c r="H124" i="1"/>
  <c r="G124" i="1"/>
  <c r="H435" i="1"/>
  <c r="G435" i="1"/>
  <c r="G405" i="1"/>
  <c r="H405" i="1"/>
  <c r="H132" i="1"/>
  <c r="G132" i="1"/>
  <c r="G192" i="1"/>
  <c r="H192" i="1"/>
  <c r="G45" i="1"/>
  <c r="H45" i="1"/>
  <c r="G509" i="1"/>
  <c r="H509" i="1"/>
  <c r="G31" i="1"/>
  <c r="H31" i="1"/>
  <c r="H279" i="1"/>
  <c r="G279" i="1"/>
  <c r="H283" i="1"/>
  <c r="G283" i="1"/>
  <c r="G310" i="1"/>
  <c r="H310" i="1"/>
  <c r="G252" i="1"/>
  <c r="H252" i="1"/>
  <c r="G512" i="1"/>
  <c r="H512" i="1"/>
  <c r="G338" i="1"/>
  <c r="H338" i="1"/>
  <c r="H365" i="1"/>
  <c r="G365" i="1"/>
  <c r="H99" i="1"/>
  <c r="G99" i="1"/>
  <c r="G25" i="1"/>
  <c r="H25" i="1"/>
  <c r="G432" i="1"/>
  <c r="H432" i="1"/>
  <c r="G479" i="1"/>
  <c r="H479" i="1"/>
  <c r="H444" i="1"/>
  <c r="G444" i="1"/>
  <c r="H460" i="1"/>
  <c r="G460" i="1"/>
  <c r="G287" i="1"/>
  <c r="H287" i="1"/>
  <c r="P15" i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H381" i="1"/>
  <c r="G381" i="1"/>
  <c r="G282" i="1"/>
  <c r="H282" i="1"/>
  <c r="G290" i="1"/>
  <c r="H290" i="1"/>
  <c r="G210" i="1"/>
  <c r="H210" i="1"/>
  <c r="H482" i="1"/>
  <c r="G482" i="1"/>
  <c r="G11" i="1"/>
  <c r="H11" i="1"/>
  <c r="H484" i="1"/>
  <c r="G484" i="1"/>
  <c r="H48" i="1"/>
  <c r="G48" i="1"/>
  <c r="G496" i="1"/>
  <c r="H496" i="1"/>
  <c r="H361" i="1"/>
  <c r="G361" i="1"/>
  <c r="H288" i="1"/>
  <c r="G288" i="1"/>
  <c r="H14" i="1"/>
  <c r="G14" i="1"/>
  <c r="G188" i="1"/>
  <c r="H188" i="1"/>
  <c r="H216" i="1"/>
  <c r="G216" i="1"/>
  <c r="H144" i="1"/>
  <c r="G144" i="1"/>
  <c r="H129" i="1"/>
  <c r="G129" i="1"/>
  <c r="G336" i="1"/>
  <c r="H336" i="1"/>
  <c r="G261" i="1"/>
  <c r="H261" i="1"/>
  <c r="G199" i="1"/>
  <c r="H199" i="1"/>
  <c r="H370" i="1"/>
  <c r="G370" i="1"/>
  <c r="G228" i="1"/>
  <c r="H228" i="1"/>
  <c r="G207" i="1"/>
  <c r="H207" i="1"/>
  <c r="G301" i="1"/>
  <c r="H301" i="1"/>
  <c r="H77" i="1"/>
  <c r="G77" i="1"/>
  <c r="G469" i="1"/>
  <c r="H469" i="1"/>
  <c r="H501" i="1"/>
  <c r="G501" i="1"/>
  <c r="H95" i="1"/>
  <c r="G95" i="1"/>
  <c r="G311" i="1"/>
  <c r="H311" i="1"/>
  <c r="G151" i="1"/>
  <c r="H151" i="1"/>
  <c r="G256" i="1"/>
  <c r="H256" i="1"/>
  <c r="G274" i="1"/>
  <c r="H274" i="1"/>
  <c r="H56" i="1"/>
  <c r="G56" i="1"/>
  <c r="H249" i="1"/>
  <c r="G249" i="1"/>
  <c r="G410" i="1"/>
  <c r="H410" i="1"/>
  <c r="H383" i="1"/>
  <c r="G383" i="1"/>
  <c r="H438" i="1"/>
  <c r="G438" i="1"/>
  <c r="G453" i="1"/>
  <c r="H453" i="1"/>
  <c r="G184" i="1"/>
  <c r="H184" i="1"/>
  <c r="G386" i="1"/>
  <c r="H386" i="1"/>
  <c r="G218" i="1"/>
  <c r="H218" i="1"/>
  <c r="H30" i="1"/>
  <c r="G30" i="1"/>
  <c r="H245" i="1"/>
  <c r="G245" i="1"/>
  <c r="H215" i="1"/>
  <c r="G215" i="1"/>
  <c r="G35" i="1"/>
  <c r="H35" i="1"/>
  <c r="G503" i="1"/>
  <c r="H503" i="1"/>
  <c r="G514" i="1"/>
  <c r="H514" i="1"/>
  <c r="G54" i="1"/>
  <c r="H54" i="1"/>
  <c r="G323" i="1"/>
  <c r="H323" i="1"/>
  <c r="H481" i="1"/>
  <c r="G481" i="1"/>
  <c r="G16" i="1"/>
  <c r="H16" i="1"/>
  <c r="G317" i="1"/>
  <c r="H317" i="1"/>
  <c r="G269" i="1"/>
  <c r="H269" i="1"/>
  <c r="G341" i="1"/>
  <c r="H341" i="1"/>
  <c r="G278" i="1"/>
  <c r="H278" i="1"/>
  <c r="G324" i="1"/>
  <c r="H324" i="1"/>
  <c r="G191" i="1"/>
  <c r="H191" i="1"/>
  <c r="G236" i="1"/>
  <c r="H236" i="1"/>
  <c r="G402" i="1"/>
  <c r="H402" i="1"/>
  <c r="H105" i="1"/>
  <c r="G105" i="1"/>
  <c r="G330" i="1"/>
  <c r="H330" i="1"/>
  <c r="H177" i="1"/>
  <c r="G177" i="1"/>
  <c r="H480" i="1"/>
  <c r="G480" i="1"/>
  <c r="G92" i="1"/>
  <c r="H92" i="1"/>
  <c r="H29" i="1"/>
  <c r="G29" i="1"/>
  <c r="X30" i="1" l="1"/>
  <c r="V32" i="1"/>
  <c r="Q16" i="1"/>
  <c r="R15" i="1"/>
  <c r="S15" i="1" s="1"/>
  <c r="Q17" i="1" l="1"/>
  <c r="R16" i="1"/>
  <c r="S16" i="1" s="1"/>
  <c r="X31" i="1"/>
  <c r="V33" i="1"/>
  <c r="X32" i="1" l="1"/>
  <c r="V34" i="1"/>
  <c r="Q18" i="1"/>
  <c r="R17" i="1"/>
  <c r="S17" i="1" s="1"/>
  <c r="X33" i="1" l="1"/>
  <c r="V35" i="1"/>
  <c r="Q19" i="1"/>
  <c r="R18" i="1"/>
  <c r="S18" i="1" s="1"/>
  <c r="Q20" i="1" l="1"/>
  <c r="R19" i="1"/>
  <c r="S19" i="1" s="1"/>
  <c r="X34" i="1"/>
  <c r="V36" i="1"/>
  <c r="X35" i="1" l="1"/>
  <c r="V37" i="1"/>
  <c r="Q21" i="1"/>
  <c r="R20" i="1"/>
  <c r="S20" i="1" s="1"/>
  <c r="Q22" i="1" l="1"/>
  <c r="R21" i="1"/>
  <c r="S21" i="1" s="1"/>
  <c r="X36" i="1"/>
  <c r="Y36" i="1" s="1"/>
  <c r="V38" i="1"/>
  <c r="X37" i="1" l="1"/>
  <c r="Y37" i="1" s="1"/>
  <c r="Z37" i="1" s="1"/>
  <c r="V39" i="1"/>
  <c r="Q23" i="1"/>
  <c r="R22" i="1"/>
  <c r="S22" i="1" s="1"/>
  <c r="Q24" i="1" l="1"/>
  <c r="R23" i="1"/>
  <c r="S23" i="1" s="1"/>
  <c r="X38" i="1"/>
  <c r="Y38" i="1" s="1"/>
  <c r="Z38" i="1" s="1"/>
  <c r="V40" i="1"/>
  <c r="X39" i="1" l="1"/>
  <c r="Y39" i="1" s="1"/>
  <c r="Z39" i="1" s="1"/>
  <c r="V41" i="1"/>
  <c r="Q25" i="1"/>
  <c r="R24" i="1"/>
  <c r="S24" i="1" s="1"/>
  <c r="X40" i="1" l="1"/>
  <c r="Y40" i="1" s="1"/>
  <c r="Z40" i="1" s="1"/>
  <c r="V42" i="1"/>
  <c r="Q26" i="1"/>
  <c r="R25" i="1"/>
  <c r="S25" i="1" s="1"/>
  <c r="Q27" i="1" l="1"/>
  <c r="R26" i="1"/>
  <c r="S26" i="1" s="1"/>
  <c r="X41" i="1"/>
  <c r="Y41" i="1" s="1"/>
  <c r="Z41" i="1" s="1"/>
  <c r="V43" i="1"/>
  <c r="X42" i="1" l="1"/>
  <c r="Y42" i="1" s="1"/>
  <c r="Z42" i="1" s="1"/>
  <c r="V44" i="1"/>
  <c r="Q28" i="1"/>
  <c r="R27" i="1"/>
  <c r="S27" i="1" s="1"/>
  <c r="X43" i="1" l="1"/>
  <c r="Y43" i="1" s="1"/>
  <c r="Z43" i="1" s="1"/>
  <c r="V45" i="1"/>
  <c r="Q29" i="1"/>
  <c r="R28" i="1"/>
  <c r="S28" i="1" s="1"/>
  <c r="Q30" i="1" l="1"/>
  <c r="R29" i="1"/>
  <c r="S29" i="1" s="1"/>
  <c r="X44" i="1"/>
  <c r="Y44" i="1" s="1"/>
  <c r="Z44" i="1" s="1"/>
  <c r="V46" i="1"/>
  <c r="X45" i="1" l="1"/>
  <c r="Y45" i="1" s="1"/>
  <c r="Z45" i="1" s="1"/>
  <c r="V47" i="1"/>
  <c r="Q31" i="1"/>
  <c r="R30" i="1"/>
  <c r="S30" i="1" s="1"/>
  <c r="Q32" i="1" l="1"/>
  <c r="R31" i="1"/>
  <c r="S31" i="1" s="1"/>
  <c r="X46" i="1"/>
  <c r="Y46" i="1" s="1"/>
  <c r="Z46" i="1" s="1"/>
  <c r="V48" i="1"/>
  <c r="X47" i="1" l="1"/>
  <c r="Y47" i="1" s="1"/>
  <c r="Z47" i="1" s="1"/>
  <c r="V49" i="1"/>
  <c r="R32" i="1"/>
  <c r="S32" i="1" s="1"/>
  <c r="Q33" i="1"/>
  <c r="Q34" i="1" l="1"/>
  <c r="R33" i="1"/>
  <c r="S33" i="1" s="1"/>
  <c r="X48" i="1"/>
  <c r="Y48" i="1" s="1"/>
  <c r="Z48" i="1" s="1"/>
  <c r="V50" i="1"/>
  <c r="X49" i="1" l="1"/>
  <c r="Y49" i="1" s="1"/>
  <c r="Z49" i="1" s="1"/>
  <c r="V51" i="1"/>
  <c r="Q35" i="1"/>
  <c r="R34" i="1"/>
  <c r="S34" i="1" s="1"/>
  <c r="Q36" i="1" l="1"/>
  <c r="R35" i="1"/>
  <c r="S35" i="1" s="1"/>
  <c r="X50" i="1"/>
  <c r="Y50" i="1" s="1"/>
  <c r="Z50" i="1" s="1"/>
  <c r="V52" i="1"/>
  <c r="X51" i="1" l="1"/>
  <c r="Y51" i="1" s="1"/>
  <c r="Z51" i="1" s="1"/>
  <c r="V53" i="1"/>
  <c r="Q37" i="1"/>
  <c r="R36" i="1"/>
  <c r="S36" i="1" s="1"/>
  <c r="X52" i="1" l="1"/>
  <c r="Y52" i="1" s="1"/>
  <c r="Z52" i="1" s="1"/>
  <c r="V54" i="1"/>
  <c r="Q38" i="1"/>
  <c r="R37" i="1"/>
  <c r="S37" i="1" s="1"/>
  <c r="X53" i="1" l="1"/>
  <c r="Y53" i="1" s="1"/>
  <c r="Z53" i="1" s="1"/>
  <c r="V55" i="1"/>
  <c r="Q39" i="1"/>
  <c r="R38" i="1"/>
  <c r="S38" i="1" s="1"/>
  <c r="X54" i="1" l="1"/>
  <c r="Y54" i="1" s="1"/>
  <c r="Z54" i="1" s="1"/>
  <c r="V56" i="1"/>
  <c r="Q40" i="1"/>
  <c r="R39" i="1"/>
  <c r="S39" i="1" s="1"/>
  <c r="Q41" i="1" l="1"/>
  <c r="R40" i="1"/>
  <c r="S40" i="1" s="1"/>
  <c r="X55" i="1"/>
  <c r="Y55" i="1" s="1"/>
  <c r="Z55" i="1" s="1"/>
  <c r="V57" i="1"/>
  <c r="X56" i="1" l="1"/>
  <c r="Y56" i="1" s="1"/>
  <c r="Z56" i="1" s="1"/>
  <c r="V58" i="1"/>
  <c r="Q42" i="1"/>
  <c r="R41" i="1"/>
  <c r="S41" i="1" s="1"/>
  <c r="Q43" i="1" l="1"/>
  <c r="R42" i="1"/>
  <c r="S42" i="1" s="1"/>
  <c r="X57" i="1"/>
  <c r="Y57" i="1" s="1"/>
  <c r="Z57" i="1" s="1"/>
  <c r="V59" i="1"/>
  <c r="X58" i="1" l="1"/>
  <c r="Y58" i="1" s="1"/>
  <c r="Z58" i="1" s="1"/>
  <c r="V60" i="1"/>
  <c r="Q44" i="1"/>
  <c r="R43" i="1"/>
  <c r="S43" i="1" s="1"/>
  <c r="Q45" i="1" l="1"/>
  <c r="R44" i="1"/>
  <c r="S44" i="1" s="1"/>
  <c r="X59" i="1"/>
  <c r="Y59" i="1" s="1"/>
  <c r="Z59" i="1" s="1"/>
  <c r="V61" i="1"/>
  <c r="X60" i="1" l="1"/>
  <c r="Y60" i="1" s="1"/>
  <c r="Z60" i="1" s="1"/>
  <c r="V62" i="1"/>
  <c r="Q46" i="1"/>
  <c r="R45" i="1"/>
  <c r="S45" i="1" s="1"/>
  <c r="Q47" i="1" l="1"/>
  <c r="R46" i="1"/>
  <c r="S46" i="1" s="1"/>
  <c r="X61" i="1"/>
  <c r="Y61" i="1" s="1"/>
  <c r="Z61" i="1" s="1"/>
  <c r="V63" i="1"/>
  <c r="X62" i="1" l="1"/>
  <c r="Y62" i="1" s="1"/>
  <c r="Z62" i="1" s="1"/>
  <c r="V64" i="1"/>
  <c r="Q48" i="1"/>
  <c r="R47" i="1"/>
  <c r="S47" i="1" s="1"/>
  <c r="Q49" i="1" l="1"/>
  <c r="R48" i="1"/>
  <c r="S48" i="1" s="1"/>
  <c r="X63" i="1"/>
  <c r="Y63" i="1" s="1"/>
  <c r="Z63" i="1" s="1"/>
  <c r="V65" i="1"/>
  <c r="X64" i="1" l="1"/>
  <c r="Y64" i="1" s="1"/>
  <c r="Z64" i="1" s="1"/>
  <c r="V66" i="1"/>
  <c r="Q50" i="1"/>
  <c r="R49" i="1"/>
  <c r="S49" i="1" s="1"/>
  <c r="Q51" i="1" l="1"/>
  <c r="R50" i="1"/>
  <c r="S50" i="1" s="1"/>
  <c r="X65" i="1"/>
  <c r="Y65" i="1" s="1"/>
  <c r="Z65" i="1" s="1"/>
  <c r="V67" i="1"/>
  <c r="X66" i="1" l="1"/>
  <c r="Y66" i="1" s="1"/>
  <c r="Z66" i="1" s="1"/>
  <c r="V68" i="1"/>
  <c r="Q52" i="1"/>
  <c r="R51" i="1"/>
  <c r="S51" i="1" s="1"/>
  <c r="Q53" i="1" l="1"/>
  <c r="R52" i="1"/>
  <c r="S52" i="1" s="1"/>
  <c r="X67" i="1"/>
  <c r="Y67" i="1" s="1"/>
  <c r="Z67" i="1" s="1"/>
  <c r="V69" i="1"/>
  <c r="X68" i="1" l="1"/>
  <c r="Y68" i="1" s="1"/>
  <c r="Z68" i="1" s="1"/>
  <c r="V70" i="1"/>
  <c r="Q54" i="1"/>
  <c r="R53" i="1"/>
  <c r="S53" i="1" s="1"/>
  <c r="R54" i="1" l="1"/>
  <c r="S54" i="1" s="1"/>
  <c r="Q55" i="1"/>
  <c r="X69" i="1"/>
  <c r="Y69" i="1" s="1"/>
  <c r="Z69" i="1" s="1"/>
  <c r="V71" i="1"/>
  <c r="X70" i="1" l="1"/>
  <c r="Y70" i="1" s="1"/>
  <c r="Z70" i="1" s="1"/>
  <c r="V72" i="1"/>
  <c r="R55" i="1"/>
  <c r="S55" i="1" s="1"/>
  <c r="Q56" i="1"/>
  <c r="R56" i="1" l="1"/>
  <c r="S56" i="1" s="1"/>
  <c r="Q57" i="1"/>
  <c r="X71" i="1"/>
  <c r="Y71" i="1" s="1"/>
  <c r="Z71" i="1" s="1"/>
  <c r="V73" i="1"/>
  <c r="X72" i="1" l="1"/>
  <c r="Y72" i="1" s="1"/>
  <c r="Z72" i="1" s="1"/>
  <c r="V74" i="1"/>
  <c r="Q58" i="1"/>
  <c r="R57" i="1"/>
  <c r="S57" i="1" s="1"/>
  <c r="Q59" i="1" l="1"/>
  <c r="R58" i="1"/>
  <c r="S58" i="1" s="1"/>
  <c r="X73" i="1"/>
  <c r="Y73" i="1" s="1"/>
  <c r="Z73" i="1" s="1"/>
  <c r="V75" i="1"/>
  <c r="X74" i="1" l="1"/>
  <c r="Y74" i="1" s="1"/>
  <c r="Z74" i="1" s="1"/>
  <c r="V76" i="1"/>
  <c r="Q60" i="1"/>
  <c r="R59" i="1"/>
  <c r="S59" i="1" s="1"/>
  <c r="Q61" i="1" l="1"/>
  <c r="R60" i="1"/>
  <c r="S60" i="1" s="1"/>
  <c r="X75" i="1"/>
  <c r="Y75" i="1" s="1"/>
  <c r="Z75" i="1" s="1"/>
  <c r="V77" i="1"/>
  <c r="X76" i="1" l="1"/>
  <c r="Y76" i="1" s="1"/>
  <c r="Z76" i="1" s="1"/>
  <c r="V78" i="1"/>
  <c r="Q62" i="1"/>
  <c r="R61" i="1"/>
  <c r="S61" i="1" s="1"/>
  <c r="Q63" i="1" l="1"/>
  <c r="R62" i="1"/>
  <c r="S62" i="1" s="1"/>
  <c r="X77" i="1"/>
  <c r="Y77" i="1" s="1"/>
  <c r="Z77" i="1" s="1"/>
  <c r="V79" i="1"/>
  <c r="X78" i="1" l="1"/>
  <c r="Y78" i="1" s="1"/>
  <c r="Z78" i="1" s="1"/>
  <c r="V80" i="1"/>
  <c r="Q64" i="1"/>
  <c r="R63" i="1"/>
  <c r="S63" i="1" s="1"/>
  <c r="Q65" i="1" l="1"/>
  <c r="R64" i="1"/>
  <c r="S64" i="1" s="1"/>
  <c r="X79" i="1"/>
  <c r="Y79" i="1" s="1"/>
  <c r="Z79" i="1" s="1"/>
  <c r="V81" i="1"/>
  <c r="X80" i="1" l="1"/>
  <c r="Y80" i="1" s="1"/>
  <c r="Z80" i="1" s="1"/>
  <c r="V82" i="1"/>
  <c r="Q66" i="1"/>
  <c r="R65" i="1"/>
  <c r="S65" i="1" s="1"/>
  <c r="Q67" i="1" l="1"/>
  <c r="R66" i="1"/>
  <c r="S66" i="1" s="1"/>
  <c r="X81" i="1"/>
  <c r="Y81" i="1" s="1"/>
  <c r="Z81" i="1" s="1"/>
  <c r="V83" i="1"/>
  <c r="X82" i="1" l="1"/>
  <c r="Y82" i="1" s="1"/>
  <c r="Z82" i="1" s="1"/>
  <c r="V84" i="1"/>
  <c r="Q68" i="1"/>
  <c r="R67" i="1"/>
  <c r="S67" i="1" s="1"/>
  <c r="R68" i="1" l="1"/>
  <c r="S68" i="1" s="1"/>
  <c r="Q69" i="1"/>
  <c r="X83" i="1"/>
  <c r="Y83" i="1" s="1"/>
  <c r="Z83" i="1" s="1"/>
  <c r="V85" i="1"/>
  <c r="X84" i="1" l="1"/>
  <c r="Y84" i="1" s="1"/>
  <c r="Z84" i="1" s="1"/>
  <c r="V86" i="1"/>
  <c r="Q70" i="1"/>
  <c r="R69" i="1"/>
  <c r="S69" i="1" s="1"/>
  <c r="Q71" i="1" l="1"/>
  <c r="R70" i="1"/>
  <c r="S70" i="1" s="1"/>
  <c r="X85" i="1"/>
  <c r="Y85" i="1" s="1"/>
  <c r="Z85" i="1" s="1"/>
  <c r="V87" i="1"/>
  <c r="X86" i="1" l="1"/>
  <c r="Y86" i="1" s="1"/>
  <c r="Z86" i="1" s="1"/>
  <c r="V88" i="1"/>
  <c r="Q72" i="1"/>
  <c r="R71" i="1"/>
  <c r="S71" i="1" s="1"/>
  <c r="Q73" i="1" l="1"/>
  <c r="R72" i="1"/>
  <c r="S72" i="1" s="1"/>
  <c r="X87" i="1"/>
  <c r="Y87" i="1" s="1"/>
  <c r="Z87" i="1" s="1"/>
  <c r="V89" i="1"/>
  <c r="X88" i="1" l="1"/>
  <c r="V90" i="1"/>
  <c r="Q74" i="1"/>
  <c r="R73" i="1"/>
  <c r="S73" i="1" s="1"/>
  <c r="Q75" i="1" l="1"/>
  <c r="R74" i="1"/>
  <c r="S74" i="1" s="1"/>
  <c r="X89" i="1"/>
  <c r="V91" i="1"/>
  <c r="Y88" i="1"/>
  <c r="Z88" i="1" s="1"/>
  <c r="X90" i="1" l="1"/>
  <c r="V92" i="1"/>
  <c r="Y89" i="1"/>
  <c r="Z89" i="1" s="1"/>
  <c r="Q76" i="1"/>
  <c r="R75" i="1"/>
  <c r="S75" i="1" s="1"/>
  <c r="Q77" i="1" l="1"/>
  <c r="R76" i="1"/>
  <c r="S76" i="1" s="1"/>
  <c r="X91" i="1"/>
  <c r="V93" i="1"/>
  <c r="Y90" i="1"/>
  <c r="Z90" i="1" s="1"/>
  <c r="X92" i="1" l="1"/>
  <c r="V94" i="1"/>
  <c r="Y91" i="1"/>
  <c r="Z91" i="1" s="1"/>
  <c r="Q78" i="1"/>
  <c r="R77" i="1"/>
  <c r="S77" i="1" s="1"/>
  <c r="R78" i="1" l="1"/>
  <c r="S78" i="1" s="1"/>
  <c r="Q79" i="1"/>
  <c r="X93" i="1"/>
  <c r="V95" i="1"/>
  <c r="Y92" i="1"/>
  <c r="Z92" i="1" s="1"/>
  <c r="X94" i="1" l="1"/>
  <c r="V96" i="1"/>
  <c r="Y93" i="1"/>
  <c r="Z93" i="1" s="1"/>
  <c r="Q80" i="1"/>
  <c r="R79" i="1"/>
  <c r="S79" i="1" s="1"/>
  <c r="Q81" i="1" l="1"/>
  <c r="R80" i="1"/>
  <c r="S80" i="1" s="1"/>
  <c r="X95" i="1"/>
  <c r="V97" i="1"/>
  <c r="Y94" i="1"/>
  <c r="Z94" i="1" s="1"/>
  <c r="X96" i="1" l="1"/>
  <c r="V98" i="1"/>
  <c r="Y95" i="1"/>
  <c r="Z95" i="1" s="1"/>
  <c r="Q82" i="1"/>
  <c r="R81" i="1"/>
  <c r="S81" i="1" s="1"/>
  <c r="Q83" i="1" l="1"/>
  <c r="R82" i="1"/>
  <c r="S82" i="1" s="1"/>
  <c r="X97" i="1"/>
  <c r="V99" i="1"/>
  <c r="Y96" i="1"/>
  <c r="Z96" i="1" s="1"/>
  <c r="X98" i="1" l="1"/>
  <c r="V100" i="1"/>
  <c r="Y97" i="1"/>
  <c r="Z97" i="1" s="1"/>
  <c r="Q84" i="1"/>
  <c r="R83" i="1"/>
  <c r="S83" i="1" s="1"/>
  <c r="Q85" i="1" l="1"/>
  <c r="R84" i="1"/>
  <c r="S84" i="1" s="1"/>
  <c r="X99" i="1"/>
  <c r="V101" i="1"/>
  <c r="Y98" i="1"/>
  <c r="Z98" i="1" s="1"/>
  <c r="X100" i="1" l="1"/>
  <c r="V102" i="1"/>
  <c r="Y99" i="1"/>
  <c r="Z99" i="1" s="1"/>
  <c r="Q86" i="1"/>
  <c r="R85" i="1"/>
  <c r="S85" i="1" s="1"/>
  <c r="Q87" i="1" l="1"/>
  <c r="R86" i="1"/>
  <c r="S86" i="1" s="1"/>
  <c r="X101" i="1"/>
  <c r="V103" i="1"/>
  <c r="Y100" i="1"/>
  <c r="Z100" i="1" s="1"/>
  <c r="X102" i="1" l="1"/>
  <c r="V104" i="1"/>
  <c r="Y101" i="1"/>
  <c r="Z101" i="1" s="1"/>
  <c r="Q88" i="1"/>
  <c r="R87" i="1"/>
  <c r="S87" i="1" s="1"/>
  <c r="Q89" i="1" l="1"/>
  <c r="R88" i="1"/>
  <c r="S88" i="1" s="1"/>
  <c r="X103" i="1"/>
  <c r="V105" i="1"/>
  <c r="Y102" i="1"/>
  <c r="Z102" i="1" s="1"/>
  <c r="X104" i="1" l="1"/>
  <c r="V106" i="1"/>
  <c r="Y103" i="1"/>
  <c r="Z103" i="1" s="1"/>
  <c r="Q90" i="1"/>
  <c r="R89" i="1"/>
  <c r="S89" i="1" s="1"/>
  <c r="Q91" i="1" l="1"/>
  <c r="R90" i="1"/>
  <c r="S90" i="1" s="1"/>
  <c r="X105" i="1"/>
  <c r="V107" i="1"/>
  <c r="Y104" i="1"/>
  <c r="Z104" i="1" s="1"/>
  <c r="X106" i="1" l="1"/>
  <c r="V108" i="1"/>
  <c r="Y105" i="1"/>
  <c r="Z105" i="1" s="1"/>
  <c r="Q92" i="1"/>
  <c r="R91" i="1"/>
  <c r="S91" i="1" s="1"/>
  <c r="Q93" i="1" l="1"/>
  <c r="R92" i="1"/>
  <c r="S92" i="1" s="1"/>
  <c r="X107" i="1"/>
  <c r="V109" i="1"/>
  <c r="Y106" i="1"/>
  <c r="Z106" i="1" s="1"/>
  <c r="Y107" i="1" l="1"/>
  <c r="Z107" i="1" s="1"/>
  <c r="X108" i="1"/>
  <c r="V110" i="1"/>
  <c r="Q94" i="1"/>
  <c r="R93" i="1"/>
  <c r="S93" i="1" s="1"/>
  <c r="Y108" i="1" l="1"/>
  <c r="Z108" i="1" s="1"/>
  <c r="R94" i="1"/>
  <c r="S94" i="1" s="1"/>
  <c r="Q95" i="1"/>
  <c r="X109" i="1"/>
  <c r="V111" i="1"/>
  <c r="Y109" i="1" l="1"/>
  <c r="Z109" i="1" s="1"/>
  <c r="X110" i="1"/>
  <c r="V112" i="1"/>
  <c r="Q96" i="1"/>
  <c r="R95" i="1"/>
  <c r="S95" i="1" s="1"/>
  <c r="Y110" i="1" l="1"/>
  <c r="Z110" i="1" s="1"/>
  <c r="Q97" i="1"/>
  <c r="R96" i="1"/>
  <c r="S96" i="1" s="1"/>
  <c r="X111" i="1"/>
  <c r="V113" i="1"/>
  <c r="Y111" i="1" l="1"/>
  <c r="Z111" i="1" s="1"/>
  <c r="X112" i="1"/>
  <c r="V114" i="1"/>
  <c r="R97" i="1"/>
  <c r="S97" i="1" s="1"/>
  <c r="Q98" i="1"/>
  <c r="Y112" i="1" l="1"/>
  <c r="Z112" i="1" s="1"/>
  <c r="Q99" i="1"/>
  <c r="R98" i="1"/>
  <c r="S98" i="1" s="1"/>
  <c r="X113" i="1"/>
  <c r="V115" i="1"/>
  <c r="Y113" i="1" l="1"/>
  <c r="Z113" i="1" s="1"/>
  <c r="X114" i="1"/>
  <c r="V116" i="1"/>
  <c r="Q100" i="1"/>
  <c r="R99" i="1"/>
  <c r="S99" i="1" s="1"/>
  <c r="Y114" i="1" l="1"/>
  <c r="Z114" i="1" s="1"/>
  <c r="X115" i="1"/>
  <c r="V117" i="1"/>
  <c r="Q101" i="1"/>
  <c r="R100" i="1"/>
  <c r="S100" i="1" s="1"/>
  <c r="Y115" i="1" l="1"/>
  <c r="Z115" i="1" s="1"/>
  <c r="X116" i="1"/>
  <c r="V118" i="1"/>
  <c r="Q102" i="1"/>
  <c r="R101" i="1"/>
  <c r="S101" i="1" s="1"/>
  <c r="Y116" i="1" l="1"/>
  <c r="Z116" i="1" s="1"/>
  <c r="Q103" i="1"/>
  <c r="R102" i="1"/>
  <c r="S102" i="1" s="1"/>
  <c r="X117" i="1"/>
  <c r="V119" i="1"/>
  <c r="Y117" i="1" l="1"/>
  <c r="Z117" i="1" s="1"/>
  <c r="X118" i="1"/>
  <c r="Y118" i="1" s="1"/>
  <c r="Z118" i="1" s="1"/>
  <c r="V120" i="1"/>
  <c r="Q104" i="1"/>
  <c r="R103" i="1"/>
  <c r="S103" i="1" s="1"/>
  <c r="Q105" i="1" l="1"/>
  <c r="R104" i="1"/>
  <c r="S104" i="1" s="1"/>
  <c r="X119" i="1"/>
  <c r="Y119" i="1" s="1"/>
  <c r="Z119" i="1" s="1"/>
  <c r="V121" i="1"/>
  <c r="X120" i="1" l="1"/>
  <c r="Y120" i="1" s="1"/>
  <c r="Z120" i="1" s="1"/>
  <c r="V122" i="1"/>
  <c r="Q106" i="1"/>
  <c r="R105" i="1"/>
  <c r="S105" i="1" s="1"/>
  <c r="Q107" i="1" l="1"/>
  <c r="R106" i="1"/>
  <c r="S106" i="1" s="1"/>
  <c r="X121" i="1"/>
  <c r="Y121" i="1" s="1"/>
  <c r="Z121" i="1" s="1"/>
  <c r="V123" i="1"/>
  <c r="X122" i="1" l="1"/>
  <c r="V124" i="1"/>
  <c r="R107" i="1"/>
  <c r="S107" i="1" s="1"/>
  <c r="Q108" i="1"/>
  <c r="Q109" i="1" l="1"/>
  <c r="R108" i="1"/>
  <c r="S108" i="1" s="1"/>
  <c r="X123" i="1"/>
  <c r="V125" i="1"/>
  <c r="Y122" i="1"/>
  <c r="Z122" i="1" s="1"/>
  <c r="X124" i="1" l="1"/>
  <c r="V126" i="1"/>
  <c r="Y123" i="1"/>
  <c r="Z123" i="1" s="1"/>
  <c r="Q110" i="1"/>
  <c r="R109" i="1"/>
  <c r="S109" i="1" s="1"/>
  <c r="Q111" i="1" l="1"/>
  <c r="R110" i="1"/>
  <c r="S110" i="1" s="1"/>
  <c r="X125" i="1"/>
  <c r="V127" i="1"/>
  <c r="Y124" i="1"/>
  <c r="Z124" i="1" s="1"/>
  <c r="X126" i="1" l="1"/>
  <c r="V128" i="1"/>
  <c r="Y125" i="1"/>
  <c r="Z125" i="1" s="1"/>
  <c r="Q112" i="1"/>
  <c r="R111" i="1"/>
  <c r="S111" i="1" s="1"/>
  <c r="Q113" i="1" l="1"/>
  <c r="R112" i="1"/>
  <c r="S112" i="1" s="1"/>
  <c r="X127" i="1"/>
  <c r="V129" i="1"/>
  <c r="Y126" i="1"/>
  <c r="Z126" i="1" s="1"/>
  <c r="X128" i="1" l="1"/>
  <c r="V130" i="1"/>
  <c r="Y127" i="1"/>
  <c r="Z127" i="1" s="1"/>
  <c r="Q114" i="1"/>
  <c r="R113" i="1"/>
  <c r="S113" i="1" s="1"/>
  <c r="Q115" i="1" l="1"/>
  <c r="R114" i="1"/>
  <c r="S114" i="1" s="1"/>
  <c r="X129" i="1"/>
  <c r="V131" i="1"/>
  <c r="Y128" i="1"/>
  <c r="Z128" i="1" s="1"/>
  <c r="X130" i="1" l="1"/>
  <c r="V132" i="1"/>
  <c r="Y129" i="1"/>
  <c r="Z129" i="1" s="1"/>
  <c r="Q116" i="1"/>
  <c r="R115" i="1"/>
  <c r="S115" i="1" s="1"/>
  <c r="Q117" i="1" l="1"/>
  <c r="R116" i="1"/>
  <c r="S116" i="1" s="1"/>
  <c r="X131" i="1"/>
  <c r="V133" i="1"/>
  <c r="Y130" i="1"/>
  <c r="Z130" i="1" s="1"/>
  <c r="X132" i="1" l="1"/>
  <c r="V134" i="1"/>
  <c r="Y131" i="1"/>
  <c r="Z131" i="1" s="1"/>
  <c r="Q118" i="1"/>
  <c r="R117" i="1"/>
  <c r="S117" i="1" s="1"/>
  <c r="Q119" i="1" l="1"/>
  <c r="R118" i="1"/>
  <c r="S118" i="1" s="1"/>
  <c r="X133" i="1"/>
  <c r="V135" i="1"/>
  <c r="Y132" i="1"/>
  <c r="Z132" i="1" s="1"/>
  <c r="X134" i="1" l="1"/>
  <c r="V136" i="1"/>
  <c r="Y133" i="1"/>
  <c r="Z133" i="1" s="1"/>
  <c r="Q120" i="1"/>
  <c r="R119" i="1"/>
  <c r="S119" i="1" s="1"/>
  <c r="R120" i="1" l="1"/>
  <c r="S120" i="1" s="1"/>
  <c r="Q121" i="1"/>
  <c r="X135" i="1"/>
  <c r="V137" i="1"/>
  <c r="Y134" i="1"/>
  <c r="Z134" i="1" s="1"/>
  <c r="X136" i="1" l="1"/>
  <c r="V138" i="1"/>
  <c r="Y135" i="1"/>
  <c r="Z135" i="1" s="1"/>
  <c r="Q122" i="1"/>
  <c r="R121" i="1"/>
  <c r="S121" i="1" s="1"/>
  <c r="Q123" i="1" l="1"/>
  <c r="R122" i="1"/>
  <c r="S122" i="1" s="1"/>
  <c r="X137" i="1"/>
  <c r="V139" i="1"/>
  <c r="Y136" i="1"/>
  <c r="Z136" i="1" s="1"/>
  <c r="X138" i="1" l="1"/>
  <c r="V140" i="1"/>
  <c r="Y137" i="1"/>
  <c r="Z137" i="1" s="1"/>
  <c r="Q124" i="1"/>
  <c r="R123" i="1"/>
  <c r="S123" i="1" s="1"/>
  <c r="Q125" i="1" l="1"/>
  <c r="R124" i="1"/>
  <c r="S124" i="1" s="1"/>
  <c r="X139" i="1"/>
  <c r="V141" i="1"/>
  <c r="Y138" i="1"/>
  <c r="Z138" i="1" s="1"/>
  <c r="X140" i="1" l="1"/>
  <c r="V142" i="1"/>
  <c r="Y139" i="1"/>
  <c r="Z139" i="1" s="1"/>
  <c r="Q126" i="1"/>
  <c r="R125" i="1"/>
  <c r="S125" i="1" s="1"/>
  <c r="R126" i="1" l="1"/>
  <c r="S126" i="1" s="1"/>
  <c r="Q127" i="1"/>
  <c r="X141" i="1"/>
  <c r="V143" i="1"/>
  <c r="Y140" i="1"/>
  <c r="Z140" i="1" s="1"/>
  <c r="X142" i="1" l="1"/>
  <c r="V144" i="1"/>
  <c r="Y141" i="1"/>
  <c r="Z141" i="1" s="1"/>
  <c r="Q128" i="1"/>
  <c r="R127" i="1"/>
  <c r="S127" i="1" s="1"/>
  <c r="Q129" i="1" l="1"/>
  <c r="R128" i="1"/>
  <c r="S128" i="1" s="1"/>
  <c r="X143" i="1"/>
  <c r="V145" i="1"/>
  <c r="Y142" i="1"/>
  <c r="Z142" i="1" s="1"/>
  <c r="X144" i="1" l="1"/>
  <c r="V146" i="1"/>
  <c r="Y143" i="1"/>
  <c r="Z143" i="1" s="1"/>
  <c r="Q130" i="1"/>
  <c r="R129" i="1"/>
  <c r="S129" i="1" s="1"/>
  <c r="Q131" i="1" l="1"/>
  <c r="R130" i="1"/>
  <c r="S130" i="1" s="1"/>
  <c r="X145" i="1"/>
  <c r="V147" i="1"/>
  <c r="Y144" i="1"/>
  <c r="Z144" i="1" s="1"/>
  <c r="X146" i="1" l="1"/>
  <c r="V148" i="1"/>
  <c r="Y145" i="1"/>
  <c r="Z145" i="1" s="1"/>
  <c r="Q132" i="1"/>
  <c r="R131" i="1"/>
  <c r="S131" i="1" s="1"/>
  <c r="Q133" i="1" l="1"/>
  <c r="R132" i="1"/>
  <c r="S132" i="1" s="1"/>
  <c r="X147" i="1"/>
  <c r="V149" i="1"/>
  <c r="Y146" i="1"/>
  <c r="Z146" i="1" s="1"/>
  <c r="Y147" i="1" l="1"/>
  <c r="Z147" i="1" s="1"/>
  <c r="X148" i="1"/>
  <c r="V150" i="1"/>
  <c r="Q134" i="1"/>
  <c r="R133" i="1"/>
  <c r="S133" i="1" s="1"/>
  <c r="Y148" i="1" l="1"/>
  <c r="Z148" i="1" s="1"/>
  <c r="Q135" i="1"/>
  <c r="R134" i="1"/>
  <c r="S134" i="1" s="1"/>
  <c r="X149" i="1"/>
  <c r="V151" i="1"/>
  <c r="Y149" i="1" l="1"/>
  <c r="Z149" i="1" s="1"/>
  <c r="X150" i="1"/>
  <c r="Y150" i="1" s="1"/>
  <c r="Z150" i="1" s="1"/>
  <c r="V152" i="1"/>
  <c r="Q136" i="1"/>
  <c r="R135" i="1"/>
  <c r="S135" i="1" s="1"/>
  <c r="X151" i="1" l="1"/>
  <c r="Y151" i="1" s="1"/>
  <c r="Z151" i="1" s="1"/>
  <c r="V153" i="1"/>
  <c r="Q137" i="1"/>
  <c r="R136" i="1"/>
  <c r="S136" i="1" s="1"/>
  <c r="Q138" i="1" l="1"/>
  <c r="R137" i="1"/>
  <c r="S137" i="1" s="1"/>
  <c r="X152" i="1"/>
  <c r="Y152" i="1" s="1"/>
  <c r="Z152" i="1" s="1"/>
  <c r="V154" i="1"/>
  <c r="X153" i="1" l="1"/>
  <c r="Y153" i="1" s="1"/>
  <c r="Z153" i="1" s="1"/>
  <c r="V155" i="1"/>
  <c r="Q139" i="1"/>
  <c r="R138" i="1"/>
  <c r="S138" i="1" s="1"/>
  <c r="Q140" i="1" l="1"/>
  <c r="R139" i="1"/>
  <c r="S139" i="1" s="1"/>
  <c r="X154" i="1"/>
  <c r="Y154" i="1" s="1"/>
  <c r="Z154" i="1" s="1"/>
  <c r="V156" i="1"/>
  <c r="X155" i="1" l="1"/>
  <c r="Y155" i="1" s="1"/>
  <c r="Z155" i="1" s="1"/>
  <c r="V157" i="1"/>
  <c r="Q141" i="1"/>
  <c r="R140" i="1"/>
  <c r="S140" i="1" s="1"/>
  <c r="R141" i="1" l="1"/>
  <c r="S141" i="1" s="1"/>
  <c r="Q142" i="1"/>
  <c r="X156" i="1"/>
  <c r="V158" i="1"/>
  <c r="X157" i="1" l="1"/>
  <c r="V159" i="1"/>
  <c r="Y156" i="1"/>
  <c r="Z156" i="1" s="1"/>
  <c r="Q143" i="1"/>
  <c r="R142" i="1"/>
  <c r="S142" i="1" s="1"/>
  <c r="Q144" i="1" l="1"/>
  <c r="R143" i="1"/>
  <c r="S143" i="1" s="1"/>
  <c r="X158" i="1"/>
  <c r="V160" i="1"/>
  <c r="Y157" i="1"/>
  <c r="Z157" i="1" s="1"/>
  <c r="X159" i="1" l="1"/>
  <c r="V161" i="1"/>
  <c r="Y158" i="1"/>
  <c r="Z158" i="1" s="1"/>
  <c r="Q145" i="1"/>
  <c r="R144" i="1"/>
  <c r="S144" i="1" s="1"/>
  <c r="Q146" i="1" l="1"/>
  <c r="R145" i="1"/>
  <c r="S145" i="1" s="1"/>
  <c r="X160" i="1"/>
  <c r="V162" i="1"/>
  <c r="Y159" i="1"/>
  <c r="Z159" i="1" s="1"/>
  <c r="X161" i="1" l="1"/>
  <c r="V163" i="1"/>
  <c r="Y160" i="1"/>
  <c r="Z160" i="1" s="1"/>
  <c r="Q147" i="1"/>
  <c r="R146" i="1"/>
  <c r="S146" i="1" s="1"/>
  <c r="Q148" i="1" l="1"/>
  <c r="R147" i="1"/>
  <c r="S147" i="1" s="1"/>
  <c r="X162" i="1"/>
  <c r="V164" i="1"/>
  <c r="Y161" i="1"/>
  <c r="Z161" i="1" s="1"/>
  <c r="X163" i="1" l="1"/>
  <c r="V165" i="1"/>
  <c r="Y162" i="1"/>
  <c r="Z162" i="1" s="1"/>
  <c r="Q149" i="1"/>
  <c r="R148" i="1"/>
  <c r="S148" i="1" s="1"/>
  <c r="R149" i="1" l="1"/>
  <c r="S149" i="1" s="1"/>
  <c r="Q150" i="1"/>
  <c r="X164" i="1"/>
  <c r="V166" i="1"/>
  <c r="Y163" i="1"/>
  <c r="Z163" i="1" s="1"/>
  <c r="X165" i="1" l="1"/>
  <c r="V167" i="1"/>
  <c r="Y164" i="1"/>
  <c r="Z164" i="1" s="1"/>
  <c r="Q151" i="1"/>
  <c r="R150" i="1"/>
  <c r="S150" i="1" s="1"/>
  <c r="Q152" i="1" l="1"/>
  <c r="R151" i="1"/>
  <c r="S151" i="1" s="1"/>
  <c r="X166" i="1"/>
  <c r="V168" i="1"/>
  <c r="Y165" i="1"/>
  <c r="Z165" i="1" s="1"/>
  <c r="X167" i="1" l="1"/>
  <c r="V169" i="1"/>
  <c r="Y166" i="1"/>
  <c r="Z166" i="1" s="1"/>
  <c r="R152" i="1"/>
  <c r="S152" i="1" s="1"/>
  <c r="Q153" i="1"/>
  <c r="Q154" i="1" l="1"/>
  <c r="R153" i="1"/>
  <c r="S153" i="1" s="1"/>
  <c r="X168" i="1"/>
  <c r="V170" i="1"/>
  <c r="Y167" i="1"/>
  <c r="Z167" i="1" s="1"/>
  <c r="X169" i="1" l="1"/>
  <c r="V171" i="1"/>
  <c r="Y168" i="1"/>
  <c r="Z168" i="1" s="1"/>
  <c r="Q155" i="1"/>
  <c r="R154" i="1"/>
  <c r="S154" i="1" s="1"/>
  <c r="Q156" i="1" l="1"/>
  <c r="R155" i="1"/>
  <c r="S155" i="1" s="1"/>
  <c r="X170" i="1"/>
  <c r="V172" i="1"/>
  <c r="Y169" i="1"/>
  <c r="Z169" i="1" s="1"/>
  <c r="X171" i="1" l="1"/>
  <c r="V173" i="1"/>
  <c r="Y170" i="1"/>
  <c r="Z170" i="1" s="1"/>
  <c r="Q157" i="1"/>
  <c r="R156" i="1"/>
  <c r="S156" i="1" s="1"/>
  <c r="Q158" i="1" l="1"/>
  <c r="R157" i="1"/>
  <c r="S157" i="1" s="1"/>
  <c r="X172" i="1"/>
  <c r="V174" i="1"/>
  <c r="Y171" i="1"/>
  <c r="Z171" i="1" s="1"/>
  <c r="X173" i="1" l="1"/>
  <c r="V175" i="1"/>
  <c r="Y172" i="1"/>
  <c r="Z172" i="1" s="1"/>
  <c r="Q159" i="1"/>
  <c r="R158" i="1"/>
  <c r="S158" i="1" s="1"/>
  <c r="Q160" i="1" l="1"/>
  <c r="R159" i="1"/>
  <c r="S159" i="1" s="1"/>
  <c r="X174" i="1"/>
  <c r="V176" i="1"/>
  <c r="Y173" i="1"/>
  <c r="Z173" i="1" s="1"/>
  <c r="X175" i="1" l="1"/>
  <c r="V177" i="1"/>
  <c r="Y174" i="1"/>
  <c r="Z174" i="1" s="1"/>
  <c r="Q161" i="1"/>
  <c r="R160" i="1"/>
  <c r="S160" i="1" s="1"/>
  <c r="Q162" i="1" l="1"/>
  <c r="R161" i="1"/>
  <c r="S161" i="1" s="1"/>
  <c r="X176" i="1"/>
  <c r="V178" i="1"/>
  <c r="Y175" i="1"/>
  <c r="Z175" i="1" s="1"/>
  <c r="X177" i="1" l="1"/>
  <c r="V179" i="1"/>
  <c r="Y176" i="1"/>
  <c r="Z176" i="1" s="1"/>
  <c r="Q163" i="1"/>
  <c r="R162" i="1"/>
  <c r="S162" i="1" s="1"/>
  <c r="R163" i="1" l="1"/>
  <c r="S163" i="1" s="1"/>
  <c r="Q164" i="1"/>
  <c r="X178" i="1"/>
  <c r="V180" i="1"/>
  <c r="Y177" i="1"/>
  <c r="Z177" i="1" s="1"/>
  <c r="X179" i="1" l="1"/>
  <c r="V181" i="1"/>
  <c r="Y178" i="1"/>
  <c r="Z178" i="1" s="1"/>
  <c r="Q165" i="1"/>
  <c r="R164" i="1"/>
  <c r="S164" i="1" s="1"/>
  <c r="Q166" i="1" l="1"/>
  <c r="R165" i="1"/>
  <c r="S165" i="1" s="1"/>
  <c r="X180" i="1"/>
  <c r="V182" i="1"/>
  <c r="Y179" i="1"/>
  <c r="Z179" i="1" s="1"/>
  <c r="X181" i="1" l="1"/>
  <c r="V183" i="1"/>
  <c r="Y180" i="1"/>
  <c r="Z180" i="1" s="1"/>
  <c r="Q167" i="1"/>
  <c r="R166" i="1"/>
  <c r="S166" i="1" s="1"/>
  <c r="Q168" i="1" l="1"/>
  <c r="R167" i="1"/>
  <c r="S167" i="1" s="1"/>
  <c r="X182" i="1"/>
  <c r="V184" i="1"/>
  <c r="Y181" i="1"/>
  <c r="Z181" i="1" s="1"/>
  <c r="X183" i="1" l="1"/>
  <c r="V185" i="1"/>
  <c r="Y182" i="1"/>
  <c r="Z182" i="1" s="1"/>
  <c r="Q169" i="1"/>
  <c r="R168" i="1"/>
  <c r="S168" i="1" s="1"/>
  <c r="Q170" i="1" l="1"/>
  <c r="R169" i="1"/>
  <c r="S169" i="1" s="1"/>
  <c r="X184" i="1"/>
  <c r="V186" i="1"/>
  <c r="Y183" i="1"/>
  <c r="Z183" i="1" s="1"/>
  <c r="X185" i="1" l="1"/>
  <c r="V187" i="1"/>
  <c r="Y184" i="1"/>
  <c r="Z184" i="1" s="1"/>
  <c r="Q171" i="1"/>
  <c r="R170" i="1"/>
  <c r="S170" i="1" s="1"/>
  <c r="Q172" i="1" l="1"/>
  <c r="R171" i="1"/>
  <c r="S171" i="1" s="1"/>
  <c r="X186" i="1"/>
  <c r="V188" i="1"/>
  <c r="Y185" i="1"/>
  <c r="Z185" i="1" s="1"/>
  <c r="X187" i="1" l="1"/>
  <c r="V189" i="1"/>
  <c r="Y186" i="1"/>
  <c r="Z186" i="1" s="1"/>
  <c r="Q173" i="1"/>
  <c r="R172" i="1"/>
  <c r="S172" i="1" s="1"/>
  <c r="Q174" i="1" l="1"/>
  <c r="R173" i="1"/>
  <c r="S173" i="1" s="1"/>
  <c r="X188" i="1"/>
  <c r="V190" i="1"/>
  <c r="Y187" i="1"/>
  <c r="Z187" i="1" s="1"/>
  <c r="X189" i="1" l="1"/>
  <c r="V191" i="1"/>
  <c r="Y188" i="1"/>
  <c r="Z188" i="1" s="1"/>
  <c r="Q175" i="1"/>
  <c r="R174" i="1"/>
  <c r="S174" i="1" s="1"/>
  <c r="Q176" i="1" l="1"/>
  <c r="R175" i="1"/>
  <c r="S175" i="1" s="1"/>
  <c r="X190" i="1"/>
  <c r="V192" i="1"/>
  <c r="Y189" i="1"/>
  <c r="Z189" i="1" s="1"/>
  <c r="X191" i="1" l="1"/>
  <c r="V193" i="1"/>
  <c r="Y190" i="1"/>
  <c r="Z190" i="1" s="1"/>
  <c r="Q177" i="1"/>
  <c r="R176" i="1"/>
  <c r="S176" i="1" s="1"/>
  <c r="Q178" i="1" l="1"/>
  <c r="R177" i="1"/>
  <c r="S177" i="1" s="1"/>
  <c r="X192" i="1"/>
  <c r="V194" i="1"/>
  <c r="Y191" i="1"/>
  <c r="Z191" i="1" s="1"/>
  <c r="X193" i="1" l="1"/>
  <c r="V195" i="1"/>
  <c r="Y192" i="1"/>
  <c r="Z192" i="1" s="1"/>
  <c r="Q179" i="1"/>
  <c r="R178" i="1"/>
  <c r="S178" i="1" s="1"/>
  <c r="Q180" i="1" l="1"/>
  <c r="R179" i="1"/>
  <c r="S179" i="1" s="1"/>
  <c r="X194" i="1"/>
  <c r="V196" i="1"/>
  <c r="Y193" i="1"/>
  <c r="Z193" i="1" s="1"/>
  <c r="X195" i="1" l="1"/>
  <c r="V197" i="1"/>
  <c r="Y194" i="1"/>
  <c r="Z194" i="1" s="1"/>
  <c r="Q181" i="1"/>
  <c r="R180" i="1"/>
  <c r="S180" i="1" s="1"/>
  <c r="Q182" i="1" l="1"/>
  <c r="R181" i="1"/>
  <c r="S181" i="1" s="1"/>
  <c r="X196" i="1"/>
  <c r="V198" i="1"/>
  <c r="Y195" i="1"/>
  <c r="Z195" i="1" s="1"/>
  <c r="X197" i="1" l="1"/>
  <c r="V199" i="1"/>
  <c r="Y196" i="1"/>
  <c r="Z196" i="1" s="1"/>
  <c r="Q183" i="1"/>
  <c r="R182" i="1"/>
  <c r="S182" i="1" s="1"/>
  <c r="Q184" i="1" l="1"/>
  <c r="R183" i="1"/>
  <c r="S183" i="1" s="1"/>
  <c r="X198" i="1"/>
  <c r="V200" i="1"/>
  <c r="Y197" i="1"/>
  <c r="Z197" i="1" s="1"/>
  <c r="X199" i="1" l="1"/>
  <c r="V201" i="1"/>
  <c r="Y198" i="1"/>
  <c r="Z198" i="1" s="1"/>
  <c r="Q185" i="1"/>
  <c r="R184" i="1"/>
  <c r="S184" i="1" s="1"/>
  <c r="R185" i="1" l="1"/>
  <c r="S185" i="1" s="1"/>
  <c r="Q186" i="1"/>
  <c r="X200" i="1"/>
  <c r="V202" i="1"/>
  <c r="Y199" i="1"/>
  <c r="Z199" i="1" s="1"/>
  <c r="X201" i="1" l="1"/>
  <c r="V203" i="1"/>
  <c r="Y200" i="1"/>
  <c r="Z200" i="1" s="1"/>
  <c r="Q187" i="1"/>
  <c r="R186" i="1"/>
  <c r="S186" i="1" s="1"/>
  <c r="Q188" i="1" l="1"/>
  <c r="R187" i="1"/>
  <c r="S187" i="1" s="1"/>
  <c r="X202" i="1"/>
  <c r="V204" i="1"/>
  <c r="Y201" i="1"/>
  <c r="Z201" i="1" s="1"/>
  <c r="X203" i="1" l="1"/>
  <c r="V205" i="1"/>
  <c r="Y202" i="1"/>
  <c r="Z202" i="1" s="1"/>
  <c r="Q189" i="1"/>
  <c r="R188" i="1"/>
  <c r="S188" i="1" s="1"/>
  <c r="Q190" i="1" l="1"/>
  <c r="R189" i="1"/>
  <c r="S189" i="1" s="1"/>
  <c r="X204" i="1"/>
  <c r="V206" i="1"/>
  <c r="Y203" i="1"/>
  <c r="Z203" i="1" s="1"/>
  <c r="X205" i="1" l="1"/>
  <c r="V207" i="1"/>
  <c r="Y204" i="1"/>
  <c r="Z204" i="1" s="1"/>
  <c r="Q191" i="1"/>
  <c r="R190" i="1"/>
  <c r="S190" i="1" s="1"/>
  <c r="Q192" i="1" l="1"/>
  <c r="R191" i="1"/>
  <c r="S191" i="1" s="1"/>
  <c r="X206" i="1"/>
  <c r="V208" i="1"/>
  <c r="Y205" i="1"/>
  <c r="Z205" i="1" s="1"/>
  <c r="X207" i="1" l="1"/>
  <c r="V209" i="1"/>
  <c r="Y206" i="1"/>
  <c r="Z206" i="1" s="1"/>
  <c r="Q193" i="1"/>
  <c r="R192" i="1"/>
  <c r="S192" i="1" s="1"/>
  <c r="Y207" i="1" l="1"/>
  <c r="Z207" i="1" s="1"/>
  <c r="Q194" i="1"/>
  <c r="R193" i="1"/>
  <c r="S193" i="1" s="1"/>
  <c r="X208" i="1"/>
  <c r="V210" i="1"/>
  <c r="Y208" i="1" l="1"/>
  <c r="Z208" i="1" s="1"/>
  <c r="X209" i="1"/>
  <c r="V211" i="1"/>
  <c r="Q195" i="1"/>
  <c r="R194" i="1"/>
  <c r="S194" i="1" s="1"/>
  <c r="Y209" i="1" l="1"/>
  <c r="Z209" i="1" s="1"/>
  <c r="Q196" i="1"/>
  <c r="R195" i="1"/>
  <c r="S195" i="1" s="1"/>
  <c r="X210" i="1"/>
  <c r="V212" i="1"/>
  <c r="Y210" i="1" l="1"/>
  <c r="Z210" i="1" s="1"/>
  <c r="X211" i="1"/>
  <c r="V213" i="1"/>
  <c r="Q197" i="1"/>
  <c r="R196" i="1"/>
  <c r="S196" i="1" s="1"/>
  <c r="Y211" i="1" l="1"/>
  <c r="Z211" i="1" s="1"/>
  <c r="Q198" i="1"/>
  <c r="R197" i="1"/>
  <c r="S197" i="1" s="1"/>
  <c r="X212" i="1"/>
  <c r="V214" i="1"/>
  <c r="Y212" i="1" l="1"/>
  <c r="Z212" i="1" s="1"/>
  <c r="X213" i="1"/>
  <c r="V215" i="1"/>
  <c r="Q199" i="1"/>
  <c r="R198" i="1"/>
  <c r="S198" i="1" s="1"/>
  <c r="Y213" i="1" l="1"/>
  <c r="Z213" i="1" s="1"/>
  <c r="X214" i="1"/>
  <c r="Y214" i="1" s="1"/>
  <c r="Z214" i="1" s="1"/>
  <c r="V216" i="1"/>
  <c r="Q200" i="1"/>
  <c r="R199" i="1"/>
  <c r="S199" i="1" s="1"/>
  <c r="R200" i="1" l="1"/>
  <c r="S200" i="1" s="1"/>
  <c r="Q201" i="1"/>
  <c r="X215" i="1"/>
  <c r="Y215" i="1" s="1"/>
  <c r="Z215" i="1" s="1"/>
  <c r="V217" i="1"/>
  <c r="X216" i="1" l="1"/>
  <c r="Y216" i="1" s="1"/>
  <c r="Z216" i="1" s="1"/>
  <c r="V218" i="1"/>
  <c r="Q202" i="1"/>
  <c r="R201" i="1"/>
  <c r="S201" i="1" s="1"/>
  <c r="Q203" i="1" l="1"/>
  <c r="R202" i="1"/>
  <c r="S202" i="1" s="1"/>
  <c r="X217" i="1"/>
  <c r="Y217" i="1" s="1"/>
  <c r="Z217" i="1" s="1"/>
  <c r="V219" i="1"/>
  <c r="X218" i="1" l="1"/>
  <c r="Y218" i="1" s="1"/>
  <c r="Z218" i="1" s="1"/>
  <c r="V220" i="1"/>
  <c r="Q204" i="1"/>
  <c r="R203" i="1"/>
  <c r="S203" i="1" s="1"/>
  <c r="X219" i="1" l="1"/>
  <c r="V221" i="1"/>
  <c r="Q205" i="1"/>
  <c r="R204" i="1"/>
  <c r="S204" i="1" s="1"/>
  <c r="Q206" i="1" l="1"/>
  <c r="R205" i="1"/>
  <c r="S205" i="1" s="1"/>
  <c r="X220" i="1"/>
  <c r="V222" i="1"/>
  <c r="Y219" i="1"/>
  <c r="Z219" i="1" s="1"/>
  <c r="Y220" i="1" l="1"/>
  <c r="Z220" i="1" s="1"/>
  <c r="X221" i="1"/>
  <c r="V223" i="1"/>
  <c r="Q207" i="1"/>
  <c r="R206" i="1"/>
  <c r="S206" i="1" s="1"/>
  <c r="Y221" i="1" l="1"/>
  <c r="Z221" i="1" s="1"/>
  <c r="Q208" i="1"/>
  <c r="R207" i="1"/>
  <c r="S207" i="1" s="1"/>
  <c r="X222" i="1"/>
  <c r="V224" i="1"/>
  <c r="Y222" i="1" l="1"/>
  <c r="Z222" i="1" s="1"/>
  <c r="X223" i="1"/>
  <c r="V225" i="1"/>
  <c r="Q209" i="1"/>
  <c r="R208" i="1"/>
  <c r="S208" i="1" s="1"/>
  <c r="Y223" i="1" l="1"/>
  <c r="Z223" i="1" s="1"/>
  <c r="Q210" i="1"/>
  <c r="R209" i="1"/>
  <c r="S209" i="1" s="1"/>
  <c r="X224" i="1"/>
  <c r="V226" i="1"/>
  <c r="Y224" i="1" l="1"/>
  <c r="Z224" i="1" s="1"/>
  <c r="X225" i="1"/>
  <c r="V227" i="1"/>
  <c r="Q211" i="1"/>
  <c r="R210" i="1"/>
  <c r="S210" i="1" s="1"/>
  <c r="Y225" i="1" l="1"/>
  <c r="Z225" i="1" s="1"/>
  <c r="Q212" i="1"/>
  <c r="R211" i="1"/>
  <c r="S211" i="1" s="1"/>
  <c r="X226" i="1"/>
  <c r="V228" i="1"/>
  <c r="Y226" i="1" l="1"/>
  <c r="Z226" i="1" s="1"/>
  <c r="X227" i="1"/>
  <c r="V229" i="1"/>
  <c r="Q213" i="1"/>
  <c r="R212" i="1"/>
  <c r="S212" i="1" s="1"/>
  <c r="Y227" i="1" l="1"/>
  <c r="Z227" i="1" s="1"/>
  <c r="Q214" i="1"/>
  <c r="R213" i="1"/>
  <c r="S213" i="1" s="1"/>
  <c r="X228" i="1"/>
  <c r="V230" i="1"/>
  <c r="Y228" i="1" l="1"/>
  <c r="Z228" i="1" s="1"/>
  <c r="X229" i="1"/>
  <c r="V231" i="1"/>
  <c r="Q215" i="1"/>
  <c r="R214" i="1"/>
  <c r="S214" i="1" s="1"/>
  <c r="Y229" i="1" l="1"/>
  <c r="Z229" i="1" s="1"/>
  <c r="Q216" i="1"/>
  <c r="R215" i="1"/>
  <c r="S215" i="1" s="1"/>
  <c r="X230" i="1"/>
  <c r="V232" i="1"/>
  <c r="Y230" i="1" l="1"/>
  <c r="Z230" i="1" s="1"/>
  <c r="X231" i="1"/>
  <c r="Y231" i="1" s="1"/>
  <c r="Z231" i="1" s="1"/>
  <c r="V233" i="1"/>
  <c r="Q217" i="1"/>
  <c r="R216" i="1"/>
  <c r="S216" i="1" s="1"/>
  <c r="Q218" i="1" l="1"/>
  <c r="R217" i="1"/>
  <c r="S217" i="1" s="1"/>
  <c r="X232" i="1"/>
  <c r="Y232" i="1" s="1"/>
  <c r="Z232" i="1" s="1"/>
  <c r="V234" i="1"/>
  <c r="X233" i="1" l="1"/>
  <c r="Y233" i="1" s="1"/>
  <c r="Z233" i="1" s="1"/>
  <c r="V235" i="1"/>
  <c r="Q219" i="1"/>
  <c r="R218" i="1"/>
  <c r="S218" i="1" s="1"/>
  <c r="Q220" i="1" l="1"/>
  <c r="R219" i="1"/>
  <c r="S219" i="1" s="1"/>
  <c r="X234" i="1"/>
  <c r="Y234" i="1" s="1"/>
  <c r="Z234" i="1" s="1"/>
  <c r="V236" i="1"/>
  <c r="X235" i="1" l="1"/>
  <c r="Y235" i="1" s="1"/>
  <c r="Z235" i="1" s="1"/>
  <c r="V237" i="1"/>
  <c r="Q221" i="1"/>
  <c r="R220" i="1"/>
  <c r="S220" i="1" s="1"/>
  <c r="X236" i="1" l="1"/>
  <c r="Y236" i="1" s="1"/>
  <c r="Z236" i="1" s="1"/>
  <c r="V238" i="1"/>
  <c r="Q222" i="1"/>
  <c r="R221" i="1"/>
  <c r="S221" i="1" s="1"/>
  <c r="Q223" i="1" l="1"/>
  <c r="R222" i="1"/>
  <c r="S222" i="1" s="1"/>
  <c r="X237" i="1"/>
  <c r="Y237" i="1" s="1"/>
  <c r="Z237" i="1" s="1"/>
  <c r="V239" i="1"/>
  <c r="X238" i="1" l="1"/>
  <c r="Y238" i="1" s="1"/>
  <c r="Z238" i="1" s="1"/>
  <c r="V240" i="1"/>
  <c r="Q224" i="1"/>
  <c r="R223" i="1"/>
  <c r="S223" i="1" s="1"/>
  <c r="R224" i="1" l="1"/>
  <c r="S224" i="1" s="1"/>
  <c r="Q225" i="1"/>
  <c r="X239" i="1"/>
  <c r="Y239" i="1" s="1"/>
  <c r="Z239" i="1" s="1"/>
  <c r="V241" i="1"/>
  <c r="X240" i="1" l="1"/>
  <c r="Y240" i="1" s="1"/>
  <c r="Z240" i="1" s="1"/>
  <c r="V242" i="1"/>
  <c r="Q226" i="1"/>
  <c r="R225" i="1"/>
  <c r="S225" i="1" s="1"/>
  <c r="Q227" i="1" l="1"/>
  <c r="R226" i="1"/>
  <c r="S226" i="1" s="1"/>
  <c r="X241" i="1"/>
  <c r="Y241" i="1" s="1"/>
  <c r="Z241" i="1" s="1"/>
  <c r="V243" i="1"/>
  <c r="X242" i="1" l="1"/>
  <c r="Y242" i="1" s="1"/>
  <c r="Z242" i="1" s="1"/>
  <c r="V244" i="1"/>
  <c r="Q228" i="1"/>
  <c r="R227" i="1"/>
  <c r="S227" i="1" s="1"/>
  <c r="Q229" i="1" l="1"/>
  <c r="R228" i="1"/>
  <c r="S228" i="1" s="1"/>
  <c r="X243" i="1"/>
  <c r="Y243" i="1" s="1"/>
  <c r="Z243" i="1" s="1"/>
  <c r="V245" i="1"/>
  <c r="X244" i="1" l="1"/>
  <c r="Y244" i="1" s="1"/>
  <c r="Z244" i="1" s="1"/>
  <c r="V246" i="1"/>
  <c r="Q230" i="1"/>
  <c r="R229" i="1"/>
  <c r="S229" i="1" s="1"/>
  <c r="Q231" i="1" l="1"/>
  <c r="R230" i="1"/>
  <c r="S230" i="1" s="1"/>
  <c r="X245" i="1"/>
  <c r="Y245" i="1" s="1"/>
  <c r="Z245" i="1" s="1"/>
  <c r="V247" i="1"/>
  <c r="X246" i="1" l="1"/>
  <c r="Y246" i="1" s="1"/>
  <c r="Z246" i="1" s="1"/>
  <c r="V248" i="1"/>
  <c r="Q232" i="1"/>
  <c r="R231" i="1"/>
  <c r="S231" i="1" s="1"/>
  <c r="Q233" i="1" l="1"/>
  <c r="R232" i="1"/>
  <c r="S232" i="1" s="1"/>
  <c r="X247" i="1"/>
  <c r="Y247" i="1" s="1"/>
  <c r="Z247" i="1" s="1"/>
  <c r="V249" i="1"/>
  <c r="X248" i="1" l="1"/>
  <c r="Y248" i="1" s="1"/>
  <c r="Z248" i="1" s="1"/>
  <c r="V250" i="1"/>
  <c r="Q234" i="1"/>
  <c r="R233" i="1"/>
  <c r="S233" i="1" s="1"/>
  <c r="Q235" i="1" l="1"/>
  <c r="R234" i="1"/>
  <c r="S234" i="1" s="1"/>
  <c r="X249" i="1"/>
  <c r="Y249" i="1" s="1"/>
  <c r="Z249" i="1" s="1"/>
  <c r="V251" i="1"/>
  <c r="X250" i="1" l="1"/>
  <c r="Y250" i="1" s="1"/>
  <c r="Z250" i="1" s="1"/>
  <c r="V252" i="1"/>
  <c r="Q236" i="1"/>
  <c r="R235" i="1"/>
  <c r="S235" i="1" s="1"/>
  <c r="Q237" i="1" l="1"/>
  <c r="R236" i="1"/>
  <c r="S236" i="1" s="1"/>
  <c r="X251" i="1"/>
  <c r="Y251" i="1" s="1"/>
  <c r="Z251" i="1" s="1"/>
  <c r="V253" i="1"/>
  <c r="X252" i="1" l="1"/>
  <c r="Y252" i="1" s="1"/>
  <c r="Z252" i="1" s="1"/>
  <c r="V254" i="1"/>
  <c r="Q238" i="1"/>
  <c r="R237" i="1"/>
  <c r="S237" i="1" s="1"/>
  <c r="Q239" i="1" l="1"/>
  <c r="R238" i="1"/>
  <c r="S238" i="1" s="1"/>
  <c r="X253" i="1"/>
  <c r="Y253" i="1" s="1"/>
  <c r="Z253" i="1" s="1"/>
  <c r="V255" i="1"/>
  <c r="X254" i="1" l="1"/>
  <c r="Y254" i="1" s="1"/>
  <c r="Z254" i="1" s="1"/>
  <c r="V256" i="1"/>
  <c r="Q240" i="1"/>
  <c r="R239" i="1"/>
  <c r="S239" i="1" s="1"/>
  <c r="Q241" i="1" l="1"/>
  <c r="R240" i="1"/>
  <c r="S240" i="1" s="1"/>
  <c r="X255" i="1"/>
  <c r="Y255" i="1" s="1"/>
  <c r="Z255" i="1" s="1"/>
  <c r="V257" i="1"/>
  <c r="X256" i="1" l="1"/>
  <c r="Y256" i="1" s="1"/>
  <c r="Z256" i="1" s="1"/>
  <c r="V258" i="1"/>
  <c r="Q242" i="1"/>
  <c r="R241" i="1"/>
  <c r="S241" i="1" s="1"/>
  <c r="Q243" i="1" l="1"/>
  <c r="R242" i="1"/>
  <c r="S242" i="1" s="1"/>
  <c r="X257" i="1"/>
  <c r="Y257" i="1" s="1"/>
  <c r="Z257" i="1" s="1"/>
  <c r="V259" i="1"/>
  <c r="X258" i="1" l="1"/>
  <c r="Y258" i="1" s="1"/>
  <c r="Z258" i="1" s="1"/>
  <c r="V260" i="1"/>
  <c r="Q244" i="1"/>
  <c r="R243" i="1"/>
  <c r="S243" i="1" s="1"/>
  <c r="Q245" i="1" l="1"/>
  <c r="R244" i="1"/>
  <c r="S244" i="1" s="1"/>
  <c r="X259" i="1"/>
  <c r="Y259" i="1" s="1"/>
  <c r="Z259" i="1" s="1"/>
  <c r="V261" i="1"/>
  <c r="X260" i="1" l="1"/>
  <c r="Y260" i="1" s="1"/>
  <c r="Z260" i="1" s="1"/>
  <c r="V262" i="1"/>
  <c r="Q246" i="1"/>
  <c r="R245" i="1"/>
  <c r="S245" i="1" s="1"/>
  <c r="Q247" i="1" l="1"/>
  <c r="R246" i="1"/>
  <c r="S246" i="1" s="1"/>
  <c r="X261" i="1"/>
  <c r="Y261" i="1" s="1"/>
  <c r="Z261" i="1" s="1"/>
  <c r="V263" i="1"/>
  <c r="X262" i="1" l="1"/>
  <c r="Y262" i="1" s="1"/>
  <c r="Z262" i="1" s="1"/>
  <c r="V264" i="1"/>
  <c r="Q248" i="1"/>
  <c r="R247" i="1"/>
  <c r="S247" i="1" s="1"/>
  <c r="Q249" i="1" l="1"/>
  <c r="R248" i="1"/>
  <c r="S248" i="1" s="1"/>
  <c r="X263" i="1"/>
  <c r="Y263" i="1" s="1"/>
  <c r="Z263" i="1" s="1"/>
  <c r="V265" i="1"/>
  <c r="X264" i="1" l="1"/>
  <c r="Y264" i="1" s="1"/>
  <c r="Z264" i="1" s="1"/>
  <c r="V266" i="1"/>
  <c r="Q250" i="1"/>
  <c r="R249" i="1"/>
  <c r="S249" i="1" s="1"/>
  <c r="Q251" i="1" l="1"/>
  <c r="R250" i="1"/>
  <c r="S250" i="1" s="1"/>
  <c r="X265" i="1"/>
  <c r="Y265" i="1" s="1"/>
  <c r="Z265" i="1" s="1"/>
  <c r="V267" i="1"/>
  <c r="X266" i="1" l="1"/>
  <c r="Y266" i="1" s="1"/>
  <c r="Z266" i="1" s="1"/>
  <c r="V268" i="1"/>
  <c r="Q252" i="1"/>
  <c r="R251" i="1"/>
  <c r="S251" i="1" s="1"/>
  <c r="Q253" i="1" l="1"/>
  <c r="R252" i="1"/>
  <c r="S252" i="1" s="1"/>
  <c r="X267" i="1"/>
  <c r="Y267" i="1" s="1"/>
  <c r="Z267" i="1" s="1"/>
  <c r="V269" i="1"/>
  <c r="X268" i="1" l="1"/>
  <c r="Y268" i="1" s="1"/>
  <c r="Z268" i="1" s="1"/>
  <c r="V270" i="1"/>
  <c r="Q254" i="1"/>
  <c r="R253" i="1"/>
  <c r="S253" i="1" s="1"/>
  <c r="Q255" i="1" l="1"/>
  <c r="R254" i="1"/>
  <c r="S254" i="1" s="1"/>
  <c r="X269" i="1"/>
  <c r="Y269" i="1" s="1"/>
  <c r="Z269" i="1" s="1"/>
  <c r="V271" i="1"/>
  <c r="X270" i="1" l="1"/>
  <c r="Y270" i="1" s="1"/>
  <c r="Z270" i="1" s="1"/>
  <c r="V272" i="1"/>
  <c r="Q256" i="1"/>
  <c r="R255" i="1"/>
  <c r="S255" i="1" s="1"/>
  <c r="Q257" i="1" l="1"/>
  <c r="R256" i="1"/>
  <c r="S256" i="1" s="1"/>
  <c r="X271" i="1"/>
  <c r="Y271" i="1" s="1"/>
  <c r="Z271" i="1" s="1"/>
  <c r="V273" i="1"/>
  <c r="X272" i="1" l="1"/>
  <c r="Y272" i="1" s="1"/>
  <c r="Z272" i="1" s="1"/>
  <c r="V274" i="1"/>
  <c r="Q258" i="1"/>
  <c r="R257" i="1"/>
  <c r="S257" i="1" s="1"/>
  <c r="Q259" i="1" l="1"/>
  <c r="R258" i="1"/>
  <c r="S258" i="1" s="1"/>
  <c r="X273" i="1"/>
  <c r="Y273" i="1" s="1"/>
  <c r="Z273" i="1" s="1"/>
  <c r="V275" i="1"/>
  <c r="X274" i="1" l="1"/>
  <c r="Y274" i="1" s="1"/>
  <c r="Z274" i="1" s="1"/>
  <c r="V276" i="1"/>
  <c r="Q260" i="1"/>
  <c r="R259" i="1"/>
  <c r="S259" i="1" s="1"/>
  <c r="Q261" i="1" l="1"/>
  <c r="R260" i="1"/>
  <c r="S260" i="1" s="1"/>
  <c r="X275" i="1"/>
  <c r="Y275" i="1" s="1"/>
  <c r="Z275" i="1" s="1"/>
  <c r="V277" i="1"/>
  <c r="X276" i="1" l="1"/>
  <c r="Y276" i="1" s="1"/>
  <c r="Z276" i="1" s="1"/>
  <c r="V278" i="1"/>
  <c r="Q262" i="1"/>
  <c r="R261" i="1"/>
  <c r="S261" i="1" s="1"/>
  <c r="Q263" i="1" l="1"/>
  <c r="R262" i="1"/>
  <c r="S262" i="1" s="1"/>
  <c r="X277" i="1"/>
  <c r="Y277" i="1" s="1"/>
  <c r="Z277" i="1" s="1"/>
  <c r="V279" i="1"/>
  <c r="X278" i="1" l="1"/>
  <c r="Y278" i="1" s="1"/>
  <c r="Z278" i="1" s="1"/>
  <c r="V280" i="1"/>
  <c r="Q264" i="1"/>
  <c r="R263" i="1"/>
  <c r="S263" i="1" s="1"/>
  <c r="Q265" i="1" l="1"/>
  <c r="R264" i="1"/>
  <c r="S264" i="1" s="1"/>
  <c r="X279" i="1"/>
  <c r="Y279" i="1" s="1"/>
  <c r="Z279" i="1" s="1"/>
  <c r="V281" i="1"/>
  <c r="X280" i="1" l="1"/>
  <c r="Y280" i="1" s="1"/>
  <c r="Z280" i="1" s="1"/>
  <c r="V282" i="1"/>
  <c r="Q266" i="1"/>
  <c r="R265" i="1"/>
  <c r="S265" i="1" s="1"/>
  <c r="X281" i="1" l="1"/>
  <c r="Y281" i="1" s="1"/>
  <c r="Z281" i="1" s="1"/>
  <c r="V283" i="1"/>
  <c r="Q267" i="1"/>
  <c r="R266" i="1"/>
  <c r="S266" i="1" s="1"/>
  <c r="Q268" i="1" l="1"/>
  <c r="R267" i="1"/>
  <c r="S267" i="1" s="1"/>
  <c r="X282" i="1"/>
  <c r="Y282" i="1" s="1"/>
  <c r="Z282" i="1" s="1"/>
  <c r="V284" i="1"/>
  <c r="X283" i="1" l="1"/>
  <c r="Y283" i="1" s="1"/>
  <c r="Z283" i="1" s="1"/>
  <c r="V285" i="1"/>
  <c r="Q269" i="1"/>
  <c r="R268" i="1"/>
  <c r="S268" i="1" s="1"/>
  <c r="Q270" i="1" l="1"/>
  <c r="R269" i="1"/>
  <c r="S269" i="1" s="1"/>
  <c r="X284" i="1"/>
  <c r="Y284" i="1" s="1"/>
  <c r="Z284" i="1" s="1"/>
  <c r="V286" i="1"/>
  <c r="X285" i="1" l="1"/>
  <c r="Y285" i="1" s="1"/>
  <c r="Z285" i="1" s="1"/>
  <c r="V287" i="1"/>
  <c r="Q271" i="1"/>
  <c r="R270" i="1"/>
  <c r="S270" i="1" s="1"/>
  <c r="Q272" i="1" l="1"/>
  <c r="R271" i="1"/>
  <c r="S271" i="1" s="1"/>
  <c r="X286" i="1"/>
  <c r="Y286" i="1" s="1"/>
  <c r="Z286" i="1" s="1"/>
  <c r="V288" i="1"/>
  <c r="X287" i="1" l="1"/>
  <c r="Y287" i="1" s="1"/>
  <c r="Z287" i="1" s="1"/>
  <c r="V289" i="1"/>
  <c r="Q273" i="1"/>
  <c r="R272" i="1"/>
  <c r="S272" i="1" s="1"/>
  <c r="X288" i="1" l="1"/>
  <c r="Y288" i="1" s="1"/>
  <c r="Z288" i="1" s="1"/>
  <c r="V290" i="1"/>
  <c r="Q274" i="1"/>
  <c r="R273" i="1"/>
  <c r="S273" i="1" s="1"/>
  <c r="Q275" i="1" l="1"/>
  <c r="R274" i="1"/>
  <c r="S274" i="1" s="1"/>
  <c r="X289" i="1"/>
  <c r="Y289" i="1" s="1"/>
  <c r="Z289" i="1" s="1"/>
  <c r="V291" i="1"/>
  <c r="X290" i="1" l="1"/>
  <c r="Y290" i="1" s="1"/>
  <c r="Z290" i="1" s="1"/>
  <c r="V292" i="1"/>
  <c r="Q276" i="1"/>
  <c r="R275" i="1"/>
  <c r="S275" i="1" s="1"/>
  <c r="Q277" i="1" l="1"/>
  <c r="R276" i="1"/>
  <c r="S276" i="1" s="1"/>
  <c r="X291" i="1"/>
  <c r="Y291" i="1" s="1"/>
  <c r="Z291" i="1" s="1"/>
  <c r="V293" i="1"/>
  <c r="X292" i="1" l="1"/>
  <c r="Y292" i="1" s="1"/>
  <c r="Z292" i="1" s="1"/>
  <c r="V294" i="1"/>
  <c r="R277" i="1"/>
  <c r="S277" i="1" s="1"/>
  <c r="Q278" i="1"/>
  <c r="Q279" i="1" l="1"/>
  <c r="R278" i="1"/>
  <c r="S278" i="1" s="1"/>
  <c r="X293" i="1"/>
  <c r="Y293" i="1" s="1"/>
  <c r="Z293" i="1" s="1"/>
  <c r="V295" i="1"/>
  <c r="X294" i="1" l="1"/>
  <c r="Y294" i="1" s="1"/>
  <c r="Z294" i="1" s="1"/>
  <c r="V296" i="1"/>
  <c r="Q280" i="1"/>
  <c r="R279" i="1"/>
  <c r="S279" i="1" s="1"/>
  <c r="Q281" i="1" l="1"/>
  <c r="R280" i="1"/>
  <c r="S280" i="1" s="1"/>
  <c r="X295" i="1"/>
  <c r="Y295" i="1" s="1"/>
  <c r="Z295" i="1" s="1"/>
  <c r="V297" i="1"/>
  <c r="X296" i="1" l="1"/>
  <c r="Y296" i="1" s="1"/>
  <c r="Z296" i="1" s="1"/>
  <c r="V298" i="1"/>
  <c r="Q282" i="1"/>
  <c r="R281" i="1"/>
  <c r="S281" i="1" s="1"/>
  <c r="Q283" i="1" l="1"/>
  <c r="R282" i="1"/>
  <c r="S282" i="1" s="1"/>
  <c r="X297" i="1"/>
  <c r="Y297" i="1" s="1"/>
  <c r="Z297" i="1" s="1"/>
  <c r="V299" i="1"/>
  <c r="X298" i="1" l="1"/>
  <c r="Y298" i="1" s="1"/>
  <c r="Z298" i="1" s="1"/>
  <c r="V300" i="1"/>
  <c r="R283" i="1"/>
  <c r="S283" i="1" s="1"/>
  <c r="Q284" i="1"/>
  <c r="Q285" i="1" l="1"/>
  <c r="R284" i="1"/>
  <c r="S284" i="1" s="1"/>
  <c r="X299" i="1"/>
  <c r="Y299" i="1" s="1"/>
  <c r="Z299" i="1" s="1"/>
  <c r="V301" i="1"/>
  <c r="X300" i="1" l="1"/>
  <c r="V302" i="1"/>
  <c r="Q286" i="1"/>
  <c r="R285" i="1"/>
  <c r="S285" i="1" s="1"/>
  <c r="Q287" i="1" l="1"/>
  <c r="R286" i="1"/>
  <c r="S286" i="1" s="1"/>
  <c r="X301" i="1"/>
  <c r="V303" i="1"/>
  <c r="Y300" i="1"/>
  <c r="Z300" i="1" s="1"/>
  <c r="X302" i="1" l="1"/>
  <c r="V304" i="1"/>
  <c r="Y301" i="1"/>
  <c r="Z301" i="1" s="1"/>
  <c r="Q288" i="1"/>
  <c r="R287" i="1"/>
  <c r="S287" i="1" s="1"/>
  <c r="Q289" i="1" l="1"/>
  <c r="R288" i="1"/>
  <c r="S288" i="1" s="1"/>
  <c r="X303" i="1"/>
  <c r="V305" i="1"/>
  <c r="Y302" i="1"/>
  <c r="Z302" i="1" s="1"/>
  <c r="Y303" i="1" l="1"/>
  <c r="Z303" i="1" s="1"/>
  <c r="X304" i="1"/>
  <c r="V306" i="1"/>
  <c r="Q290" i="1"/>
  <c r="R289" i="1"/>
  <c r="S289" i="1" s="1"/>
  <c r="Y304" i="1" l="1"/>
  <c r="Z304" i="1" s="1"/>
  <c r="X305" i="1"/>
  <c r="V307" i="1"/>
  <c r="Q291" i="1"/>
  <c r="R290" i="1"/>
  <c r="S290" i="1" s="1"/>
  <c r="Q292" i="1" l="1"/>
  <c r="R291" i="1"/>
  <c r="S291" i="1" s="1"/>
  <c r="X306" i="1"/>
  <c r="V308" i="1"/>
  <c r="Y305" i="1"/>
  <c r="Z305" i="1" s="1"/>
  <c r="X307" i="1" l="1"/>
  <c r="V309" i="1"/>
  <c r="Y306" i="1"/>
  <c r="Z306" i="1" s="1"/>
  <c r="Q293" i="1"/>
  <c r="R292" i="1"/>
  <c r="S292" i="1" s="1"/>
  <c r="Q294" i="1" l="1"/>
  <c r="R293" i="1"/>
  <c r="S293" i="1" s="1"/>
  <c r="X308" i="1"/>
  <c r="V310" i="1"/>
  <c r="Y307" i="1"/>
  <c r="Z307" i="1" s="1"/>
  <c r="X309" i="1" l="1"/>
  <c r="V311" i="1"/>
  <c r="Y308" i="1"/>
  <c r="Z308" i="1" s="1"/>
  <c r="Q295" i="1"/>
  <c r="R294" i="1"/>
  <c r="S294" i="1" s="1"/>
  <c r="Q296" i="1" l="1"/>
  <c r="R295" i="1"/>
  <c r="S295" i="1" s="1"/>
  <c r="X310" i="1"/>
  <c r="V312" i="1"/>
  <c r="Y309" i="1"/>
  <c r="Z309" i="1" s="1"/>
  <c r="X311" i="1" l="1"/>
  <c r="V313" i="1"/>
  <c r="Y310" i="1"/>
  <c r="Z310" i="1" s="1"/>
  <c r="Q297" i="1"/>
  <c r="R296" i="1"/>
  <c r="S296" i="1" s="1"/>
  <c r="Q298" i="1" l="1"/>
  <c r="R297" i="1"/>
  <c r="S297" i="1" s="1"/>
  <c r="X312" i="1"/>
  <c r="V314" i="1"/>
  <c r="Y311" i="1"/>
  <c r="Z311" i="1" s="1"/>
  <c r="X313" i="1" l="1"/>
  <c r="V315" i="1"/>
  <c r="Y312" i="1"/>
  <c r="Z312" i="1" s="1"/>
  <c r="Q299" i="1"/>
  <c r="R298" i="1"/>
  <c r="S298" i="1" s="1"/>
  <c r="Q300" i="1" l="1"/>
  <c r="R299" i="1"/>
  <c r="S299" i="1" s="1"/>
  <c r="X314" i="1"/>
  <c r="V316" i="1"/>
  <c r="Y313" i="1"/>
  <c r="Z313" i="1" s="1"/>
  <c r="X315" i="1" l="1"/>
  <c r="V317" i="1"/>
  <c r="Y314" i="1"/>
  <c r="Z314" i="1" s="1"/>
  <c r="Q301" i="1"/>
  <c r="R300" i="1"/>
  <c r="S300" i="1" s="1"/>
  <c r="Q302" i="1" l="1"/>
  <c r="R301" i="1"/>
  <c r="S301" i="1" s="1"/>
  <c r="X316" i="1"/>
  <c r="V318" i="1"/>
  <c r="Y315" i="1"/>
  <c r="Z315" i="1" s="1"/>
  <c r="X317" i="1" l="1"/>
  <c r="V319" i="1"/>
  <c r="Y316" i="1"/>
  <c r="Z316" i="1" s="1"/>
  <c r="Q303" i="1"/>
  <c r="R302" i="1"/>
  <c r="S302" i="1" s="1"/>
  <c r="Q304" i="1" l="1"/>
  <c r="R303" i="1"/>
  <c r="S303" i="1" s="1"/>
  <c r="X318" i="1"/>
  <c r="V320" i="1"/>
  <c r="Y317" i="1"/>
  <c r="Z317" i="1" s="1"/>
  <c r="X319" i="1" l="1"/>
  <c r="V321" i="1"/>
  <c r="Y318" i="1"/>
  <c r="Z318" i="1" s="1"/>
  <c r="Q305" i="1"/>
  <c r="R304" i="1"/>
  <c r="S304" i="1" s="1"/>
  <c r="R305" i="1" l="1"/>
  <c r="S305" i="1" s="1"/>
  <c r="Q306" i="1"/>
  <c r="X320" i="1"/>
  <c r="V322" i="1"/>
  <c r="Y319" i="1"/>
  <c r="Z319" i="1" s="1"/>
  <c r="X321" i="1" l="1"/>
  <c r="V323" i="1"/>
  <c r="Y320" i="1"/>
  <c r="Z320" i="1" s="1"/>
  <c r="Q307" i="1"/>
  <c r="R306" i="1"/>
  <c r="S306" i="1" s="1"/>
  <c r="Q308" i="1" l="1"/>
  <c r="R307" i="1"/>
  <c r="S307" i="1" s="1"/>
  <c r="X322" i="1"/>
  <c r="V324" i="1"/>
  <c r="Y321" i="1"/>
  <c r="Z321" i="1" s="1"/>
  <c r="X323" i="1" l="1"/>
  <c r="V325" i="1"/>
  <c r="Y322" i="1"/>
  <c r="Z322" i="1" s="1"/>
  <c r="Q309" i="1"/>
  <c r="R308" i="1"/>
  <c r="S308" i="1" s="1"/>
  <c r="R309" i="1" l="1"/>
  <c r="S309" i="1" s="1"/>
  <c r="Q310" i="1"/>
  <c r="X324" i="1"/>
  <c r="V326" i="1"/>
  <c r="Y323" i="1"/>
  <c r="Z323" i="1" s="1"/>
  <c r="X325" i="1" l="1"/>
  <c r="V327" i="1"/>
  <c r="Y324" i="1"/>
  <c r="Z324" i="1" s="1"/>
  <c r="Q311" i="1"/>
  <c r="R310" i="1"/>
  <c r="S310" i="1" s="1"/>
  <c r="Q312" i="1" l="1"/>
  <c r="R311" i="1"/>
  <c r="S311" i="1" s="1"/>
  <c r="X326" i="1"/>
  <c r="V328" i="1"/>
  <c r="Y325" i="1"/>
  <c r="Z325" i="1" s="1"/>
  <c r="X327" i="1" l="1"/>
  <c r="V329" i="1"/>
  <c r="Y326" i="1"/>
  <c r="Z326" i="1" s="1"/>
  <c r="Q313" i="1"/>
  <c r="R312" i="1"/>
  <c r="S312" i="1" s="1"/>
  <c r="Q314" i="1" l="1"/>
  <c r="R313" i="1"/>
  <c r="S313" i="1" s="1"/>
  <c r="X328" i="1"/>
  <c r="V330" i="1"/>
  <c r="Y327" i="1"/>
  <c r="Z327" i="1" s="1"/>
  <c r="X329" i="1" l="1"/>
  <c r="V331" i="1"/>
  <c r="Y328" i="1"/>
  <c r="Z328" i="1" s="1"/>
  <c r="Q315" i="1"/>
  <c r="R314" i="1"/>
  <c r="S314" i="1" s="1"/>
  <c r="Q316" i="1" l="1"/>
  <c r="R315" i="1"/>
  <c r="S315" i="1" s="1"/>
  <c r="X330" i="1"/>
  <c r="V332" i="1"/>
  <c r="Y329" i="1"/>
  <c r="Z329" i="1" s="1"/>
  <c r="X331" i="1" l="1"/>
  <c r="V333" i="1"/>
  <c r="Y330" i="1"/>
  <c r="Z330" i="1" s="1"/>
  <c r="Q317" i="1"/>
  <c r="R316" i="1"/>
  <c r="S316" i="1" s="1"/>
  <c r="Q318" i="1" l="1"/>
  <c r="R317" i="1"/>
  <c r="S317" i="1" s="1"/>
  <c r="X332" i="1"/>
  <c r="V334" i="1"/>
  <c r="Y331" i="1"/>
  <c r="Z331" i="1" s="1"/>
  <c r="X333" i="1" l="1"/>
  <c r="V335" i="1"/>
  <c r="Y332" i="1"/>
  <c r="Z332" i="1" s="1"/>
  <c r="Q319" i="1"/>
  <c r="R318" i="1"/>
  <c r="S318" i="1" s="1"/>
  <c r="Q320" i="1" l="1"/>
  <c r="R319" i="1"/>
  <c r="S319" i="1" s="1"/>
  <c r="X334" i="1"/>
  <c r="V336" i="1"/>
  <c r="Y333" i="1"/>
  <c r="Z333" i="1" s="1"/>
  <c r="X335" i="1" l="1"/>
  <c r="V337" i="1"/>
  <c r="Y334" i="1"/>
  <c r="Z334" i="1" s="1"/>
  <c r="Q321" i="1"/>
  <c r="R320" i="1"/>
  <c r="S320" i="1" s="1"/>
  <c r="Q322" i="1" l="1"/>
  <c r="R321" i="1"/>
  <c r="S321" i="1" s="1"/>
  <c r="X336" i="1"/>
  <c r="V338" i="1"/>
  <c r="Y335" i="1"/>
  <c r="Z335" i="1" s="1"/>
  <c r="X337" i="1" l="1"/>
  <c r="V339" i="1"/>
  <c r="Y336" i="1"/>
  <c r="Z336" i="1" s="1"/>
  <c r="Q323" i="1"/>
  <c r="R322" i="1"/>
  <c r="S322" i="1" s="1"/>
  <c r="Q324" i="1" l="1"/>
  <c r="R323" i="1"/>
  <c r="S323" i="1" s="1"/>
  <c r="X338" i="1"/>
  <c r="V340" i="1"/>
  <c r="Y337" i="1"/>
  <c r="Z337" i="1" s="1"/>
  <c r="X339" i="1" l="1"/>
  <c r="V341" i="1"/>
  <c r="Y338" i="1"/>
  <c r="Z338" i="1" s="1"/>
  <c r="Q325" i="1"/>
  <c r="R324" i="1"/>
  <c r="S324" i="1" s="1"/>
  <c r="Q326" i="1" l="1"/>
  <c r="R325" i="1"/>
  <c r="S325" i="1" s="1"/>
  <c r="X340" i="1"/>
  <c r="V342" i="1"/>
  <c r="Y339" i="1"/>
  <c r="Z339" i="1" s="1"/>
  <c r="X341" i="1" l="1"/>
  <c r="V343" i="1"/>
  <c r="Y340" i="1"/>
  <c r="Z340" i="1" s="1"/>
  <c r="Q327" i="1"/>
  <c r="R326" i="1"/>
  <c r="S326" i="1" s="1"/>
  <c r="Q328" i="1" l="1"/>
  <c r="R327" i="1"/>
  <c r="S327" i="1" s="1"/>
  <c r="X342" i="1"/>
  <c r="V344" i="1"/>
  <c r="Y341" i="1"/>
  <c r="Z341" i="1" s="1"/>
  <c r="R328" i="1" l="1"/>
  <c r="S328" i="1" s="1"/>
  <c r="Q329" i="1"/>
  <c r="X343" i="1"/>
  <c r="V345" i="1"/>
  <c r="Y342" i="1"/>
  <c r="Z342" i="1" s="1"/>
  <c r="X344" i="1" l="1"/>
  <c r="V346" i="1"/>
  <c r="Y343" i="1"/>
  <c r="Z343" i="1" s="1"/>
  <c r="Q330" i="1"/>
  <c r="R329" i="1"/>
  <c r="S329" i="1" s="1"/>
  <c r="X345" i="1" l="1"/>
  <c r="V347" i="1"/>
  <c r="Q331" i="1"/>
  <c r="R330" i="1"/>
  <c r="S330" i="1" s="1"/>
  <c r="Y344" i="1"/>
  <c r="Z344" i="1" s="1"/>
  <c r="X346" i="1" l="1"/>
  <c r="V348" i="1"/>
  <c r="Q332" i="1"/>
  <c r="R331" i="1"/>
  <c r="S331" i="1" s="1"/>
  <c r="Y345" i="1"/>
  <c r="Z345" i="1" s="1"/>
  <c r="Q333" i="1" l="1"/>
  <c r="R332" i="1"/>
  <c r="S332" i="1" s="1"/>
  <c r="X347" i="1"/>
  <c r="V349" i="1"/>
  <c r="Y346" i="1"/>
  <c r="Z346" i="1" s="1"/>
  <c r="X348" i="1" l="1"/>
  <c r="V350" i="1"/>
  <c r="Y347" i="1"/>
  <c r="Z347" i="1" s="1"/>
  <c r="Q334" i="1"/>
  <c r="R333" i="1"/>
  <c r="S333" i="1" s="1"/>
  <c r="Q335" i="1" l="1"/>
  <c r="R334" i="1"/>
  <c r="S334" i="1" s="1"/>
  <c r="X349" i="1"/>
  <c r="V351" i="1"/>
  <c r="Y348" i="1"/>
  <c r="Z348" i="1" s="1"/>
  <c r="X350" i="1" l="1"/>
  <c r="V352" i="1"/>
  <c r="Y349" i="1"/>
  <c r="Z349" i="1" s="1"/>
  <c r="Q336" i="1"/>
  <c r="R335" i="1"/>
  <c r="S335" i="1" s="1"/>
  <c r="Q337" i="1" l="1"/>
  <c r="R336" i="1"/>
  <c r="S336" i="1" s="1"/>
  <c r="X351" i="1"/>
  <c r="V353" i="1"/>
  <c r="Y350" i="1"/>
  <c r="Z350" i="1" s="1"/>
  <c r="X352" i="1" l="1"/>
  <c r="V354" i="1"/>
  <c r="Y351" i="1"/>
  <c r="Z351" i="1" s="1"/>
  <c r="Q338" i="1"/>
  <c r="R337" i="1"/>
  <c r="S337" i="1" s="1"/>
  <c r="Q339" i="1" l="1"/>
  <c r="R338" i="1"/>
  <c r="S338" i="1" s="1"/>
  <c r="X353" i="1"/>
  <c r="V355" i="1"/>
  <c r="Y352" i="1"/>
  <c r="Z352" i="1" s="1"/>
  <c r="X354" i="1" l="1"/>
  <c r="V356" i="1"/>
  <c r="Y353" i="1"/>
  <c r="Z353" i="1" s="1"/>
  <c r="Q340" i="1"/>
  <c r="R339" i="1"/>
  <c r="S339" i="1" s="1"/>
  <c r="Q341" i="1" l="1"/>
  <c r="R340" i="1"/>
  <c r="S340" i="1" s="1"/>
  <c r="X355" i="1"/>
  <c r="V357" i="1"/>
  <c r="Y354" i="1"/>
  <c r="Z354" i="1" s="1"/>
  <c r="X356" i="1" l="1"/>
  <c r="V358" i="1"/>
  <c r="Y355" i="1"/>
  <c r="Z355" i="1" s="1"/>
  <c r="Q342" i="1"/>
  <c r="R341" i="1"/>
  <c r="S341" i="1" s="1"/>
  <c r="Q343" i="1" l="1"/>
  <c r="R342" i="1"/>
  <c r="S342" i="1" s="1"/>
  <c r="X357" i="1"/>
  <c r="V359" i="1"/>
  <c r="Y356" i="1"/>
  <c r="Z356" i="1" s="1"/>
  <c r="X358" i="1" l="1"/>
  <c r="V360" i="1"/>
  <c r="Y357" i="1"/>
  <c r="Z357" i="1" s="1"/>
  <c r="Q344" i="1"/>
  <c r="R343" i="1"/>
  <c r="S343" i="1" s="1"/>
  <c r="Q345" i="1" l="1"/>
  <c r="R344" i="1"/>
  <c r="S344" i="1" s="1"/>
  <c r="X359" i="1"/>
  <c r="V361" i="1"/>
  <c r="Y358" i="1"/>
  <c r="Z358" i="1" s="1"/>
  <c r="X360" i="1" l="1"/>
  <c r="V362" i="1"/>
  <c r="Y359" i="1"/>
  <c r="Z359" i="1" s="1"/>
  <c r="Q346" i="1"/>
  <c r="R345" i="1"/>
  <c r="S345" i="1" s="1"/>
  <c r="Q347" i="1" l="1"/>
  <c r="R346" i="1"/>
  <c r="S346" i="1" s="1"/>
  <c r="X361" i="1"/>
  <c r="V363" i="1"/>
  <c r="Y360" i="1"/>
  <c r="Z360" i="1" s="1"/>
  <c r="X362" i="1" l="1"/>
  <c r="V364" i="1"/>
  <c r="Y361" i="1"/>
  <c r="Z361" i="1" s="1"/>
  <c r="Q348" i="1"/>
  <c r="R347" i="1"/>
  <c r="S347" i="1" s="1"/>
  <c r="Q349" i="1" l="1"/>
  <c r="R348" i="1"/>
  <c r="S348" i="1" s="1"/>
  <c r="X363" i="1"/>
  <c r="V365" i="1"/>
  <c r="Y362" i="1"/>
  <c r="Z362" i="1" s="1"/>
  <c r="Y363" i="1" l="1"/>
  <c r="Z363" i="1" s="1"/>
  <c r="X364" i="1"/>
  <c r="V366" i="1"/>
  <c r="Q350" i="1"/>
  <c r="R349" i="1"/>
  <c r="S349" i="1" s="1"/>
  <c r="Y364" i="1" l="1"/>
  <c r="Z364" i="1" s="1"/>
  <c r="Q351" i="1"/>
  <c r="R350" i="1"/>
  <c r="S350" i="1" s="1"/>
  <c r="X365" i="1"/>
  <c r="Y365" i="1" s="1"/>
  <c r="Z365" i="1" s="1"/>
  <c r="V367" i="1"/>
  <c r="X366" i="1" l="1"/>
  <c r="Y366" i="1" s="1"/>
  <c r="Z366" i="1" s="1"/>
  <c r="V368" i="1"/>
  <c r="R351" i="1"/>
  <c r="S351" i="1" s="1"/>
  <c r="Q352" i="1"/>
  <c r="Q353" i="1" l="1"/>
  <c r="R352" i="1"/>
  <c r="S352" i="1" s="1"/>
  <c r="X367" i="1"/>
  <c r="V369" i="1"/>
  <c r="X368" i="1" l="1"/>
  <c r="V370" i="1"/>
  <c r="Y367" i="1"/>
  <c r="Z367" i="1" s="1"/>
  <c r="Q354" i="1"/>
  <c r="R353" i="1"/>
  <c r="S353" i="1" s="1"/>
  <c r="Q355" i="1" l="1"/>
  <c r="R354" i="1"/>
  <c r="S354" i="1" s="1"/>
  <c r="X369" i="1"/>
  <c r="V371" i="1"/>
  <c r="Y368" i="1"/>
  <c r="Z368" i="1" s="1"/>
  <c r="X370" i="1" l="1"/>
  <c r="V372" i="1"/>
  <c r="Y369" i="1"/>
  <c r="Z369" i="1" s="1"/>
  <c r="R355" i="1"/>
  <c r="S355" i="1" s="1"/>
  <c r="Q356" i="1"/>
  <c r="Q357" i="1" l="1"/>
  <c r="R356" i="1"/>
  <c r="S356" i="1" s="1"/>
  <c r="X371" i="1"/>
  <c r="V373" i="1"/>
  <c r="Y370" i="1"/>
  <c r="Z370" i="1" s="1"/>
  <c r="X372" i="1" l="1"/>
  <c r="V374" i="1"/>
  <c r="Y371" i="1"/>
  <c r="Z371" i="1" s="1"/>
  <c r="Q358" i="1"/>
  <c r="R357" i="1"/>
  <c r="S357" i="1" s="1"/>
  <c r="Q359" i="1" l="1"/>
  <c r="R358" i="1"/>
  <c r="S358" i="1" s="1"/>
  <c r="X373" i="1"/>
  <c r="V375" i="1"/>
  <c r="Y372" i="1"/>
  <c r="Z372" i="1" s="1"/>
  <c r="X374" i="1" l="1"/>
  <c r="V376" i="1"/>
  <c r="Y373" i="1"/>
  <c r="Z373" i="1" s="1"/>
  <c r="R359" i="1"/>
  <c r="S359" i="1" s="1"/>
  <c r="Q360" i="1"/>
  <c r="Q361" i="1" l="1"/>
  <c r="R360" i="1"/>
  <c r="S360" i="1" s="1"/>
  <c r="X375" i="1"/>
  <c r="V377" i="1"/>
  <c r="Y374" i="1"/>
  <c r="Z374" i="1" s="1"/>
  <c r="X376" i="1" l="1"/>
  <c r="V378" i="1"/>
  <c r="Y375" i="1"/>
  <c r="Z375" i="1" s="1"/>
  <c r="Q362" i="1"/>
  <c r="R361" i="1"/>
  <c r="S361" i="1" s="1"/>
  <c r="Q363" i="1" l="1"/>
  <c r="R362" i="1"/>
  <c r="S362" i="1" s="1"/>
  <c r="X377" i="1"/>
  <c r="V379" i="1"/>
  <c r="Y376" i="1"/>
  <c r="Z376" i="1" s="1"/>
  <c r="X378" i="1" l="1"/>
  <c r="V380" i="1"/>
  <c r="Y377" i="1"/>
  <c r="Z377" i="1" s="1"/>
  <c r="Q364" i="1"/>
  <c r="R363" i="1"/>
  <c r="S363" i="1" s="1"/>
  <c r="Q365" i="1" l="1"/>
  <c r="R364" i="1"/>
  <c r="S364" i="1" s="1"/>
  <c r="X379" i="1"/>
  <c r="V381" i="1"/>
  <c r="Y378" i="1"/>
  <c r="Z378" i="1" s="1"/>
  <c r="X380" i="1" l="1"/>
  <c r="V382" i="1"/>
  <c r="Y379" i="1"/>
  <c r="Z379" i="1" s="1"/>
  <c r="Q366" i="1"/>
  <c r="R365" i="1"/>
  <c r="S365" i="1" s="1"/>
  <c r="Q367" i="1" l="1"/>
  <c r="R366" i="1"/>
  <c r="S366" i="1" s="1"/>
  <c r="X381" i="1"/>
  <c r="V383" i="1"/>
  <c r="Y380" i="1"/>
  <c r="Z380" i="1" s="1"/>
  <c r="X382" i="1" l="1"/>
  <c r="V384" i="1"/>
  <c r="Y381" i="1"/>
  <c r="Z381" i="1" s="1"/>
  <c r="Q368" i="1"/>
  <c r="R367" i="1"/>
  <c r="S367" i="1" s="1"/>
  <c r="Q369" i="1" l="1"/>
  <c r="R368" i="1"/>
  <c r="S368" i="1" s="1"/>
  <c r="X383" i="1"/>
  <c r="V385" i="1"/>
  <c r="Y382" i="1"/>
  <c r="Z382" i="1" s="1"/>
  <c r="Y383" i="1" l="1"/>
  <c r="Z383" i="1" s="1"/>
  <c r="X384" i="1"/>
  <c r="V386" i="1"/>
  <c r="Q370" i="1"/>
  <c r="R369" i="1"/>
  <c r="S369" i="1" s="1"/>
  <c r="Y384" i="1" l="1"/>
  <c r="Z384" i="1" s="1"/>
  <c r="X385" i="1"/>
  <c r="V387" i="1"/>
  <c r="Q371" i="1"/>
  <c r="R370" i="1"/>
  <c r="S370" i="1" s="1"/>
  <c r="Y385" i="1" l="1"/>
  <c r="Z385" i="1" s="1"/>
  <c r="Q372" i="1"/>
  <c r="R371" i="1"/>
  <c r="S371" i="1" s="1"/>
  <c r="X386" i="1"/>
  <c r="V388" i="1"/>
  <c r="Y386" i="1" l="1"/>
  <c r="Z386" i="1" s="1"/>
  <c r="X387" i="1"/>
  <c r="V389" i="1"/>
  <c r="R372" i="1"/>
  <c r="S372" i="1" s="1"/>
  <c r="Q373" i="1"/>
  <c r="Y387" i="1" l="1"/>
  <c r="Z387" i="1" s="1"/>
  <c r="Q374" i="1"/>
  <c r="R373" i="1"/>
  <c r="S373" i="1" s="1"/>
  <c r="X388" i="1"/>
  <c r="V390" i="1"/>
  <c r="Y388" i="1" l="1"/>
  <c r="Z388" i="1" s="1"/>
  <c r="X389" i="1"/>
  <c r="V391" i="1"/>
  <c r="Q375" i="1"/>
  <c r="R374" i="1"/>
  <c r="S374" i="1" s="1"/>
  <c r="Y389" i="1" l="1"/>
  <c r="Z389" i="1" s="1"/>
  <c r="Q376" i="1"/>
  <c r="R375" i="1"/>
  <c r="S375" i="1" s="1"/>
  <c r="X390" i="1"/>
  <c r="V392" i="1"/>
  <c r="Y390" i="1" l="1"/>
  <c r="Z390" i="1" s="1"/>
  <c r="X391" i="1"/>
  <c r="V393" i="1"/>
  <c r="Q377" i="1"/>
  <c r="R376" i="1"/>
  <c r="S376" i="1" s="1"/>
  <c r="Y391" i="1" l="1"/>
  <c r="Z391" i="1" s="1"/>
  <c r="R377" i="1"/>
  <c r="S377" i="1" s="1"/>
  <c r="Q378" i="1"/>
  <c r="X392" i="1"/>
  <c r="V394" i="1"/>
  <c r="Y392" i="1" l="1"/>
  <c r="Z392" i="1" s="1"/>
  <c r="X393" i="1"/>
  <c r="V395" i="1"/>
  <c r="Q379" i="1"/>
  <c r="R378" i="1"/>
  <c r="S378" i="1" s="1"/>
  <c r="Y393" i="1" l="1"/>
  <c r="Z393" i="1" s="1"/>
  <c r="Q380" i="1"/>
  <c r="R379" i="1"/>
  <c r="S379" i="1" s="1"/>
  <c r="X394" i="1"/>
  <c r="Y394" i="1" s="1"/>
  <c r="Z394" i="1" s="1"/>
  <c r="V396" i="1"/>
  <c r="X395" i="1" l="1"/>
  <c r="Y395" i="1" s="1"/>
  <c r="Z395" i="1" s="1"/>
  <c r="V397" i="1"/>
  <c r="Q381" i="1"/>
  <c r="R380" i="1"/>
  <c r="S380" i="1" s="1"/>
  <c r="Q382" i="1" l="1"/>
  <c r="R381" i="1"/>
  <c r="S381" i="1" s="1"/>
  <c r="X396" i="1"/>
  <c r="Y396" i="1" s="1"/>
  <c r="Z396" i="1" s="1"/>
  <c r="V398" i="1"/>
  <c r="X397" i="1" l="1"/>
  <c r="Y397" i="1" s="1"/>
  <c r="Z397" i="1" s="1"/>
  <c r="V399" i="1"/>
  <c r="Q383" i="1"/>
  <c r="R382" i="1"/>
  <c r="S382" i="1" s="1"/>
  <c r="Q384" i="1" l="1"/>
  <c r="R383" i="1"/>
  <c r="S383" i="1" s="1"/>
  <c r="X398" i="1"/>
  <c r="Y398" i="1" s="1"/>
  <c r="Z398" i="1" s="1"/>
  <c r="V400" i="1"/>
  <c r="X399" i="1" l="1"/>
  <c r="Y399" i="1" s="1"/>
  <c r="Z399" i="1" s="1"/>
  <c r="V401" i="1"/>
  <c r="Q385" i="1"/>
  <c r="R384" i="1"/>
  <c r="S384" i="1" s="1"/>
  <c r="Q386" i="1" l="1"/>
  <c r="R385" i="1"/>
  <c r="S385" i="1" s="1"/>
  <c r="X400" i="1"/>
  <c r="Y400" i="1" s="1"/>
  <c r="Z400" i="1" s="1"/>
  <c r="V402" i="1"/>
  <c r="X401" i="1" l="1"/>
  <c r="Y401" i="1" s="1"/>
  <c r="Z401" i="1" s="1"/>
  <c r="V403" i="1"/>
  <c r="Q387" i="1"/>
  <c r="R386" i="1"/>
  <c r="S386" i="1" s="1"/>
  <c r="Q388" i="1" l="1"/>
  <c r="R387" i="1"/>
  <c r="S387" i="1" s="1"/>
  <c r="X402" i="1"/>
  <c r="Y402" i="1" s="1"/>
  <c r="Z402" i="1" s="1"/>
  <c r="V404" i="1"/>
  <c r="X403" i="1" l="1"/>
  <c r="Y403" i="1" s="1"/>
  <c r="Z403" i="1" s="1"/>
  <c r="V405" i="1"/>
  <c r="Q389" i="1"/>
  <c r="R388" i="1"/>
  <c r="S388" i="1" s="1"/>
  <c r="Q390" i="1" l="1"/>
  <c r="R389" i="1"/>
  <c r="S389" i="1" s="1"/>
  <c r="X404" i="1"/>
  <c r="Y404" i="1" s="1"/>
  <c r="Z404" i="1" s="1"/>
  <c r="V406" i="1"/>
  <c r="X405" i="1" l="1"/>
  <c r="Y405" i="1" s="1"/>
  <c r="Z405" i="1" s="1"/>
  <c r="V407" i="1"/>
  <c r="Q391" i="1"/>
  <c r="R390" i="1"/>
  <c r="S390" i="1" s="1"/>
  <c r="R391" i="1" l="1"/>
  <c r="S391" i="1" s="1"/>
  <c r="Q392" i="1"/>
  <c r="X406" i="1"/>
  <c r="Y406" i="1" s="1"/>
  <c r="Z406" i="1" s="1"/>
  <c r="V408" i="1"/>
  <c r="X407" i="1" l="1"/>
  <c r="Y407" i="1" s="1"/>
  <c r="Z407" i="1" s="1"/>
  <c r="V409" i="1"/>
  <c r="Q393" i="1"/>
  <c r="R392" i="1"/>
  <c r="S392" i="1" s="1"/>
  <c r="Q394" i="1" l="1"/>
  <c r="R393" i="1"/>
  <c r="S393" i="1" s="1"/>
  <c r="X408" i="1"/>
  <c r="Y408" i="1" s="1"/>
  <c r="Z408" i="1" s="1"/>
  <c r="V410" i="1"/>
  <c r="X409" i="1" l="1"/>
  <c r="Y409" i="1" s="1"/>
  <c r="Z409" i="1" s="1"/>
  <c r="V411" i="1"/>
  <c r="Q395" i="1"/>
  <c r="R394" i="1"/>
  <c r="S394" i="1" s="1"/>
  <c r="Q396" i="1" l="1"/>
  <c r="R395" i="1"/>
  <c r="S395" i="1" s="1"/>
  <c r="X410" i="1"/>
  <c r="Y410" i="1" s="1"/>
  <c r="Z410" i="1" s="1"/>
  <c r="V412" i="1"/>
  <c r="X411" i="1" l="1"/>
  <c r="Y411" i="1" s="1"/>
  <c r="Z411" i="1" s="1"/>
  <c r="V413" i="1"/>
  <c r="Q397" i="1"/>
  <c r="R396" i="1"/>
  <c r="S396" i="1" s="1"/>
  <c r="Q398" i="1" l="1"/>
  <c r="R397" i="1"/>
  <c r="S397" i="1" s="1"/>
  <c r="X412" i="1"/>
  <c r="Y412" i="1" s="1"/>
  <c r="Z412" i="1" s="1"/>
  <c r="V414" i="1"/>
  <c r="X413" i="1" l="1"/>
  <c r="Y413" i="1" s="1"/>
  <c r="Z413" i="1" s="1"/>
  <c r="V415" i="1"/>
  <c r="R398" i="1"/>
  <c r="S398" i="1" s="1"/>
  <c r="Q399" i="1"/>
  <c r="Q400" i="1" l="1"/>
  <c r="R399" i="1"/>
  <c r="S399" i="1" s="1"/>
  <c r="X414" i="1"/>
  <c r="Y414" i="1" s="1"/>
  <c r="Z414" i="1" s="1"/>
  <c r="V416" i="1"/>
  <c r="X415" i="1" l="1"/>
  <c r="Y415" i="1" s="1"/>
  <c r="Z415" i="1" s="1"/>
  <c r="V417" i="1"/>
  <c r="Q401" i="1"/>
  <c r="R400" i="1"/>
  <c r="S400" i="1" s="1"/>
  <c r="Q402" i="1" l="1"/>
  <c r="R401" i="1"/>
  <c r="S401" i="1" s="1"/>
  <c r="X416" i="1"/>
  <c r="Y416" i="1" s="1"/>
  <c r="Z416" i="1" s="1"/>
  <c r="V418" i="1"/>
  <c r="X417" i="1" l="1"/>
  <c r="Y417" i="1" s="1"/>
  <c r="Z417" i="1" s="1"/>
  <c r="V419" i="1"/>
  <c r="R402" i="1"/>
  <c r="S402" i="1" s="1"/>
  <c r="Q403" i="1"/>
  <c r="Q404" i="1" l="1"/>
  <c r="R403" i="1"/>
  <c r="S403" i="1" s="1"/>
  <c r="X418" i="1"/>
  <c r="Y418" i="1" s="1"/>
  <c r="Z418" i="1" s="1"/>
  <c r="V420" i="1"/>
  <c r="X419" i="1" l="1"/>
  <c r="V421" i="1"/>
  <c r="R404" i="1"/>
  <c r="S404" i="1" s="1"/>
  <c r="Q405" i="1"/>
  <c r="R405" i="1" l="1"/>
  <c r="S405" i="1" s="1"/>
  <c r="Q406" i="1"/>
  <c r="X420" i="1"/>
  <c r="V422" i="1"/>
  <c r="Y419" i="1"/>
  <c r="Z419" i="1" s="1"/>
  <c r="X421" i="1" l="1"/>
  <c r="V423" i="1"/>
  <c r="Y420" i="1"/>
  <c r="Z420" i="1" s="1"/>
  <c r="Q407" i="1"/>
  <c r="R406" i="1"/>
  <c r="S406" i="1" s="1"/>
  <c r="Q408" i="1" l="1"/>
  <c r="R407" i="1"/>
  <c r="S407" i="1" s="1"/>
  <c r="X422" i="1"/>
  <c r="V424" i="1"/>
  <c r="Y421" i="1"/>
  <c r="Z421" i="1" s="1"/>
  <c r="X423" i="1" l="1"/>
  <c r="V425" i="1"/>
  <c r="Y422" i="1"/>
  <c r="Z422" i="1" s="1"/>
  <c r="Q409" i="1"/>
  <c r="R408" i="1"/>
  <c r="S408" i="1" s="1"/>
  <c r="Q410" i="1" l="1"/>
  <c r="R409" i="1"/>
  <c r="S409" i="1" s="1"/>
  <c r="X424" i="1"/>
  <c r="V426" i="1"/>
  <c r="Y423" i="1"/>
  <c r="Z423" i="1" s="1"/>
  <c r="X425" i="1" l="1"/>
  <c r="V427" i="1"/>
  <c r="Y424" i="1"/>
  <c r="Z424" i="1" s="1"/>
  <c r="Q411" i="1"/>
  <c r="R410" i="1"/>
  <c r="S410" i="1" s="1"/>
  <c r="Y425" i="1" l="1"/>
  <c r="Z425" i="1" s="1"/>
  <c r="Q412" i="1"/>
  <c r="R411" i="1"/>
  <c r="S411" i="1" s="1"/>
  <c r="X426" i="1"/>
  <c r="V428" i="1"/>
  <c r="Y426" i="1" l="1"/>
  <c r="Z426" i="1" s="1"/>
  <c r="X427" i="1"/>
  <c r="Y427" i="1" s="1"/>
  <c r="Z427" i="1" s="1"/>
  <c r="V429" i="1"/>
  <c r="Q413" i="1"/>
  <c r="R412" i="1"/>
  <c r="S412" i="1" s="1"/>
  <c r="Q414" i="1" l="1"/>
  <c r="R413" i="1"/>
  <c r="S413" i="1" s="1"/>
  <c r="X428" i="1"/>
  <c r="Y428" i="1" s="1"/>
  <c r="Z428" i="1" s="1"/>
  <c r="V430" i="1"/>
  <c r="X429" i="1" l="1"/>
  <c r="Y429" i="1" s="1"/>
  <c r="Z429" i="1" s="1"/>
  <c r="V431" i="1"/>
  <c r="Q415" i="1"/>
  <c r="R414" i="1"/>
  <c r="S414" i="1" s="1"/>
  <c r="Q416" i="1" l="1"/>
  <c r="R415" i="1"/>
  <c r="S415" i="1" s="1"/>
  <c r="X430" i="1"/>
  <c r="Y430" i="1" s="1"/>
  <c r="Z430" i="1" s="1"/>
  <c r="V432" i="1"/>
  <c r="X431" i="1" l="1"/>
  <c r="Y431" i="1" s="1"/>
  <c r="Z431" i="1" s="1"/>
  <c r="V433" i="1"/>
  <c r="Q417" i="1"/>
  <c r="R416" i="1"/>
  <c r="S416" i="1" s="1"/>
  <c r="Q418" i="1" l="1"/>
  <c r="R417" i="1"/>
  <c r="S417" i="1" s="1"/>
  <c r="X432" i="1"/>
  <c r="Y432" i="1" s="1"/>
  <c r="Z432" i="1" s="1"/>
  <c r="V434" i="1"/>
  <c r="X433" i="1" l="1"/>
  <c r="V435" i="1"/>
  <c r="Q419" i="1"/>
  <c r="R418" i="1"/>
  <c r="S418" i="1" s="1"/>
  <c r="Q420" i="1" l="1"/>
  <c r="R419" i="1"/>
  <c r="S419" i="1" s="1"/>
  <c r="X434" i="1"/>
  <c r="V436" i="1"/>
  <c r="Y433" i="1"/>
  <c r="Z433" i="1" s="1"/>
  <c r="Y434" i="1" l="1"/>
  <c r="Z434" i="1" s="1"/>
  <c r="X435" i="1"/>
  <c r="V437" i="1"/>
  <c r="Q421" i="1"/>
  <c r="R420" i="1"/>
  <c r="S420" i="1" s="1"/>
  <c r="Y435" i="1" l="1"/>
  <c r="Z435" i="1" s="1"/>
  <c r="Q422" i="1"/>
  <c r="R421" i="1"/>
  <c r="S421" i="1" s="1"/>
  <c r="X436" i="1"/>
  <c r="V438" i="1"/>
  <c r="Y436" i="1" l="1"/>
  <c r="Z436" i="1" s="1"/>
  <c r="X437" i="1"/>
  <c r="V439" i="1"/>
  <c r="R422" i="1"/>
  <c r="S422" i="1" s="1"/>
  <c r="Q423" i="1"/>
  <c r="Y437" i="1" l="1"/>
  <c r="Z437" i="1" s="1"/>
  <c r="Q424" i="1"/>
  <c r="R423" i="1"/>
  <c r="S423" i="1" s="1"/>
  <c r="X438" i="1"/>
  <c r="V440" i="1"/>
  <c r="Y438" i="1" l="1"/>
  <c r="Z438" i="1" s="1"/>
  <c r="X439" i="1"/>
  <c r="V441" i="1"/>
  <c r="Q425" i="1"/>
  <c r="R424" i="1"/>
  <c r="S424" i="1" s="1"/>
  <c r="Y439" i="1" l="1"/>
  <c r="Z439" i="1" s="1"/>
  <c r="Q426" i="1"/>
  <c r="R425" i="1"/>
  <c r="S425" i="1" s="1"/>
  <c r="X440" i="1"/>
  <c r="Y440" i="1" s="1"/>
  <c r="Z440" i="1" s="1"/>
  <c r="V442" i="1"/>
  <c r="X441" i="1" l="1"/>
  <c r="Y441" i="1" s="1"/>
  <c r="Z441" i="1" s="1"/>
  <c r="V443" i="1"/>
  <c r="Q427" i="1"/>
  <c r="R426" i="1"/>
  <c r="S426" i="1" s="1"/>
  <c r="Q428" i="1" l="1"/>
  <c r="R427" i="1"/>
  <c r="S427" i="1" s="1"/>
  <c r="X442" i="1"/>
  <c r="Y442" i="1" s="1"/>
  <c r="Z442" i="1" s="1"/>
  <c r="V444" i="1"/>
  <c r="X443" i="1" l="1"/>
  <c r="Y443" i="1" s="1"/>
  <c r="Z443" i="1" s="1"/>
  <c r="V445" i="1"/>
  <c r="Q429" i="1"/>
  <c r="R428" i="1"/>
  <c r="S428" i="1" s="1"/>
  <c r="Q430" i="1" l="1"/>
  <c r="R429" i="1"/>
  <c r="S429" i="1" s="1"/>
  <c r="X444" i="1"/>
  <c r="Y444" i="1" s="1"/>
  <c r="Z444" i="1" s="1"/>
  <c r="V446" i="1"/>
  <c r="X445" i="1" l="1"/>
  <c r="Y445" i="1" s="1"/>
  <c r="Z445" i="1" s="1"/>
  <c r="V447" i="1"/>
  <c r="Q431" i="1"/>
  <c r="R430" i="1"/>
  <c r="S430" i="1" s="1"/>
  <c r="Q432" i="1" l="1"/>
  <c r="R431" i="1"/>
  <c r="S431" i="1" s="1"/>
  <c r="X446" i="1"/>
  <c r="Y446" i="1" s="1"/>
  <c r="Z446" i="1" s="1"/>
  <c r="V448" i="1"/>
  <c r="X447" i="1" l="1"/>
  <c r="Y447" i="1" s="1"/>
  <c r="Z447" i="1" s="1"/>
  <c r="V449" i="1"/>
  <c r="Q433" i="1"/>
  <c r="R432" i="1"/>
  <c r="S432" i="1" s="1"/>
  <c r="Q434" i="1" l="1"/>
  <c r="R433" i="1"/>
  <c r="S433" i="1" s="1"/>
  <c r="X448" i="1"/>
  <c r="Y448" i="1" s="1"/>
  <c r="Z448" i="1" s="1"/>
  <c r="V450" i="1"/>
  <c r="X449" i="1" l="1"/>
  <c r="Y449" i="1" s="1"/>
  <c r="Z449" i="1" s="1"/>
  <c r="V451" i="1"/>
  <c r="Q435" i="1"/>
  <c r="R434" i="1"/>
  <c r="S434" i="1" s="1"/>
  <c r="Q436" i="1" l="1"/>
  <c r="R435" i="1"/>
  <c r="S435" i="1" s="1"/>
  <c r="X450" i="1"/>
  <c r="Y450" i="1" s="1"/>
  <c r="Z450" i="1" s="1"/>
  <c r="V452" i="1"/>
  <c r="X451" i="1" l="1"/>
  <c r="Y451" i="1" s="1"/>
  <c r="Z451" i="1" s="1"/>
  <c r="V453" i="1"/>
  <c r="R436" i="1"/>
  <c r="S436" i="1" s="1"/>
  <c r="Q437" i="1"/>
  <c r="Q438" i="1" l="1"/>
  <c r="R437" i="1"/>
  <c r="S437" i="1" s="1"/>
  <c r="X452" i="1"/>
  <c r="Y452" i="1" s="1"/>
  <c r="Z452" i="1" s="1"/>
  <c r="V454" i="1"/>
  <c r="X453" i="1" l="1"/>
  <c r="Y453" i="1" s="1"/>
  <c r="Z453" i="1" s="1"/>
  <c r="V455" i="1"/>
  <c r="Q439" i="1"/>
  <c r="R438" i="1"/>
  <c r="S438" i="1" s="1"/>
  <c r="Q440" i="1" l="1"/>
  <c r="R439" i="1"/>
  <c r="S439" i="1" s="1"/>
  <c r="X454" i="1"/>
  <c r="Y454" i="1" s="1"/>
  <c r="Z454" i="1" s="1"/>
  <c r="V456" i="1"/>
  <c r="X455" i="1" l="1"/>
  <c r="Y455" i="1" s="1"/>
  <c r="Z455" i="1" s="1"/>
  <c r="V457" i="1"/>
  <c r="Q441" i="1"/>
  <c r="R440" i="1"/>
  <c r="S440" i="1" s="1"/>
  <c r="Q442" i="1" l="1"/>
  <c r="R441" i="1"/>
  <c r="S441" i="1" s="1"/>
  <c r="X456" i="1"/>
  <c r="Y456" i="1" s="1"/>
  <c r="Z456" i="1" s="1"/>
  <c r="V458" i="1"/>
  <c r="X457" i="1" l="1"/>
  <c r="Y457" i="1" s="1"/>
  <c r="Z457" i="1" s="1"/>
  <c r="V459" i="1"/>
  <c r="Q443" i="1"/>
  <c r="R442" i="1"/>
  <c r="S442" i="1" s="1"/>
  <c r="Q444" i="1" l="1"/>
  <c r="R443" i="1"/>
  <c r="S443" i="1" s="1"/>
  <c r="X458" i="1"/>
  <c r="Y458" i="1" s="1"/>
  <c r="Z458" i="1" s="1"/>
  <c r="V460" i="1"/>
  <c r="X459" i="1" l="1"/>
  <c r="V461" i="1"/>
  <c r="Q445" i="1"/>
  <c r="R444" i="1"/>
  <c r="S444" i="1" s="1"/>
  <c r="Q446" i="1" l="1"/>
  <c r="R445" i="1"/>
  <c r="S445" i="1" s="1"/>
  <c r="X460" i="1"/>
  <c r="V462" i="1"/>
  <c r="Y459" i="1"/>
  <c r="Z459" i="1" s="1"/>
  <c r="X461" i="1" l="1"/>
  <c r="V463" i="1"/>
  <c r="Y460" i="1"/>
  <c r="Z460" i="1" s="1"/>
  <c r="Q447" i="1"/>
  <c r="R446" i="1"/>
  <c r="S446" i="1" s="1"/>
  <c r="Q448" i="1" l="1"/>
  <c r="R447" i="1"/>
  <c r="S447" i="1" s="1"/>
  <c r="X462" i="1"/>
  <c r="V464" i="1"/>
  <c r="Y461" i="1"/>
  <c r="Z461" i="1" s="1"/>
  <c r="X463" i="1" l="1"/>
  <c r="V465" i="1"/>
  <c r="Y462" i="1"/>
  <c r="Z462" i="1" s="1"/>
  <c r="Q449" i="1"/>
  <c r="R448" i="1"/>
  <c r="S448" i="1" s="1"/>
  <c r="Q450" i="1" l="1"/>
  <c r="R449" i="1"/>
  <c r="S449" i="1" s="1"/>
  <c r="X464" i="1"/>
  <c r="V466" i="1"/>
  <c r="Y463" i="1"/>
  <c r="Z463" i="1" s="1"/>
  <c r="X465" i="1" l="1"/>
  <c r="V467" i="1"/>
  <c r="Y464" i="1"/>
  <c r="Z464" i="1" s="1"/>
  <c r="Q451" i="1"/>
  <c r="R450" i="1"/>
  <c r="S450" i="1" s="1"/>
  <c r="Q452" i="1" l="1"/>
  <c r="R451" i="1"/>
  <c r="S451" i="1" s="1"/>
  <c r="X466" i="1"/>
  <c r="V468" i="1"/>
  <c r="Y465" i="1"/>
  <c r="Z465" i="1" s="1"/>
  <c r="X467" i="1" l="1"/>
  <c r="V469" i="1"/>
  <c r="Y466" i="1"/>
  <c r="Z466" i="1" s="1"/>
  <c r="Q453" i="1"/>
  <c r="R452" i="1"/>
  <c r="S452" i="1" s="1"/>
  <c r="Q454" i="1" l="1"/>
  <c r="R453" i="1"/>
  <c r="S453" i="1" s="1"/>
  <c r="X468" i="1"/>
  <c r="V470" i="1"/>
  <c r="Y467" i="1"/>
  <c r="Z467" i="1" s="1"/>
  <c r="Y468" i="1" l="1"/>
  <c r="Z468" i="1" s="1"/>
  <c r="X469" i="1"/>
  <c r="V471" i="1"/>
  <c r="Q455" i="1"/>
  <c r="R454" i="1"/>
  <c r="S454" i="1" s="1"/>
  <c r="Y469" i="1" l="1"/>
  <c r="Z469" i="1" s="1"/>
  <c r="R455" i="1"/>
  <c r="S455" i="1" s="1"/>
  <c r="Q456" i="1"/>
  <c r="X470" i="1"/>
  <c r="V472" i="1"/>
  <c r="Y470" i="1" l="1"/>
  <c r="Z470" i="1" s="1"/>
  <c r="X471" i="1"/>
  <c r="Y471" i="1" s="1"/>
  <c r="Z471" i="1" s="1"/>
  <c r="V473" i="1"/>
  <c r="Q457" i="1"/>
  <c r="R456" i="1"/>
  <c r="S456" i="1" s="1"/>
  <c r="X472" i="1" l="1"/>
  <c r="Y472" i="1" s="1"/>
  <c r="Z472" i="1" s="1"/>
  <c r="V474" i="1"/>
  <c r="Q458" i="1"/>
  <c r="R457" i="1"/>
  <c r="S457" i="1" s="1"/>
  <c r="Q459" i="1" l="1"/>
  <c r="R458" i="1"/>
  <c r="S458" i="1" s="1"/>
  <c r="X473" i="1"/>
  <c r="Y473" i="1" s="1"/>
  <c r="Z473" i="1" s="1"/>
  <c r="V475" i="1"/>
  <c r="X474" i="1" l="1"/>
  <c r="Y474" i="1" s="1"/>
  <c r="Z474" i="1" s="1"/>
  <c r="V476" i="1"/>
  <c r="Q460" i="1"/>
  <c r="R459" i="1"/>
  <c r="S459" i="1" s="1"/>
  <c r="Q461" i="1" l="1"/>
  <c r="R460" i="1"/>
  <c r="S460" i="1" s="1"/>
  <c r="X475" i="1"/>
  <c r="Y475" i="1" s="1"/>
  <c r="Z475" i="1" s="1"/>
  <c r="V477" i="1"/>
  <c r="X476" i="1" l="1"/>
  <c r="Y476" i="1" s="1"/>
  <c r="Z476" i="1" s="1"/>
  <c r="V478" i="1"/>
  <c r="Q462" i="1"/>
  <c r="R461" i="1"/>
  <c r="S461" i="1" s="1"/>
  <c r="Q463" i="1" l="1"/>
  <c r="R462" i="1"/>
  <c r="S462" i="1" s="1"/>
  <c r="X477" i="1"/>
  <c r="Y477" i="1" s="1"/>
  <c r="Z477" i="1" s="1"/>
  <c r="V479" i="1"/>
  <c r="X478" i="1" l="1"/>
  <c r="Y478" i="1" s="1"/>
  <c r="Z478" i="1" s="1"/>
  <c r="V480" i="1"/>
  <c r="Q464" i="1"/>
  <c r="R463" i="1"/>
  <c r="S463" i="1" s="1"/>
  <c r="R464" i="1" l="1"/>
  <c r="S464" i="1" s="1"/>
  <c r="Q465" i="1"/>
  <c r="X479" i="1"/>
  <c r="Y479" i="1" s="1"/>
  <c r="Z479" i="1" s="1"/>
  <c r="V481" i="1"/>
  <c r="X480" i="1" l="1"/>
  <c r="Y480" i="1" s="1"/>
  <c r="Z480" i="1" s="1"/>
  <c r="V482" i="1"/>
  <c r="Q466" i="1"/>
  <c r="R465" i="1"/>
  <c r="S465" i="1" s="1"/>
  <c r="Q467" i="1" l="1"/>
  <c r="R466" i="1"/>
  <c r="S466" i="1" s="1"/>
  <c r="X481" i="1"/>
  <c r="Y481" i="1" s="1"/>
  <c r="Z481" i="1" s="1"/>
  <c r="V483" i="1"/>
  <c r="X482" i="1" l="1"/>
  <c r="Y482" i="1" s="1"/>
  <c r="Z482" i="1" s="1"/>
  <c r="V484" i="1"/>
  <c r="Q468" i="1"/>
  <c r="R467" i="1"/>
  <c r="S467" i="1" s="1"/>
  <c r="Q469" i="1" l="1"/>
  <c r="R468" i="1"/>
  <c r="S468" i="1" s="1"/>
  <c r="X483" i="1"/>
  <c r="Y483" i="1" s="1"/>
  <c r="Z483" i="1" s="1"/>
  <c r="V485" i="1"/>
  <c r="X484" i="1" l="1"/>
  <c r="Y484" i="1" s="1"/>
  <c r="Z484" i="1" s="1"/>
  <c r="V486" i="1"/>
  <c r="Q470" i="1"/>
  <c r="R469" i="1"/>
  <c r="S469" i="1" s="1"/>
  <c r="Q471" i="1" l="1"/>
  <c r="R470" i="1"/>
  <c r="S470" i="1" s="1"/>
  <c r="X485" i="1"/>
  <c r="V487" i="1"/>
  <c r="X486" i="1" l="1"/>
  <c r="V488" i="1"/>
  <c r="Y485" i="1"/>
  <c r="Z485" i="1" s="1"/>
  <c r="Q472" i="1"/>
  <c r="R471" i="1"/>
  <c r="S471" i="1" s="1"/>
  <c r="Q473" i="1" l="1"/>
  <c r="R472" i="1"/>
  <c r="S472" i="1" s="1"/>
  <c r="X487" i="1"/>
  <c r="V489" i="1"/>
  <c r="Y486" i="1"/>
  <c r="Z486" i="1" s="1"/>
  <c r="X488" i="1" l="1"/>
  <c r="V490" i="1"/>
  <c r="Y487" i="1"/>
  <c r="Z487" i="1" s="1"/>
  <c r="Q474" i="1"/>
  <c r="R473" i="1"/>
  <c r="S473" i="1" s="1"/>
  <c r="Q475" i="1" l="1"/>
  <c r="R474" i="1"/>
  <c r="S474" i="1" s="1"/>
  <c r="X489" i="1"/>
  <c r="V491" i="1"/>
  <c r="Y488" i="1"/>
  <c r="Z488" i="1" s="1"/>
  <c r="X490" i="1" l="1"/>
  <c r="V492" i="1"/>
  <c r="Y489" i="1"/>
  <c r="Z489" i="1" s="1"/>
  <c r="Q476" i="1"/>
  <c r="R475" i="1"/>
  <c r="S475" i="1" s="1"/>
  <c r="X491" i="1" l="1"/>
  <c r="V493" i="1"/>
  <c r="Q477" i="1"/>
  <c r="R476" i="1"/>
  <c r="S476" i="1" s="1"/>
  <c r="Y490" i="1"/>
  <c r="Z490" i="1" s="1"/>
  <c r="Q478" i="1" l="1"/>
  <c r="R477" i="1"/>
  <c r="S477" i="1" s="1"/>
  <c r="X492" i="1"/>
  <c r="V494" i="1"/>
  <c r="Y491" i="1"/>
  <c r="Z491" i="1" s="1"/>
  <c r="X493" i="1" l="1"/>
  <c r="V495" i="1"/>
  <c r="Y492" i="1"/>
  <c r="Z492" i="1" s="1"/>
  <c r="R478" i="1"/>
  <c r="S478" i="1" s="1"/>
  <c r="Q479" i="1"/>
  <c r="Q480" i="1" l="1"/>
  <c r="R479" i="1"/>
  <c r="S479" i="1" s="1"/>
  <c r="X494" i="1"/>
  <c r="V496" i="1"/>
  <c r="Y493" i="1"/>
  <c r="Z493" i="1" s="1"/>
  <c r="X495" i="1" l="1"/>
  <c r="V497" i="1"/>
  <c r="Y494" i="1"/>
  <c r="Z494" i="1" s="1"/>
  <c r="Q481" i="1"/>
  <c r="R480" i="1"/>
  <c r="S480" i="1" s="1"/>
  <c r="Q482" i="1" l="1"/>
  <c r="R481" i="1"/>
  <c r="S481" i="1" s="1"/>
  <c r="X496" i="1"/>
  <c r="V498" i="1"/>
  <c r="Y495" i="1"/>
  <c r="Z495" i="1" s="1"/>
  <c r="Y496" i="1" l="1"/>
  <c r="Z496" i="1" s="1"/>
  <c r="X497" i="1"/>
  <c r="V499" i="1"/>
  <c r="Q483" i="1"/>
  <c r="R482" i="1"/>
  <c r="S482" i="1" s="1"/>
  <c r="Y497" i="1" l="1"/>
  <c r="Z497" i="1" s="1"/>
  <c r="X498" i="1"/>
  <c r="Y498" i="1" s="1"/>
  <c r="Z498" i="1" s="1"/>
  <c r="V500" i="1"/>
  <c r="Q484" i="1"/>
  <c r="R483" i="1"/>
  <c r="S483" i="1" s="1"/>
  <c r="X499" i="1" l="1"/>
  <c r="Y499" i="1" s="1"/>
  <c r="Z499" i="1" s="1"/>
  <c r="V501" i="1"/>
  <c r="Q485" i="1"/>
  <c r="R484" i="1"/>
  <c r="S484" i="1" s="1"/>
  <c r="Q486" i="1" l="1"/>
  <c r="R485" i="1"/>
  <c r="S485" i="1" s="1"/>
  <c r="X500" i="1"/>
  <c r="Y500" i="1" s="1"/>
  <c r="Z500" i="1" s="1"/>
  <c r="V502" i="1"/>
  <c r="X501" i="1" l="1"/>
  <c r="Y501" i="1" s="1"/>
  <c r="Z501" i="1" s="1"/>
  <c r="V503" i="1"/>
  <c r="Q487" i="1"/>
  <c r="R486" i="1"/>
  <c r="S486" i="1" s="1"/>
  <c r="X502" i="1" l="1"/>
  <c r="Y502" i="1" s="1"/>
  <c r="Z502" i="1" s="1"/>
  <c r="V504" i="1"/>
  <c r="Q488" i="1"/>
  <c r="R487" i="1"/>
  <c r="S487" i="1" s="1"/>
  <c r="R488" i="1" l="1"/>
  <c r="S488" i="1" s="1"/>
  <c r="Q489" i="1"/>
  <c r="X503" i="1"/>
  <c r="Y503" i="1" s="1"/>
  <c r="Z503" i="1" s="1"/>
  <c r="V505" i="1"/>
  <c r="X504" i="1" l="1"/>
  <c r="Y504" i="1" s="1"/>
  <c r="Z504" i="1" s="1"/>
  <c r="V506" i="1"/>
  <c r="R489" i="1"/>
  <c r="S489" i="1" s="1"/>
  <c r="Q490" i="1"/>
  <c r="Q491" i="1" l="1"/>
  <c r="R490" i="1"/>
  <c r="S490" i="1" s="1"/>
  <c r="X505" i="1"/>
  <c r="Y505" i="1" s="1"/>
  <c r="Z505" i="1" s="1"/>
  <c r="V507" i="1"/>
  <c r="X506" i="1" l="1"/>
  <c r="Y506" i="1" s="1"/>
  <c r="Z506" i="1" s="1"/>
  <c r="V508" i="1"/>
  <c r="Q492" i="1"/>
  <c r="R491" i="1"/>
  <c r="S491" i="1" s="1"/>
  <c r="Q493" i="1" l="1"/>
  <c r="R492" i="1"/>
  <c r="S492" i="1" s="1"/>
  <c r="X507" i="1"/>
  <c r="Y507" i="1" s="1"/>
  <c r="Z507" i="1" s="1"/>
  <c r="V509" i="1"/>
  <c r="X508" i="1" l="1"/>
  <c r="Y508" i="1" s="1"/>
  <c r="Z508" i="1" s="1"/>
  <c r="V510" i="1"/>
  <c r="Q494" i="1"/>
  <c r="R493" i="1"/>
  <c r="S493" i="1" s="1"/>
  <c r="Q495" i="1" l="1"/>
  <c r="R494" i="1"/>
  <c r="S494" i="1" s="1"/>
  <c r="X509" i="1"/>
  <c r="Y509" i="1" s="1"/>
  <c r="Z509" i="1" s="1"/>
  <c r="V511" i="1"/>
  <c r="X510" i="1" l="1"/>
  <c r="Y510" i="1" s="1"/>
  <c r="Z510" i="1" s="1"/>
  <c r="V512" i="1"/>
  <c r="Q496" i="1"/>
  <c r="R495" i="1"/>
  <c r="S495" i="1" s="1"/>
  <c r="Q497" i="1" l="1"/>
  <c r="R496" i="1"/>
  <c r="S496" i="1" s="1"/>
  <c r="X511" i="1"/>
  <c r="Y511" i="1" s="1"/>
  <c r="Z511" i="1" s="1"/>
  <c r="V513" i="1"/>
  <c r="X512" i="1" l="1"/>
  <c r="V514" i="1"/>
  <c r="X513" i="1" s="1"/>
  <c r="Q498" i="1"/>
  <c r="R497" i="1"/>
  <c r="S497" i="1" s="1"/>
  <c r="Q499" i="1" l="1"/>
  <c r="R498" i="1"/>
  <c r="S498" i="1" s="1"/>
  <c r="Y512" i="1"/>
  <c r="Y513" i="1" s="1"/>
  <c r="Y514" i="1" s="1"/>
  <c r="Z514" i="1" s="1"/>
  <c r="Z512" i="1" l="1"/>
  <c r="Z513" i="1"/>
  <c r="Q500" i="1"/>
  <c r="R499" i="1"/>
  <c r="S499" i="1" s="1"/>
  <c r="Q501" i="1" l="1"/>
  <c r="R500" i="1"/>
  <c r="S500" i="1" s="1"/>
  <c r="Q502" i="1" l="1"/>
  <c r="R501" i="1"/>
  <c r="S501" i="1" s="1"/>
  <c r="Q503" i="1" l="1"/>
  <c r="R502" i="1"/>
  <c r="S502" i="1" s="1"/>
  <c r="Q504" i="1" l="1"/>
  <c r="R503" i="1"/>
  <c r="S503" i="1" s="1"/>
  <c r="Q505" i="1" l="1"/>
  <c r="R504" i="1"/>
  <c r="S504" i="1" s="1"/>
  <c r="Q506" i="1" l="1"/>
  <c r="R505" i="1"/>
  <c r="S505" i="1" s="1"/>
  <c r="Q507" i="1" l="1"/>
  <c r="R506" i="1"/>
  <c r="S506" i="1" s="1"/>
  <c r="Q508" i="1" l="1"/>
  <c r="R507" i="1"/>
  <c r="S507" i="1" s="1"/>
  <c r="Q509" i="1" l="1"/>
  <c r="R508" i="1"/>
  <c r="S508" i="1" s="1"/>
  <c r="Q510" i="1" l="1"/>
  <c r="R509" i="1"/>
  <c r="S509" i="1" s="1"/>
  <c r="Q511" i="1" l="1"/>
  <c r="R510" i="1"/>
  <c r="S510" i="1" s="1"/>
  <c r="Q512" i="1" l="1"/>
  <c r="R511" i="1"/>
  <c r="S511" i="1" s="1"/>
  <c r="Q513" i="1" l="1"/>
  <c r="R512" i="1"/>
  <c r="S512" i="1" s="1"/>
  <c r="Q514" i="1" l="1"/>
  <c r="R514" i="1" s="1"/>
  <c r="S514" i="1" s="1"/>
  <c r="R513" i="1"/>
  <c r="S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E56E7-16A0-40C5-94D4-044FD0C041E2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0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</futureMetadata>
  <cellMetadata count="1">
    <bk>
      <rc t="1" v="0"/>
    </bk>
  </cellMetadata>
  <valueMetadata count="150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</valueMetadata>
</metadata>
</file>

<file path=xl/sharedStrings.xml><?xml version="1.0" encoding="utf-8"?>
<sst xmlns="http://schemas.openxmlformats.org/spreadsheetml/2006/main" count="48" uniqueCount="41">
  <si>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</si>
  <si>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</si>
  <si>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</si>
  <si>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</si>
  <si>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</si>
  <si>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</si>
  <si>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</si>
  <si>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</si>
  <si>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</si>
  <si>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</si>
  <si>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</si>
  <si>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</si>
  <si>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</si>
  <si>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</si>
  <si>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</si>
  <si>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</si>
  <si>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</si>
  <si>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</si>
  <si>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</si>
  <si>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</si>
  <si>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</si>
  <si>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</si>
  <si>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</si>
  <si>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</si>
  <si>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Date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</si>
  <si>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</si>
  <si>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</si>
  <si>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</si>
  <si>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</si>
  <si>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</si>
  <si>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</si>
  <si>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</si>
  <si>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</si>
  <si>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</si>
  <si>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</si>
  <si>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</si>
  <si>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</si>
  <si>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</si>
  <si>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</si>
  <si>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Average Close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</si>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</sst>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Data!$S$2:$S$514</c:f>
              <c:numCache>
                <c:formatCode>General</c:formatCode>
                <c:ptCount val="513"/>
                <c:pt idx="13">
                  <c:v>49.285714285714299</c:v>
                </c:pt>
                <c:pt idx="14">
                  <c:v>39.247429446510601</c:v>
                </c:pt>
                <c:pt idx="15">
                  <c:v>36.676731458765801</c:v>
                </c:pt>
                <c:pt idx="16">
                  <c:v>39.680158192402878</c:v>
                </c:pt>
                <c:pt idx="17">
                  <c:v>39.478507772590966</c:v>
                </c:pt>
                <c:pt idx="18">
                  <c:v>38.980728107503168</c:v>
                </c:pt>
                <c:pt idx="19">
                  <c:v>36.87080006899501</c:v>
                </c:pt>
                <c:pt idx="20">
                  <c:v>37.671337290600839</c:v>
                </c:pt>
                <c:pt idx="21">
                  <c:v>35.649087703377802</c:v>
                </c:pt>
                <c:pt idx="22">
                  <c:v>30.024087883705192</c:v>
                </c:pt>
                <c:pt idx="23">
                  <c:v>27.834842164612141</c:v>
                </c:pt>
                <c:pt idx="24">
                  <c:v>40.804327659354463</c:v>
                </c:pt>
                <c:pt idx="25">
                  <c:v>40.526674651212723</c:v>
                </c:pt>
                <c:pt idx="26">
                  <c:v>35.402933416339039</c:v>
                </c:pt>
                <c:pt idx="27">
                  <c:v>37.346596489444508</c:v>
                </c:pt>
                <c:pt idx="28">
                  <c:v>42.944370587888585</c:v>
                </c:pt>
                <c:pt idx="29">
                  <c:v>38.281083111848943</c:v>
                </c:pt>
                <c:pt idx="30">
                  <c:v>36.050948394985383</c:v>
                </c:pt>
                <c:pt idx="31">
                  <c:v>46.141588923801592</c:v>
                </c:pt>
                <c:pt idx="32">
                  <c:v>41.689534823387994</c:v>
                </c:pt>
                <c:pt idx="33">
                  <c:v>46.959534915517551</c:v>
                </c:pt>
                <c:pt idx="34">
                  <c:v>50.00542506982687</c:v>
                </c:pt>
                <c:pt idx="35">
                  <c:v>55.893264123211807</c:v>
                </c:pt>
                <c:pt idx="36">
                  <c:v>59.888380743292011</c:v>
                </c:pt>
                <c:pt idx="37">
                  <c:v>55.778311948354002</c:v>
                </c:pt>
                <c:pt idx="38">
                  <c:v>56.361919820780862</c:v>
                </c:pt>
                <c:pt idx="39">
                  <c:v>58.146450656570764</c:v>
                </c:pt>
                <c:pt idx="40">
                  <c:v>57.392620984064841</c:v>
                </c:pt>
                <c:pt idx="41">
                  <c:v>59.833686701914395</c:v>
                </c:pt>
                <c:pt idx="42">
                  <c:v>50.276177708507092</c:v>
                </c:pt>
                <c:pt idx="43">
                  <c:v>50.7591450073175</c:v>
                </c:pt>
                <c:pt idx="44">
                  <c:v>48.310227351612568</c:v>
                </c:pt>
                <c:pt idx="45">
                  <c:v>46.507520688659582</c:v>
                </c:pt>
                <c:pt idx="46">
                  <c:v>49.323888964786264</c:v>
                </c:pt>
                <c:pt idx="47">
                  <c:v>55.901760734021877</c:v>
                </c:pt>
                <c:pt idx="48">
                  <c:v>60.747052339326132</c:v>
                </c:pt>
                <c:pt idx="49">
                  <c:v>53.829243873723222</c:v>
                </c:pt>
                <c:pt idx="50">
                  <c:v>47.16345470677588</c:v>
                </c:pt>
                <c:pt idx="51">
                  <c:v>43.968017542030523</c:v>
                </c:pt>
                <c:pt idx="52">
                  <c:v>39.949449932919791</c:v>
                </c:pt>
                <c:pt idx="53">
                  <c:v>38.482365256528247</c:v>
                </c:pt>
                <c:pt idx="54">
                  <c:v>37.27619003678636</c:v>
                </c:pt>
                <c:pt idx="55">
                  <c:v>37.248250018386052</c:v>
                </c:pt>
                <c:pt idx="56">
                  <c:v>35.747763579534961</c:v>
                </c:pt>
                <c:pt idx="57">
                  <c:v>35.717965090093841</c:v>
                </c:pt>
                <c:pt idx="58">
                  <c:v>38.742456279231845</c:v>
                </c:pt>
                <c:pt idx="59">
                  <c:v>49.026684364074278</c:v>
                </c:pt>
                <c:pt idx="60">
                  <c:v>49.976532808364951</c:v>
                </c:pt>
                <c:pt idx="61">
                  <c:v>48.250481169108269</c:v>
                </c:pt>
                <c:pt idx="62">
                  <c:v>48.032612539595888</c:v>
                </c:pt>
                <c:pt idx="63">
                  <c:v>35.912996735596536</c:v>
                </c:pt>
                <c:pt idx="64">
                  <c:v>31.562913162274214</c:v>
                </c:pt>
                <c:pt idx="65">
                  <c:v>31.307665752343794</c:v>
                </c:pt>
                <c:pt idx="66">
                  <c:v>29.442808948135323</c:v>
                </c:pt>
                <c:pt idx="67">
                  <c:v>33.192641197595151</c:v>
                </c:pt>
                <c:pt idx="68">
                  <c:v>28.348340176196018</c:v>
                </c:pt>
                <c:pt idx="69">
                  <c:v>25.630613245343028</c:v>
                </c:pt>
                <c:pt idx="70">
                  <c:v>23.449946364322514</c:v>
                </c:pt>
                <c:pt idx="71">
                  <c:v>23.834597548715919</c:v>
                </c:pt>
                <c:pt idx="72">
                  <c:v>19.179100108754227</c:v>
                </c:pt>
                <c:pt idx="73">
                  <c:v>20.875293606742275</c:v>
                </c:pt>
                <c:pt idx="74">
                  <c:v>25.948603648734689</c:v>
                </c:pt>
                <c:pt idx="75">
                  <c:v>35.85695796328217</c:v>
                </c:pt>
                <c:pt idx="76">
                  <c:v>40.627461413069462</c:v>
                </c:pt>
                <c:pt idx="77">
                  <c:v>42.307750940602773</c:v>
                </c:pt>
                <c:pt idx="78">
                  <c:v>39.490289074458659</c:v>
                </c:pt>
                <c:pt idx="79">
                  <c:v>35.288667483250876</c:v>
                </c:pt>
                <c:pt idx="80">
                  <c:v>33.750836352495398</c:v>
                </c:pt>
                <c:pt idx="81">
                  <c:v>36.72059045017744</c:v>
                </c:pt>
                <c:pt idx="82">
                  <c:v>31.701744301223499</c:v>
                </c:pt>
                <c:pt idx="83">
                  <c:v>52.404406918930029</c:v>
                </c:pt>
                <c:pt idx="84">
                  <c:v>49.325757944261177</c:v>
                </c:pt>
                <c:pt idx="85">
                  <c:v>47.766759651820891</c:v>
                </c:pt>
                <c:pt idx="86">
                  <c:v>46.101035917328403</c:v>
                </c:pt>
                <c:pt idx="87">
                  <c:v>46.508626900003321</c:v>
                </c:pt>
                <c:pt idx="88">
                  <c:v>47.214847551121181</c:v>
                </c:pt>
                <c:pt idx="89">
                  <c:v>49.996824996901722</c:v>
                </c:pt>
                <c:pt idx="90">
                  <c:v>50.185316866033709</c:v>
                </c:pt>
                <c:pt idx="91">
                  <c:v>54.241105314414497</c:v>
                </c:pt>
                <c:pt idx="92">
                  <c:v>54.725947789372704</c:v>
                </c:pt>
                <c:pt idx="93">
                  <c:v>58.540178616046113</c:v>
                </c:pt>
                <c:pt idx="94">
                  <c:v>62.757330620665712</c:v>
                </c:pt>
                <c:pt idx="95">
                  <c:v>63.647729646362933</c:v>
                </c:pt>
                <c:pt idx="96">
                  <c:v>51.286560887103654</c:v>
                </c:pt>
                <c:pt idx="97">
                  <c:v>51.191248712229125</c:v>
                </c:pt>
                <c:pt idx="98">
                  <c:v>57.586028709321944</c:v>
                </c:pt>
                <c:pt idx="99">
                  <c:v>46.543946905352236</c:v>
                </c:pt>
                <c:pt idx="100">
                  <c:v>40.531029965776497</c:v>
                </c:pt>
                <c:pt idx="101">
                  <c:v>35.805086482657117</c:v>
                </c:pt>
                <c:pt idx="102">
                  <c:v>35.991284975820321</c:v>
                </c:pt>
                <c:pt idx="103">
                  <c:v>38.673161860740258</c:v>
                </c:pt>
                <c:pt idx="104">
                  <c:v>42.934021192700357</c:v>
                </c:pt>
                <c:pt idx="105">
                  <c:v>46.041851667717104</c:v>
                </c:pt>
                <c:pt idx="106">
                  <c:v>46.218725382476208</c:v>
                </c:pt>
                <c:pt idx="107">
                  <c:v>41.726115220628962</c:v>
                </c:pt>
                <c:pt idx="108">
                  <c:v>43.188504845622795</c:v>
                </c:pt>
                <c:pt idx="109">
                  <c:v>45.354510337239731</c:v>
                </c:pt>
                <c:pt idx="110">
                  <c:v>45.523959575137091</c:v>
                </c:pt>
                <c:pt idx="111">
                  <c:v>44.426117029311939</c:v>
                </c:pt>
                <c:pt idx="112">
                  <c:v>40.580757868003936</c:v>
                </c:pt>
                <c:pt idx="113">
                  <c:v>40.744416433101961</c:v>
                </c:pt>
                <c:pt idx="114">
                  <c:v>41.13725969528732</c:v>
                </c:pt>
                <c:pt idx="115">
                  <c:v>42.991457231889974</c:v>
                </c:pt>
                <c:pt idx="116">
                  <c:v>41.950168159611316</c:v>
                </c:pt>
                <c:pt idx="117">
                  <c:v>51.020911442345465</c:v>
                </c:pt>
                <c:pt idx="118">
                  <c:v>54.50718554441422</c:v>
                </c:pt>
                <c:pt idx="119">
                  <c:v>55.799570787315353</c:v>
                </c:pt>
                <c:pt idx="120">
                  <c:v>48.120333589342337</c:v>
                </c:pt>
                <c:pt idx="121">
                  <c:v>46.790867037839128</c:v>
                </c:pt>
                <c:pt idx="122">
                  <c:v>43.243902877723009</c:v>
                </c:pt>
                <c:pt idx="123">
                  <c:v>44.833397127030693</c:v>
                </c:pt>
                <c:pt idx="124">
                  <c:v>46.097821815647592</c:v>
                </c:pt>
                <c:pt idx="125">
                  <c:v>44.489815181146078</c:v>
                </c:pt>
                <c:pt idx="126">
                  <c:v>43.145735391745866</c:v>
                </c:pt>
                <c:pt idx="127">
                  <c:v>47.141604749674499</c:v>
                </c:pt>
                <c:pt idx="128">
                  <c:v>43.019914339691155</c:v>
                </c:pt>
                <c:pt idx="129">
                  <c:v>50.35832142042949</c:v>
                </c:pt>
                <c:pt idx="130">
                  <c:v>58.98237096364479</c:v>
                </c:pt>
                <c:pt idx="131">
                  <c:v>59.834853767910055</c:v>
                </c:pt>
                <c:pt idx="132">
                  <c:v>60.425361321228863</c:v>
                </c:pt>
                <c:pt idx="133">
                  <c:v>57.205016531673934</c:v>
                </c:pt>
                <c:pt idx="134">
                  <c:v>63.067362157508541</c:v>
                </c:pt>
                <c:pt idx="135">
                  <c:v>74.776971371861507</c:v>
                </c:pt>
                <c:pt idx="136">
                  <c:v>69.812716306027227</c:v>
                </c:pt>
                <c:pt idx="137">
                  <c:v>66.806935404286207</c:v>
                </c:pt>
                <c:pt idx="138">
                  <c:v>64.950500922459071</c:v>
                </c:pt>
                <c:pt idx="139">
                  <c:v>57.69851895188112</c:v>
                </c:pt>
                <c:pt idx="140">
                  <c:v>66.159588671097424</c:v>
                </c:pt>
                <c:pt idx="141">
                  <c:v>71.422492749069249</c:v>
                </c:pt>
                <c:pt idx="142">
                  <c:v>72.779348687657475</c:v>
                </c:pt>
                <c:pt idx="143">
                  <c:v>65.78300518474299</c:v>
                </c:pt>
                <c:pt idx="144">
                  <c:v>69.928858993855442</c:v>
                </c:pt>
                <c:pt idx="145">
                  <c:v>60.079994495383616</c:v>
                </c:pt>
                <c:pt idx="146">
                  <c:v>64.573234816901987</c:v>
                </c:pt>
                <c:pt idx="147">
                  <c:v>68.945460254935554</c:v>
                </c:pt>
                <c:pt idx="148">
                  <c:v>61.909924882497805</c:v>
                </c:pt>
                <c:pt idx="149">
                  <c:v>56.970638053273007</c:v>
                </c:pt>
                <c:pt idx="150">
                  <c:v>56.8207528264169</c:v>
                </c:pt>
                <c:pt idx="151">
                  <c:v>59.010724812655468</c:v>
                </c:pt>
                <c:pt idx="152">
                  <c:v>59.678107814173359</c:v>
                </c:pt>
                <c:pt idx="153">
                  <c:v>57.803060849365458</c:v>
                </c:pt>
                <c:pt idx="154">
                  <c:v>54.116145287130024</c:v>
                </c:pt>
                <c:pt idx="155">
                  <c:v>54.30573508991651</c:v>
                </c:pt>
                <c:pt idx="156">
                  <c:v>55.643513629221616</c:v>
                </c:pt>
                <c:pt idx="157">
                  <c:v>56.32080149249434</c:v>
                </c:pt>
                <c:pt idx="158">
                  <c:v>56.887940600398146</c:v>
                </c:pt>
                <c:pt idx="159">
                  <c:v>58.179324275571098</c:v>
                </c:pt>
                <c:pt idx="160">
                  <c:v>61.180035428862773</c:v>
                </c:pt>
                <c:pt idx="161">
                  <c:v>63.23783474932258</c:v>
                </c:pt>
                <c:pt idx="162">
                  <c:v>66.894346006313754</c:v>
                </c:pt>
                <c:pt idx="163">
                  <c:v>67.823755498526609</c:v>
                </c:pt>
                <c:pt idx="164">
                  <c:v>61.403536387540818</c:v>
                </c:pt>
                <c:pt idx="165">
                  <c:v>63.573412004696941</c:v>
                </c:pt>
                <c:pt idx="166">
                  <c:v>64.264856773549866</c:v>
                </c:pt>
                <c:pt idx="167">
                  <c:v>67.733080472737015</c:v>
                </c:pt>
                <c:pt idx="168">
                  <c:v>70.215854273253726</c:v>
                </c:pt>
                <c:pt idx="169">
                  <c:v>70.590770826939476</c:v>
                </c:pt>
                <c:pt idx="170">
                  <c:v>60.820579748641386</c:v>
                </c:pt>
                <c:pt idx="171">
                  <c:v>58.573480091169337</c:v>
                </c:pt>
                <c:pt idx="172">
                  <c:v>63.834034883529789</c:v>
                </c:pt>
                <c:pt idx="173">
                  <c:v>65.464779221616325</c:v>
                </c:pt>
                <c:pt idx="174">
                  <c:v>56.36502887383007</c:v>
                </c:pt>
                <c:pt idx="175">
                  <c:v>55.777943191820015</c:v>
                </c:pt>
                <c:pt idx="176">
                  <c:v>58.076946081222935</c:v>
                </c:pt>
                <c:pt idx="177">
                  <c:v>61.662405296318923</c:v>
                </c:pt>
                <c:pt idx="178">
                  <c:v>61.853611788844802</c:v>
                </c:pt>
                <c:pt idx="179">
                  <c:v>58.255323813924939</c:v>
                </c:pt>
                <c:pt idx="180">
                  <c:v>53.417368631748509</c:v>
                </c:pt>
                <c:pt idx="181">
                  <c:v>51.147365446193305</c:v>
                </c:pt>
                <c:pt idx="182">
                  <c:v>48.017591641243719</c:v>
                </c:pt>
                <c:pt idx="183">
                  <c:v>46.58076039821642</c:v>
                </c:pt>
                <c:pt idx="184">
                  <c:v>40.16762965751996</c:v>
                </c:pt>
                <c:pt idx="185">
                  <c:v>43.218512739578586</c:v>
                </c:pt>
                <c:pt idx="186">
                  <c:v>43.257954104789221</c:v>
                </c:pt>
                <c:pt idx="187">
                  <c:v>45.927575283040767</c:v>
                </c:pt>
                <c:pt idx="188">
                  <c:v>45.682087784750181</c:v>
                </c:pt>
                <c:pt idx="189">
                  <c:v>42.796311263392191</c:v>
                </c:pt>
                <c:pt idx="190">
                  <c:v>40.542719424646762</c:v>
                </c:pt>
                <c:pt idx="191">
                  <c:v>39.834676810212827</c:v>
                </c:pt>
                <c:pt idx="192">
                  <c:v>37.296107583950125</c:v>
                </c:pt>
                <c:pt idx="193">
                  <c:v>38.189173140783865</c:v>
                </c:pt>
                <c:pt idx="194">
                  <c:v>43.398182630111044</c:v>
                </c:pt>
                <c:pt idx="195">
                  <c:v>42.831299758452403</c:v>
                </c:pt>
                <c:pt idx="196">
                  <c:v>47.812861625904375</c:v>
                </c:pt>
                <c:pt idx="197">
                  <c:v>48.52472233293949</c:v>
                </c:pt>
                <c:pt idx="198">
                  <c:v>59.221626283550272</c:v>
                </c:pt>
                <c:pt idx="199">
                  <c:v>59.868269117809064</c:v>
                </c:pt>
                <c:pt idx="200">
                  <c:v>60.578875904485542</c:v>
                </c:pt>
                <c:pt idx="201">
                  <c:v>62.993053164953629</c:v>
                </c:pt>
                <c:pt idx="202">
                  <c:v>51.116108274612941</c:v>
                </c:pt>
                <c:pt idx="203">
                  <c:v>53.663391395939229</c:v>
                </c:pt>
                <c:pt idx="204">
                  <c:v>61.960962776925122</c:v>
                </c:pt>
                <c:pt idx="205">
                  <c:v>52.721870251871017</c:v>
                </c:pt>
                <c:pt idx="206">
                  <c:v>43.767968580715092</c:v>
                </c:pt>
                <c:pt idx="207">
                  <c:v>46.302449156908537</c:v>
                </c:pt>
                <c:pt idx="208">
                  <c:v>42.024488692745081</c:v>
                </c:pt>
                <c:pt idx="209">
                  <c:v>43.945176896845915</c:v>
                </c:pt>
                <c:pt idx="210">
                  <c:v>41.794505421165546</c:v>
                </c:pt>
                <c:pt idx="211">
                  <c:v>42.878310266266567</c:v>
                </c:pt>
                <c:pt idx="212">
                  <c:v>37.600396903062645</c:v>
                </c:pt>
                <c:pt idx="213">
                  <c:v>38.078128790817956</c:v>
                </c:pt>
                <c:pt idx="214">
                  <c:v>36.782347507276796</c:v>
                </c:pt>
                <c:pt idx="215">
                  <c:v>33.755533428244505</c:v>
                </c:pt>
                <c:pt idx="216">
                  <c:v>30.76806154872763</c:v>
                </c:pt>
                <c:pt idx="217">
                  <c:v>29.798801652427073</c:v>
                </c:pt>
                <c:pt idx="218">
                  <c:v>25.054674296126208</c:v>
                </c:pt>
                <c:pt idx="219">
                  <c:v>28.135020552155709</c:v>
                </c:pt>
                <c:pt idx="220">
                  <c:v>25.552507577882025</c:v>
                </c:pt>
                <c:pt idx="221">
                  <c:v>35.469975906374984</c:v>
                </c:pt>
                <c:pt idx="222">
                  <c:v>38.651606455654246</c:v>
                </c:pt>
                <c:pt idx="223">
                  <c:v>34.447162230175238</c:v>
                </c:pt>
                <c:pt idx="224">
                  <c:v>34.920952715961235</c:v>
                </c:pt>
                <c:pt idx="225">
                  <c:v>44.334825265011212</c:v>
                </c:pt>
                <c:pt idx="226">
                  <c:v>43.401290505628907</c:v>
                </c:pt>
                <c:pt idx="227">
                  <c:v>45.678272735406843</c:v>
                </c:pt>
                <c:pt idx="228">
                  <c:v>41.92625742143931</c:v>
                </c:pt>
                <c:pt idx="229">
                  <c:v>45.305324326621282</c:v>
                </c:pt>
                <c:pt idx="230">
                  <c:v>44.081168532530874</c:v>
                </c:pt>
                <c:pt idx="231">
                  <c:v>43.401138733075399</c:v>
                </c:pt>
                <c:pt idx="232">
                  <c:v>36.378845330042068</c:v>
                </c:pt>
                <c:pt idx="233">
                  <c:v>32.052717362152833</c:v>
                </c:pt>
                <c:pt idx="234">
                  <c:v>30.114205991657201</c:v>
                </c:pt>
                <c:pt idx="235">
                  <c:v>29.686793546266244</c:v>
                </c:pt>
                <c:pt idx="236">
                  <c:v>31.140258359482971</c:v>
                </c:pt>
                <c:pt idx="237">
                  <c:v>30.280225328565379</c:v>
                </c:pt>
                <c:pt idx="238">
                  <c:v>25.06231285077979</c:v>
                </c:pt>
                <c:pt idx="239">
                  <c:v>24.364029456784351</c:v>
                </c:pt>
                <c:pt idx="240">
                  <c:v>26.460268922912491</c:v>
                </c:pt>
                <c:pt idx="241">
                  <c:v>21.732081440475071</c:v>
                </c:pt>
                <c:pt idx="242">
                  <c:v>33.549983995396929</c:v>
                </c:pt>
                <c:pt idx="243">
                  <c:v>30.349864585241562</c:v>
                </c:pt>
                <c:pt idx="244">
                  <c:v>28.300890679750992</c:v>
                </c:pt>
                <c:pt idx="245">
                  <c:v>32.058434448381433</c:v>
                </c:pt>
                <c:pt idx="246">
                  <c:v>35.338774614264935</c:v>
                </c:pt>
                <c:pt idx="247">
                  <c:v>37.687755154793876</c:v>
                </c:pt>
                <c:pt idx="248">
                  <c:v>37.013664926682566</c:v>
                </c:pt>
                <c:pt idx="249">
                  <c:v>35.665141480662342</c:v>
                </c:pt>
                <c:pt idx="250">
                  <c:v>31.657589369458023</c:v>
                </c:pt>
                <c:pt idx="251">
                  <c:v>37.333903396188326</c:v>
                </c:pt>
                <c:pt idx="252">
                  <c:v>35.831564686746404</c:v>
                </c:pt>
                <c:pt idx="253">
                  <c:v>36.609902681187826</c:v>
                </c:pt>
                <c:pt idx="254">
                  <c:v>35.177315353715201</c:v>
                </c:pt>
                <c:pt idx="255">
                  <c:v>46.175993427099407</c:v>
                </c:pt>
                <c:pt idx="256">
                  <c:v>36.031277624875862</c:v>
                </c:pt>
                <c:pt idx="257">
                  <c:v>35.584802782244367</c:v>
                </c:pt>
                <c:pt idx="258">
                  <c:v>44.139498940291432</c:v>
                </c:pt>
                <c:pt idx="259">
                  <c:v>45.052538415164584</c:v>
                </c:pt>
                <c:pt idx="260">
                  <c:v>45.802115660263944</c:v>
                </c:pt>
                <c:pt idx="261">
                  <c:v>54.33957657701162</c:v>
                </c:pt>
                <c:pt idx="262">
                  <c:v>52.007870327603975</c:v>
                </c:pt>
                <c:pt idx="263">
                  <c:v>55.145047013223397</c:v>
                </c:pt>
                <c:pt idx="264">
                  <c:v>46.692703727831777</c:v>
                </c:pt>
                <c:pt idx="265">
                  <c:v>50.573685533176281</c:v>
                </c:pt>
                <c:pt idx="266">
                  <c:v>51.077648812300119</c:v>
                </c:pt>
                <c:pt idx="267">
                  <c:v>64.297802024853041</c:v>
                </c:pt>
                <c:pt idx="268">
                  <c:v>57.391487365775163</c:v>
                </c:pt>
                <c:pt idx="269">
                  <c:v>58.851660117266654</c:v>
                </c:pt>
                <c:pt idx="270">
                  <c:v>61.985518332292948</c:v>
                </c:pt>
                <c:pt idx="271">
                  <c:v>59.927991622852588</c:v>
                </c:pt>
                <c:pt idx="272">
                  <c:v>59.106317956774738</c:v>
                </c:pt>
                <c:pt idx="273">
                  <c:v>62.324907793191706</c:v>
                </c:pt>
                <c:pt idx="274">
                  <c:v>64.550619858736638</c:v>
                </c:pt>
                <c:pt idx="275">
                  <c:v>60.750066300420876</c:v>
                </c:pt>
                <c:pt idx="276">
                  <c:v>59.503103940880941</c:v>
                </c:pt>
                <c:pt idx="277">
                  <c:v>61.920437791913173</c:v>
                </c:pt>
                <c:pt idx="278">
                  <c:v>65.646997331036985</c:v>
                </c:pt>
                <c:pt idx="279">
                  <c:v>62.609616198247743</c:v>
                </c:pt>
                <c:pt idx="280">
                  <c:v>66.435115197285882</c:v>
                </c:pt>
                <c:pt idx="281">
                  <c:v>62.621176697103024</c:v>
                </c:pt>
                <c:pt idx="282">
                  <c:v>58.788365998562711</c:v>
                </c:pt>
                <c:pt idx="283">
                  <c:v>64.618713706361575</c:v>
                </c:pt>
                <c:pt idx="284">
                  <c:v>67.659981110522352</c:v>
                </c:pt>
                <c:pt idx="285">
                  <c:v>71.518939452473504</c:v>
                </c:pt>
                <c:pt idx="286">
                  <c:v>73.397794796635097</c:v>
                </c:pt>
                <c:pt idx="287">
                  <c:v>76.161582399023018</c:v>
                </c:pt>
                <c:pt idx="288">
                  <c:v>66.615106731633261</c:v>
                </c:pt>
                <c:pt idx="289">
                  <c:v>67.560712181686</c:v>
                </c:pt>
                <c:pt idx="290">
                  <c:v>69.412394549438659</c:v>
                </c:pt>
                <c:pt idx="291">
                  <c:v>72.386275505773256</c:v>
                </c:pt>
                <c:pt idx="292">
                  <c:v>66.643460473704849</c:v>
                </c:pt>
                <c:pt idx="293">
                  <c:v>65.737570937102319</c:v>
                </c:pt>
                <c:pt idx="294">
                  <c:v>66.884842696450079</c:v>
                </c:pt>
                <c:pt idx="295">
                  <c:v>68.270745606210426</c:v>
                </c:pt>
                <c:pt idx="296">
                  <c:v>69.865792182176932</c:v>
                </c:pt>
                <c:pt idx="297">
                  <c:v>63.593748688731893</c:v>
                </c:pt>
                <c:pt idx="298">
                  <c:v>54.909619703676434</c:v>
                </c:pt>
                <c:pt idx="299">
                  <c:v>55.215944029565648</c:v>
                </c:pt>
                <c:pt idx="300">
                  <c:v>54.701396902081918</c:v>
                </c:pt>
                <c:pt idx="301">
                  <c:v>54.77703717748868</c:v>
                </c:pt>
                <c:pt idx="302">
                  <c:v>58.30133786336711</c:v>
                </c:pt>
                <c:pt idx="303">
                  <c:v>54.233900287565589</c:v>
                </c:pt>
                <c:pt idx="304">
                  <c:v>54.315623507659019</c:v>
                </c:pt>
                <c:pt idx="305">
                  <c:v>56.034736841259729</c:v>
                </c:pt>
                <c:pt idx="306">
                  <c:v>54.797002684288898</c:v>
                </c:pt>
                <c:pt idx="307">
                  <c:v>47.286950264995205</c:v>
                </c:pt>
                <c:pt idx="308">
                  <c:v>49.581679281259341</c:v>
                </c:pt>
                <c:pt idx="309">
                  <c:v>53.931973480564189</c:v>
                </c:pt>
                <c:pt idx="310">
                  <c:v>55.628000682806103</c:v>
                </c:pt>
                <c:pt idx="311">
                  <c:v>61.267550778361645</c:v>
                </c:pt>
                <c:pt idx="312">
                  <c:v>33.867568250434857</c:v>
                </c:pt>
                <c:pt idx="313">
                  <c:v>38.80685194222</c:v>
                </c:pt>
                <c:pt idx="314">
                  <c:v>47.698822778173614</c:v>
                </c:pt>
                <c:pt idx="315">
                  <c:v>38.752062951646245</c:v>
                </c:pt>
                <c:pt idx="316">
                  <c:v>35.867258483623587</c:v>
                </c:pt>
                <c:pt idx="317">
                  <c:v>35.199479301777885</c:v>
                </c:pt>
                <c:pt idx="318">
                  <c:v>37.170376088029407</c:v>
                </c:pt>
                <c:pt idx="319">
                  <c:v>34.51321093927703</c:v>
                </c:pt>
                <c:pt idx="320">
                  <c:v>40.609454712851623</c:v>
                </c:pt>
                <c:pt idx="321">
                  <c:v>45.349370697284265</c:v>
                </c:pt>
                <c:pt idx="322">
                  <c:v>44.278572582985696</c:v>
                </c:pt>
                <c:pt idx="323">
                  <c:v>44.828370519270159</c:v>
                </c:pt>
                <c:pt idx="324">
                  <c:v>51.194640752419836</c:v>
                </c:pt>
                <c:pt idx="325">
                  <c:v>50.230295892696155</c:v>
                </c:pt>
                <c:pt idx="326">
                  <c:v>51.708646137370948</c:v>
                </c:pt>
                <c:pt idx="327">
                  <c:v>47.380820156066662</c:v>
                </c:pt>
                <c:pt idx="328">
                  <c:v>46.583581498125874</c:v>
                </c:pt>
                <c:pt idx="329">
                  <c:v>45.936169465774277</c:v>
                </c:pt>
                <c:pt idx="330">
                  <c:v>47.659594273972935</c:v>
                </c:pt>
                <c:pt idx="331">
                  <c:v>48.93454877377831</c:v>
                </c:pt>
                <c:pt idx="332">
                  <c:v>49.873794184891196</c:v>
                </c:pt>
                <c:pt idx="333">
                  <c:v>45.688241867070587</c:v>
                </c:pt>
                <c:pt idx="334">
                  <c:v>49.762334149774681</c:v>
                </c:pt>
                <c:pt idx="335">
                  <c:v>47.19025716975311</c:v>
                </c:pt>
                <c:pt idx="336">
                  <c:v>45.979138824900183</c:v>
                </c:pt>
                <c:pt idx="337">
                  <c:v>52.926306247995491</c:v>
                </c:pt>
                <c:pt idx="338">
                  <c:v>48.994134755626533</c:v>
                </c:pt>
                <c:pt idx="339">
                  <c:v>45.778091542868523</c:v>
                </c:pt>
                <c:pt idx="340">
                  <c:v>45.599012239366012</c:v>
                </c:pt>
                <c:pt idx="341">
                  <c:v>35.071763786365452</c:v>
                </c:pt>
                <c:pt idx="342">
                  <c:v>32.154508251329304</c:v>
                </c:pt>
                <c:pt idx="343">
                  <c:v>40.484619290339225</c:v>
                </c:pt>
                <c:pt idx="344">
                  <c:v>44.376988794740747</c:v>
                </c:pt>
                <c:pt idx="345">
                  <c:v>46.89930359251737</c:v>
                </c:pt>
                <c:pt idx="346">
                  <c:v>49.392039026752414</c:v>
                </c:pt>
                <c:pt idx="347">
                  <c:v>48.388445843173429</c:v>
                </c:pt>
                <c:pt idx="348">
                  <c:v>47.162927532770084</c:v>
                </c:pt>
                <c:pt idx="349">
                  <c:v>47.98429293387089</c:v>
                </c:pt>
                <c:pt idx="350">
                  <c:v>48.789648842478563</c:v>
                </c:pt>
                <c:pt idx="351">
                  <c:v>46.7286696743882</c:v>
                </c:pt>
                <c:pt idx="352">
                  <c:v>49.923505186394799</c:v>
                </c:pt>
                <c:pt idx="353">
                  <c:v>54.123242467670551</c:v>
                </c:pt>
                <c:pt idx="354">
                  <c:v>54.601193405352262</c:v>
                </c:pt>
                <c:pt idx="355">
                  <c:v>51.614312492370111</c:v>
                </c:pt>
                <c:pt idx="356">
                  <c:v>48.141545427793133</c:v>
                </c:pt>
                <c:pt idx="357">
                  <c:v>49.483671760835634</c:v>
                </c:pt>
                <c:pt idx="358">
                  <c:v>53.517486985757607</c:v>
                </c:pt>
                <c:pt idx="359">
                  <c:v>54.093788537659677</c:v>
                </c:pt>
                <c:pt idx="360">
                  <c:v>57.551119452025951</c:v>
                </c:pt>
                <c:pt idx="361">
                  <c:v>53.331933741396782</c:v>
                </c:pt>
                <c:pt idx="362">
                  <c:v>57.298241283858204</c:v>
                </c:pt>
                <c:pt idx="363">
                  <c:v>58.492243584615011</c:v>
                </c:pt>
                <c:pt idx="364">
                  <c:v>51.824425346045956</c:v>
                </c:pt>
                <c:pt idx="365">
                  <c:v>43.717030861952203</c:v>
                </c:pt>
                <c:pt idx="366">
                  <c:v>39.819472720482189</c:v>
                </c:pt>
                <c:pt idx="367">
                  <c:v>37.754387556547968</c:v>
                </c:pt>
                <c:pt idx="368">
                  <c:v>42.941340266366836</c:v>
                </c:pt>
                <c:pt idx="369">
                  <c:v>45.711615791749672</c:v>
                </c:pt>
                <c:pt idx="370">
                  <c:v>46.003676764698554</c:v>
                </c:pt>
                <c:pt idx="371">
                  <c:v>45.21775103284395</c:v>
                </c:pt>
                <c:pt idx="372">
                  <c:v>46.671303927651607</c:v>
                </c:pt>
                <c:pt idx="373">
                  <c:v>47.935846354634329</c:v>
                </c:pt>
                <c:pt idx="374">
                  <c:v>57.947937039409432</c:v>
                </c:pt>
                <c:pt idx="375">
                  <c:v>56.616391364395113</c:v>
                </c:pt>
                <c:pt idx="376">
                  <c:v>57.918083541866551</c:v>
                </c:pt>
                <c:pt idx="377">
                  <c:v>54.995840364829135</c:v>
                </c:pt>
                <c:pt idx="378">
                  <c:v>56.650991462822127</c:v>
                </c:pt>
                <c:pt idx="379">
                  <c:v>58.210644803598086</c:v>
                </c:pt>
                <c:pt idx="380">
                  <c:v>62.402580960516531</c:v>
                </c:pt>
                <c:pt idx="381">
                  <c:v>58.841163347227059</c:v>
                </c:pt>
                <c:pt idx="382">
                  <c:v>58.477202625149751</c:v>
                </c:pt>
                <c:pt idx="383">
                  <c:v>51.413547617683278</c:v>
                </c:pt>
                <c:pt idx="384">
                  <c:v>72.357107490392849</c:v>
                </c:pt>
                <c:pt idx="385">
                  <c:v>66.568944097269181</c:v>
                </c:pt>
                <c:pt idx="386">
                  <c:v>67.682574343713469</c:v>
                </c:pt>
                <c:pt idx="387">
                  <c:v>68.711472001206587</c:v>
                </c:pt>
                <c:pt idx="388">
                  <c:v>73.606368687214697</c:v>
                </c:pt>
                <c:pt idx="389">
                  <c:v>74.987448336141483</c:v>
                </c:pt>
                <c:pt idx="390">
                  <c:v>75.529595733723568</c:v>
                </c:pt>
                <c:pt idx="391">
                  <c:v>70.990621142145386</c:v>
                </c:pt>
                <c:pt idx="392">
                  <c:v>64.138331348880314</c:v>
                </c:pt>
                <c:pt idx="393">
                  <c:v>67.233263201669928</c:v>
                </c:pt>
                <c:pt idx="394">
                  <c:v>64.535754859659519</c:v>
                </c:pt>
                <c:pt idx="395">
                  <c:v>57.207540252021559</c:v>
                </c:pt>
                <c:pt idx="396">
                  <c:v>61.985387486829843</c:v>
                </c:pt>
                <c:pt idx="397">
                  <c:v>67.570852873179547</c:v>
                </c:pt>
                <c:pt idx="398">
                  <c:v>66.717205181274409</c:v>
                </c:pt>
                <c:pt idx="399">
                  <c:v>66.266422231702563</c:v>
                </c:pt>
                <c:pt idx="400">
                  <c:v>67.73754308344661</c:v>
                </c:pt>
                <c:pt idx="401">
                  <c:v>70.399574830719857</c:v>
                </c:pt>
                <c:pt idx="402">
                  <c:v>71.098678768498388</c:v>
                </c:pt>
                <c:pt idx="403">
                  <c:v>67.457070561595458</c:v>
                </c:pt>
                <c:pt idx="404">
                  <c:v>70.061192845049817</c:v>
                </c:pt>
                <c:pt idx="405">
                  <c:v>70.525824173379903</c:v>
                </c:pt>
                <c:pt idx="406">
                  <c:v>73.373868393413531</c:v>
                </c:pt>
                <c:pt idx="407">
                  <c:v>71.855034356104227</c:v>
                </c:pt>
                <c:pt idx="408">
                  <c:v>74.145660080560617</c:v>
                </c:pt>
                <c:pt idx="409">
                  <c:v>75.581664547871299</c:v>
                </c:pt>
                <c:pt idx="410">
                  <c:v>75.70740934432402</c:v>
                </c:pt>
                <c:pt idx="411">
                  <c:v>76.234595327869457</c:v>
                </c:pt>
                <c:pt idx="412">
                  <c:v>72.114767333415628</c:v>
                </c:pt>
                <c:pt idx="413">
                  <c:v>63.989478703464727</c:v>
                </c:pt>
                <c:pt idx="414">
                  <c:v>64.659505121482766</c:v>
                </c:pt>
                <c:pt idx="415">
                  <c:v>59.347784144268481</c:v>
                </c:pt>
                <c:pt idx="416">
                  <c:v>63.493344622254362</c:v>
                </c:pt>
                <c:pt idx="417">
                  <c:v>65.456315830837298</c:v>
                </c:pt>
                <c:pt idx="418">
                  <c:v>65.20178097117207</c:v>
                </c:pt>
                <c:pt idx="419">
                  <c:v>66.954663895323819</c:v>
                </c:pt>
                <c:pt idx="420">
                  <c:v>65.413848445902332</c:v>
                </c:pt>
                <c:pt idx="421">
                  <c:v>63.972545026528337</c:v>
                </c:pt>
                <c:pt idx="422">
                  <c:v>58.553898490767835</c:v>
                </c:pt>
                <c:pt idx="423">
                  <c:v>53.65919869974303</c:v>
                </c:pt>
                <c:pt idx="424">
                  <c:v>61.654773104770797</c:v>
                </c:pt>
                <c:pt idx="425">
                  <c:v>59.849210204137357</c:v>
                </c:pt>
                <c:pt idx="426">
                  <c:v>57.145834298487131</c:v>
                </c:pt>
                <c:pt idx="427">
                  <c:v>53.443213944576897</c:v>
                </c:pt>
                <c:pt idx="428">
                  <c:v>55.867435564634263</c:v>
                </c:pt>
                <c:pt idx="429">
                  <c:v>45.407216980861605</c:v>
                </c:pt>
                <c:pt idx="430">
                  <c:v>51.885568633795565</c:v>
                </c:pt>
                <c:pt idx="431">
                  <c:v>46.134966402644785</c:v>
                </c:pt>
                <c:pt idx="432">
                  <c:v>52.868538220640978</c:v>
                </c:pt>
                <c:pt idx="433">
                  <c:v>53.161204912410504</c:v>
                </c:pt>
                <c:pt idx="434">
                  <c:v>55.946481490749214</c:v>
                </c:pt>
                <c:pt idx="435">
                  <c:v>60.733855989444379</c:v>
                </c:pt>
                <c:pt idx="436">
                  <c:v>64.717075471015136</c:v>
                </c:pt>
                <c:pt idx="437">
                  <c:v>71.01651009066336</c:v>
                </c:pt>
                <c:pt idx="438">
                  <c:v>71.911877622898544</c:v>
                </c:pt>
                <c:pt idx="439">
                  <c:v>71.647033067711732</c:v>
                </c:pt>
                <c:pt idx="440">
                  <c:v>75.36058196262519</c:v>
                </c:pt>
                <c:pt idx="441">
                  <c:v>73.490057020545251</c:v>
                </c:pt>
                <c:pt idx="442">
                  <c:v>74.525649037492741</c:v>
                </c:pt>
                <c:pt idx="443">
                  <c:v>75.648340136889644</c:v>
                </c:pt>
                <c:pt idx="444">
                  <c:v>77.503501044554113</c:v>
                </c:pt>
                <c:pt idx="445">
                  <c:v>75.89094302851646</c:v>
                </c:pt>
                <c:pt idx="446">
                  <c:v>76.158053202063499</c:v>
                </c:pt>
                <c:pt idx="447">
                  <c:v>75.906476037158086</c:v>
                </c:pt>
                <c:pt idx="448">
                  <c:v>76.442819934841211</c:v>
                </c:pt>
                <c:pt idx="449">
                  <c:v>78.008005880102758</c:v>
                </c:pt>
                <c:pt idx="450">
                  <c:v>79.690650547350586</c:v>
                </c:pt>
                <c:pt idx="451">
                  <c:v>80.42384179402184</c:v>
                </c:pt>
                <c:pt idx="452">
                  <c:v>70.357652321682735</c:v>
                </c:pt>
                <c:pt idx="453">
                  <c:v>72.493582453338121</c:v>
                </c:pt>
                <c:pt idx="454">
                  <c:v>70.082238906011384</c:v>
                </c:pt>
                <c:pt idx="455">
                  <c:v>60.532237689925445</c:v>
                </c:pt>
                <c:pt idx="456">
                  <c:v>60.106121045179428</c:v>
                </c:pt>
                <c:pt idx="457">
                  <c:v>47.875025190997093</c:v>
                </c:pt>
                <c:pt idx="458">
                  <c:v>46.869244387220647</c:v>
                </c:pt>
                <c:pt idx="459">
                  <c:v>54.510162422597013</c:v>
                </c:pt>
                <c:pt idx="460">
                  <c:v>53.896888711693343</c:v>
                </c:pt>
                <c:pt idx="461">
                  <c:v>45.843047888905971</c:v>
                </c:pt>
                <c:pt idx="462">
                  <c:v>47.775072346264551</c:v>
                </c:pt>
                <c:pt idx="463">
                  <c:v>45.281559201571788</c:v>
                </c:pt>
                <c:pt idx="464">
                  <c:v>48.543729157681952</c:v>
                </c:pt>
                <c:pt idx="465">
                  <c:v>47.291654238537056</c:v>
                </c:pt>
                <c:pt idx="466">
                  <c:v>53.263345136509479</c:v>
                </c:pt>
                <c:pt idx="467">
                  <c:v>65.619770539735285</c:v>
                </c:pt>
                <c:pt idx="468">
                  <c:v>66.602255230866263</c:v>
                </c:pt>
                <c:pt idx="469">
                  <c:v>68.10946577347012</c:v>
                </c:pt>
                <c:pt idx="470">
                  <c:v>69.289615684457772</c:v>
                </c:pt>
                <c:pt idx="471">
                  <c:v>74.701400280217825</c:v>
                </c:pt>
                <c:pt idx="472">
                  <c:v>75.242043980972838</c:v>
                </c:pt>
                <c:pt idx="473">
                  <c:v>78.235497520850714</c:v>
                </c:pt>
                <c:pt idx="474">
                  <c:v>78.849922257351608</c:v>
                </c:pt>
                <c:pt idx="475">
                  <c:v>79.761860205364655</c:v>
                </c:pt>
                <c:pt idx="476">
                  <c:v>81.93477075325265</c:v>
                </c:pt>
                <c:pt idx="477">
                  <c:v>82.517689469438281</c:v>
                </c:pt>
                <c:pt idx="478">
                  <c:v>83.348315790990398</c:v>
                </c:pt>
                <c:pt idx="479">
                  <c:v>80.390400699436967</c:v>
                </c:pt>
                <c:pt idx="480">
                  <c:v>73.459369299965786</c:v>
                </c:pt>
                <c:pt idx="481">
                  <c:v>73.583558995565468</c:v>
                </c:pt>
                <c:pt idx="482">
                  <c:v>73.168760447938851</c:v>
                </c:pt>
                <c:pt idx="483">
                  <c:v>61.37083827258418</c:v>
                </c:pt>
                <c:pt idx="484">
                  <c:v>59.380946493243826</c:v>
                </c:pt>
                <c:pt idx="485">
                  <c:v>58.234816697479758</c:v>
                </c:pt>
                <c:pt idx="486">
                  <c:v>52.402153492080835</c:v>
                </c:pt>
                <c:pt idx="487">
                  <c:v>66.657662276174904</c:v>
                </c:pt>
                <c:pt idx="488">
                  <c:v>71.504514161725211</c:v>
                </c:pt>
                <c:pt idx="489">
                  <c:v>73.389352088208469</c:v>
                </c:pt>
                <c:pt idx="490">
                  <c:v>76.187598397051943</c:v>
                </c:pt>
                <c:pt idx="491">
                  <c:v>62.812665936094056</c:v>
                </c:pt>
                <c:pt idx="492">
                  <c:v>64.242442285561708</c:v>
                </c:pt>
                <c:pt idx="493">
                  <c:v>59.417560173588001</c:v>
                </c:pt>
                <c:pt idx="494">
                  <c:v>55.134783936271646</c:v>
                </c:pt>
                <c:pt idx="495">
                  <c:v>56.777735080997132</c:v>
                </c:pt>
                <c:pt idx="496">
                  <c:v>53.366103109741289</c:v>
                </c:pt>
                <c:pt idx="497">
                  <c:v>56.981326086378026</c:v>
                </c:pt>
                <c:pt idx="498">
                  <c:v>56.626756878927537</c:v>
                </c:pt>
                <c:pt idx="499">
                  <c:v>56.450224002161477</c:v>
                </c:pt>
                <c:pt idx="500">
                  <c:v>54.74360223538546</c:v>
                </c:pt>
                <c:pt idx="501">
                  <c:v>54.834094956168947</c:v>
                </c:pt>
                <c:pt idx="502">
                  <c:v>55.786181378835025</c:v>
                </c:pt>
                <c:pt idx="503">
                  <c:v>47.577626548167004</c:v>
                </c:pt>
                <c:pt idx="504">
                  <c:v>48.857233592445027</c:v>
                </c:pt>
                <c:pt idx="505">
                  <c:v>55.445335787384096</c:v>
                </c:pt>
                <c:pt idx="506">
                  <c:v>50.895212052693729</c:v>
                </c:pt>
                <c:pt idx="507">
                  <c:v>47.606691695101055</c:v>
                </c:pt>
                <c:pt idx="508">
                  <c:v>58.833179650116591</c:v>
                </c:pt>
                <c:pt idx="509">
                  <c:v>64.819030845016897</c:v>
                </c:pt>
                <c:pt idx="510">
                  <c:v>70.56574785144322</c:v>
                </c:pt>
                <c:pt idx="511">
                  <c:v>71.60551197784217</c:v>
                </c:pt>
                <c:pt idx="512">
                  <c:v>69.255018884033831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Data!$T$1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Data!$E$2:$E$514</c:f>
              <c:numCache>
                <c:formatCode>General</c:formatCode>
                <c:ptCount val="513"/>
                <c:pt idx="0">
                  <c:v>159.97</c:v>
                </c:pt>
                <c:pt idx="1">
                  <c:v>160.43106996742205</c:v>
                </c:pt>
                <c:pt idx="2">
                  <c:v>160.48574291117862</c:v>
                </c:pt>
                <c:pt idx="3">
                  <c:v>160.6051703586306</c:v>
                </c:pt>
                <c:pt idx="4">
                  <c:v>160.77030875074166</c:v>
                </c:pt>
                <c:pt idx="5">
                  <c:v>160.89696120965957</c:v>
                </c:pt>
                <c:pt idx="6">
                  <c:v>160.99700780984188</c:v>
                </c:pt>
                <c:pt idx="7">
                  <c:v>161.01127410250146</c:v>
                </c:pt>
                <c:pt idx="8">
                  <c:v>161.1190295368975</c:v>
                </c:pt>
                <c:pt idx="9">
                  <c:v>161.0546935252342</c:v>
                </c:pt>
                <c:pt idx="10">
                  <c:v>161.00912537544701</c:v>
                </c:pt>
                <c:pt idx="11">
                  <c:v>161.02352280886575</c:v>
                </c:pt>
                <c:pt idx="12">
                  <c:v>161.08015298047954</c:v>
                </c:pt>
                <c:pt idx="13">
                  <c:v>161.18696388042784</c:v>
                </c:pt>
                <c:pt idx="14">
                  <c:v>161.0583342495072</c:v>
                </c:pt>
                <c:pt idx="15">
                  <c:v>160.91375938513045</c:v>
                </c:pt>
                <c:pt idx="16">
                  <c:v>160.84674176721467</c:v>
                </c:pt>
                <c:pt idx="17">
                  <c:v>160.78196884529123</c:v>
                </c:pt>
                <c:pt idx="18">
                  <c:v>160.70686531505484</c:v>
                </c:pt>
                <c:pt idx="19">
                  <c:v>160.5995432202821</c:v>
                </c:pt>
                <c:pt idx="20">
                  <c:v>160.49800562234628</c:v>
                </c:pt>
                <c:pt idx="21">
                  <c:v>160.38085271326366</c:v>
                </c:pt>
                <c:pt idx="22">
                  <c:v>160.17839516694431</c:v>
                </c:pt>
                <c:pt idx="23">
                  <c:v>159.93432452463148</c:v>
                </c:pt>
                <c:pt idx="24">
                  <c:v>159.83424097160847</c:v>
                </c:pt>
                <c:pt idx="25">
                  <c:v>159.74548725785243</c:v>
                </c:pt>
                <c:pt idx="26">
                  <c:v>159.57490192053604</c:v>
                </c:pt>
                <c:pt idx="27">
                  <c:v>159.48200406268398</c:v>
                </c:pt>
                <c:pt idx="28">
                  <c:v>159.42853422447317</c:v>
                </c:pt>
                <c:pt idx="29">
                  <c:v>159.30888189119378</c:v>
                </c:pt>
                <c:pt idx="30">
                  <c:v>159.16278215307321</c:v>
                </c:pt>
                <c:pt idx="31">
                  <c:v>159.12241093498159</c:v>
                </c:pt>
                <c:pt idx="32">
                  <c:v>159.03019962541856</c:v>
                </c:pt>
                <c:pt idx="33">
                  <c:v>158.9853232641932</c:v>
                </c:pt>
                <c:pt idx="34">
                  <c:v>158.97638360346846</c:v>
                </c:pt>
                <c:pt idx="35">
                  <c:v>159.02152009208072</c:v>
                </c:pt>
                <c:pt idx="36">
                  <c:v>159.09172273051792</c:v>
                </c:pt>
                <c:pt idx="37">
                  <c:v>159.12541370976709</c:v>
                </c:pt>
                <c:pt idx="38">
                  <c:v>159.15898314111683</c:v>
                </c:pt>
                <c:pt idx="39">
                  <c:v>159.2096238742393</c:v>
                </c:pt>
                <c:pt idx="40">
                  <c:v>159.28172116084909</c:v>
                </c:pt>
                <c:pt idx="41">
                  <c:v>159.33498119070009</c:v>
                </c:pt>
                <c:pt idx="42">
                  <c:v>159.34885105253124</c:v>
                </c:pt>
                <c:pt idx="43">
                  <c:v>159.36500915542561</c:v>
                </c:pt>
                <c:pt idx="44">
                  <c:v>159.36456455135746</c:v>
                </c:pt>
                <c:pt idx="45">
                  <c:v>159.35678738262303</c:v>
                </c:pt>
                <c:pt idx="46">
                  <c:v>159.35935985470005</c:v>
                </c:pt>
                <c:pt idx="47">
                  <c:v>159.38479316143525</c:v>
                </c:pt>
                <c:pt idx="48">
                  <c:v>159.46213072889739</c:v>
                </c:pt>
                <c:pt idx="49">
                  <c:v>159.49108238646554</c:v>
                </c:pt>
                <c:pt idx="50">
                  <c:v>159.48564316924544</c:v>
                </c:pt>
                <c:pt idx="51">
                  <c:v>159.43971867391804</c:v>
                </c:pt>
                <c:pt idx="52">
                  <c:v>159.39327032580874</c:v>
                </c:pt>
                <c:pt idx="53">
                  <c:v>159.32906604653053</c:v>
                </c:pt>
                <c:pt idx="54">
                  <c:v>159.27497436684413</c:v>
                </c:pt>
                <c:pt idx="55">
                  <c:v>159.22292510007614</c:v>
                </c:pt>
                <c:pt idx="56">
                  <c:v>159.15196631514229</c:v>
                </c:pt>
                <c:pt idx="57">
                  <c:v>159.08099064027124</c:v>
                </c:pt>
                <c:pt idx="58">
                  <c:v>159.02716712052214</c:v>
                </c:pt>
                <c:pt idx="59">
                  <c:v>159.00620193957005</c:v>
                </c:pt>
                <c:pt idx="60">
                  <c:v>158.99465367378909</c:v>
                </c:pt>
                <c:pt idx="61">
                  <c:v>158.98263892707402</c:v>
                </c:pt>
                <c:pt idx="62">
                  <c:v>158.96555151531251</c:v>
                </c:pt>
                <c:pt idx="63">
                  <c:v>158.88188480860822</c:v>
                </c:pt>
                <c:pt idx="64">
                  <c:v>158.78600006422937</c:v>
                </c:pt>
                <c:pt idx="65">
                  <c:v>158.69353365661624</c:v>
                </c:pt>
                <c:pt idx="66">
                  <c:v>158.60479385952914</c:v>
                </c:pt>
                <c:pt idx="67">
                  <c:v>158.52428686658317</c:v>
                </c:pt>
                <c:pt idx="68">
                  <c:v>158.40814680436117</c:v>
                </c:pt>
                <c:pt idx="69">
                  <c:v>158.24589971958841</c:v>
                </c:pt>
                <c:pt idx="70">
                  <c:v>158.09466006103327</c:v>
                </c:pt>
                <c:pt idx="71">
                  <c:v>157.92023550350353</c:v>
                </c:pt>
                <c:pt idx="72">
                  <c:v>157.59235157097595</c:v>
                </c:pt>
                <c:pt idx="73">
                  <c:v>157.36725050199277</c:v>
                </c:pt>
                <c:pt idx="74">
                  <c:v>157.15594813589652</c:v>
                </c:pt>
                <c:pt idx="75">
                  <c:v>156.99316583467507</c:v>
                </c:pt>
                <c:pt idx="76">
                  <c:v>156.85190280602757</c:v>
                </c:pt>
                <c:pt idx="77">
                  <c:v>156.72347805619714</c:v>
                </c:pt>
                <c:pt idx="78">
                  <c:v>156.5865569133602</c:v>
                </c:pt>
                <c:pt idx="79">
                  <c:v>156.46035654379693</c:v>
                </c:pt>
                <c:pt idx="80">
                  <c:v>156.35358714639639</c:v>
                </c:pt>
                <c:pt idx="81">
                  <c:v>156.25161549359993</c:v>
                </c:pt>
                <c:pt idx="82">
                  <c:v>156.08384885956423</c:v>
                </c:pt>
                <c:pt idx="83">
                  <c:v>155.97072053568482</c:v>
                </c:pt>
                <c:pt idx="84">
                  <c:v>155.89021893287025</c:v>
                </c:pt>
                <c:pt idx="85">
                  <c:v>155.8228957389324</c:v>
                </c:pt>
                <c:pt idx="86">
                  <c:v>155.76648226460529</c:v>
                </c:pt>
                <c:pt idx="87">
                  <c:v>155.68755844234246</c:v>
                </c:pt>
                <c:pt idx="88">
                  <c:v>155.60889344668595</c:v>
                </c:pt>
                <c:pt idx="89">
                  <c:v>155.55254714886854</c:v>
                </c:pt>
                <c:pt idx="90">
                  <c:v>155.50479384377923</c:v>
                </c:pt>
                <c:pt idx="91">
                  <c:v>155.46934830859965</c:v>
                </c:pt>
                <c:pt idx="92">
                  <c:v>155.42033295944276</c:v>
                </c:pt>
                <c:pt idx="93">
                  <c:v>155.39835244077267</c:v>
                </c:pt>
                <c:pt idx="94">
                  <c:v>155.38625560284575</c:v>
                </c:pt>
                <c:pt idx="95">
                  <c:v>155.37938438249057</c:v>
                </c:pt>
                <c:pt idx="96">
                  <c:v>155.33495160643497</c:v>
                </c:pt>
                <c:pt idx="97">
                  <c:v>155.3037809022006</c:v>
                </c:pt>
                <c:pt idx="98">
                  <c:v>155.28740707053061</c:v>
                </c:pt>
                <c:pt idx="99">
                  <c:v>155.2266836111603</c:v>
                </c:pt>
                <c:pt idx="100">
                  <c:v>155.12126398324042</c:v>
                </c:pt>
                <c:pt idx="101">
                  <c:v>154.97211593872422</c:v>
                </c:pt>
                <c:pt idx="102">
                  <c:v>154.85826005862586</c:v>
                </c:pt>
                <c:pt idx="103">
                  <c:v>154.75303643923837</c:v>
                </c:pt>
                <c:pt idx="104">
                  <c:v>154.60297086998045</c:v>
                </c:pt>
                <c:pt idx="105">
                  <c:v>154.53969013119291</c:v>
                </c:pt>
                <c:pt idx="106">
                  <c:v>154.46525871792642</c:v>
                </c:pt>
                <c:pt idx="107">
                  <c:v>154.40344377342194</c:v>
                </c:pt>
                <c:pt idx="108">
                  <c:v>154.35428543248571</c:v>
                </c:pt>
                <c:pt idx="109">
                  <c:v>154.30892718369239</c:v>
                </c:pt>
                <c:pt idx="110">
                  <c:v>154.25891257669045</c:v>
                </c:pt>
                <c:pt idx="111">
                  <c:v>154.2078371454335</c:v>
                </c:pt>
                <c:pt idx="112">
                  <c:v>154.14290134994897</c:v>
                </c:pt>
                <c:pt idx="113">
                  <c:v>154.07246506870399</c:v>
                </c:pt>
                <c:pt idx="114">
                  <c:v>154.03147308664873</c:v>
                </c:pt>
                <c:pt idx="115">
                  <c:v>153.96845656749926</c:v>
                </c:pt>
                <c:pt idx="116">
                  <c:v>153.90898270990743</c:v>
                </c:pt>
                <c:pt idx="117">
                  <c:v>153.84733227025509</c:v>
                </c:pt>
                <c:pt idx="118">
                  <c:v>153.75992111728019</c:v>
                </c:pt>
                <c:pt idx="119">
                  <c:v>153.72395082911709</c:v>
                </c:pt>
                <c:pt idx="120">
                  <c:v>153.6758110649138</c:v>
                </c:pt>
                <c:pt idx="121">
                  <c:v>153.63585336431453</c:v>
                </c:pt>
                <c:pt idx="122">
                  <c:v>153.58641048395819</c:v>
                </c:pt>
                <c:pt idx="123">
                  <c:v>153.50169326020909</c:v>
                </c:pt>
                <c:pt idx="124">
                  <c:v>153.46242826230059</c:v>
                </c:pt>
                <c:pt idx="125">
                  <c:v>153.41857051549388</c:v>
                </c:pt>
                <c:pt idx="126">
                  <c:v>153.39170812593699</c:v>
                </c:pt>
                <c:pt idx="127">
                  <c:v>153.35571887652972</c:v>
                </c:pt>
                <c:pt idx="128">
                  <c:v>153.3118378268953</c:v>
                </c:pt>
                <c:pt idx="129">
                  <c:v>153.2729996843816</c:v>
                </c:pt>
                <c:pt idx="130">
                  <c:v>153.24850801842689</c:v>
                </c:pt>
                <c:pt idx="131">
                  <c:v>153.22508777798541</c:v>
                </c:pt>
                <c:pt idx="132">
                  <c:v>153.20664265075945</c:v>
                </c:pt>
                <c:pt idx="133">
                  <c:v>153.17932407170821</c:v>
                </c:pt>
                <c:pt idx="134">
                  <c:v>153.16501696562403</c:v>
                </c:pt>
                <c:pt idx="135">
                  <c:v>153.21239707660155</c:v>
                </c:pt>
                <c:pt idx="136">
                  <c:v>153.23473018590511</c:v>
                </c:pt>
                <c:pt idx="137">
                  <c:v>153.24536529764396</c:v>
                </c:pt>
                <c:pt idx="138">
                  <c:v>153.2520412873568</c:v>
                </c:pt>
                <c:pt idx="139">
                  <c:v>153.24653286105104</c:v>
                </c:pt>
                <c:pt idx="140">
                  <c:v>153.26759110467435</c:v>
                </c:pt>
                <c:pt idx="141">
                  <c:v>153.32883051227972</c:v>
                </c:pt>
                <c:pt idx="142">
                  <c:v>153.38696604917868</c:v>
                </c:pt>
                <c:pt idx="143">
                  <c:v>153.41450681787367</c:v>
                </c:pt>
                <c:pt idx="144">
                  <c:v>153.46324202455841</c:v>
                </c:pt>
                <c:pt idx="145">
                  <c:v>153.49719700271089</c:v>
                </c:pt>
                <c:pt idx="146">
                  <c:v>153.54576687165044</c:v>
                </c:pt>
                <c:pt idx="147">
                  <c:v>153.65541359441366</c:v>
                </c:pt>
                <c:pt idx="148">
                  <c:v>153.7383384388088</c:v>
                </c:pt>
                <c:pt idx="149">
                  <c:v>153.77420656465904</c:v>
                </c:pt>
                <c:pt idx="150">
                  <c:v>153.80174348673197</c:v>
                </c:pt>
                <c:pt idx="151">
                  <c:v>153.83092285048684</c:v>
                </c:pt>
                <c:pt idx="152">
                  <c:v>153.85855133666675</c:v>
                </c:pt>
                <c:pt idx="153">
                  <c:v>153.89897695603045</c:v>
                </c:pt>
                <c:pt idx="154">
                  <c:v>153.93714960269241</c:v>
                </c:pt>
                <c:pt idx="155">
                  <c:v>153.95749998558637</c:v>
                </c:pt>
                <c:pt idx="156">
                  <c:v>153.98966471605254</c:v>
                </c:pt>
                <c:pt idx="157">
                  <c:v>154.01300269388017</c:v>
                </c:pt>
                <c:pt idx="158">
                  <c:v>154.03427005670946</c:v>
                </c:pt>
                <c:pt idx="159">
                  <c:v>154.07230743312246</c:v>
                </c:pt>
                <c:pt idx="160">
                  <c:v>154.10369419093158</c:v>
                </c:pt>
                <c:pt idx="161">
                  <c:v>154.14935948421012</c:v>
                </c:pt>
                <c:pt idx="162">
                  <c:v>154.20883829384664</c:v>
                </c:pt>
                <c:pt idx="163">
                  <c:v>154.26853163559448</c:v>
                </c:pt>
                <c:pt idx="164">
                  <c:v>154.30024122725683</c:v>
                </c:pt>
                <c:pt idx="165">
                  <c:v>154.34159212562903</c:v>
                </c:pt>
                <c:pt idx="166">
                  <c:v>154.40178076996213</c:v>
                </c:pt>
                <c:pt idx="167">
                  <c:v>154.47651599429767</c:v>
                </c:pt>
                <c:pt idx="168">
                  <c:v>154.54830463734572</c:v>
                </c:pt>
                <c:pt idx="169">
                  <c:v>154.62023231583828</c:v>
                </c:pt>
                <c:pt idx="170">
                  <c:v>154.65868571215137</c:v>
                </c:pt>
                <c:pt idx="171">
                  <c:v>154.70560659983823</c:v>
                </c:pt>
                <c:pt idx="172">
                  <c:v>154.77715965122388</c:v>
                </c:pt>
                <c:pt idx="173">
                  <c:v>154.84273496350272</c:v>
                </c:pt>
                <c:pt idx="174">
                  <c:v>154.88936828942244</c:v>
                </c:pt>
                <c:pt idx="175">
                  <c:v>154.92420085792341</c:v>
                </c:pt>
                <c:pt idx="176">
                  <c:v>154.95489915183325</c:v>
                </c:pt>
                <c:pt idx="177">
                  <c:v>155.00367595103589</c:v>
                </c:pt>
                <c:pt idx="178">
                  <c:v>155.05124756265803</c:v>
                </c:pt>
                <c:pt idx="179">
                  <c:v>155.09188580054061</c:v>
                </c:pt>
                <c:pt idx="180">
                  <c:v>155.12912233067632</c:v>
                </c:pt>
                <c:pt idx="181">
                  <c:v>155.2109480175767</c:v>
                </c:pt>
                <c:pt idx="182">
                  <c:v>155.23948097973903</c:v>
                </c:pt>
                <c:pt idx="183">
                  <c:v>155.27406297096343</c:v>
                </c:pt>
                <c:pt idx="184">
                  <c:v>155.2958858788358</c:v>
                </c:pt>
                <c:pt idx="185">
                  <c:v>155.32396162385959</c:v>
                </c:pt>
                <c:pt idx="186">
                  <c:v>155.35830486823485</c:v>
                </c:pt>
                <c:pt idx="187">
                  <c:v>155.38830955260448</c:v>
                </c:pt>
                <c:pt idx="188">
                  <c:v>155.40991560551174</c:v>
                </c:pt>
                <c:pt idx="189">
                  <c:v>155.4298801052395</c:v>
                </c:pt>
                <c:pt idx="190">
                  <c:v>155.44779015135421</c:v>
                </c:pt>
                <c:pt idx="191">
                  <c:v>155.46675009622788</c:v>
                </c:pt>
                <c:pt idx="192">
                  <c:v>155.47944008409539</c:v>
                </c:pt>
                <c:pt idx="193">
                  <c:v>155.49408118283321</c:v>
                </c:pt>
                <c:pt idx="194">
                  <c:v>155.51672817601886</c:v>
                </c:pt>
                <c:pt idx="195">
                  <c:v>155.53405459339839</c:v>
                </c:pt>
                <c:pt idx="196">
                  <c:v>155.55650324527946</c:v>
                </c:pt>
                <c:pt idx="197">
                  <c:v>155.58238219624243</c:v>
                </c:pt>
                <c:pt idx="198">
                  <c:v>155.64640486086773</c:v>
                </c:pt>
                <c:pt idx="199">
                  <c:v>155.68305356568428</c:v>
                </c:pt>
                <c:pt idx="200">
                  <c:v>155.71286913063938</c:v>
                </c:pt>
                <c:pt idx="201">
                  <c:v>155.75200825868689</c:v>
                </c:pt>
                <c:pt idx="202">
                  <c:v>155.78219840577137</c:v>
                </c:pt>
                <c:pt idx="203">
                  <c:v>155.81262096052083</c:v>
                </c:pt>
                <c:pt idx="204">
                  <c:v>155.86457533504918</c:v>
                </c:pt>
                <c:pt idx="205">
                  <c:v>155.89367988989434</c:v>
                </c:pt>
                <c:pt idx="206">
                  <c:v>155.91567501268838</c:v>
                </c:pt>
                <c:pt idx="207">
                  <c:v>155.93458324836968</c:v>
                </c:pt>
                <c:pt idx="208">
                  <c:v>155.94942074461966</c:v>
                </c:pt>
                <c:pt idx="209">
                  <c:v>155.96791389901907</c:v>
                </c:pt>
                <c:pt idx="210">
                  <c:v>155.99063586871318</c:v>
                </c:pt>
                <c:pt idx="211">
                  <c:v>156.0053306826355</c:v>
                </c:pt>
                <c:pt idx="212">
                  <c:v>156.01231731355284</c:v>
                </c:pt>
                <c:pt idx="213">
                  <c:v>156.02257581885931</c:v>
                </c:pt>
                <c:pt idx="214">
                  <c:v>156.03362315947794</c:v>
                </c:pt>
                <c:pt idx="215">
                  <c:v>156.03709623045617</c:v>
                </c:pt>
                <c:pt idx="216">
                  <c:v>156.03376007064668</c:v>
                </c:pt>
                <c:pt idx="217">
                  <c:v>156.02910124380841</c:v>
                </c:pt>
                <c:pt idx="218">
                  <c:v>156.01321069274894</c:v>
                </c:pt>
                <c:pt idx="219">
                  <c:v>156.00030295865031</c:v>
                </c:pt>
                <c:pt idx="220">
                  <c:v>155.979694659822</c:v>
                </c:pt>
                <c:pt idx="221">
                  <c:v>155.96529846071141</c:v>
                </c:pt>
                <c:pt idx="222">
                  <c:v>155.9595606704784</c:v>
                </c:pt>
                <c:pt idx="223">
                  <c:v>155.94407501346632</c:v>
                </c:pt>
                <c:pt idx="224">
                  <c:v>155.92784886412386</c:v>
                </c:pt>
                <c:pt idx="225">
                  <c:v>155.92512481770234</c:v>
                </c:pt>
                <c:pt idx="226">
                  <c:v>155.92122625030055</c:v>
                </c:pt>
                <c:pt idx="227">
                  <c:v>155.92015336374212</c:v>
                </c:pt>
                <c:pt idx="228">
                  <c:v>155.91523811875069</c:v>
                </c:pt>
                <c:pt idx="229">
                  <c:v>155.91392380387848</c:v>
                </c:pt>
                <c:pt idx="230">
                  <c:v>155.91076732371144</c:v>
                </c:pt>
                <c:pt idx="231">
                  <c:v>155.90605032374197</c:v>
                </c:pt>
                <c:pt idx="232">
                  <c:v>155.88734499919741</c:v>
                </c:pt>
                <c:pt idx="233">
                  <c:v>155.85351692358094</c:v>
                </c:pt>
                <c:pt idx="234">
                  <c:v>155.82343128135093</c:v>
                </c:pt>
                <c:pt idx="235">
                  <c:v>155.7907305382416</c:v>
                </c:pt>
                <c:pt idx="236">
                  <c:v>155.75972928646516</c:v>
                </c:pt>
                <c:pt idx="237">
                  <c:v>155.72339106285645</c:v>
                </c:pt>
                <c:pt idx="238">
                  <c:v>155.65164133432444</c:v>
                </c:pt>
                <c:pt idx="239">
                  <c:v>155.6176180137858</c:v>
                </c:pt>
                <c:pt idx="240">
                  <c:v>155.57398846901813</c:v>
                </c:pt>
                <c:pt idx="241">
                  <c:v>155.51465788311492</c:v>
                </c:pt>
                <c:pt idx="242">
                  <c:v>155.46040988239437</c:v>
                </c:pt>
                <c:pt idx="243">
                  <c:v>155.40311482373286</c:v>
                </c:pt>
                <c:pt idx="244">
                  <c:v>155.33899382799936</c:v>
                </c:pt>
                <c:pt idx="245">
                  <c:v>155.23043755939307</c:v>
                </c:pt>
                <c:pt idx="246">
                  <c:v>155.18167021897591</c:v>
                </c:pt>
                <c:pt idx="247">
                  <c:v>155.16512288847125</c:v>
                </c:pt>
                <c:pt idx="248">
                  <c:v>155.14017162778808</c:v>
                </c:pt>
                <c:pt idx="249">
                  <c:v>155.10875102014995</c:v>
                </c:pt>
                <c:pt idx="250">
                  <c:v>155.06778452992299</c:v>
                </c:pt>
                <c:pt idx="251">
                  <c:v>155.03417772081815</c:v>
                </c:pt>
                <c:pt idx="252">
                  <c:v>154.99740947339956</c:v>
                </c:pt>
                <c:pt idx="253">
                  <c:v>154.96246737874927</c:v>
                </c:pt>
                <c:pt idx="254">
                  <c:v>154.91351707192399</c:v>
                </c:pt>
                <c:pt idx="255">
                  <c:v>154.8736612201451</c:v>
                </c:pt>
                <c:pt idx="256">
                  <c:v>154.79736388732414</c:v>
                </c:pt>
                <c:pt idx="257">
                  <c:v>154.73678833989251</c:v>
                </c:pt>
                <c:pt idx="258">
                  <c:v>154.67967585830527</c:v>
                </c:pt>
                <c:pt idx="259">
                  <c:v>154.63367394286794</c:v>
                </c:pt>
                <c:pt idx="260">
                  <c:v>154.59548724295126</c:v>
                </c:pt>
                <c:pt idx="261">
                  <c:v>154.5631214334424</c:v>
                </c:pt>
                <c:pt idx="262">
                  <c:v>154.52043439426126</c:v>
                </c:pt>
                <c:pt idx="263">
                  <c:v>154.48341727022469</c:v>
                </c:pt>
                <c:pt idx="264">
                  <c:v>154.40301431446645</c:v>
                </c:pt>
                <c:pt idx="265">
                  <c:v>154.36096406946689</c:v>
                </c:pt>
                <c:pt idx="266">
                  <c:v>154.32271693730024</c:v>
                </c:pt>
                <c:pt idx="267">
                  <c:v>154.311667137722</c:v>
                </c:pt>
                <c:pt idx="268">
                  <c:v>154.29112139556733</c:v>
                </c:pt>
                <c:pt idx="269">
                  <c:v>154.27978044774747</c:v>
                </c:pt>
                <c:pt idx="270">
                  <c:v>154.27347090656653</c:v>
                </c:pt>
                <c:pt idx="271">
                  <c:v>154.26448772367706</c:v>
                </c:pt>
                <c:pt idx="272">
                  <c:v>154.25650584747612</c:v>
                </c:pt>
                <c:pt idx="273">
                  <c:v>154.25283828813258</c:v>
                </c:pt>
                <c:pt idx="274">
                  <c:v>154.2547699922859</c:v>
                </c:pt>
                <c:pt idx="275">
                  <c:v>154.25205122983982</c:v>
                </c:pt>
                <c:pt idx="276">
                  <c:v>154.24860524916878</c:v>
                </c:pt>
                <c:pt idx="277">
                  <c:v>154.24857606528161</c:v>
                </c:pt>
                <c:pt idx="278">
                  <c:v>154.2554998659719</c:v>
                </c:pt>
                <c:pt idx="279">
                  <c:v>154.25927582226984</c:v>
                </c:pt>
                <c:pt idx="280">
                  <c:v>154.27473244137954</c:v>
                </c:pt>
                <c:pt idx="281">
                  <c:v>154.28051942138839</c:v>
                </c:pt>
                <c:pt idx="282">
                  <c:v>154.28380631671251</c:v>
                </c:pt>
                <c:pt idx="283">
                  <c:v>154.29753088650003</c:v>
                </c:pt>
                <c:pt idx="284">
                  <c:v>154.31602356327679</c:v>
                </c:pt>
                <c:pt idx="285">
                  <c:v>154.36338354865811</c:v>
                </c:pt>
                <c:pt idx="286">
                  <c:v>154.40839190107258</c:v>
                </c:pt>
                <c:pt idx="287">
                  <c:v>154.47562708102024</c:v>
                </c:pt>
                <c:pt idx="288">
                  <c:v>154.52125560640621</c:v>
                </c:pt>
                <c:pt idx="289">
                  <c:v>154.55695873438393</c:v>
                </c:pt>
                <c:pt idx="290">
                  <c:v>154.6150133605461</c:v>
                </c:pt>
                <c:pt idx="291">
                  <c:v>154.66844506003449</c:v>
                </c:pt>
                <c:pt idx="292">
                  <c:v>154.72733962321919</c:v>
                </c:pt>
                <c:pt idx="293">
                  <c:v>154.76866176772663</c:v>
                </c:pt>
                <c:pt idx="294">
                  <c:v>154.80893895907781</c:v>
                </c:pt>
                <c:pt idx="295">
                  <c:v>154.86058551746729</c:v>
                </c:pt>
                <c:pt idx="296">
                  <c:v>154.9614727321412</c:v>
                </c:pt>
                <c:pt idx="297">
                  <c:v>155.0094975993587</c:v>
                </c:pt>
                <c:pt idx="298">
                  <c:v>155.03738065148045</c:v>
                </c:pt>
                <c:pt idx="299">
                  <c:v>155.05600177765447</c:v>
                </c:pt>
                <c:pt idx="300">
                  <c:v>155.07735818275611</c:v>
                </c:pt>
                <c:pt idx="301">
                  <c:v>155.10015930873956</c:v>
                </c:pt>
                <c:pt idx="302">
                  <c:v>155.12967615336225</c:v>
                </c:pt>
                <c:pt idx="303">
                  <c:v>155.15010671620959</c:v>
                </c:pt>
                <c:pt idx="304">
                  <c:v>155.17581617425481</c:v>
                </c:pt>
                <c:pt idx="305">
                  <c:v>155.23824451603963</c:v>
                </c:pt>
                <c:pt idx="306">
                  <c:v>155.26621174475818</c:v>
                </c:pt>
                <c:pt idx="307">
                  <c:v>155.2846714180568</c:v>
                </c:pt>
                <c:pt idx="308">
                  <c:v>155.30461208927147</c:v>
                </c:pt>
                <c:pt idx="309">
                  <c:v>155.32721254202531</c:v>
                </c:pt>
                <c:pt idx="310">
                  <c:v>155.34781562306901</c:v>
                </c:pt>
                <c:pt idx="311">
                  <c:v>155.40339360187983</c:v>
                </c:pt>
                <c:pt idx="312">
                  <c:v>155.3823055713442</c:v>
                </c:pt>
                <c:pt idx="313">
                  <c:v>155.38220890898228</c:v>
                </c:pt>
                <c:pt idx="314">
                  <c:v>155.40667545450006</c:v>
                </c:pt>
                <c:pt idx="315">
                  <c:v>155.39181029015387</c:v>
                </c:pt>
                <c:pt idx="316">
                  <c:v>155.3564151398318</c:v>
                </c:pt>
                <c:pt idx="317">
                  <c:v>155.33013825053092</c:v>
                </c:pt>
                <c:pt idx="318">
                  <c:v>155.29698018805564</c:v>
                </c:pt>
                <c:pt idx="319">
                  <c:v>155.2601713759075</c:v>
                </c:pt>
                <c:pt idx="320">
                  <c:v>155.24608737641839</c:v>
                </c:pt>
                <c:pt idx="321">
                  <c:v>155.2423048451065</c:v>
                </c:pt>
                <c:pt idx="322">
                  <c:v>155.23530468529285</c:v>
                </c:pt>
                <c:pt idx="323">
                  <c:v>155.23110731213362</c:v>
                </c:pt>
                <c:pt idx="324">
                  <c:v>155.24081359615801</c:v>
                </c:pt>
                <c:pt idx="325">
                  <c:v>155.24497014869468</c:v>
                </c:pt>
                <c:pt idx="326">
                  <c:v>155.25199063597844</c:v>
                </c:pt>
                <c:pt idx="327">
                  <c:v>155.25244644938755</c:v>
                </c:pt>
                <c:pt idx="328">
                  <c:v>155.2514012441556</c:v>
                </c:pt>
                <c:pt idx="329">
                  <c:v>155.24914517616622</c:v>
                </c:pt>
                <c:pt idx="330">
                  <c:v>155.24937265346352</c:v>
                </c:pt>
                <c:pt idx="331">
                  <c:v>155.25071430660054</c:v>
                </c:pt>
                <c:pt idx="332">
                  <c:v>155.25463520697625</c:v>
                </c:pt>
                <c:pt idx="333">
                  <c:v>155.25239656088419</c:v>
                </c:pt>
                <c:pt idx="334">
                  <c:v>155.25438534972369</c:v>
                </c:pt>
                <c:pt idx="335">
                  <c:v>155.25385312427827</c:v>
                </c:pt>
                <c:pt idx="336">
                  <c:v>155.25126742866811</c:v>
                </c:pt>
                <c:pt idx="337">
                  <c:v>155.25738953349656</c:v>
                </c:pt>
                <c:pt idx="338">
                  <c:v>155.25855127781378</c:v>
                </c:pt>
                <c:pt idx="339">
                  <c:v>155.25598858693093</c:v>
                </c:pt>
                <c:pt idx="340">
                  <c:v>155.25219055532321</c:v>
                </c:pt>
                <c:pt idx="341">
                  <c:v>155.22519396863362</c:v>
                </c:pt>
                <c:pt idx="342">
                  <c:v>155.19130258379525</c:v>
                </c:pt>
                <c:pt idx="343">
                  <c:v>155.17475615602237</c:v>
                </c:pt>
                <c:pt idx="344">
                  <c:v>155.16324134324222</c:v>
                </c:pt>
                <c:pt idx="345">
                  <c:v>155.15073079374886</c:v>
                </c:pt>
                <c:pt idx="346">
                  <c:v>155.14668424538885</c:v>
                </c:pt>
                <c:pt idx="347">
                  <c:v>155.14159077701271</c:v>
                </c:pt>
                <c:pt idx="348">
                  <c:v>155.13458463852743</c:v>
                </c:pt>
                <c:pt idx="349">
                  <c:v>155.12917560750105</c:v>
                </c:pt>
                <c:pt idx="350">
                  <c:v>155.12437509383025</c:v>
                </c:pt>
                <c:pt idx="351">
                  <c:v>155.11607175800907</c:v>
                </c:pt>
                <c:pt idx="352">
                  <c:v>155.11226982387686</c:v>
                </c:pt>
                <c:pt idx="353">
                  <c:v>155.11281826688619</c:v>
                </c:pt>
                <c:pt idx="354">
                  <c:v>155.11350875300042</c:v>
                </c:pt>
                <c:pt idx="355">
                  <c:v>155.11146234280082</c:v>
                </c:pt>
                <c:pt idx="356">
                  <c:v>155.10672630746188</c:v>
                </c:pt>
                <c:pt idx="357">
                  <c:v>155.10398439691917</c:v>
                </c:pt>
                <c:pt idx="358">
                  <c:v>155.1038419221901</c:v>
                </c:pt>
                <c:pt idx="359">
                  <c:v>155.10408114375539</c:v>
                </c:pt>
                <c:pt idx="360">
                  <c:v>155.1073319796389</c:v>
                </c:pt>
                <c:pt idx="361">
                  <c:v>155.10765790388464</c:v>
                </c:pt>
                <c:pt idx="362">
                  <c:v>155.11154579531006</c:v>
                </c:pt>
                <c:pt idx="363">
                  <c:v>155.11617191168875</c:v>
                </c:pt>
                <c:pt idx="364">
                  <c:v>155.11642882135024</c:v>
                </c:pt>
                <c:pt idx="365">
                  <c:v>155.11026645114984</c:v>
                </c:pt>
                <c:pt idx="366">
                  <c:v>155.09748646346705</c:v>
                </c:pt>
                <c:pt idx="367">
                  <c:v>155.05576987967575</c:v>
                </c:pt>
                <c:pt idx="368">
                  <c:v>155.04618522615729</c:v>
                </c:pt>
                <c:pt idx="369">
                  <c:v>155.03676237942219</c:v>
                </c:pt>
                <c:pt idx="370">
                  <c:v>155.02996230909213</c:v>
                </c:pt>
                <c:pt idx="371">
                  <c:v>155.02252802610005</c:v>
                </c:pt>
                <c:pt idx="372">
                  <c:v>155.01356305783307</c:v>
                </c:pt>
                <c:pt idx="373">
                  <c:v>155.00657083186135</c:v>
                </c:pt>
                <c:pt idx="374">
                  <c:v>155.00995951297645</c:v>
                </c:pt>
                <c:pt idx="375">
                  <c:v>155.01099575943556</c:v>
                </c:pt>
                <c:pt idx="376">
                  <c:v>155.01217659726953</c:v>
                </c:pt>
                <c:pt idx="377">
                  <c:v>155.01272418929403</c:v>
                </c:pt>
                <c:pt idx="378">
                  <c:v>155.01441541220711</c:v>
                </c:pt>
                <c:pt idx="379">
                  <c:v>155.01703939650196</c:v>
                </c:pt>
                <c:pt idx="380">
                  <c:v>155.02309535382514</c:v>
                </c:pt>
                <c:pt idx="381">
                  <c:v>155.02805397891333</c:v>
                </c:pt>
                <c:pt idx="382">
                  <c:v>155.03415855300295</c:v>
                </c:pt>
                <c:pt idx="383">
                  <c:v>155.03447010930034</c:v>
                </c:pt>
                <c:pt idx="384">
                  <c:v>155.10592463059496</c:v>
                </c:pt>
                <c:pt idx="385">
                  <c:v>155.13527691026917</c:v>
                </c:pt>
                <c:pt idx="386">
                  <c:v>155.16286725593528</c:v>
                </c:pt>
                <c:pt idx="387">
                  <c:v>155.18777105078061</c:v>
                </c:pt>
                <c:pt idx="388">
                  <c:v>155.22647848338184</c:v>
                </c:pt>
                <c:pt idx="389">
                  <c:v>155.27448898034822</c:v>
                </c:pt>
                <c:pt idx="390">
                  <c:v>155.30532408712486</c:v>
                </c:pt>
                <c:pt idx="391">
                  <c:v>155.33170598847946</c:v>
                </c:pt>
                <c:pt idx="392">
                  <c:v>155.35995584395039</c:v>
                </c:pt>
                <c:pt idx="393">
                  <c:v>155.39150806517159</c:v>
                </c:pt>
                <c:pt idx="394">
                  <c:v>155.41518123978713</c:v>
                </c:pt>
                <c:pt idx="395">
                  <c:v>155.44822933250859</c:v>
                </c:pt>
                <c:pt idx="396">
                  <c:v>155.48219892522005</c:v>
                </c:pt>
                <c:pt idx="397">
                  <c:v>155.54510906248214</c:v>
                </c:pt>
                <c:pt idx="398">
                  <c:v>155.58346217021193</c:v>
                </c:pt>
                <c:pt idx="399">
                  <c:v>155.62610102792604</c:v>
                </c:pt>
                <c:pt idx="400">
                  <c:v>155.67296075129315</c:v>
                </c:pt>
                <c:pt idx="401">
                  <c:v>155.71578367015937</c:v>
                </c:pt>
                <c:pt idx="402">
                  <c:v>155.757140298557</c:v>
                </c:pt>
                <c:pt idx="403">
                  <c:v>155.79946146547147</c:v>
                </c:pt>
                <c:pt idx="404">
                  <c:v>155.8337706642088</c:v>
                </c:pt>
                <c:pt idx="405">
                  <c:v>155.88243310783531</c:v>
                </c:pt>
                <c:pt idx="406">
                  <c:v>155.94375381843875</c:v>
                </c:pt>
                <c:pt idx="407">
                  <c:v>156.00234746172765</c:v>
                </c:pt>
                <c:pt idx="408">
                  <c:v>156.06499652717432</c:v>
                </c:pt>
                <c:pt idx="409">
                  <c:v>156.12855607495402</c:v>
                </c:pt>
                <c:pt idx="410">
                  <c:v>156.19081508433683</c:v>
                </c:pt>
                <c:pt idx="411">
                  <c:v>156.25842108382599</c:v>
                </c:pt>
                <c:pt idx="412">
                  <c:v>156.30074228954714</c:v>
                </c:pt>
                <c:pt idx="413">
                  <c:v>156.35721184855859</c:v>
                </c:pt>
                <c:pt idx="414">
                  <c:v>156.39433486396879</c:v>
                </c:pt>
                <c:pt idx="415">
                  <c:v>156.43163789020065</c:v>
                </c:pt>
                <c:pt idx="416">
                  <c:v>156.47541310288037</c:v>
                </c:pt>
                <c:pt idx="417">
                  <c:v>156.53463754132696</c:v>
                </c:pt>
                <c:pt idx="418">
                  <c:v>156.58082583905406</c:v>
                </c:pt>
                <c:pt idx="419">
                  <c:v>156.63341211029342</c:v>
                </c:pt>
                <c:pt idx="420">
                  <c:v>156.69726594268411</c:v>
                </c:pt>
                <c:pt idx="421">
                  <c:v>156.75120129104894</c:v>
                </c:pt>
                <c:pt idx="422">
                  <c:v>156.78757132156466</c:v>
                </c:pt>
                <c:pt idx="423">
                  <c:v>156.8267339548793</c:v>
                </c:pt>
                <c:pt idx="424">
                  <c:v>156.86421262003651</c:v>
                </c:pt>
                <c:pt idx="425">
                  <c:v>156.90980284698298</c:v>
                </c:pt>
                <c:pt idx="426">
                  <c:v>156.93886797743525</c:v>
                </c:pt>
                <c:pt idx="427">
                  <c:v>156.98497977683215</c:v>
                </c:pt>
                <c:pt idx="428">
                  <c:v>157.02518483834018</c:v>
                </c:pt>
                <c:pt idx="429">
                  <c:v>157.06670254016169</c:v>
                </c:pt>
                <c:pt idx="430">
                  <c:v>157.21037637834846</c:v>
                </c:pt>
                <c:pt idx="431">
                  <c:v>157.24616180527727</c:v>
                </c:pt>
                <c:pt idx="432">
                  <c:v>157.29329074656508</c:v>
                </c:pt>
                <c:pt idx="433">
                  <c:v>157.33102131460694</c:v>
                </c:pt>
                <c:pt idx="434">
                  <c:v>157.38126421823748</c:v>
                </c:pt>
                <c:pt idx="435">
                  <c:v>157.43715444872893</c:v>
                </c:pt>
                <c:pt idx="436">
                  <c:v>157.49727416903949</c:v>
                </c:pt>
                <c:pt idx="437">
                  <c:v>157.59037687189522</c:v>
                </c:pt>
                <c:pt idx="438">
                  <c:v>157.69712840425893</c:v>
                </c:pt>
                <c:pt idx="439">
                  <c:v>157.75974763574254</c:v>
                </c:pt>
                <c:pt idx="440">
                  <c:v>157.83630551363078</c:v>
                </c:pt>
                <c:pt idx="441">
                  <c:v>157.88653757381948</c:v>
                </c:pt>
                <c:pt idx="442">
                  <c:v>157.96397923187135</c:v>
                </c:pt>
                <c:pt idx="443">
                  <c:v>158.01582222423994</c:v>
                </c:pt>
                <c:pt idx="444">
                  <c:v>158.08598907829989</c:v>
                </c:pt>
                <c:pt idx="445">
                  <c:v>158.17455527241418</c:v>
                </c:pt>
                <c:pt idx="446">
                  <c:v>158.24822635851942</c:v>
                </c:pt>
                <c:pt idx="447">
                  <c:v>158.37295847583047</c:v>
                </c:pt>
                <c:pt idx="448">
                  <c:v>158.46004273471428</c:v>
                </c:pt>
                <c:pt idx="449">
                  <c:v>158.55986531617344</c:v>
                </c:pt>
                <c:pt idx="450">
                  <c:v>158.63491128229933</c:v>
                </c:pt>
                <c:pt idx="451">
                  <c:v>158.71334610044443</c:v>
                </c:pt>
                <c:pt idx="452">
                  <c:v>158.77521028419957</c:v>
                </c:pt>
                <c:pt idx="453">
                  <c:v>158.83529237258392</c:v>
                </c:pt>
                <c:pt idx="454">
                  <c:v>158.91791396164911</c:v>
                </c:pt>
                <c:pt idx="455">
                  <c:v>158.9779024612867</c:v>
                </c:pt>
                <c:pt idx="456">
                  <c:v>159.03938947113153</c:v>
                </c:pt>
                <c:pt idx="457">
                  <c:v>159.10324062099019</c:v>
                </c:pt>
                <c:pt idx="458">
                  <c:v>159.18274934581532</c:v>
                </c:pt>
                <c:pt idx="459">
                  <c:v>159.24052763646014</c:v>
                </c:pt>
                <c:pt idx="460">
                  <c:v>159.31160763870659</c:v>
                </c:pt>
                <c:pt idx="461">
                  <c:v>159.36695735824142</c:v>
                </c:pt>
                <c:pt idx="462">
                  <c:v>159.42082516344684</c:v>
                </c:pt>
                <c:pt idx="463">
                  <c:v>159.4572499525348</c:v>
                </c:pt>
                <c:pt idx="464">
                  <c:v>159.50768960518971</c:v>
                </c:pt>
                <c:pt idx="465">
                  <c:v>159.55861353404146</c:v>
                </c:pt>
                <c:pt idx="466">
                  <c:v>159.6000882488259</c:v>
                </c:pt>
                <c:pt idx="467">
                  <c:v>159.66894838470427</c:v>
                </c:pt>
                <c:pt idx="468">
                  <c:v>159.75111449024016</c:v>
                </c:pt>
                <c:pt idx="469">
                  <c:v>159.83329504116446</c:v>
                </c:pt>
                <c:pt idx="470">
                  <c:v>159.91852855065662</c:v>
                </c:pt>
                <c:pt idx="471">
                  <c:v>160.05871684625828</c:v>
                </c:pt>
                <c:pt idx="472">
                  <c:v>160.19105858136322</c:v>
                </c:pt>
                <c:pt idx="473">
                  <c:v>160.35562667351533</c:v>
                </c:pt>
                <c:pt idx="474">
                  <c:v>160.47528413184824</c:v>
                </c:pt>
                <c:pt idx="475">
                  <c:v>160.62594043384152</c:v>
                </c:pt>
                <c:pt idx="476">
                  <c:v>160.80214210082235</c:v>
                </c:pt>
                <c:pt idx="477">
                  <c:v>160.92531121713441</c:v>
                </c:pt>
                <c:pt idx="478">
                  <c:v>161.00717223566272</c:v>
                </c:pt>
                <c:pt idx="479">
                  <c:v>161.07460333142788</c:v>
                </c:pt>
                <c:pt idx="480">
                  <c:v>161.17209350522324</c:v>
                </c:pt>
                <c:pt idx="481">
                  <c:v>161.26841314341547</c:v>
                </c:pt>
                <c:pt idx="482">
                  <c:v>161.36377442979054</c:v>
                </c:pt>
                <c:pt idx="483">
                  <c:v>161.45984223677232</c:v>
                </c:pt>
                <c:pt idx="484">
                  <c:v>161.54102634414133</c:v>
                </c:pt>
                <c:pt idx="485">
                  <c:v>161.62126637113357</c:v>
                </c:pt>
                <c:pt idx="486">
                  <c:v>161.69515569074707</c:v>
                </c:pt>
                <c:pt idx="487">
                  <c:v>161.8282654836122</c:v>
                </c:pt>
                <c:pt idx="488">
                  <c:v>161.9390820326293</c:v>
                </c:pt>
                <c:pt idx="489">
                  <c:v>162.02666000976618</c:v>
                </c:pt>
                <c:pt idx="490">
                  <c:v>162.13893192078535</c:v>
                </c:pt>
                <c:pt idx="491">
                  <c:v>162.25795892421169</c:v>
                </c:pt>
                <c:pt idx="492">
                  <c:v>162.36086808272856</c:v>
                </c:pt>
                <c:pt idx="493">
                  <c:v>162.44792889884837</c:v>
                </c:pt>
                <c:pt idx="494">
                  <c:v>162.72144501586692</c:v>
                </c:pt>
                <c:pt idx="495">
                  <c:v>162.81293500677984</c:v>
                </c:pt>
                <c:pt idx="496">
                  <c:v>162.88866764557955</c:v>
                </c:pt>
                <c:pt idx="497">
                  <c:v>162.91533448536705</c:v>
                </c:pt>
                <c:pt idx="498">
                  <c:v>162.94121290407662</c:v>
                </c:pt>
                <c:pt idx="499">
                  <c:v>162.98963385967073</c:v>
                </c:pt>
                <c:pt idx="500">
                  <c:v>163.03274496953469</c:v>
                </c:pt>
                <c:pt idx="501">
                  <c:v>163.0774127762399</c:v>
                </c:pt>
                <c:pt idx="502">
                  <c:v>163.14704820685316</c:v>
                </c:pt>
                <c:pt idx="503">
                  <c:v>163.2438186544606</c:v>
                </c:pt>
                <c:pt idx="504">
                  <c:v>163.32721189932474</c:v>
                </c:pt>
                <c:pt idx="505">
                  <c:v>163.40955970189856</c:v>
                </c:pt>
                <c:pt idx="506">
                  <c:v>163.47805994180504</c:v>
                </c:pt>
                <c:pt idx="507">
                  <c:v>163.54008280666298</c:v>
                </c:pt>
                <c:pt idx="508">
                  <c:v>163.67386184486898</c:v>
                </c:pt>
                <c:pt idx="509">
                  <c:v>163.81315778045564</c:v>
                </c:pt>
                <c:pt idx="510">
                  <c:v>163.97168702947769</c:v>
                </c:pt>
                <c:pt idx="511">
                  <c:v>164.08675839028689</c:v>
                </c:pt>
                <c:pt idx="512">
                  <c:v>164.21972524825554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Data!$G$2:$G$514</c:f>
              <c:numCache>
                <c:formatCode>General</c:formatCode>
                <c:ptCount val="513"/>
                <c:pt idx="0">
                  <c:v>159.97</c:v>
                </c:pt>
                <c:pt idx="1">
                  <c:v>160.93106996742205</c:v>
                </c:pt>
                <c:pt idx="2">
                  <c:v>160.90090017723037</c:v>
                </c:pt>
                <c:pt idx="3">
                  <c:v>161.05045116890653</c:v>
                </c:pt>
                <c:pt idx="4">
                  <c:v>161.29526970167041</c:v>
                </c:pt>
                <c:pt idx="5">
                  <c:v>161.45822961445555</c:v>
                </c:pt>
                <c:pt idx="6">
                  <c:v>161.60342249923372</c:v>
                </c:pt>
                <c:pt idx="7">
                  <c:v>161.57872454086589</c:v>
                </c:pt>
                <c:pt idx="8">
                  <c:v>161.7883870692917</c:v>
                </c:pt>
                <c:pt idx="9">
                  <c:v>161.7266228369925</c:v>
                </c:pt>
                <c:pt idx="10">
                  <c:v>161.68500129931383</c:v>
                </c:pt>
                <c:pt idx="11">
                  <c:v>161.67120403618534</c:v>
                </c:pt>
                <c:pt idx="12">
                  <c:v>161.72011877098538</c:v>
                </c:pt>
                <c:pt idx="13">
                  <c:v>161.88961919407453</c:v>
                </c:pt>
                <c:pt idx="14">
                  <c:v>161.82700814366228</c:v>
                </c:pt>
                <c:pt idx="15">
                  <c:v>161.82882918267325</c:v>
                </c:pt>
                <c:pt idx="16">
                  <c:v>161.79879872808803</c:v>
                </c:pt>
                <c:pt idx="17">
                  <c:v>161.76392346570054</c:v>
                </c:pt>
                <c:pt idx="18">
                  <c:v>161.71933411694073</c:v>
                </c:pt>
                <c:pt idx="19">
                  <c:v>161.6790065128493</c:v>
                </c:pt>
                <c:pt idx="20">
                  <c:v>161.61736302627605</c:v>
                </c:pt>
                <c:pt idx="21">
                  <c:v>161.56922788011548</c:v>
                </c:pt>
                <c:pt idx="22">
                  <c:v>161.58452756383315</c:v>
                </c:pt>
                <c:pt idx="23">
                  <c:v>161.58095950872277</c:v>
                </c:pt>
                <c:pt idx="24">
                  <c:v>161.49799797309635</c:v>
                </c:pt>
                <c:pt idx="25">
                  <c:v>161.42483540731416</c:v>
                </c:pt>
                <c:pt idx="26">
                  <c:v>161.3555204841638</c:v>
                </c:pt>
                <c:pt idx="27">
                  <c:v>161.32152329196592</c:v>
                </c:pt>
                <c:pt idx="28">
                  <c:v>161.26828592668807</c:v>
                </c:pt>
                <c:pt idx="29">
                  <c:v>161.20640955165678</c:v>
                </c:pt>
                <c:pt idx="30">
                  <c:v>161.14758544829104</c:v>
                </c:pt>
                <c:pt idx="31">
                  <c:v>161.0936482278623</c:v>
                </c:pt>
                <c:pt idx="32">
                  <c:v>161.03133984217644</c:v>
                </c:pt>
                <c:pt idx="33">
                  <c:v>160.97179629106901</c:v>
                </c:pt>
                <c:pt idx="34">
                  <c:v>160.9366461015091</c:v>
                </c:pt>
                <c:pt idx="35">
                  <c:v>160.96452803367825</c:v>
                </c:pt>
                <c:pt idx="36">
                  <c:v>161.05288154628408</c:v>
                </c:pt>
                <c:pt idx="37">
                  <c:v>161.0743676873274</c:v>
                </c:pt>
                <c:pt idx="38">
                  <c:v>161.09927484261857</c:v>
                </c:pt>
                <c:pt idx="39">
                  <c:v>161.1540453659689</c:v>
                </c:pt>
                <c:pt idx="40">
                  <c:v>161.22458271159169</c:v>
                </c:pt>
                <c:pt idx="41">
                  <c:v>161.29495957053828</c:v>
                </c:pt>
                <c:pt idx="42">
                  <c:v>161.28628471998732</c:v>
                </c:pt>
                <c:pt idx="43">
                  <c:v>161.28113094885961</c:v>
                </c:pt>
                <c:pt idx="44">
                  <c:v>161.25966406664406</c:v>
                </c:pt>
                <c:pt idx="45">
                  <c:v>161.23414788793858</c:v>
                </c:pt>
                <c:pt idx="46">
                  <c:v>161.21666023156561</c:v>
                </c:pt>
                <c:pt idx="47">
                  <c:v>161.23774276199708</c:v>
                </c:pt>
                <c:pt idx="48">
                  <c:v>161.34866200345814</c:v>
                </c:pt>
                <c:pt idx="49">
                  <c:v>161.36927087540906</c:v>
                </c:pt>
                <c:pt idx="50">
                  <c:v>161.34658774797575</c:v>
                </c:pt>
                <c:pt idx="51">
                  <c:v>161.29437963234415</c:v>
                </c:pt>
                <c:pt idx="52">
                  <c:v>161.27239493358834</c:v>
                </c:pt>
                <c:pt idx="53">
                  <c:v>161.24632313934441</c:v>
                </c:pt>
                <c:pt idx="54">
                  <c:v>161.24096189864758</c:v>
                </c:pt>
                <c:pt idx="55">
                  <c:v>161.23287660947955</c:v>
                </c:pt>
                <c:pt idx="56">
                  <c:v>161.21847743429981</c:v>
                </c:pt>
                <c:pt idx="57">
                  <c:v>161.19859770742138</c:v>
                </c:pt>
                <c:pt idx="58">
                  <c:v>161.17474293362514</c:v>
                </c:pt>
                <c:pt idx="59">
                  <c:v>161.14179368036071</c:v>
                </c:pt>
                <c:pt idx="60">
                  <c:v>161.11645239909049</c:v>
                </c:pt>
                <c:pt idx="61">
                  <c:v>161.09454029014137</c:v>
                </c:pt>
                <c:pt idx="62">
                  <c:v>161.06811490059147</c:v>
                </c:pt>
                <c:pt idx="63">
                  <c:v>161.05350034504323</c:v>
                </c:pt>
                <c:pt idx="64">
                  <c:v>161.08671224622404</c:v>
                </c:pt>
                <c:pt idx="65">
                  <c:v>161.11326504666764</c:v>
                </c:pt>
                <c:pt idx="66">
                  <c:v>161.16265420429548</c:v>
                </c:pt>
                <c:pt idx="67">
                  <c:v>161.17938487140802</c:v>
                </c:pt>
                <c:pt idx="68">
                  <c:v>161.23063130875934</c:v>
                </c:pt>
                <c:pt idx="69">
                  <c:v>161.27689848068943</c:v>
                </c:pt>
                <c:pt idx="70">
                  <c:v>161.36526847976589</c:v>
                </c:pt>
                <c:pt idx="71">
                  <c:v>161.39866701820512</c:v>
                </c:pt>
                <c:pt idx="72">
                  <c:v>161.39306257891707</c:v>
                </c:pt>
                <c:pt idx="73">
                  <c:v>161.43512296968893</c:v>
                </c:pt>
                <c:pt idx="74">
                  <c:v>161.42386656477441</c:v>
                </c:pt>
                <c:pt idx="75">
                  <c:v>161.37320720192366</c:v>
                </c:pt>
                <c:pt idx="76">
                  <c:v>161.30404295781813</c:v>
                </c:pt>
                <c:pt idx="77">
                  <c:v>161.23243021707512</c:v>
                </c:pt>
                <c:pt idx="78">
                  <c:v>161.17114074494498</c:v>
                </c:pt>
                <c:pt idx="79">
                  <c:v>161.15761078829979</c:v>
                </c:pt>
                <c:pt idx="80">
                  <c:v>161.17297443392169</c:v>
                </c:pt>
                <c:pt idx="81">
                  <c:v>161.16648358099334</c:v>
                </c:pt>
                <c:pt idx="82">
                  <c:v>161.14541377242537</c:v>
                </c:pt>
                <c:pt idx="83">
                  <c:v>161.03609845286707</c:v>
                </c:pt>
                <c:pt idx="84">
                  <c:v>160.97575630125715</c:v>
                </c:pt>
                <c:pt idx="85">
                  <c:v>160.93691904714791</c:v>
                </c:pt>
                <c:pt idx="86">
                  <c:v>160.91820343536668</c:v>
                </c:pt>
                <c:pt idx="87">
                  <c:v>160.87205579598412</c:v>
                </c:pt>
                <c:pt idx="88">
                  <c:v>160.82026519320036</c:v>
                </c:pt>
                <c:pt idx="89">
                  <c:v>160.77616913621284</c:v>
                </c:pt>
                <c:pt idx="90">
                  <c:v>160.73871068001358</c:v>
                </c:pt>
                <c:pt idx="91">
                  <c:v>160.69795240449253</c:v>
                </c:pt>
                <c:pt idx="92">
                  <c:v>160.64173626396669</c:v>
                </c:pt>
                <c:pt idx="93">
                  <c:v>160.6022459582324</c:v>
                </c:pt>
                <c:pt idx="94">
                  <c:v>160.56510953225529</c:v>
                </c:pt>
                <c:pt idx="95">
                  <c:v>160.53257641763167</c:v>
                </c:pt>
                <c:pt idx="96">
                  <c:v>160.48192012379496</c:v>
                </c:pt>
                <c:pt idx="97">
                  <c:v>160.44449899983545</c:v>
                </c:pt>
                <c:pt idx="98">
                  <c:v>160.40686923842293</c:v>
                </c:pt>
                <c:pt idx="99">
                  <c:v>160.3552094607588</c:v>
                </c:pt>
                <c:pt idx="100">
                  <c:v>160.29583837115572</c:v>
                </c:pt>
                <c:pt idx="101">
                  <c:v>160.23740675955381</c:v>
                </c:pt>
                <c:pt idx="102">
                  <c:v>160.20765147968842</c:v>
                </c:pt>
                <c:pt idx="103">
                  <c:v>160.16616398734502</c:v>
                </c:pt>
                <c:pt idx="104">
                  <c:v>160.05402757753956</c:v>
                </c:pt>
                <c:pt idx="105">
                  <c:v>160.01203411470723</c:v>
                </c:pt>
                <c:pt idx="106">
                  <c:v>159.95680821264219</c:v>
                </c:pt>
                <c:pt idx="107">
                  <c:v>159.93766363460196</c:v>
                </c:pt>
                <c:pt idx="108">
                  <c:v>159.92244197593126</c:v>
                </c:pt>
                <c:pt idx="109">
                  <c:v>159.90054109639777</c:v>
                </c:pt>
                <c:pt idx="110">
                  <c:v>159.87199115119088</c:v>
                </c:pt>
                <c:pt idx="111">
                  <c:v>159.84560790839484</c:v>
                </c:pt>
                <c:pt idx="112">
                  <c:v>159.82181814101097</c:v>
                </c:pt>
                <c:pt idx="113">
                  <c:v>159.7898269200245</c:v>
                </c:pt>
                <c:pt idx="114">
                  <c:v>159.78407000822727</c:v>
                </c:pt>
                <c:pt idx="115">
                  <c:v>159.74921225562539</c:v>
                </c:pt>
                <c:pt idx="116">
                  <c:v>159.72012368833055</c:v>
                </c:pt>
                <c:pt idx="117">
                  <c:v>159.66412789624161</c:v>
                </c:pt>
                <c:pt idx="118">
                  <c:v>159.57352596518564</c:v>
                </c:pt>
                <c:pt idx="119">
                  <c:v>159.53131907749108</c:v>
                </c:pt>
                <c:pt idx="120">
                  <c:v>159.49295750969731</c:v>
                </c:pt>
                <c:pt idx="121">
                  <c:v>159.46569126056286</c:v>
                </c:pt>
                <c:pt idx="122">
                  <c:v>159.43892709005408</c:v>
                </c:pt>
                <c:pt idx="123">
                  <c:v>159.37180331088311</c:v>
                </c:pt>
                <c:pt idx="124">
                  <c:v>159.34629285571197</c:v>
                </c:pt>
                <c:pt idx="125">
                  <c:v>159.31949826452791</c:v>
                </c:pt>
                <c:pt idx="126">
                  <c:v>159.31229131101347</c:v>
                </c:pt>
                <c:pt idx="127">
                  <c:v>159.28709080821159</c:v>
                </c:pt>
                <c:pt idx="128">
                  <c:v>159.26317816229482</c:v>
                </c:pt>
                <c:pt idx="129">
                  <c:v>159.22862364078273</c:v>
                </c:pt>
                <c:pt idx="130">
                  <c:v>159.19197255627537</c:v>
                </c:pt>
                <c:pt idx="131">
                  <c:v>159.15505347182929</c:v>
                </c:pt>
                <c:pt idx="132">
                  <c:v>159.12231608269565</c:v>
                </c:pt>
                <c:pt idx="133">
                  <c:v>159.08386754441409</c:v>
                </c:pt>
                <c:pt idx="134">
                  <c:v>159.0511950372431</c:v>
                </c:pt>
                <c:pt idx="135">
                  <c:v>159.0832872830872</c:v>
                </c:pt>
                <c:pt idx="136">
                  <c:v>159.08668718909837</c:v>
                </c:pt>
                <c:pt idx="137">
                  <c:v>159.07708783922052</c:v>
                </c:pt>
                <c:pt idx="138">
                  <c:v>159.06316010652941</c:v>
                </c:pt>
                <c:pt idx="139">
                  <c:v>159.03757150286827</c:v>
                </c:pt>
                <c:pt idx="140">
                  <c:v>159.04304687383944</c:v>
                </c:pt>
                <c:pt idx="141">
                  <c:v>159.10721906541269</c:v>
                </c:pt>
                <c:pt idx="142">
                  <c:v>159.17591198063377</c:v>
                </c:pt>
                <c:pt idx="143">
                  <c:v>159.1983971458786</c:v>
                </c:pt>
                <c:pt idx="144">
                  <c:v>159.26283139704137</c:v>
                </c:pt>
                <c:pt idx="145">
                  <c:v>159.28739927168488</c:v>
                </c:pt>
                <c:pt idx="146">
                  <c:v>159.34575008503819</c:v>
                </c:pt>
                <c:pt idx="147">
                  <c:v>159.49870323001468</c:v>
                </c:pt>
                <c:pt idx="148">
                  <c:v>159.59392137864023</c:v>
                </c:pt>
                <c:pt idx="149">
                  <c:v>159.62526466460037</c:v>
                </c:pt>
                <c:pt idx="150">
                  <c:v>159.64773545896216</c:v>
                </c:pt>
                <c:pt idx="151">
                  <c:v>159.68009530065453</c:v>
                </c:pt>
                <c:pt idx="152">
                  <c:v>159.71345010900507</c:v>
                </c:pt>
                <c:pt idx="153">
                  <c:v>159.75408688485592</c:v>
                </c:pt>
                <c:pt idx="154">
                  <c:v>159.78385857460896</c:v>
                </c:pt>
                <c:pt idx="155">
                  <c:v>159.79620130374573</c:v>
                </c:pt>
                <c:pt idx="156">
                  <c:v>159.82343536590943</c:v>
                </c:pt>
                <c:pt idx="157">
                  <c:v>159.84339219167896</c:v>
                </c:pt>
                <c:pt idx="158">
                  <c:v>159.86251400040879</c:v>
                </c:pt>
                <c:pt idx="159">
                  <c:v>159.90146530540557</c:v>
                </c:pt>
                <c:pt idx="160">
                  <c:v>159.94237176086088</c:v>
                </c:pt>
                <c:pt idx="161">
                  <c:v>160.00445438439746</c:v>
                </c:pt>
                <c:pt idx="162">
                  <c:v>160.09618840058485</c:v>
                </c:pt>
                <c:pt idx="163">
                  <c:v>160.19188527373117</c:v>
                </c:pt>
                <c:pt idx="164">
                  <c:v>160.24258099022779</c:v>
                </c:pt>
                <c:pt idx="165">
                  <c:v>160.31091413678732</c:v>
                </c:pt>
                <c:pt idx="166">
                  <c:v>160.40004862623766</c:v>
                </c:pt>
                <c:pt idx="167">
                  <c:v>160.51940804455521</c:v>
                </c:pt>
                <c:pt idx="168">
                  <c:v>160.64911939861935</c:v>
                </c:pt>
                <c:pt idx="169">
                  <c:v>160.77925934882649</c:v>
                </c:pt>
                <c:pt idx="170">
                  <c:v>160.84857979046942</c:v>
                </c:pt>
                <c:pt idx="171">
                  <c:v>160.91972866963187</c:v>
                </c:pt>
                <c:pt idx="172">
                  <c:v>161.03634382608237</c:v>
                </c:pt>
                <c:pt idx="173">
                  <c:v>161.1538111223679</c:v>
                </c:pt>
                <c:pt idx="174">
                  <c:v>161.22524859750649</c:v>
                </c:pt>
                <c:pt idx="175">
                  <c:v>161.28248995770042</c:v>
                </c:pt>
                <c:pt idx="176">
                  <c:v>161.34249020739725</c:v>
                </c:pt>
                <c:pt idx="177">
                  <c:v>161.43368301853943</c:v>
                </c:pt>
                <c:pt idx="178">
                  <c:v>161.52306586994158</c:v>
                </c:pt>
                <c:pt idx="179">
                  <c:v>161.59534652669763</c:v>
                </c:pt>
                <c:pt idx="180">
                  <c:v>161.6519176448075</c:v>
                </c:pt>
                <c:pt idx="181">
                  <c:v>161.74742965358524</c:v>
                </c:pt>
                <c:pt idx="182">
                  <c:v>161.78275283845758</c:v>
                </c:pt>
                <c:pt idx="183">
                  <c:v>161.82107666788724</c:v>
                </c:pt>
                <c:pt idx="184">
                  <c:v>161.83546329150582</c:v>
                </c:pt>
                <c:pt idx="185">
                  <c:v>161.85953474436033</c:v>
                </c:pt>
                <c:pt idx="186">
                  <c:v>161.88981621960244</c:v>
                </c:pt>
                <c:pt idx="187">
                  <c:v>161.91888860982016</c:v>
                </c:pt>
                <c:pt idx="188">
                  <c:v>161.93904343597097</c:v>
                </c:pt>
                <c:pt idx="189">
                  <c:v>161.95357454484</c:v>
                </c:pt>
                <c:pt idx="190">
                  <c:v>161.96327683187374</c:v>
                </c:pt>
                <c:pt idx="191">
                  <c:v>161.97324534335849</c:v>
                </c:pt>
                <c:pt idx="192">
                  <c:v>161.97448362707888</c:v>
                </c:pt>
                <c:pt idx="193">
                  <c:v>161.97819099808038</c:v>
                </c:pt>
                <c:pt idx="194">
                  <c:v>161.9931900906974</c:v>
                </c:pt>
                <c:pt idx="195">
                  <c:v>162.00233176964869</c:v>
                </c:pt>
                <c:pt idx="196">
                  <c:v>162.02034492509875</c:v>
                </c:pt>
                <c:pt idx="197">
                  <c:v>162.04231752210643</c:v>
                </c:pt>
                <c:pt idx="198">
                  <c:v>162.11564105878318</c:v>
                </c:pt>
                <c:pt idx="199">
                  <c:v>162.16236073524337</c:v>
                </c:pt>
                <c:pt idx="200">
                  <c:v>162.2030778939872</c:v>
                </c:pt>
                <c:pt idx="201">
                  <c:v>162.25700833460144</c:v>
                </c:pt>
                <c:pt idx="202">
                  <c:v>162.28801379293296</c:v>
                </c:pt>
                <c:pt idx="203">
                  <c:v>162.32231460549394</c:v>
                </c:pt>
                <c:pt idx="204">
                  <c:v>162.39305900630134</c:v>
                </c:pt>
                <c:pt idx="205">
                  <c:v>162.42662730186302</c:v>
                </c:pt>
                <c:pt idx="206">
                  <c:v>162.44056692623136</c:v>
                </c:pt>
                <c:pt idx="207">
                  <c:v>162.45401406540901</c:v>
                </c:pt>
                <c:pt idx="208">
                  <c:v>162.45837059108123</c:v>
                </c:pt>
                <c:pt idx="209">
                  <c:v>162.46792934100316</c:v>
                </c:pt>
                <c:pt idx="210">
                  <c:v>162.47962727698629</c:v>
                </c:pt>
                <c:pt idx="211">
                  <c:v>162.48404586050825</c:v>
                </c:pt>
                <c:pt idx="212">
                  <c:v>162.47700831114003</c:v>
                </c:pt>
                <c:pt idx="213">
                  <c:v>162.47348074843538</c:v>
                </c:pt>
                <c:pt idx="214">
                  <c:v>162.47026051476547</c:v>
                </c:pt>
                <c:pt idx="215">
                  <c:v>162.45884670706405</c:v>
                </c:pt>
                <c:pt idx="216">
                  <c:v>162.44103502773368</c:v>
                </c:pt>
                <c:pt idx="217">
                  <c:v>162.42236124599174</c:v>
                </c:pt>
                <c:pt idx="218">
                  <c:v>162.3969764105758</c:v>
                </c:pt>
                <c:pt idx="219">
                  <c:v>162.37312066826019</c:v>
                </c:pt>
                <c:pt idx="220">
                  <c:v>162.34534055709287</c:v>
                </c:pt>
                <c:pt idx="221">
                  <c:v>162.31858862035384</c:v>
                </c:pt>
                <c:pt idx="222">
                  <c:v>162.29948911315088</c:v>
                </c:pt>
                <c:pt idx="223">
                  <c:v>162.27380311775977</c:v>
                </c:pt>
                <c:pt idx="224">
                  <c:v>162.24716243147191</c:v>
                </c:pt>
                <c:pt idx="225">
                  <c:v>162.23068370239324</c:v>
                </c:pt>
                <c:pt idx="226">
                  <c:v>162.21334825243309</c:v>
                </c:pt>
                <c:pt idx="227">
                  <c:v>162.19856417469546</c:v>
                </c:pt>
                <c:pt idx="228">
                  <c:v>162.18105040571649</c:v>
                </c:pt>
                <c:pt idx="229">
                  <c:v>162.16638825092861</c:v>
                </c:pt>
                <c:pt idx="230">
                  <c:v>162.15026616541488</c:v>
                </c:pt>
                <c:pt idx="231">
                  <c:v>162.13286602673566</c:v>
                </c:pt>
                <c:pt idx="232">
                  <c:v>162.10611078918998</c:v>
                </c:pt>
                <c:pt idx="233">
                  <c:v>162.07054208790643</c:v>
                </c:pt>
                <c:pt idx="234">
                  <c:v>162.0426851714692</c:v>
                </c:pt>
                <c:pt idx="235">
                  <c:v>162.01303312571588</c:v>
                </c:pt>
                <c:pt idx="236">
                  <c:v>161.98359741659431</c:v>
                </c:pt>
                <c:pt idx="237">
                  <c:v>161.95036764696766</c:v>
                </c:pt>
                <c:pt idx="238">
                  <c:v>161.89576040724387</c:v>
                </c:pt>
                <c:pt idx="239">
                  <c:v>161.88100151087403</c:v>
                </c:pt>
                <c:pt idx="240">
                  <c:v>161.85374561217546</c:v>
                </c:pt>
                <c:pt idx="241">
                  <c:v>161.82986750406334</c:v>
                </c:pt>
                <c:pt idx="242">
                  <c:v>161.79225596676449</c:v>
                </c:pt>
                <c:pt idx="243">
                  <c:v>161.76221454468012</c:v>
                </c:pt>
                <c:pt idx="244">
                  <c:v>161.73340764319644</c:v>
                </c:pt>
                <c:pt idx="245">
                  <c:v>161.65267709608122</c:v>
                </c:pt>
                <c:pt idx="246">
                  <c:v>161.62560159197614</c:v>
                </c:pt>
                <c:pt idx="247">
                  <c:v>161.62655147684399</c:v>
                </c:pt>
                <c:pt idx="248">
                  <c:v>161.62033264643813</c:v>
                </c:pt>
                <c:pt idx="249">
                  <c:v>161.6105519275909</c:v>
                </c:pt>
                <c:pt idx="250">
                  <c:v>161.60258566190171</c:v>
                </c:pt>
                <c:pt idx="251">
                  <c:v>161.59225537663181</c:v>
                </c:pt>
                <c:pt idx="252">
                  <c:v>161.58223718422011</c:v>
                </c:pt>
                <c:pt idx="253">
                  <c:v>161.57227055508864</c:v>
                </c:pt>
                <c:pt idx="254">
                  <c:v>161.5513048069009</c:v>
                </c:pt>
                <c:pt idx="255">
                  <c:v>161.52308718909555</c:v>
                </c:pt>
                <c:pt idx="256">
                  <c:v>161.48367491309239</c:v>
                </c:pt>
                <c:pt idx="257">
                  <c:v>161.46070207163706</c:v>
                </c:pt>
                <c:pt idx="258">
                  <c:v>161.42384991483547</c:v>
                </c:pt>
                <c:pt idx="259">
                  <c:v>161.39595700537396</c:v>
                </c:pt>
                <c:pt idx="260">
                  <c:v>161.37417909829989</c:v>
                </c:pt>
                <c:pt idx="261">
                  <c:v>161.34408834502568</c:v>
                </c:pt>
                <c:pt idx="262">
                  <c:v>161.30672703355609</c:v>
                </c:pt>
                <c:pt idx="263">
                  <c:v>161.2701937067512</c:v>
                </c:pt>
                <c:pt idx="264">
                  <c:v>161.20346118584257</c:v>
                </c:pt>
                <c:pt idx="265">
                  <c:v>161.16792957337248</c:v>
                </c:pt>
                <c:pt idx="266">
                  <c:v>161.1351888483392</c:v>
                </c:pt>
                <c:pt idx="267">
                  <c:v>161.11257810871436</c:v>
                </c:pt>
                <c:pt idx="268">
                  <c:v>161.08505729299617</c:v>
                </c:pt>
                <c:pt idx="269">
                  <c:v>161.06500168491516</c:v>
                </c:pt>
                <c:pt idx="270">
                  <c:v>161.04729352163102</c:v>
                </c:pt>
                <c:pt idx="271">
                  <c:v>161.02790204371465</c:v>
                </c:pt>
                <c:pt idx="272">
                  <c:v>161.0099937082212</c:v>
                </c:pt>
                <c:pt idx="273">
                  <c:v>160.99451464503602</c:v>
                </c:pt>
                <c:pt idx="274">
                  <c:v>160.98418713944625</c:v>
                </c:pt>
                <c:pt idx="275">
                  <c:v>160.96976893879287</c:v>
                </c:pt>
                <c:pt idx="276">
                  <c:v>160.95501002702906</c:v>
                </c:pt>
                <c:pt idx="277">
                  <c:v>160.94301312157296</c:v>
                </c:pt>
                <c:pt idx="278">
                  <c:v>160.93835716337705</c:v>
                </c:pt>
                <c:pt idx="279">
                  <c:v>160.93022962525646</c:v>
                </c:pt>
                <c:pt idx="280">
                  <c:v>160.93531361258584</c:v>
                </c:pt>
                <c:pt idx="281">
                  <c:v>160.92971015173995</c:v>
                </c:pt>
                <c:pt idx="282">
                  <c:v>160.92124200004676</c:v>
                </c:pt>
                <c:pt idx="283">
                  <c:v>160.92566373701385</c:v>
                </c:pt>
                <c:pt idx="284">
                  <c:v>160.93856741918461</c:v>
                </c:pt>
                <c:pt idx="285">
                  <c:v>160.98871230686589</c:v>
                </c:pt>
                <c:pt idx="286">
                  <c:v>161.04248037621036</c:v>
                </c:pt>
                <c:pt idx="287">
                  <c:v>161.13042890973284</c:v>
                </c:pt>
                <c:pt idx="288">
                  <c:v>161.1814313776141</c:v>
                </c:pt>
                <c:pt idx="289">
                  <c:v>161.22515588808434</c:v>
                </c:pt>
                <c:pt idx="290">
                  <c:v>161.29719261068192</c:v>
                </c:pt>
                <c:pt idx="291">
                  <c:v>161.37702780729029</c:v>
                </c:pt>
                <c:pt idx="292">
                  <c:v>161.45124804245998</c:v>
                </c:pt>
                <c:pt idx="293">
                  <c:v>161.50605270752601</c:v>
                </c:pt>
                <c:pt idx="294">
                  <c:v>161.56317342357332</c:v>
                </c:pt>
                <c:pt idx="295">
                  <c:v>161.63602790574942</c:v>
                </c:pt>
                <c:pt idx="296">
                  <c:v>161.76363460332777</c:v>
                </c:pt>
                <c:pt idx="297">
                  <c:v>161.82751169362297</c:v>
                </c:pt>
                <c:pt idx="298">
                  <c:v>161.85770469167085</c:v>
                </c:pt>
                <c:pt idx="299">
                  <c:v>161.8790421695912</c:v>
                </c:pt>
                <c:pt idx="300">
                  <c:v>161.90234862490183</c:v>
                </c:pt>
                <c:pt idx="301">
                  <c:v>161.92710586908032</c:v>
                </c:pt>
                <c:pt idx="302">
                  <c:v>161.9639673129023</c:v>
                </c:pt>
                <c:pt idx="303">
                  <c:v>161.986653020738</c:v>
                </c:pt>
                <c:pt idx="304">
                  <c:v>162.01462134106924</c:v>
                </c:pt>
                <c:pt idx="305">
                  <c:v>162.08146663606013</c:v>
                </c:pt>
                <c:pt idx="306">
                  <c:v>162.11244518865277</c:v>
                </c:pt>
                <c:pt idx="307">
                  <c:v>162.12675859217967</c:v>
                </c:pt>
                <c:pt idx="308">
                  <c:v>162.1444349617841</c:v>
                </c:pt>
                <c:pt idx="309">
                  <c:v>162.16923412298047</c:v>
                </c:pt>
                <c:pt idx="310">
                  <c:v>162.19404601310464</c:v>
                </c:pt>
                <c:pt idx="311">
                  <c:v>162.26273768728998</c:v>
                </c:pt>
                <c:pt idx="312">
                  <c:v>162.23209040642828</c:v>
                </c:pt>
                <c:pt idx="313">
                  <c:v>162.22110491469996</c:v>
                </c:pt>
                <c:pt idx="314">
                  <c:v>162.23863778733011</c:v>
                </c:pt>
                <c:pt idx="315">
                  <c:v>162.21436928889176</c:v>
                </c:pt>
                <c:pt idx="316">
                  <c:v>162.17417335391133</c:v>
                </c:pt>
                <c:pt idx="317">
                  <c:v>162.14461976228222</c:v>
                </c:pt>
                <c:pt idx="318">
                  <c:v>162.10584845774068</c:v>
                </c:pt>
                <c:pt idx="319">
                  <c:v>162.06950668951089</c:v>
                </c:pt>
                <c:pt idx="320">
                  <c:v>162.04829135823906</c:v>
                </c:pt>
                <c:pt idx="321">
                  <c:v>162.03430214100308</c:v>
                </c:pt>
                <c:pt idx="322">
                  <c:v>162.0176898574918</c:v>
                </c:pt>
                <c:pt idx="323">
                  <c:v>162.00367702483874</c:v>
                </c:pt>
                <c:pt idx="324">
                  <c:v>162.00374200595036</c:v>
                </c:pt>
                <c:pt idx="325">
                  <c:v>161.9979041948537</c:v>
                </c:pt>
                <c:pt idx="326">
                  <c:v>161.99561871028664</c:v>
                </c:pt>
                <c:pt idx="327">
                  <c:v>161.98580025445898</c:v>
                </c:pt>
                <c:pt idx="328">
                  <c:v>161.97462268370776</c:v>
                </c:pt>
                <c:pt idx="329">
                  <c:v>161.96241636132697</c:v>
                </c:pt>
                <c:pt idx="330">
                  <c:v>161.95251147736235</c:v>
                </c:pt>
                <c:pt idx="331">
                  <c:v>161.94376959130636</c:v>
                </c:pt>
                <c:pt idx="332">
                  <c:v>161.93774037733991</c:v>
                </c:pt>
                <c:pt idx="333">
                  <c:v>161.92579089566931</c:v>
                </c:pt>
                <c:pt idx="334">
                  <c:v>161.91786840381172</c:v>
                </c:pt>
                <c:pt idx="335">
                  <c:v>161.90749825369301</c:v>
                </c:pt>
                <c:pt idx="336">
                  <c:v>161.89532620524838</c:v>
                </c:pt>
                <c:pt idx="337">
                  <c:v>161.89224486917976</c:v>
                </c:pt>
                <c:pt idx="338">
                  <c:v>161.8836138467517</c:v>
                </c:pt>
                <c:pt idx="339">
                  <c:v>161.87173477771694</c:v>
                </c:pt>
                <c:pt idx="340">
                  <c:v>161.85871023852567</c:v>
                </c:pt>
                <c:pt idx="341">
                  <c:v>161.83339850284452</c:v>
                </c:pt>
                <c:pt idx="342">
                  <c:v>161.80860277980258</c:v>
                </c:pt>
                <c:pt idx="343">
                  <c:v>161.79019739526353</c:v>
                </c:pt>
                <c:pt idx="344">
                  <c:v>161.77297331703551</c:v>
                </c:pt>
                <c:pt idx="345">
                  <c:v>161.75292513807202</c:v>
                </c:pt>
                <c:pt idx="346">
                  <c:v>161.74011561297331</c:v>
                </c:pt>
                <c:pt idx="347">
                  <c:v>161.72673194140253</c:v>
                </c:pt>
                <c:pt idx="348">
                  <c:v>161.71211389357893</c:v>
                </c:pt>
                <c:pt idx="349">
                  <c:v>161.69872680367752</c:v>
                </c:pt>
                <c:pt idx="350">
                  <c:v>161.68565367417997</c:v>
                </c:pt>
                <c:pt idx="351">
                  <c:v>161.67004742199595</c:v>
                </c:pt>
                <c:pt idx="352">
                  <c:v>161.65773561734292</c:v>
                </c:pt>
                <c:pt idx="353">
                  <c:v>161.64904773206479</c:v>
                </c:pt>
                <c:pt idx="354">
                  <c:v>161.64052697935745</c:v>
                </c:pt>
                <c:pt idx="355">
                  <c:v>161.62954602780559</c:v>
                </c:pt>
                <c:pt idx="356">
                  <c:v>161.61676256468786</c:v>
                </c:pt>
                <c:pt idx="357">
                  <c:v>161.60562042207147</c:v>
                </c:pt>
                <c:pt idx="358">
                  <c:v>161.59645607002759</c:v>
                </c:pt>
                <c:pt idx="359">
                  <c:v>161.58768273054844</c:v>
                </c:pt>
                <c:pt idx="360">
                  <c:v>161.58215693421977</c:v>
                </c:pt>
                <c:pt idx="361">
                  <c:v>161.57354218480108</c:v>
                </c:pt>
                <c:pt idx="362">
                  <c:v>161.56882366374023</c:v>
                </c:pt>
                <c:pt idx="363">
                  <c:v>161.56514225142678</c:v>
                </c:pt>
                <c:pt idx="364">
                  <c:v>161.55657200849834</c:v>
                </c:pt>
                <c:pt idx="365">
                  <c:v>161.5436252335131</c:v>
                </c:pt>
                <c:pt idx="366">
                  <c:v>161.52680321757637</c:v>
                </c:pt>
                <c:pt idx="367">
                  <c:v>161.48309440947921</c:v>
                </c:pt>
                <c:pt idx="368">
                  <c:v>161.46835229020564</c:v>
                </c:pt>
                <c:pt idx="369">
                  <c:v>161.45243706051275</c:v>
                </c:pt>
                <c:pt idx="370">
                  <c:v>161.43904138510808</c:v>
                </c:pt>
                <c:pt idx="371">
                  <c:v>161.42539750622294</c:v>
                </c:pt>
                <c:pt idx="372">
                  <c:v>161.40970500732718</c:v>
                </c:pt>
                <c:pt idx="373">
                  <c:v>161.39560610717982</c:v>
                </c:pt>
                <c:pt idx="374">
                  <c:v>161.3905314377981</c:v>
                </c:pt>
                <c:pt idx="375">
                  <c:v>161.3830839597417</c:v>
                </c:pt>
                <c:pt idx="376">
                  <c:v>161.37589045857658</c:v>
                </c:pt>
                <c:pt idx="377">
                  <c:v>161.36801748581919</c:v>
                </c:pt>
                <c:pt idx="378">
                  <c:v>161.36135337785726</c:v>
                </c:pt>
                <c:pt idx="379">
                  <c:v>161.35578715698688</c:v>
                </c:pt>
                <c:pt idx="380">
                  <c:v>161.35461704243298</c:v>
                </c:pt>
                <c:pt idx="381">
                  <c:v>161.35175266455192</c:v>
                </c:pt>
                <c:pt idx="382">
                  <c:v>161.35001471611665</c:v>
                </c:pt>
                <c:pt idx="383">
                  <c:v>161.3421079580074</c:v>
                </c:pt>
                <c:pt idx="384">
                  <c:v>161.4234366891684</c:v>
                </c:pt>
                <c:pt idx="385">
                  <c:v>161.45628382341712</c:v>
                </c:pt>
                <c:pt idx="386">
                  <c:v>161.4896056844475</c:v>
                </c:pt>
                <c:pt idx="387">
                  <c:v>161.52242968420299</c:v>
                </c:pt>
                <c:pt idx="388">
                  <c:v>161.58428841981171</c:v>
                </c:pt>
                <c:pt idx="389">
                  <c:v>161.66118091924895</c:v>
                </c:pt>
                <c:pt idx="390">
                  <c:v>161.72295317726793</c:v>
                </c:pt>
                <c:pt idx="391">
                  <c:v>161.77313305558738</c:v>
                </c:pt>
                <c:pt idx="392">
                  <c:v>161.81530086574941</c:v>
                </c:pt>
                <c:pt idx="393">
                  <c:v>161.8690713346104</c:v>
                </c:pt>
                <c:pt idx="394">
                  <c:v>161.91065642899881</c:v>
                </c:pt>
                <c:pt idx="395">
                  <c:v>161.95130976438341</c:v>
                </c:pt>
                <c:pt idx="396">
                  <c:v>162.00304762332624</c:v>
                </c:pt>
                <c:pt idx="397">
                  <c:v>162.10252060902647</c:v>
                </c:pt>
                <c:pt idx="398">
                  <c:v>162.17511356678884</c:v>
                </c:pt>
                <c:pt idx="399">
                  <c:v>162.25059823710163</c:v>
                </c:pt>
                <c:pt idx="400">
                  <c:v>162.33510826373634</c:v>
                </c:pt>
                <c:pt idx="401">
                  <c:v>162.42596113613121</c:v>
                </c:pt>
                <c:pt idx="402">
                  <c:v>162.51765632424204</c:v>
                </c:pt>
                <c:pt idx="403">
                  <c:v>162.60288504493516</c:v>
                </c:pt>
                <c:pt idx="404">
                  <c:v>162.68972505091963</c:v>
                </c:pt>
                <c:pt idx="405">
                  <c:v>162.79193904568646</c:v>
                </c:pt>
                <c:pt idx="406">
                  <c:v>162.9190381648869</c:v>
                </c:pt>
                <c:pt idx="407">
                  <c:v>163.03937494655958</c:v>
                </c:pt>
                <c:pt idx="408">
                  <c:v>163.17365953737703</c:v>
                </c:pt>
                <c:pt idx="409">
                  <c:v>163.31517339530862</c:v>
                </c:pt>
                <c:pt idx="410">
                  <c:v>163.45444129333785</c:v>
                </c:pt>
                <c:pt idx="411">
                  <c:v>163.60016891117172</c:v>
                </c:pt>
                <c:pt idx="412">
                  <c:v>163.71258294491608</c:v>
                </c:pt>
                <c:pt idx="413">
                  <c:v>163.82481461925974</c:v>
                </c:pt>
                <c:pt idx="414">
                  <c:v>163.91863854772507</c:v>
                </c:pt>
                <c:pt idx="415">
                  <c:v>164.00335857084755</c:v>
                </c:pt>
                <c:pt idx="416">
                  <c:v>164.10437561789817</c:v>
                </c:pt>
                <c:pt idx="417">
                  <c:v>164.22561125551633</c:v>
                </c:pt>
                <c:pt idx="418">
                  <c:v>164.33229551703067</c:v>
                </c:pt>
                <c:pt idx="419">
                  <c:v>164.44928373699938</c:v>
                </c:pt>
                <c:pt idx="420">
                  <c:v>164.57420802916977</c:v>
                </c:pt>
                <c:pt idx="421">
                  <c:v>164.68621870314522</c:v>
                </c:pt>
                <c:pt idx="422">
                  <c:v>164.77254290529888</c:v>
                </c:pt>
                <c:pt idx="423">
                  <c:v>164.85419734811418</c:v>
                </c:pt>
                <c:pt idx="424">
                  <c:v>164.94933531866658</c:v>
                </c:pt>
                <c:pt idx="425">
                  <c:v>165.04891614040213</c:v>
                </c:pt>
                <c:pt idx="426">
                  <c:v>165.12719611700453</c:v>
                </c:pt>
                <c:pt idx="427">
                  <c:v>165.21647687662431</c:v>
                </c:pt>
                <c:pt idx="428">
                  <c:v>165.30325711423058</c:v>
                </c:pt>
                <c:pt idx="429">
                  <c:v>165.37501241574063</c:v>
                </c:pt>
                <c:pt idx="430">
                  <c:v>165.55854649949063</c:v>
                </c:pt>
                <c:pt idx="431">
                  <c:v>165.62386387422305</c:v>
                </c:pt>
                <c:pt idx="432">
                  <c:v>165.71178363466092</c:v>
                </c:pt>
                <c:pt idx="433">
                  <c:v>165.79026500406263</c:v>
                </c:pt>
                <c:pt idx="434">
                  <c:v>165.88617927682478</c:v>
                </c:pt>
                <c:pt idx="435">
                  <c:v>165.99825448584627</c:v>
                </c:pt>
                <c:pt idx="436">
                  <c:v>166.12531015679755</c:v>
                </c:pt>
                <c:pt idx="437">
                  <c:v>166.30990979653672</c:v>
                </c:pt>
                <c:pt idx="438">
                  <c:v>166.51089838607345</c:v>
                </c:pt>
                <c:pt idx="439">
                  <c:v>166.66536796810189</c:v>
                </c:pt>
                <c:pt idx="440">
                  <c:v>166.85166988776805</c:v>
                </c:pt>
                <c:pt idx="441">
                  <c:v>167.00568488422996</c:v>
                </c:pt>
                <c:pt idx="442">
                  <c:v>167.19022176915027</c:v>
                </c:pt>
                <c:pt idx="443">
                  <c:v>167.35295613783441</c:v>
                </c:pt>
                <c:pt idx="444">
                  <c:v>167.54232965416386</c:v>
                </c:pt>
                <c:pt idx="445">
                  <c:v>167.74477223346236</c:v>
                </c:pt>
                <c:pt idx="446">
                  <c:v>167.93128471842499</c:v>
                </c:pt>
                <c:pt idx="447">
                  <c:v>168.1661525433116</c:v>
                </c:pt>
                <c:pt idx="448">
                  <c:v>168.36347786635471</c:v>
                </c:pt>
                <c:pt idx="449">
                  <c:v>168.57829263702624</c:v>
                </c:pt>
                <c:pt idx="450">
                  <c:v>168.77416762443255</c:v>
                </c:pt>
                <c:pt idx="451">
                  <c:v>168.97465885005349</c:v>
                </c:pt>
                <c:pt idx="452">
                  <c:v>169.14272138226605</c:v>
                </c:pt>
                <c:pt idx="453">
                  <c:v>169.31443359849271</c:v>
                </c:pt>
                <c:pt idx="454">
                  <c:v>169.50319968469057</c:v>
                </c:pt>
                <c:pt idx="455">
                  <c:v>169.65353228987905</c:v>
                </c:pt>
                <c:pt idx="456">
                  <c:v>169.80313952592715</c:v>
                </c:pt>
                <c:pt idx="457">
                  <c:v>169.93357640853225</c:v>
                </c:pt>
                <c:pt idx="458">
                  <c:v>170.0768196671892</c:v>
                </c:pt>
                <c:pt idx="459">
                  <c:v>170.21124163262004</c:v>
                </c:pt>
                <c:pt idx="460">
                  <c:v>170.35667786848273</c:v>
                </c:pt>
                <c:pt idx="461">
                  <c:v>170.47087000643211</c:v>
                </c:pt>
                <c:pt idx="462">
                  <c:v>170.5858636211554</c:v>
                </c:pt>
                <c:pt idx="463">
                  <c:v>170.67806040102678</c:v>
                </c:pt>
                <c:pt idx="464">
                  <c:v>170.78845044271387</c:v>
                </c:pt>
                <c:pt idx="465">
                  <c:v>170.89639094051014</c:v>
                </c:pt>
                <c:pt idx="466">
                  <c:v>171.00367657500408</c:v>
                </c:pt>
                <c:pt idx="467">
                  <c:v>171.16900447077762</c:v>
                </c:pt>
                <c:pt idx="468">
                  <c:v>171.34950362239357</c:v>
                </c:pt>
                <c:pt idx="469">
                  <c:v>171.53377662829394</c:v>
                </c:pt>
                <c:pt idx="470">
                  <c:v>171.72366977324492</c:v>
                </c:pt>
                <c:pt idx="471">
                  <c:v>171.99113005296684</c:v>
                </c:pt>
                <c:pt idx="472">
                  <c:v>172.25121009800904</c:v>
                </c:pt>
                <c:pt idx="473">
                  <c:v>172.55888106119016</c:v>
                </c:pt>
                <c:pt idx="474">
                  <c:v>172.82280291827956</c:v>
                </c:pt>
                <c:pt idx="475">
                  <c:v>173.12082689901644</c:v>
                </c:pt>
                <c:pt idx="476">
                  <c:v>173.45726024832604</c:v>
                </c:pt>
                <c:pt idx="477">
                  <c:v>173.74192093346755</c:v>
                </c:pt>
                <c:pt idx="478">
                  <c:v>173.98853254197178</c:v>
                </c:pt>
                <c:pt idx="479">
                  <c:v>174.21253694897783</c:v>
                </c:pt>
                <c:pt idx="480">
                  <c:v>174.45223918314707</c:v>
                </c:pt>
                <c:pt idx="481">
                  <c:v>174.68859734577106</c:v>
                </c:pt>
                <c:pt idx="482">
                  <c:v>174.92074550715867</c:v>
                </c:pt>
                <c:pt idx="483">
                  <c:v>175.13267077320924</c:v>
                </c:pt>
                <c:pt idx="484">
                  <c:v>175.32437012970135</c:v>
                </c:pt>
                <c:pt idx="485">
                  <c:v>175.5114342395276</c:v>
                </c:pt>
                <c:pt idx="486">
                  <c:v>175.68081411163632</c:v>
                </c:pt>
                <c:pt idx="487">
                  <c:v>175.94786666910295</c:v>
                </c:pt>
                <c:pt idx="488">
                  <c:v>176.21345434990664</c:v>
                </c:pt>
                <c:pt idx="489">
                  <c:v>176.46374347707584</c:v>
                </c:pt>
                <c:pt idx="490">
                  <c:v>176.75399643675351</c:v>
                </c:pt>
                <c:pt idx="491">
                  <c:v>177.01400050794558</c:v>
                </c:pt>
                <c:pt idx="492">
                  <c:v>177.26207204987008</c:v>
                </c:pt>
                <c:pt idx="493">
                  <c:v>177.47883748825436</c:v>
                </c:pt>
                <c:pt idx="494">
                  <c:v>177.86817675218586</c:v>
                </c:pt>
                <c:pt idx="495">
                  <c:v>178.0792207228252</c:v>
                </c:pt>
                <c:pt idx="496">
                  <c:v>178.26366603905166</c:v>
                </c:pt>
                <c:pt idx="497">
                  <c:v>178.40885214333977</c:v>
                </c:pt>
                <c:pt idx="498">
                  <c:v>178.55048125026698</c:v>
                </c:pt>
                <c:pt idx="499">
                  <c:v>178.71242451877447</c:v>
                </c:pt>
                <c:pt idx="500">
                  <c:v>178.86363979389998</c:v>
                </c:pt>
                <c:pt idx="501">
                  <c:v>179.01498572329663</c:v>
                </c:pt>
                <c:pt idx="502">
                  <c:v>179.19188232994327</c:v>
                </c:pt>
                <c:pt idx="503">
                  <c:v>179.37828931090928</c:v>
                </c:pt>
                <c:pt idx="504">
                  <c:v>179.55248849304394</c:v>
                </c:pt>
                <c:pt idx="505">
                  <c:v>179.73841696577017</c:v>
                </c:pt>
                <c:pt idx="506">
                  <c:v>179.89991069442007</c:v>
                </c:pt>
                <c:pt idx="507">
                  <c:v>180.04684581448868</c:v>
                </c:pt>
                <c:pt idx="508">
                  <c:v>180.29190557144011</c:v>
                </c:pt>
                <c:pt idx="509">
                  <c:v>180.56299590443643</c:v>
                </c:pt>
                <c:pt idx="510">
                  <c:v>180.88100038525209</c:v>
                </c:pt>
                <c:pt idx="511">
                  <c:v>181.15922500136938</c:v>
                </c:pt>
                <c:pt idx="512">
                  <c:v>181.44679326042038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Data!$H$1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159.97</c:v>
                </c:pt>
                <c:pt idx="1">
                  <c:v>159.93106996742205</c:v>
                </c:pt>
                <c:pt idx="2">
                  <c:v>160.07058564512687</c:v>
                </c:pt>
                <c:pt idx="3">
                  <c:v>160.15988954835467</c:v>
                </c:pt>
                <c:pt idx="4">
                  <c:v>160.24534779981292</c:v>
                </c:pt>
                <c:pt idx="5">
                  <c:v>160.33569280486358</c:v>
                </c:pt>
                <c:pt idx="6">
                  <c:v>160.39059312045003</c:v>
                </c:pt>
                <c:pt idx="7">
                  <c:v>160.44382366413703</c:v>
                </c:pt>
                <c:pt idx="8">
                  <c:v>160.4496720045033</c:v>
                </c:pt>
                <c:pt idx="9">
                  <c:v>160.38276421347589</c:v>
                </c:pt>
                <c:pt idx="10">
                  <c:v>160.3332494515802</c:v>
                </c:pt>
                <c:pt idx="11">
                  <c:v>160.37584158154615</c:v>
                </c:pt>
                <c:pt idx="12">
                  <c:v>160.4401871899737</c:v>
                </c:pt>
                <c:pt idx="13">
                  <c:v>160.48430856678115</c:v>
                </c:pt>
                <c:pt idx="14">
                  <c:v>160.28966035535211</c:v>
                </c:pt>
                <c:pt idx="15">
                  <c:v>159.99868958758765</c:v>
                </c:pt>
                <c:pt idx="16">
                  <c:v>159.8946848063413</c:v>
                </c:pt>
                <c:pt idx="17">
                  <c:v>159.80001422488192</c:v>
                </c:pt>
                <c:pt idx="18">
                  <c:v>159.69439651316895</c:v>
                </c:pt>
                <c:pt idx="19">
                  <c:v>159.5200799277149</c:v>
                </c:pt>
                <c:pt idx="20">
                  <c:v>159.37864821841652</c:v>
                </c:pt>
                <c:pt idx="21">
                  <c:v>159.19247754641185</c:v>
                </c:pt>
                <c:pt idx="22">
                  <c:v>158.77226277005548</c:v>
                </c:pt>
                <c:pt idx="23">
                  <c:v>158.28768954054019</c:v>
                </c:pt>
                <c:pt idx="24">
                  <c:v>158.17048397012059</c:v>
                </c:pt>
                <c:pt idx="25">
                  <c:v>158.0661391083907</c:v>
                </c:pt>
                <c:pt idx="26">
                  <c:v>157.79428335690827</c:v>
                </c:pt>
                <c:pt idx="27">
                  <c:v>157.64248483340205</c:v>
                </c:pt>
                <c:pt idx="28">
                  <c:v>157.58878252225827</c:v>
                </c:pt>
                <c:pt idx="29">
                  <c:v>157.41135423073078</c:v>
                </c:pt>
                <c:pt idx="30">
                  <c:v>157.17797885785538</c:v>
                </c:pt>
                <c:pt idx="31">
                  <c:v>157.15117364210087</c:v>
                </c:pt>
                <c:pt idx="32">
                  <c:v>157.02905940866069</c:v>
                </c:pt>
                <c:pt idx="33">
                  <c:v>156.99885023731738</c:v>
                </c:pt>
                <c:pt idx="34">
                  <c:v>157.01612110542783</c:v>
                </c:pt>
                <c:pt idx="35">
                  <c:v>157.07851215048319</c:v>
                </c:pt>
                <c:pt idx="36">
                  <c:v>157.13056391475175</c:v>
                </c:pt>
                <c:pt idx="37">
                  <c:v>157.17645973220678</c:v>
                </c:pt>
                <c:pt idx="38">
                  <c:v>157.2186914396151</c:v>
                </c:pt>
                <c:pt idx="39">
                  <c:v>157.2652023825097</c:v>
                </c:pt>
                <c:pt idx="40">
                  <c:v>157.33885961010648</c:v>
                </c:pt>
                <c:pt idx="41">
                  <c:v>157.3750028108619</c:v>
                </c:pt>
                <c:pt idx="42">
                  <c:v>157.41141738507517</c:v>
                </c:pt>
                <c:pt idx="43">
                  <c:v>157.44888736199161</c:v>
                </c:pt>
                <c:pt idx="44">
                  <c:v>157.46946503607086</c:v>
                </c:pt>
                <c:pt idx="45">
                  <c:v>157.47942687730747</c:v>
                </c:pt>
                <c:pt idx="46">
                  <c:v>157.50205947783448</c:v>
                </c:pt>
                <c:pt idx="47">
                  <c:v>157.53184356087343</c:v>
                </c:pt>
                <c:pt idx="48">
                  <c:v>157.57559945433664</c:v>
                </c:pt>
                <c:pt idx="49">
                  <c:v>157.61289389752201</c:v>
                </c:pt>
                <c:pt idx="50">
                  <c:v>157.62469859051512</c:v>
                </c:pt>
                <c:pt idx="51">
                  <c:v>157.58505771549193</c:v>
                </c:pt>
                <c:pt idx="52">
                  <c:v>157.51414571802914</c:v>
                </c:pt>
                <c:pt idx="53">
                  <c:v>157.41180895371664</c:v>
                </c:pt>
                <c:pt idx="54">
                  <c:v>157.30898683504068</c:v>
                </c:pt>
                <c:pt idx="55">
                  <c:v>157.21297359067273</c:v>
                </c:pt>
                <c:pt idx="56">
                  <c:v>157.08545519598476</c:v>
                </c:pt>
                <c:pt idx="57">
                  <c:v>156.96338357312109</c:v>
                </c:pt>
                <c:pt idx="58">
                  <c:v>156.87959130741913</c:v>
                </c:pt>
                <c:pt idx="59">
                  <c:v>156.87061019877939</c:v>
                </c:pt>
                <c:pt idx="60">
                  <c:v>156.87285494848769</c:v>
                </c:pt>
                <c:pt idx="61">
                  <c:v>156.87073756400667</c:v>
                </c:pt>
                <c:pt idx="62">
                  <c:v>156.86298813003356</c:v>
                </c:pt>
                <c:pt idx="63">
                  <c:v>156.71026927217321</c:v>
                </c:pt>
                <c:pt idx="64">
                  <c:v>156.4852878822347</c:v>
                </c:pt>
                <c:pt idx="65">
                  <c:v>156.27380226656484</c:v>
                </c:pt>
                <c:pt idx="66">
                  <c:v>156.0469335147628</c:v>
                </c:pt>
                <c:pt idx="67">
                  <c:v>155.86918886175832</c:v>
                </c:pt>
                <c:pt idx="68">
                  <c:v>155.58566229996299</c:v>
                </c:pt>
                <c:pt idx="69">
                  <c:v>155.21490095848739</c:v>
                </c:pt>
                <c:pt idx="70">
                  <c:v>154.82405164230065</c:v>
                </c:pt>
                <c:pt idx="71">
                  <c:v>154.44180398880195</c:v>
                </c:pt>
                <c:pt idx="72">
                  <c:v>153.79164056303483</c:v>
                </c:pt>
                <c:pt idx="73">
                  <c:v>153.29937803429661</c:v>
                </c:pt>
                <c:pt idx="74">
                  <c:v>152.88802970701863</c:v>
                </c:pt>
                <c:pt idx="75">
                  <c:v>152.61312446742647</c:v>
                </c:pt>
                <c:pt idx="76">
                  <c:v>152.39976265423701</c:v>
                </c:pt>
                <c:pt idx="77">
                  <c:v>152.21452589531916</c:v>
                </c:pt>
                <c:pt idx="78">
                  <c:v>152.00197308177542</c:v>
                </c:pt>
                <c:pt idx="79">
                  <c:v>151.76310229929408</c:v>
                </c:pt>
                <c:pt idx="80">
                  <c:v>151.53419985887109</c:v>
                </c:pt>
                <c:pt idx="81">
                  <c:v>151.33674740620651</c:v>
                </c:pt>
                <c:pt idx="82">
                  <c:v>151.02228394670308</c:v>
                </c:pt>
                <c:pt idx="83">
                  <c:v>150.90534261850257</c:v>
                </c:pt>
                <c:pt idx="84">
                  <c:v>150.80468156448336</c:v>
                </c:pt>
                <c:pt idx="85">
                  <c:v>150.70887243071689</c:v>
                </c:pt>
                <c:pt idx="86">
                  <c:v>150.6147610938439</c:v>
                </c:pt>
                <c:pt idx="87">
                  <c:v>150.5030610887008</c:v>
                </c:pt>
                <c:pt idx="88">
                  <c:v>150.39752170017155</c:v>
                </c:pt>
                <c:pt idx="89">
                  <c:v>150.32892516152424</c:v>
                </c:pt>
                <c:pt idx="90">
                  <c:v>150.27087700754487</c:v>
                </c:pt>
                <c:pt idx="91">
                  <c:v>150.24074421270677</c:v>
                </c:pt>
                <c:pt idx="92">
                  <c:v>150.19892965491883</c:v>
                </c:pt>
                <c:pt idx="93">
                  <c:v>150.19445892331294</c:v>
                </c:pt>
                <c:pt idx="94">
                  <c:v>150.20740167343621</c:v>
                </c:pt>
                <c:pt idx="95">
                  <c:v>150.22619234734947</c:v>
                </c:pt>
                <c:pt idx="96">
                  <c:v>150.18798308907498</c:v>
                </c:pt>
                <c:pt idx="97">
                  <c:v>150.16306280456575</c:v>
                </c:pt>
                <c:pt idx="98">
                  <c:v>150.16794490263828</c:v>
                </c:pt>
                <c:pt idx="99">
                  <c:v>150.09815776156179</c:v>
                </c:pt>
                <c:pt idx="100">
                  <c:v>149.94668959532513</c:v>
                </c:pt>
                <c:pt idx="101">
                  <c:v>149.70682511789462</c:v>
                </c:pt>
                <c:pt idx="102">
                  <c:v>149.5088686375633</c:v>
                </c:pt>
                <c:pt idx="103">
                  <c:v>149.33990889113173</c:v>
                </c:pt>
                <c:pt idx="104">
                  <c:v>149.15191416242135</c:v>
                </c:pt>
                <c:pt idx="105">
                  <c:v>149.06734614767859</c:v>
                </c:pt>
                <c:pt idx="106">
                  <c:v>148.97370922321065</c:v>
                </c:pt>
                <c:pt idx="107">
                  <c:v>148.86922391224192</c:v>
                </c:pt>
                <c:pt idx="108">
                  <c:v>148.78612888904016</c:v>
                </c:pt>
                <c:pt idx="109">
                  <c:v>148.71731327098701</c:v>
                </c:pt>
                <c:pt idx="110">
                  <c:v>148.64583400219001</c:v>
                </c:pt>
                <c:pt idx="111">
                  <c:v>148.57006638247216</c:v>
                </c:pt>
                <c:pt idx="112">
                  <c:v>148.46398455888698</c:v>
                </c:pt>
                <c:pt idx="113">
                  <c:v>148.35510321738349</c:v>
                </c:pt>
                <c:pt idx="114">
                  <c:v>148.27887616507019</c:v>
                </c:pt>
                <c:pt idx="115">
                  <c:v>148.18770087937312</c:v>
                </c:pt>
                <c:pt idx="116">
                  <c:v>148.09784173148432</c:v>
                </c:pt>
                <c:pt idx="117">
                  <c:v>148.03053664426858</c:v>
                </c:pt>
                <c:pt idx="118">
                  <c:v>147.94631626937473</c:v>
                </c:pt>
                <c:pt idx="119">
                  <c:v>147.9165825807431</c:v>
                </c:pt>
                <c:pt idx="120">
                  <c:v>147.8586646201303</c:v>
                </c:pt>
                <c:pt idx="121">
                  <c:v>147.80601546806619</c:v>
                </c:pt>
                <c:pt idx="122">
                  <c:v>147.7338938778623</c:v>
                </c:pt>
                <c:pt idx="123">
                  <c:v>147.63158320953508</c:v>
                </c:pt>
                <c:pt idx="124">
                  <c:v>147.57856366888922</c:v>
                </c:pt>
                <c:pt idx="125">
                  <c:v>147.51764276645986</c:v>
                </c:pt>
                <c:pt idx="126">
                  <c:v>147.47112494086051</c:v>
                </c:pt>
                <c:pt idx="127">
                  <c:v>147.42434694484785</c:v>
                </c:pt>
                <c:pt idx="128">
                  <c:v>147.36049749149578</c:v>
                </c:pt>
                <c:pt idx="129">
                  <c:v>147.31737572798048</c:v>
                </c:pt>
                <c:pt idx="130">
                  <c:v>147.30504348057841</c:v>
                </c:pt>
                <c:pt idx="131">
                  <c:v>147.29512208414152</c:v>
                </c:pt>
                <c:pt idx="132">
                  <c:v>147.29096921882325</c:v>
                </c:pt>
                <c:pt idx="133">
                  <c:v>147.27478059900233</c:v>
                </c:pt>
                <c:pt idx="134">
                  <c:v>147.27883889400496</c:v>
                </c:pt>
                <c:pt idx="135">
                  <c:v>147.34150687011589</c:v>
                </c:pt>
                <c:pt idx="136">
                  <c:v>147.38277318271184</c:v>
                </c:pt>
                <c:pt idx="137">
                  <c:v>147.41364275606739</c:v>
                </c:pt>
                <c:pt idx="138">
                  <c:v>147.4409224681842</c:v>
                </c:pt>
                <c:pt idx="139">
                  <c:v>147.4554942192338</c:v>
                </c:pt>
                <c:pt idx="140">
                  <c:v>147.49213533550926</c:v>
                </c:pt>
                <c:pt idx="141">
                  <c:v>147.55044195914675</c:v>
                </c:pt>
                <c:pt idx="142">
                  <c:v>147.59802011772359</c:v>
                </c:pt>
                <c:pt idx="143">
                  <c:v>147.63061648986874</c:v>
                </c:pt>
                <c:pt idx="144">
                  <c:v>147.66365265207546</c:v>
                </c:pt>
                <c:pt idx="145">
                  <c:v>147.70699473373691</c:v>
                </c:pt>
                <c:pt idx="146">
                  <c:v>147.7457836582627</c:v>
                </c:pt>
                <c:pt idx="147">
                  <c:v>147.81212395881263</c:v>
                </c:pt>
                <c:pt idx="148">
                  <c:v>147.88275549897736</c:v>
                </c:pt>
                <c:pt idx="149">
                  <c:v>147.92314846471771</c:v>
                </c:pt>
                <c:pt idx="150">
                  <c:v>147.95575151450177</c:v>
                </c:pt>
                <c:pt idx="151">
                  <c:v>147.98175040031916</c:v>
                </c:pt>
                <c:pt idx="152">
                  <c:v>148.00365256432843</c:v>
                </c:pt>
                <c:pt idx="153">
                  <c:v>148.04386702720498</c:v>
                </c:pt>
                <c:pt idx="154">
                  <c:v>148.09044063077587</c:v>
                </c:pt>
                <c:pt idx="155">
                  <c:v>148.118798667427</c:v>
                </c:pt>
                <c:pt idx="156">
                  <c:v>148.15589406619566</c:v>
                </c:pt>
                <c:pt idx="157">
                  <c:v>148.18261319608138</c:v>
                </c:pt>
                <c:pt idx="158">
                  <c:v>148.20602611301013</c:v>
                </c:pt>
                <c:pt idx="159">
                  <c:v>148.24314956083936</c:v>
                </c:pt>
                <c:pt idx="160">
                  <c:v>148.26501662100227</c:v>
                </c:pt>
                <c:pt idx="161">
                  <c:v>148.29426458402278</c:v>
                </c:pt>
                <c:pt idx="162">
                  <c:v>148.32148818710843</c:v>
                </c:pt>
                <c:pt idx="163">
                  <c:v>148.3451779974578</c:v>
                </c:pt>
                <c:pt idx="164">
                  <c:v>148.35790146428587</c:v>
                </c:pt>
                <c:pt idx="165">
                  <c:v>148.37227011447075</c:v>
                </c:pt>
                <c:pt idx="166">
                  <c:v>148.4035129136866</c:v>
                </c:pt>
                <c:pt idx="167">
                  <c:v>148.43362394404014</c:v>
                </c:pt>
                <c:pt idx="168">
                  <c:v>148.4474898760721</c:v>
                </c:pt>
                <c:pt idx="169">
                  <c:v>148.46120528285007</c:v>
                </c:pt>
                <c:pt idx="170">
                  <c:v>148.46879163383332</c:v>
                </c:pt>
                <c:pt idx="171">
                  <c:v>148.4914845300446</c:v>
                </c:pt>
                <c:pt idx="172">
                  <c:v>148.51797547636539</c:v>
                </c:pt>
                <c:pt idx="173">
                  <c:v>148.53165880463754</c:v>
                </c:pt>
                <c:pt idx="174">
                  <c:v>148.55348798133838</c:v>
                </c:pt>
                <c:pt idx="175">
                  <c:v>148.5659117581464</c:v>
                </c:pt>
                <c:pt idx="176">
                  <c:v>148.56730809626924</c:v>
                </c:pt>
                <c:pt idx="177">
                  <c:v>148.57366888353235</c:v>
                </c:pt>
                <c:pt idx="178">
                  <c:v>148.57942925537449</c:v>
                </c:pt>
                <c:pt idx="179">
                  <c:v>148.58842507438359</c:v>
                </c:pt>
                <c:pt idx="180">
                  <c:v>148.60632701654515</c:v>
                </c:pt>
                <c:pt idx="181">
                  <c:v>148.67446638156815</c:v>
                </c:pt>
                <c:pt idx="182">
                  <c:v>148.69620912102047</c:v>
                </c:pt>
                <c:pt idx="183">
                  <c:v>148.72704927403962</c:v>
                </c:pt>
                <c:pt idx="184">
                  <c:v>148.75630846616579</c:v>
                </c:pt>
                <c:pt idx="185">
                  <c:v>148.78838850335885</c:v>
                </c:pt>
                <c:pt idx="186">
                  <c:v>148.82679351686727</c:v>
                </c:pt>
                <c:pt idx="187">
                  <c:v>148.85773049538881</c:v>
                </c:pt>
                <c:pt idx="188">
                  <c:v>148.88078777505251</c:v>
                </c:pt>
                <c:pt idx="189">
                  <c:v>148.90618566563901</c:v>
                </c:pt>
                <c:pt idx="190">
                  <c:v>148.93230347083468</c:v>
                </c:pt>
                <c:pt idx="191">
                  <c:v>148.96025484909728</c:v>
                </c:pt>
                <c:pt idx="192">
                  <c:v>148.98439654111189</c:v>
                </c:pt>
                <c:pt idx="193">
                  <c:v>149.00997136758605</c:v>
                </c:pt>
                <c:pt idx="194">
                  <c:v>149.04026626134032</c:v>
                </c:pt>
                <c:pt idx="195">
                  <c:v>149.0657774171481</c:v>
                </c:pt>
                <c:pt idx="196">
                  <c:v>149.09266156546016</c:v>
                </c:pt>
                <c:pt idx="197">
                  <c:v>149.12244687037844</c:v>
                </c:pt>
                <c:pt idx="198">
                  <c:v>149.17716866295228</c:v>
                </c:pt>
                <c:pt idx="199">
                  <c:v>149.20374639612518</c:v>
                </c:pt>
                <c:pt idx="200">
                  <c:v>149.22266036729155</c:v>
                </c:pt>
                <c:pt idx="201">
                  <c:v>149.24700818277233</c:v>
                </c:pt>
                <c:pt idx="202">
                  <c:v>149.27638301860978</c:v>
                </c:pt>
                <c:pt idx="203">
                  <c:v>149.30292731554772</c:v>
                </c:pt>
                <c:pt idx="204">
                  <c:v>149.33609166379702</c:v>
                </c:pt>
                <c:pt idx="205">
                  <c:v>149.36073247792567</c:v>
                </c:pt>
                <c:pt idx="206">
                  <c:v>149.39078309914541</c:v>
                </c:pt>
                <c:pt idx="207">
                  <c:v>149.41515243133034</c:v>
                </c:pt>
                <c:pt idx="208">
                  <c:v>149.44047089815808</c:v>
                </c:pt>
                <c:pt idx="209">
                  <c:v>149.46789845703498</c:v>
                </c:pt>
                <c:pt idx="210">
                  <c:v>149.50164446044008</c:v>
                </c:pt>
                <c:pt idx="211">
                  <c:v>149.52661550476276</c:v>
                </c:pt>
                <c:pt idx="212">
                  <c:v>149.54762631596566</c:v>
                </c:pt>
                <c:pt idx="213">
                  <c:v>149.57167088928324</c:v>
                </c:pt>
                <c:pt idx="214">
                  <c:v>149.59698580419041</c:v>
                </c:pt>
                <c:pt idx="215">
                  <c:v>149.61534575384829</c:v>
                </c:pt>
                <c:pt idx="216">
                  <c:v>149.62648511355968</c:v>
                </c:pt>
                <c:pt idx="217">
                  <c:v>149.63584124162509</c:v>
                </c:pt>
                <c:pt idx="218">
                  <c:v>149.62944497492208</c:v>
                </c:pt>
                <c:pt idx="219">
                  <c:v>149.62748524904043</c:v>
                </c:pt>
                <c:pt idx="220">
                  <c:v>149.61404876255114</c:v>
                </c:pt>
                <c:pt idx="221">
                  <c:v>149.61200830106898</c:v>
                </c:pt>
                <c:pt idx="222">
                  <c:v>149.61963222780591</c:v>
                </c:pt>
                <c:pt idx="223">
                  <c:v>149.61434690917287</c:v>
                </c:pt>
                <c:pt idx="224">
                  <c:v>149.60853529677581</c:v>
                </c:pt>
                <c:pt idx="225">
                  <c:v>149.61956593301144</c:v>
                </c:pt>
                <c:pt idx="226">
                  <c:v>149.62910424816801</c:v>
                </c:pt>
                <c:pt idx="227">
                  <c:v>149.64174255278877</c:v>
                </c:pt>
                <c:pt idx="228">
                  <c:v>149.6494258317849</c:v>
                </c:pt>
                <c:pt idx="229">
                  <c:v>149.66145935682835</c:v>
                </c:pt>
                <c:pt idx="230">
                  <c:v>149.671268482008</c:v>
                </c:pt>
                <c:pt idx="231">
                  <c:v>149.67923462074828</c:v>
                </c:pt>
                <c:pt idx="232">
                  <c:v>149.66857920920484</c:v>
                </c:pt>
                <c:pt idx="233">
                  <c:v>149.63649175925545</c:v>
                </c:pt>
                <c:pt idx="234">
                  <c:v>149.60417739123267</c:v>
                </c:pt>
                <c:pt idx="235">
                  <c:v>149.56842795076733</c:v>
                </c:pt>
                <c:pt idx="236">
                  <c:v>149.53586115633601</c:v>
                </c:pt>
                <c:pt idx="237">
                  <c:v>149.49641447874524</c:v>
                </c:pt>
                <c:pt idx="238">
                  <c:v>149.40752226140501</c:v>
                </c:pt>
                <c:pt idx="239">
                  <c:v>149.35423451669757</c:v>
                </c:pt>
                <c:pt idx="240">
                  <c:v>149.29423132586081</c:v>
                </c:pt>
                <c:pt idx="241">
                  <c:v>149.1994482621665</c:v>
                </c:pt>
                <c:pt idx="242">
                  <c:v>149.12856379802426</c:v>
                </c:pt>
                <c:pt idx="243">
                  <c:v>149.04401510278561</c:v>
                </c:pt>
                <c:pt idx="244">
                  <c:v>148.94458001280228</c:v>
                </c:pt>
                <c:pt idx="245">
                  <c:v>148.80819802270491</c:v>
                </c:pt>
                <c:pt idx="246">
                  <c:v>148.73773884597568</c:v>
                </c:pt>
                <c:pt idx="247">
                  <c:v>148.7036943000985</c:v>
                </c:pt>
                <c:pt idx="248">
                  <c:v>148.66001060913803</c:v>
                </c:pt>
                <c:pt idx="249">
                  <c:v>148.606950112709</c:v>
                </c:pt>
                <c:pt idx="250">
                  <c:v>148.53298339794426</c:v>
                </c:pt>
                <c:pt idx="251">
                  <c:v>148.47610006500449</c:v>
                </c:pt>
                <c:pt idx="252">
                  <c:v>148.41258176257901</c:v>
                </c:pt>
                <c:pt idx="253">
                  <c:v>148.3526642024099</c:v>
                </c:pt>
                <c:pt idx="254">
                  <c:v>148.27572933694708</c:v>
                </c:pt>
                <c:pt idx="255">
                  <c:v>148.22423525119464</c:v>
                </c:pt>
                <c:pt idx="256">
                  <c:v>148.11105286155589</c:v>
                </c:pt>
                <c:pt idx="257">
                  <c:v>148.01287460814797</c:v>
                </c:pt>
                <c:pt idx="258">
                  <c:v>147.93550180177508</c:v>
                </c:pt>
                <c:pt idx="259">
                  <c:v>147.87139088036193</c:v>
                </c:pt>
                <c:pt idx="260">
                  <c:v>147.81679538760264</c:v>
                </c:pt>
                <c:pt idx="261">
                  <c:v>147.78215452185913</c:v>
                </c:pt>
                <c:pt idx="262">
                  <c:v>147.73414175496643</c:v>
                </c:pt>
                <c:pt idx="263">
                  <c:v>147.69664083369818</c:v>
                </c:pt>
                <c:pt idx="264">
                  <c:v>147.60256744309032</c:v>
                </c:pt>
                <c:pt idx="265">
                  <c:v>147.5539985655613</c:v>
                </c:pt>
                <c:pt idx="266">
                  <c:v>147.51024502626129</c:v>
                </c:pt>
                <c:pt idx="267">
                  <c:v>147.51075616672964</c:v>
                </c:pt>
                <c:pt idx="268">
                  <c:v>147.49718549813849</c:v>
                </c:pt>
                <c:pt idx="269">
                  <c:v>147.49455921057978</c:v>
                </c:pt>
                <c:pt idx="270">
                  <c:v>147.49964829150204</c:v>
                </c:pt>
                <c:pt idx="271">
                  <c:v>147.50107340363948</c:v>
                </c:pt>
                <c:pt idx="272">
                  <c:v>147.50301798673104</c:v>
                </c:pt>
                <c:pt idx="273">
                  <c:v>147.51116193122914</c:v>
                </c:pt>
                <c:pt idx="274">
                  <c:v>147.52535284512555</c:v>
                </c:pt>
                <c:pt idx="275">
                  <c:v>147.53433352088678</c:v>
                </c:pt>
                <c:pt idx="276">
                  <c:v>147.54220047130849</c:v>
                </c:pt>
                <c:pt idx="277">
                  <c:v>147.55413900899026</c:v>
                </c:pt>
                <c:pt idx="278">
                  <c:v>147.57264256856675</c:v>
                </c:pt>
                <c:pt idx="279">
                  <c:v>147.58832201928323</c:v>
                </c:pt>
                <c:pt idx="280">
                  <c:v>147.61415127017324</c:v>
                </c:pt>
                <c:pt idx="281">
                  <c:v>147.63132869103683</c:v>
                </c:pt>
                <c:pt idx="282">
                  <c:v>147.64637063337827</c:v>
                </c:pt>
                <c:pt idx="283">
                  <c:v>147.66939803598621</c:v>
                </c:pt>
                <c:pt idx="284">
                  <c:v>147.69347970736897</c:v>
                </c:pt>
                <c:pt idx="285">
                  <c:v>147.73805479045032</c:v>
                </c:pt>
                <c:pt idx="286">
                  <c:v>147.77430342593479</c:v>
                </c:pt>
                <c:pt idx="287">
                  <c:v>147.82082525230763</c:v>
                </c:pt>
                <c:pt idx="288">
                  <c:v>147.86107983519832</c:v>
                </c:pt>
                <c:pt idx="289">
                  <c:v>147.88876158068351</c:v>
                </c:pt>
                <c:pt idx="290">
                  <c:v>147.93283411041028</c:v>
                </c:pt>
                <c:pt idx="291">
                  <c:v>147.95986231277868</c:v>
                </c:pt>
                <c:pt idx="292">
                  <c:v>148.00343120397841</c:v>
                </c:pt>
                <c:pt idx="293">
                  <c:v>148.03127082792724</c:v>
                </c:pt>
                <c:pt idx="294">
                  <c:v>148.0547044945823</c:v>
                </c:pt>
                <c:pt idx="295">
                  <c:v>148.08514312918516</c:v>
                </c:pt>
                <c:pt idx="296">
                  <c:v>148.15931086095463</c:v>
                </c:pt>
                <c:pt idx="297">
                  <c:v>148.19148350509442</c:v>
                </c:pt>
                <c:pt idx="298">
                  <c:v>148.21705661129005</c:v>
                </c:pt>
                <c:pt idx="299">
                  <c:v>148.23296138571774</c:v>
                </c:pt>
                <c:pt idx="300">
                  <c:v>148.2523677406104</c:v>
                </c:pt>
                <c:pt idx="301">
                  <c:v>148.27321274839881</c:v>
                </c:pt>
                <c:pt idx="302">
                  <c:v>148.29538499382221</c:v>
                </c:pt>
                <c:pt idx="303">
                  <c:v>148.31356041168118</c:v>
                </c:pt>
                <c:pt idx="304">
                  <c:v>148.33701100744037</c:v>
                </c:pt>
                <c:pt idx="305">
                  <c:v>148.39502239601913</c:v>
                </c:pt>
                <c:pt idx="306">
                  <c:v>148.41997830086359</c:v>
                </c:pt>
                <c:pt idx="307">
                  <c:v>148.44258424393394</c:v>
                </c:pt>
                <c:pt idx="308">
                  <c:v>148.46478921675885</c:v>
                </c:pt>
                <c:pt idx="309">
                  <c:v>148.48519096107015</c:v>
                </c:pt>
                <c:pt idx="310">
                  <c:v>148.50158523303338</c:v>
                </c:pt>
                <c:pt idx="311">
                  <c:v>148.54404951646967</c:v>
                </c:pt>
                <c:pt idx="312">
                  <c:v>148.53252073626012</c:v>
                </c:pt>
                <c:pt idx="313">
                  <c:v>148.54331290326459</c:v>
                </c:pt>
                <c:pt idx="314">
                  <c:v>148.57471312167002</c:v>
                </c:pt>
                <c:pt idx="315">
                  <c:v>148.56925129141598</c:v>
                </c:pt>
                <c:pt idx="316">
                  <c:v>148.53865692575226</c:v>
                </c:pt>
                <c:pt idx="317">
                  <c:v>148.51565673877963</c:v>
                </c:pt>
                <c:pt idx="318">
                  <c:v>148.48811191837061</c:v>
                </c:pt>
                <c:pt idx="319">
                  <c:v>148.45083606230412</c:v>
                </c:pt>
                <c:pt idx="320">
                  <c:v>148.44388339459772</c:v>
                </c:pt>
                <c:pt idx="321">
                  <c:v>148.45030754920992</c:v>
                </c:pt>
                <c:pt idx="322">
                  <c:v>148.45291951309389</c:v>
                </c:pt>
                <c:pt idx="323">
                  <c:v>148.4585375994285</c:v>
                </c:pt>
                <c:pt idx="324">
                  <c:v>148.47788518636565</c:v>
                </c:pt>
                <c:pt idx="325">
                  <c:v>148.49203610253565</c:v>
                </c:pt>
                <c:pt idx="326">
                  <c:v>148.50836256167025</c:v>
                </c:pt>
                <c:pt idx="327">
                  <c:v>148.51909264431612</c:v>
                </c:pt>
                <c:pt idx="328">
                  <c:v>148.52817980460344</c:v>
                </c:pt>
                <c:pt idx="329">
                  <c:v>148.53587399100547</c:v>
                </c:pt>
                <c:pt idx="330">
                  <c:v>148.5462338295647</c:v>
                </c:pt>
                <c:pt idx="331">
                  <c:v>148.55765902189472</c:v>
                </c:pt>
                <c:pt idx="332">
                  <c:v>148.57153003661259</c:v>
                </c:pt>
                <c:pt idx="333">
                  <c:v>148.57900222609908</c:v>
                </c:pt>
                <c:pt idx="334">
                  <c:v>148.59090229563566</c:v>
                </c:pt>
                <c:pt idx="335">
                  <c:v>148.60020799486352</c:v>
                </c:pt>
                <c:pt idx="336">
                  <c:v>148.60720865208785</c:v>
                </c:pt>
                <c:pt idx="337">
                  <c:v>148.62253419781337</c:v>
                </c:pt>
                <c:pt idx="338">
                  <c:v>148.63348870887586</c:v>
                </c:pt>
                <c:pt idx="339">
                  <c:v>148.64024239614491</c:v>
                </c:pt>
                <c:pt idx="340">
                  <c:v>148.64567087212075</c:v>
                </c:pt>
                <c:pt idx="341">
                  <c:v>148.61698943442272</c:v>
                </c:pt>
                <c:pt idx="342">
                  <c:v>148.57400238778791</c:v>
                </c:pt>
                <c:pt idx="343">
                  <c:v>148.5593149167812</c:v>
                </c:pt>
                <c:pt idx="344">
                  <c:v>148.55350936944893</c:v>
                </c:pt>
                <c:pt idx="345">
                  <c:v>148.54853644942571</c:v>
                </c:pt>
                <c:pt idx="346">
                  <c:v>148.5532528778044</c:v>
                </c:pt>
                <c:pt idx="347">
                  <c:v>148.55644961262288</c:v>
                </c:pt>
                <c:pt idx="348">
                  <c:v>148.55705538347593</c:v>
                </c:pt>
                <c:pt idx="349">
                  <c:v>148.55962441132459</c:v>
                </c:pt>
                <c:pt idx="350">
                  <c:v>148.56309651348053</c:v>
                </c:pt>
                <c:pt idx="351">
                  <c:v>148.56209609402219</c:v>
                </c:pt>
                <c:pt idx="352">
                  <c:v>148.56680403041079</c:v>
                </c:pt>
                <c:pt idx="353">
                  <c:v>148.5765888017076</c:v>
                </c:pt>
                <c:pt idx="354">
                  <c:v>148.58649052664339</c:v>
                </c:pt>
                <c:pt idx="355">
                  <c:v>148.59337865779605</c:v>
                </c:pt>
                <c:pt idx="356">
                  <c:v>148.59669005023591</c:v>
                </c:pt>
                <c:pt idx="357">
                  <c:v>148.60234837176688</c:v>
                </c:pt>
                <c:pt idx="358">
                  <c:v>148.61122777435261</c:v>
                </c:pt>
                <c:pt idx="359">
                  <c:v>148.62047955696235</c:v>
                </c:pt>
                <c:pt idx="360">
                  <c:v>148.63250702505803</c:v>
                </c:pt>
                <c:pt idx="361">
                  <c:v>148.6417736229682</c:v>
                </c:pt>
                <c:pt idx="362">
                  <c:v>148.6542679268799</c:v>
                </c:pt>
                <c:pt idx="363">
                  <c:v>148.66720157195073</c:v>
                </c:pt>
                <c:pt idx="364">
                  <c:v>148.67628563420215</c:v>
                </c:pt>
                <c:pt idx="365">
                  <c:v>148.67690766878658</c:v>
                </c:pt>
                <c:pt idx="366">
                  <c:v>148.66816970935773</c:v>
                </c:pt>
                <c:pt idx="367">
                  <c:v>148.62844534987229</c:v>
                </c:pt>
                <c:pt idx="368">
                  <c:v>148.62401816210894</c:v>
                </c:pt>
                <c:pt idx="369">
                  <c:v>148.62108769833162</c:v>
                </c:pt>
                <c:pt idx="370">
                  <c:v>148.62088323307617</c:v>
                </c:pt>
                <c:pt idx="371">
                  <c:v>148.61965854597716</c:v>
                </c:pt>
                <c:pt idx="372">
                  <c:v>148.61742110833896</c:v>
                </c:pt>
                <c:pt idx="373">
                  <c:v>148.61753555654289</c:v>
                </c:pt>
                <c:pt idx="374">
                  <c:v>148.6293875881548</c:v>
                </c:pt>
                <c:pt idx="375">
                  <c:v>148.63890755912942</c:v>
                </c:pt>
                <c:pt idx="376">
                  <c:v>148.64846273596248</c:v>
                </c:pt>
                <c:pt idx="377">
                  <c:v>148.65743089276887</c:v>
                </c:pt>
                <c:pt idx="378">
                  <c:v>148.66747744655697</c:v>
                </c:pt>
                <c:pt idx="379">
                  <c:v>148.67829163601704</c:v>
                </c:pt>
                <c:pt idx="380">
                  <c:v>148.69157366521731</c:v>
                </c:pt>
                <c:pt idx="381">
                  <c:v>148.70435529327474</c:v>
                </c:pt>
                <c:pt idx="382">
                  <c:v>148.71830238988926</c:v>
                </c:pt>
                <c:pt idx="383">
                  <c:v>148.72683226059328</c:v>
                </c:pt>
                <c:pt idx="384">
                  <c:v>148.78841257202151</c:v>
                </c:pt>
                <c:pt idx="385">
                  <c:v>148.81426999712122</c:v>
                </c:pt>
                <c:pt idx="386">
                  <c:v>148.83612882742307</c:v>
                </c:pt>
                <c:pt idx="387">
                  <c:v>148.85311241735823</c:v>
                </c:pt>
                <c:pt idx="388">
                  <c:v>148.86866854695197</c:v>
                </c:pt>
                <c:pt idx="389">
                  <c:v>148.8877970414475</c:v>
                </c:pt>
                <c:pt idx="390">
                  <c:v>148.88769499698179</c:v>
                </c:pt>
                <c:pt idx="391">
                  <c:v>148.89027892137153</c:v>
                </c:pt>
                <c:pt idx="392">
                  <c:v>148.90461082215137</c:v>
                </c:pt>
                <c:pt idx="393">
                  <c:v>148.91394479573279</c:v>
                </c:pt>
                <c:pt idx="394">
                  <c:v>148.91970605057546</c:v>
                </c:pt>
                <c:pt idx="395">
                  <c:v>148.94514890063377</c:v>
                </c:pt>
                <c:pt idx="396">
                  <c:v>148.96135022711385</c:v>
                </c:pt>
                <c:pt idx="397">
                  <c:v>148.98769751593781</c:v>
                </c:pt>
                <c:pt idx="398">
                  <c:v>148.99181077363502</c:v>
                </c:pt>
                <c:pt idx="399">
                  <c:v>149.00160381875045</c:v>
                </c:pt>
                <c:pt idx="400">
                  <c:v>149.01081323884995</c:v>
                </c:pt>
                <c:pt idx="401">
                  <c:v>149.00560620418753</c:v>
                </c:pt>
                <c:pt idx="402">
                  <c:v>148.99662427287197</c:v>
                </c:pt>
                <c:pt idx="403">
                  <c:v>148.99603788600777</c:v>
                </c:pt>
                <c:pt idx="404">
                  <c:v>148.97781627749796</c:v>
                </c:pt>
                <c:pt idx="405">
                  <c:v>148.97292716998416</c:v>
                </c:pt>
                <c:pt idx="406">
                  <c:v>148.9684694719906</c:v>
                </c:pt>
                <c:pt idx="407">
                  <c:v>148.96531997689573</c:v>
                </c:pt>
                <c:pt idx="408">
                  <c:v>148.9563335169716</c:v>
                </c:pt>
                <c:pt idx="409">
                  <c:v>148.94193875459942</c:v>
                </c:pt>
                <c:pt idx="410">
                  <c:v>148.92718887533582</c:v>
                </c:pt>
                <c:pt idx="411">
                  <c:v>148.91667325648027</c:v>
                </c:pt>
                <c:pt idx="412">
                  <c:v>148.88890163417821</c:v>
                </c:pt>
                <c:pt idx="413">
                  <c:v>148.88960907785744</c:v>
                </c:pt>
                <c:pt idx="414">
                  <c:v>148.87003118021252</c:v>
                </c:pt>
                <c:pt idx="415">
                  <c:v>148.85991720955374</c:v>
                </c:pt>
                <c:pt idx="416">
                  <c:v>148.84645058786256</c:v>
                </c:pt>
                <c:pt idx="417">
                  <c:v>148.84366382713759</c:v>
                </c:pt>
                <c:pt idx="418">
                  <c:v>148.82935616107744</c:v>
                </c:pt>
                <c:pt idx="419">
                  <c:v>148.81754048358746</c:v>
                </c:pt>
                <c:pt idx="420">
                  <c:v>148.82032385619846</c:v>
                </c:pt>
                <c:pt idx="421">
                  <c:v>148.81618387895267</c:v>
                </c:pt>
                <c:pt idx="422">
                  <c:v>148.80259973783043</c:v>
                </c:pt>
                <c:pt idx="423">
                  <c:v>148.79927056164442</c:v>
                </c:pt>
                <c:pt idx="424">
                  <c:v>148.77908992140644</c:v>
                </c:pt>
                <c:pt idx="425">
                  <c:v>148.77068955356384</c:v>
                </c:pt>
                <c:pt idx="426">
                  <c:v>148.75053983786597</c:v>
                </c:pt>
                <c:pt idx="427">
                  <c:v>148.75348267703998</c:v>
                </c:pt>
                <c:pt idx="428">
                  <c:v>148.74711256244979</c:v>
                </c:pt>
                <c:pt idx="429">
                  <c:v>148.75839266458274</c:v>
                </c:pt>
                <c:pt idx="430">
                  <c:v>148.86220625720628</c:v>
                </c:pt>
                <c:pt idx="431">
                  <c:v>148.86845973633149</c:v>
                </c:pt>
                <c:pt idx="432">
                  <c:v>148.87479785846924</c:v>
                </c:pt>
                <c:pt idx="433">
                  <c:v>148.87177762515125</c:v>
                </c:pt>
                <c:pt idx="434">
                  <c:v>148.87634915965018</c:v>
                </c:pt>
                <c:pt idx="435">
                  <c:v>148.87605441161159</c:v>
                </c:pt>
                <c:pt idx="436">
                  <c:v>148.86923818128142</c:v>
                </c:pt>
                <c:pt idx="437">
                  <c:v>148.87084394725372</c:v>
                </c:pt>
                <c:pt idx="438">
                  <c:v>148.88335842244442</c:v>
                </c:pt>
                <c:pt idx="439">
                  <c:v>148.85412730338319</c:v>
                </c:pt>
                <c:pt idx="440">
                  <c:v>148.8209411394935</c:v>
                </c:pt>
                <c:pt idx="441">
                  <c:v>148.767390263409</c:v>
                </c:pt>
                <c:pt idx="442">
                  <c:v>148.73773669459243</c:v>
                </c:pt>
                <c:pt idx="443">
                  <c:v>148.67868831064547</c:v>
                </c:pt>
                <c:pt idx="444">
                  <c:v>148.62964850243591</c:v>
                </c:pt>
                <c:pt idx="445">
                  <c:v>148.60433831136601</c:v>
                </c:pt>
                <c:pt idx="446">
                  <c:v>148.56516799861384</c:v>
                </c:pt>
                <c:pt idx="447">
                  <c:v>148.57976440834935</c:v>
                </c:pt>
                <c:pt idx="448">
                  <c:v>148.55660760307384</c:v>
                </c:pt>
                <c:pt idx="449">
                  <c:v>148.54143799532065</c:v>
                </c:pt>
                <c:pt idx="450">
                  <c:v>148.49565494016611</c:v>
                </c:pt>
                <c:pt idx="451">
                  <c:v>148.45203335083536</c:v>
                </c:pt>
                <c:pt idx="452">
                  <c:v>148.4076991861331</c:v>
                </c:pt>
                <c:pt idx="453">
                  <c:v>148.35615114667513</c:v>
                </c:pt>
                <c:pt idx="454">
                  <c:v>148.33262823860764</c:v>
                </c:pt>
                <c:pt idx="455">
                  <c:v>148.30227263269435</c:v>
                </c:pt>
                <c:pt idx="456">
                  <c:v>148.27563941633591</c:v>
                </c:pt>
                <c:pt idx="457">
                  <c:v>148.27290483344814</c:v>
                </c:pt>
                <c:pt idx="458">
                  <c:v>148.28867902444145</c:v>
                </c:pt>
                <c:pt idx="459">
                  <c:v>148.26981364030024</c:v>
                </c:pt>
                <c:pt idx="460">
                  <c:v>148.26653740893045</c:v>
                </c:pt>
                <c:pt idx="461">
                  <c:v>148.26304471005074</c:v>
                </c:pt>
                <c:pt idx="462">
                  <c:v>148.25578670573827</c:v>
                </c:pt>
                <c:pt idx="463">
                  <c:v>148.23643950404281</c:v>
                </c:pt>
                <c:pt idx="464">
                  <c:v>148.22692876766556</c:v>
                </c:pt>
                <c:pt idx="465">
                  <c:v>148.22083612757277</c:v>
                </c:pt>
                <c:pt idx="466">
                  <c:v>148.19649992264772</c:v>
                </c:pt>
                <c:pt idx="467">
                  <c:v>148.16889229863091</c:v>
                </c:pt>
                <c:pt idx="468">
                  <c:v>148.15272535808674</c:v>
                </c:pt>
                <c:pt idx="469">
                  <c:v>148.13281345403499</c:v>
                </c:pt>
                <c:pt idx="470">
                  <c:v>148.11338732806831</c:v>
                </c:pt>
                <c:pt idx="471">
                  <c:v>148.12630363954972</c:v>
                </c:pt>
                <c:pt idx="472">
                  <c:v>148.13090706471741</c:v>
                </c:pt>
                <c:pt idx="473">
                  <c:v>148.1523722858405</c:v>
                </c:pt>
                <c:pt idx="474">
                  <c:v>148.12776534541692</c:v>
                </c:pt>
                <c:pt idx="475">
                  <c:v>148.13105396866661</c:v>
                </c:pt>
                <c:pt idx="476">
                  <c:v>148.14702395331867</c:v>
                </c:pt>
                <c:pt idx="477">
                  <c:v>148.10870150080126</c:v>
                </c:pt>
                <c:pt idx="478">
                  <c:v>148.02581192935367</c:v>
                </c:pt>
                <c:pt idx="479">
                  <c:v>147.93666971387793</c:v>
                </c:pt>
                <c:pt idx="480">
                  <c:v>147.89194782729942</c:v>
                </c:pt>
                <c:pt idx="481">
                  <c:v>147.84822894105989</c:v>
                </c:pt>
                <c:pt idx="482">
                  <c:v>147.80680335242241</c:v>
                </c:pt>
                <c:pt idx="483">
                  <c:v>147.78701370033539</c:v>
                </c:pt>
                <c:pt idx="484">
                  <c:v>147.75768255858131</c:v>
                </c:pt>
                <c:pt idx="485">
                  <c:v>147.73109850273954</c:v>
                </c:pt>
                <c:pt idx="486">
                  <c:v>147.70949726985782</c:v>
                </c:pt>
                <c:pt idx="487">
                  <c:v>147.70866429812145</c:v>
                </c:pt>
                <c:pt idx="488">
                  <c:v>147.66470971535196</c:v>
                </c:pt>
                <c:pt idx="489">
                  <c:v>147.58957654245651</c:v>
                </c:pt>
                <c:pt idx="490">
                  <c:v>147.5238674048172</c:v>
                </c:pt>
                <c:pt idx="491">
                  <c:v>147.5019173404778</c:v>
                </c:pt>
                <c:pt idx="492">
                  <c:v>147.45966411558703</c:v>
                </c:pt>
                <c:pt idx="493">
                  <c:v>147.41702030944239</c:v>
                </c:pt>
                <c:pt idx="494">
                  <c:v>147.57471327954798</c:v>
                </c:pt>
                <c:pt idx="495">
                  <c:v>147.54664929073448</c:v>
                </c:pt>
                <c:pt idx="496">
                  <c:v>147.51366925210743</c:v>
                </c:pt>
                <c:pt idx="497">
                  <c:v>147.42181682739434</c:v>
                </c:pt>
                <c:pt idx="498">
                  <c:v>147.33194455788626</c:v>
                </c:pt>
                <c:pt idx="499">
                  <c:v>147.266843200567</c:v>
                </c:pt>
                <c:pt idx="500">
                  <c:v>147.2018501451694</c:v>
                </c:pt>
                <c:pt idx="501">
                  <c:v>147.13983982918316</c:v>
                </c:pt>
                <c:pt idx="502">
                  <c:v>147.10221408376304</c:v>
                </c:pt>
                <c:pt idx="503">
                  <c:v>147.10934799801191</c:v>
                </c:pt>
                <c:pt idx="504">
                  <c:v>147.10193530560554</c:v>
                </c:pt>
                <c:pt idx="505">
                  <c:v>147.08070243802695</c:v>
                </c:pt>
                <c:pt idx="506">
                  <c:v>147.05620918919001</c:v>
                </c:pt>
                <c:pt idx="507">
                  <c:v>147.03331979883728</c:v>
                </c:pt>
                <c:pt idx="508">
                  <c:v>147.05581811829785</c:v>
                </c:pt>
                <c:pt idx="509">
                  <c:v>147.06331965647485</c:v>
                </c:pt>
                <c:pt idx="510">
                  <c:v>147.06237367370329</c:v>
                </c:pt>
                <c:pt idx="511">
                  <c:v>147.0142917792044</c:v>
                </c:pt>
                <c:pt idx="512">
                  <c:v>146.99265723609071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Data!$K$2:$K$514</c:f>
              <c:numCache>
                <c:formatCode>General</c:formatCode>
                <c:ptCount val="513"/>
                <c:pt idx="19">
                  <c:v>162.89201194008899</c:v>
                </c:pt>
                <c:pt idx="20">
                  <c:v>162.95883295270718</c:v>
                </c:pt>
                <c:pt idx="21">
                  <c:v>163.02981192382134</c:v>
                </c:pt>
                <c:pt idx="22">
                  <c:v>163.36374286204534</c:v>
                </c:pt>
                <c:pt idx="23">
                  <c:v>163.66373250899028</c:v>
                </c:pt>
                <c:pt idx="24">
                  <c:v>163.51898269770439</c:v>
                </c:pt>
                <c:pt idx="25">
                  <c:v>163.32719829839826</c:v>
                </c:pt>
                <c:pt idx="26">
                  <c:v>163.17685147747659</c:v>
                </c:pt>
                <c:pt idx="27">
                  <c:v>163.03747492460406</c:v>
                </c:pt>
                <c:pt idx="28">
                  <c:v>162.53928946751097</c:v>
                </c:pt>
                <c:pt idx="29">
                  <c:v>162.41973367283541</c:v>
                </c:pt>
                <c:pt idx="30">
                  <c:v>162.32887400241586</c:v>
                </c:pt>
                <c:pt idx="31">
                  <c:v>161.95255034059656</c:v>
                </c:pt>
                <c:pt idx="32">
                  <c:v>161.41701396898205</c:v>
                </c:pt>
                <c:pt idx="33">
                  <c:v>160.47070577087268</c:v>
                </c:pt>
                <c:pt idx="34">
                  <c:v>160.28212598596235</c:v>
                </c:pt>
                <c:pt idx="35">
                  <c:v>160.5822526217211</c:v>
                </c:pt>
                <c:pt idx="36">
                  <c:v>161.14910752935353</c:v>
                </c:pt>
                <c:pt idx="37">
                  <c:v>161.39102271391849</c:v>
                </c:pt>
                <c:pt idx="38">
                  <c:v>161.67766597371099</c:v>
                </c:pt>
                <c:pt idx="39">
                  <c:v>162.12594944853049</c:v>
                </c:pt>
                <c:pt idx="40">
                  <c:v>162.48692093431342</c:v>
                </c:pt>
                <c:pt idx="41">
                  <c:v>162.99999692867991</c:v>
                </c:pt>
                <c:pt idx="42">
                  <c:v>163.09230661873761</c:v>
                </c:pt>
                <c:pt idx="43">
                  <c:v>163.09995751349447</c:v>
                </c:pt>
                <c:pt idx="44">
                  <c:v>163.14494213390873</c:v>
                </c:pt>
                <c:pt idx="45">
                  <c:v>163.16112440177685</c:v>
                </c:pt>
                <c:pt idx="46">
                  <c:v>163.12215826958536</c:v>
                </c:pt>
                <c:pt idx="47">
                  <c:v>163.26251120919923</c:v>
                </c:pt>
                <c:pt idx="48">
                  <c:v>163.69794085144341</c:v>
                </c:pt>
                <c:pt idx="49">
                  <c:v>163.67233153725755</c:v>
                </c:pt>
                <c:pt idx="50">
                  <c:v>163.31408007524314</c:v>
                </c:pt>
                <c:pt idx="51">
                  <c:v>163.2919490882162</c:v>
                </c:pt>
                <c:pt idx="52">
                  <c:v>163.2540030002589</c:v>
                </c:pt>
                <c:pt idx="53">
                  <c:v>163.4925323394362</c:v>
                </c:pt>
                <c:pt idx="54">
                  <c:v>163.80463324979078</c:v>
                </c:pt>
                <c:pt idx="55">
                  <c:v>163.97237325335706</c:v>
                </c:pt>
                <c:pt idx="56">
                  <c:v>163.94009216138349</c:v>
                </c:pt>
                <c:pt idx="57">
                  <c:v>163.95288735854353</c:v>
                </c:pt>
                <c:pt idx="58">
                  <c:v>163.8122927425182</c:v>
                </c:pt>
                <c:pt idx="59">
                  <c:v>163.47117028934397</c:v>
                </c:pt>
                <c:pt idx="60">
                  <c:v>163.13490710768363</c:v>
                </c:pt>
                <c:pt idx="61">
                  <c:v>162.59273244290566</c:v>
                </c:pt>
                <c:pt idx="62">
                  <c:v>162.42503979487222</c:v>
                </c:pt>
                <c:pt idx="63">
                  <c:v>162.37582787650118</c:v>
                </c:pt>
                <c:pt idx="64">
                  <c:v>162.55891094649127</c:v>
                </c:pt>
                <c:pt idx="65">
                  <c:v>162.67575526345439</c:v>
                </c:pt>
                <c:pt idx="66">
                  <c:v>162.69486474588126</c:v>
                </c:pt>
                <c:pt idx="67">
                  <c:v>162.18213178435548</c:v>
                </c:pt>
                <c:pt idx="68">
                  <c:v>161.34727415228912</c:v>
                </c:pt>
                <c:pt idx="69">
                  <c:v>160.93533189068191</c:v>
                </c:pt>
                <c:pt idx="70">
                  <c:v>160.92507516820893</c:v>
                </c:pt>
                <c:pt idx="71">
                  <c:v>160.84972623551209</c:v>
                </c:pt>
                <c:pt idx="72">
                  <c:v>161.30495931739421</c:v>
                </c:pt>
                <c:pt idx="73">
                  <c:v>161.48068579093922</c:v>
                </c:pt>
                <c:pt idx="74">
                  <c:v>161.40287019241049</c:v>
                </c:pt>
                <c:pt idx="75">
                  <c:v>161.05781993436545</c:v>
                </c:pt>
                <c:pt idx="76">
                  <c:v>160.69123128473564</c:v>
                </c:pt>
                <c:pt idx="77">
                  <c:v>160.28394078598103</c:v>
                </c:pt>
                <c:pt idx="78">
                  <c:v>159.74612706002557</c:v>
                </c:pt>
                <c:pt idx="79">
                  <c:v>158.71687125602202</c:v>
                </c:pt>
                <c:pt idx="80">
                  <c:v>157.45492501112582</c:v>
                </c:pt>
                <c:pt idx="81">
                  <c:v>156.01596863833765</c:v>
                </c:pt>
                <c:pt idx="82">
                  <c:v>154.36741274489503</c:v>
                </c:pt>
                <c:pt idx="83">
                  <c:v>153.71986941342874</c:v>
                </c:pt>
                <c:pt idx="84">
                  <c:v>153.29001494422656</c:v>
                </c:pt>
                <c:pt idx="85">
                  <c:v>152.77776261846844</c:v>
                </c:pt>
                <c:pt idx="86">
                  <c:v>152.34248070896615</c:v>
                </c:pt>
                <c:pt idx="87">
                  <c:v>151.68825296135236</c:v>
                </c:pt>
                <c:pt idx="88">
                  <c:v>151.50192804716738</c:v>
                </c:pt>
                <c:pt idx="89">
                  <c:v>151.64568782059354</c:v>
                </c:pt>
                <c:pt idx="90">
                  <c:v>151.87535482794129</c:v>
                </c:pt>
                <c:pt idx="91">
                  <c:v>152.31752013480857</c:v>
                </c:pt>
                <c:pt idx="92">
                  <c:v>152.53724708286154</c:v>
                </c:pt>
                <c:pt idx="93">
                  <c:v>152.96203939042019</c:v>
                </c:pt>
                <c:pt idx="94">
                  <c:v>153.78577993868328</c:v>
                </c:pt>
                <c:pt idx="95">
                  <c:v>154.66567889009579</c:v>
                </c:pt>
                <c:pt idx="96">
                  <c:v>154.82071815660996</c:v>
                </c:pt>
                <c:pt idx="97">
                  <c:v>154.9490675519331</c:v>
                </c:pt>
                <c:pt idx="98">
                  <c:v>155.41479227039011</c:v>
                </c:pt>
                <c:pt idx="99">
                  <c:v>155.34445428805037</c:v>
                </c:pt>
                <c:pt idx="100">
                  <c:v>155.2604074097051</c:v>
                </c:pt>
                <c:pt idx="101">
                  <c:v>155.58566470975259</c:v>
                </c:pt>
                <c:pt idx="102">
                  <c:v>155.61032743701421</c:v>
                </c:pt>
                <c:pt idx="103">
                  <c:v>155.69177254081214</c:v>
                </c:pt>
                <c:pt idx="104">
                  <c:v>155.69354634890098</c:v>
                </c:pt>
                <c:pt idx="105">
                  <c:v>155.67549868981317</c:v>
                </c:pt>
                <c:pt idx="106">
                  <c:v>155.67296470332383</c:v>
                </c:pt>
                <c:pt idx="107">
                  <c:v>155.73183635344765</c:v>
                </c:pt>
                <c:pt idx="108">
                  <c:v>155.74206467767382</c:v>
                </c:pt>
                <c:pt idx="109">
                  <c:v>155.66917517206036</c:v>
                </c:pt>
                <c:pt idx="110">
                  <c:v>155.57818060555573</c:v>
                </c:pt>
                <c:pt idx="111">
                  <c:v>155.33912999222875</c:v>
                </c:pt>
                <c:pt idx="112">
                  <c:v>155.08289472506527</c:v>
                </c:pt>
                <c:pt idx="113">
                  <c:v>154.54183428567788</c:v>
                </c:pt>
                <c:pt idx="114">
                  <c:v>153.49809909141302</c:v>
                </c:pt>
                <c:pt idx="115">
                  <c:v>152.09000718195577</c:v>
                </c:pt>
                <c:pt idx="116">
                  <c:v>151.46397677669361</c:v>
                </c:pt>
                <c:pt idx="117">
                  <c:v>150.84181091201719</c:v>
                </c:pt>
                <c:pt idx="118">
                  <c:v>149.29389729187582</c:v>
                </c:pt>
                <c:pt idx="119">
                  <c:v>149.13387296634943</c:v>
                </c:pt>
                <c:pt idx="120">
                  <c:v>149.15475624864766</c:v>
                </c:pt>
                <c:pt idx="121">
                  <c:v>149.07638646784579</c:v>
                </c:pt>
                <c:pt idx="122">
                  <c:v>148.95275842565363</c:v>
                </c:pt>
                <c:pt idx="123">
                  <c:v>148.91085183938895</c:v>
                </c:pt>
                <c:pt idx="124">
                  <c:v>148.90382051786861</c:v>
                </c:pt>
                <c:pt idx="125">
                  <c:v>148.78809217755037</c:v>
                </c:pt>
                <c:pt idx="126">
                  <c:v>148.65413689536351</c:v>
                </c:pt>
                <c:pt idx="127">
                  <c:v>148.66191160706077</c:v>
                </c:pt>
                <c:pt idx="128">
                  <c:v>148.67208335223617</c:v>
                </c:pt>
                <c:pt idx="129">
                  <c:v>148.66901534568629</c:v>
                </c:pt>
                <c:pt idx="130">
                  <c:v>149.13766821285688</c:v>
                </c:pt>
                <c:pt idx="131">
                  <c:v>149.63494272388044</c:v>
                </c:pt>
                <c:pt idx="132">
                  <c:v>150.09312618005782</c:v>
                </c:pt>
                <c:pt idx="133">
                  <c:v>150.3419548856933</c:v>
                </c:pt>
                <c:pt idx="134">
                  <c:v>150.94018937145512</c:v>
                </c:pt>
                <c:pt idx="135">
                  <c:v>153.276684526081</c:v>
                </c:pt>
                <c:pt idx="136">
                  <c:v>154.59033039738858</c:v>
                </c:pt>
                <c:pt idx="137">
                  <c:v>155.51952188113975</c:v>
                </c:pt>
                <c:pt idx="138">
                  <c:v>156.2155028530718</c:v>
                </c:pt>
                <c:pt idx="139">
                  <c:v>156.52236096597048</c:v>
                </c:pt>
                <c:pt idx="140">
                  <c:v>157.54266427300198</c:v>
                </c:pt>
                <c:pt idx="141">
                  <c:v>159.2124895398176</c:v>
                </c:pt>
                <c:pt idx="142">
                  <c:v>160.78856677332894</c:v>
                </c:pt>
                <c:pt idx="143">
                  <c:v>161.65613198350911</c:v>
                </c:pt>
                <c:pt idx="144">
                  <c:v>162.94567172675983</c:v>
                </c:pt>
                <c:pt idx="145">
                  <c:v>163.33452016814979</c:v>
                </c:pt>
                <c:pt idx="146">
                  <c:v>164.01702252010622</c:v>
                </c:pt>
                <c:pt idx="147">
                  <c:v>165.27207900128207</c:v>
                </c:pt>
                <c:pt idx="148">
                  <c:v>165.49758555194819</c:v>
                </c:pt>
                <c:pt idx="149">
                  <c:v>165.36670365091149</c:v>
                </c:pt>
                <c:pt idx="150">
                  <c:v>165.36111175120047</c:v>
                </c:pt>
                <c:pt idx="151">
                  <c:v>165.40136815380569</c:v>
                </c:pt>
                <c:pt idx="152">
                  <c:v>165.34069566186497</c:v>
                </c:pt>
                <c:pt idx="153">
                  <c:v>164.83133394984054</c:v>
                </c:pt>
                <c:pt idx="154">
                  <c:v>164.2865876774471</c:v>
                </c:pt>
                <c:pt idx="155">
                  <c:v>164.30787698886411</c:v>
                </c:pt>
                <c:pt idx="156">
                  <c:v>164.28805901550786</c:v>
                </c:pt>
                <c:pt idx="157">
                  <c:v>164.16975611193254</c:v>
                </c:pt>
                <c:pt idx="158">
                  <c:v>163.91400478299462</c:v>
                </c:pt>
                <c:pt idx="159">
                  <c:v>162.93429411143592</c:v>
                </c:pt>
                <c:pt idx="160">
                  <c:v>162.84252265564606</c:v>
                </c:pt>
                <c:pt idx="161">
                  <c:v>163.16268172660585</c:v>
                </c:pt>
                <c:pt idx="162">
                  <c:v>163.82535467069084</c:v>
                </c:pt>
                <c:pt idx="163">
                  <c:v>164.52137385073351</c:v>
                </c:pt>
                <c:pt idx="164">
                  <c:v>164.73178740009581</c:v>
                </c:pt>
                <c:pt idx="165">
                  <c:v>165.05821173717106</c:v>
                </c:pt>
                <c:pt idx="166">
                  <c:v>165.48182680897639</c:v>
                </c:pt>
                <c:pt idx="167">
                  <c:v>165.87531170607974</c:v>
                </c:pt>
                <c:pt idx="168">
                  <c:v>166.87544050545156</c:v>
                </c:pt>
                <c:pt idx="169">
                  <c:v>167.74939570155055</c:v>
                </c:pt>
                <c:pt idx="170">
                  <c:v>168.02176192701566</c:v>
                </c:pt>
                <c:pt idx="171">
                  <c:v>168.22271101485384</c:v>
                </c:pt>
                <c:pt idx="172">
                  <c:v>168.73980185947664</c:v>
                </c:pt>
                <c:pt idx="173">
                  <c:v>169.29464897065085</c:v>
                </c:pt>
                <c:pt idx="174">
                  <c:v>169.23564146893722</c:v>
                </c:pt>
                <c:pt idx="175">
                  <c:v>169.06691435844286</c:v>
                </c:pt>
                <c:pt idx="176">
                  <c:v>168.96089573233553</c:v>
                </c:pt>
                <c:pt idx="177">
                  <c:v>168.9747394609326</c:v>
                </c:pt>
                <c:pt idx="178">
                  <c:v>168.87418911023568</c:v>
                </c:pt>
                <c:pt idx="179">
                  <c:v>168.55889606390292</c:v>
                </c:pt>
                <c:pt idx="180">
                  <c:v>168.26267095452727</c:v>
                </c:pt>
                <c:pt idx="181">
                  <c:v>168.07161996751265</c:v>
                </c:pt>
                <c:pt idx="182">
                  <c:v>168.14413151951004</c:v>
                </c:pt>
                <c:pt idx="183">
                  <c:v>168.26475717479278</c:v>
                </c:pt>
                <c:pt idx="184">
                  <c:v>168.66379743490279</c:v>
                </c:pt>
                <c:pt idx="185">
                  <c:v>168.88449880567831</c:v>
                </c:pt>
                <c:pt idx="186">
                  <c:v>169.05617117157885</c:v>
                </c:pt>
                <c:pt idx="187">
                  <c:v>169.0180307147744</c:v>
                </c:pt>
                <c:pt idx="188">
                  <c:v>168.7521940802938</c:v>
                </c:pt>
                <c:pt idx="189">
                  <c:v>168.44171713397532</c:v>
                </c:pt>
                <c:pt idx="190">
                  <c:v>168.48168013288642</c:v>
                </c:pt>
                <c:pt idx="191">
                  <c:v>168.54023513688057</c:v>
                </c:pt>
                <c:pt idx="192">
                  <c:v>168.31661096126331</c:v>
                </c:pt>
                <c:pt idx="193">
                  <c:v>167.7995908590164</c:v>
                </c:pt>
                <c:pt idx="194">
                  <c:v>167.60916574673635</c:v>
                </c:pt>
                <c:pt idx="195">
                  <c:v>167.41205874914212</c:v>
                </c:pt>
                <c:pt idx="196">
                  <c:v>167.01875687026623</c:v>
                </c:pt>
                <c:pt idx="197">
                  <c:v>166.2088743318179</c:v>
                </c:pt>
                <c:pt idx="198">
                  <c:v>165.47682382494156</c:v>
                </c:pt>
                <c:pt idx="199">
                  <c:v>164.99189615762279</c:v>
                </c:pt>
                <c:pt idx="200">
                  <c:v>164.90784656347029</c:v>
                </c:pt>
                <c:pt idx="201">
                  <c:v>165.13392870449303</c:v>
                </c:pt>
                <c:pt idx="202">
                  <c:v>165.08452021757586</c:v>
                </c:pt>
                <c:pt idx="203">
                  <c:v>165.17276508252348</c:v>
                </c:pt>
                <c:pt idx="204">
                  <c:v>165.82775818366778</c:v>
                </c:pt>
                <c:pt idx="205">
                  <c:v>165.98746802295676</c:v>
                </c:pt>
                <c:pt idx="206">
                  <c:v>165.99277217483979</c:v>
                </c:pt>
                <c:pt idx="207">
                  <c:v>165.97906839513621</c:v>
                </c:pt>
                <c:pt idx="208">
                  <c:v>165.99773421024204</c:v>
                </c:pt>
                <c:pt idx="209">
                  <c:v>166.00525574776907</c:v>
                </c:pt>
                <c:pt idx="210">
                  <c:v>166.03638421279274</c:v>
                </c:pt>
                <c:pt idx="211">
                  <c:v>166.043593098222</c:v>
                </c:pt>
                <c:pt idx="212">
                  <c:v>166.18327823612702</c:v>
                </c:pt>
                <c:pt idx="213">
                  <c:v>166.30562308082196</c:v>
                </c:pt>
                <c:pt idx="214">
                  <c:v>166.49227056493135</c:v>
                </c:pt>
                <c:pt idx="215">
                  <c:v>166.78776646889582</c:v>
                </c:pt>
                <c:pt idx="216">
                  <c:v>167.15623589992711</c:v>
                </c:pt>
                <c:pt idx="217">
                  <c:v>167.44638411515697</c:v>
                </c:pt>
                <c:pt idx="218">
                  <c:v>167.66813821780391</c:v>
                </c:pt>
                <c:pt idx="219">
                  <c:v>167.52573241854176</c:v>
                </c:pt>
                <c:pt idx="220">
                  <c:v>167.3377951470674</c:v>
                </c:pt>
                <c:pt idx="221">
                  <c:v>166.59019097213545</c:v>
                </c:pt>
                <c:pt idx="222">
                  <c:v>166.10596165899938</c:v>
                </c:pt>
                <c:pt idx="223">
                  <c:v>165.50855889702106</c:v>
                </c:pt>
                <c:pt idx="224">
                  <c:v>164.10993319691576</c:v>
                </c:pt>
                <c:pt idx="225">
                  <c:v>163.00058653069931</c:v>
                </c:pt>
                <c:pt idx="226">
                  <c:v>162.42105569048996</c:v>
                </c:pt>
                <c:pt idx="227">
                  <c:v>161.60769544365772</c:v>
                </c:pt>
                <c:pt idx="228">
                  <c:v>161.03078303160896</c:v>
                </c:pt>
                <c:pt idx="229">
                  <c:v>160.25469445933462</c:v>
                </c:pt>
                <c:pt idx="230">
                  <c:v>159.55253644659479</c:v>
                </c:pt>
                <c:pt idx="231">
                  <c:v>158.62784981714441</c:v>
                </c:pt>
                <c:pt idx="232">
                  <c:v>158.18613009842454</c:v>
                </c:pt>
                <c:pt idx="233">
                  <c:v>157.85165217102482</c:v>
                </c:pt>
                <c:pt idx="234">
                  <c:v>157.64234221679675</c:v>
                </c:pt>
                <c:pt idx="235">
                  <c:v>157.55999488905181</c:v>
                </c:pt>
                <c:pt idx="236">
                  <c:v>157.52534271866136</c:v>
                </c:pt>
                <c:pt idx="237">
                  <c:v>157.50563060772285</c:v>
                </c:pt>
                <c:pt idx="238">
                  <c:v>158.01648380800768</c:v>
                </c:pt>
                <c:pt idx="239">
                  <c:v>158.37665341348901</c:v>
                </c:pt>
                <c:pt idx="240">
                  <c:v>158.62819968260334</c:v>
                </c:pt>
                <c:pt idx="241">
                  <c:v>158.99626340400002</c:v>
                </c:pt>
                <c:pt idx="242">
                  <c:v>158.75243417228089</c:v>
                </c:pt>
                <c:pt idx="243">
                  <c:v>158.79246606761086</c:v>
                </c:pt>
                <c:pt idx="244">
                  <c:v>158.8290102340822</c:v>
                </c:pt>
                <c:pt idx="245">
                  <c:v>158.27135882543394</c:v>
                </c:pt>
                <c:pt idx="246">
                  <c:v>157.58460813766425</c:v>
                </c:pt>
                <c:pt idx="247">
                  <c:v>156.60817755060307</c:v>
                </c:pt>
                <c:pt idx="248">
                  <c:v>155.77638446358702</c:v>
                </c:pt>
                <c:pt idx="249">
                  <c:v>154.58129626566753</c:v>
                </c:pt>
                <c:pt idx="250">
                  <c:v>153.34393676449565</c:v>
                </c:pt>
                <c:pt idx="251">
                  <c:v>151.76882162292901</c:v>
                </c:pt>
                <c:pt idx="252">
                  <c:v>150.70911717644199</c:v>
                </c:pt>
                <c:pt idx="253">
                  <c:v>150.0052466083873</c:v>
                </c:pt>
                <c:pt idx="254">
                  <c:v>149.45443528234685</c:v>
                </c:pt>
                <c:pt idx="255">
                  <c:v>148.90283237129574</c:v>
                </c:pt>
                <c:pt idx="256">
                  <c:v>148.22743161514748</c:v>
                </c:pt>
                <c:pt idx="257">
                  <c:v>147.49460714213947</c:v>
                </c:pt>
                <c:pt idx="258">
                  <c:v>147.23737019169749</c:v>
                </c:pt>
                <c:pt idx="259">
                  <c:v>147.05168082173026</c:v>
                </c:pt>
                <c:pt idx="260">
                  <c:v>146.78384405848666</c:v>
                </c:pt>
                <c:pt idx="261">
                  <c:v>147.38707442823471</c:v>
                </c:pt>
                <c:pt idx="262">
                  <c:v>147.51416812882755</c:v>
                </c:pt>
                <c:pt idx="263">
                  <c:v>148.08019618319699</c:v>
                </c:pt>
                <c:pt idx="264">
                  <c:v>148.11068619361245</c:v>
                </c:pt>
                <c:pt idx="265">
                  <c:v>148.29769621654435</c:v>
                </c:pt>
                <c:pt idx="266">
                  <c:v>148.46923553852525</c:v>
                </c:pt>
                <c:pt idx="267">
                  <c:v>150.29832383911432</c:v>
                </c:pt>
                <c:pt idx="268">
                  <c:v>151.01308095878053</c:v>
                </c:pt>
                <c:pt idx="269">
                  <c:v>151.83223711866034</c:v>
                </c:pt>
                <c:pt idx="270">
                  <c:v>152.91157055190976</c:v>
                </c:pt>
                <c:pt idx="271">
                  <c:v>153.69288012019948</c:v>
                </c:pt>
                <c:pt idx="272">
                  <c:v>154.29151217460739</c:v>
                </c:pt>
                <c:pt idx="273">
                  <c:v>155.11799870535657</c:v>
                </c:pt>
                <c:pt idx="274">
                  <c:v>156.02460823584417</c:v>
                </c:pt>
                <c:pt idx="275">
                  <c:v>156.6598894729207</c:v>
                </c:pt>
                <c:pt idx="276">
                  <c:v>156.8412512757408</c:v>
                </c:pt>
                <c:pt idx="277">
                  <c:v>156.98026932842799</c:v>
                </c:pt>
                <c:pt idx="278">
                  <c:v>157.63041182920298</c:v>
                </c:pt>
                <c:pt idx="279">
                  <c:v>157.95363647804342</c:v>
                </c:pt>
                <c:pt idx="280">
                  <c:v>158.52450001976368</c:v>
                </c:pt>
                <c:pt idx="281">
                  <c:v>158.99792680474474</c:v>
                </c:pt>
                <c:pt idx="282">
                  <c:v>159.11882760760912</c:v>
                </c:pt>
                <c:pt idx="283">
                  <c:v>159.73354119856106</c:v>
                </c:pt>
                <c:pt idx="284">
                  <c:v>160.12814719071935</c:v>
                </c:pt>
                <c:pt idx="285">
                  <c:v>161.16711206046753</c:v>
                </c:pt>
                <c:pt idx="286">
                  <c:v>162.27703528281762</c:v>
                </c:pt>
                <c:pt idx="287">
                  <c:v>164.35280701200261</c:v>
                </c:pt>
                <c:pt idx="288">
                  <c:v>165.16360076697165</c:v>
                </c:pt>
                <c:pt idx="289">
                  <c:v>165.98659887268869</c:v>
                </c:pt>
                <c:pt idx="290">
                  <c:v>167.02454990032123</c:v>
                </c:pt>
                <c:pt idx="291">
                  <c:v>168.31923800416985</c:v>
                </c:pt>
                <c:pt idx="292">
                  <c:v>168.94756798972085</c:v>
                </c:pt>
                <c:pt idx="293">
                  <c:v>169.49432198931711</c:v>
                </c:pt>
                <c:pt idx="294">
                  <c:v>170.11049614335181</c:v>
                </c:pt>
                <c:pt idx="295">
                  <c:v>170.6211467970702</c:v>
                </c:pt>
                <c:pt idx="296">
                  <c:v>171.05850112513389</c:v>
                </c:pt>
                <c:pt idx="297">
                  <c:v>171.12457409003807</c:v>
                </c:pt>
                <c:pt idx="298">
                  <c:v>170.97846880527669</c:v>
                </c:pt>
                <c:pt idx="299">
                  <c:v>170.62038202596455</c:v>
                </c:pt>
                <c:pt idx="300">
                  <c:v>170.40880172316525</c:v>
                </c:pt>
                <c:pt idx="301">
                  <c:v>169.92098221585977</c:v>
                </c:pt>
                <c:pt idx="302">
                  <c:v>168.91739428617359</c:v>
                </c:pt>
                <c:pt idx="303">
                  <c:v>168.25872642936341</c:v>
                </c:pt>
                <c:pt idx="304">
                  <c:v>167.83903649204845</c:v>
                </c:pt>
                <c:pt idx="305">
                  <c:v>167.77383550377471</c:v>
                </c:pt>
                <c:pt idx="306">
                  <c:v>167.78116587656442</c:v>
                </c:pt>
                <c:pt idx="307">
                  <c:v>167.79306219497374</c:v>
                </c:pt>
                <c:pt idx="308">
                  <c:v>167.87135744111578</c:v>
                </c:pt>
                <c:pt idx="309">
                  <c:v>167.86736612325191</c:v>
                </c:pt>
                <c:pt idx="310">
                  <c:v>167.78504995672535</c:v>
                </c:pt>
                <c:pt idx="311">
                  <c:v>167.5018463246054</c:v>
                </c:pt>
                <c:pt idx="312">
                  <c:v>169.30431804213632</c:v>
                </c:pt>
                <c:pt idx="313">
                  <c:v>169.76813233295803</c:v>
                </c:pt>
                <c:pt idx="314">
                  <c:v>169.46091283140396</c:v>
                </c:pt>
                <c:pt idx="315">
                  <c:v>169.69785182421259</c:v>
                </c:pt>
                <c:pt idx="316">
                  <c:v>169.8807113618461</c:v>
                </c:pt>
                <c:pt idx="317">
                  <c:v>170.09097905937392</c:v>
                </c:pt>
                <c:pt idx="318">
                  <c:v>170.26341194468074</c:v>
                </c:pt>
                <c:pt idx="319">
                  <c:v>170.51206022735423</c:v>
                </c:pt>
                <c:pt idx="320">
                  <c:v>170.25102731975147</c:v>
                </c:pt>
                <c:pt idx="321">
                  <c:v>169.77302048823964</c:v>
                </c:pt>
                <c:pt idx="322">
                  <c:v>169.01659669800904</c:v>
                </c:pt>
                <c:pt idx="323">
                  <c:v>168.36562266453262</c:v>
                </c:pt>
                <c:pt idx="324">
                  <c:v>167.73822565995187</c:v>
                </c:pt>
                <c:pt idx="325">
                  <c:v>166.91894710790299</c:v>
                </c:pt>
                <c:pt idx="326">
                  <c:v>166.16096063671495</c:v>
                </c:pt>
                <c:pt idx="327">
                  <c:v>165.61624625003134</c:v>
                </c:pt>
                <c:pt idx="328">
                  <c:v>164.88435629644601</c:v>
                </c:pt>
                <c:pt idx="329">
                  <c:v>163.74977766031009</c:v>
                </c:pt>
                <c:pt idx="330">
                  <c:v>162.33057866455351</c:v>
                </c:pt>
                <c:pt idx="331">
                  <c:v>159.8042597328473</c:v>
                </c:pt>
                <c:pt idx="332">
                  <c:v>160.01556565680667</c:v>
                </c:pt>
                <c:pt idx="333">
                  <c:v>159.95093115933841</c:v>
                </c:pt>
                <c:pt idx="334">
                  <c:v>159.22106621432391</c:v>
                </c:pt>
                <c:pt idx="335">
                  <c:v>159.30616218356184</c:v>
                </c:pt>
                <c:pt idx="336">
                  <c:v>159.21175765829716</c:v>
                </c:pt>
                <c:pt idx="337">
                  <c:v>159.27051914879618</c:v>
                </c:pt>
                <c:pt idx="338">
                  <c:v>159.14850032478847</c:v>
                </c:pt>
                <c:pt idx="339">
                  <c:v>158.21807562956269</c:v>
                </c:pt>
                <c:pt idx="340">
                  <c:v>157.89166574921811</c:v>
                </c:pt>
                <c:pt idx="341">
                  <c:v>159.07537893461247</c:v>
                </c:pt>
                <c:pt idx="342">
                  <c:v>160.29133521904535</c:v>
                </c:pt>
                <c:pt idx="343">
                  <c:v>160.52515088230828</c:v>
                </c:pt>
                <c:pt idx="344">
                  <c:v>160.21072126724565</c:v>
                </c:pt>
                <c:pt idx="345">
                  <c:v>159.89460909541199</c:v>
                </c:pt>
                <c:pt idx="346">
                  <c:v>159.41892725620386</c:v>
                </c:pt>
                <c:pt idx="347">
                  <c:v>159.26360432611892</c:v>
                </c:pt>
                <c:pt idx="348">
                  <c:v>159.13430193883173</c:v>
                </c:pt>
                <c:pt idx="349">
                  <c:v>159.03735475241129</c:v>
                </c:pt>
                <c:pt idx="350">
                  <c:v>158.86237001466424</c:v>
                </c:pt>
                <c:pt idx="351">
                  <c:v>158.56909222698417</c:v>
                </c:pt>
                <c:pt idx="352">
                  <c:v>158.23477782458917</c:v>
                </c:pt>
                <c:pt idx="353">
                  <c:v>158.32554051598592</c:v>
                </c:pt>
                <c:pt idx="354">
                  <c:v>158.21127275769464</c:v>
                </c:pt>
                <c:pt idx="355">
                  <c:v>158.14272995205874</c:v>
                </c:pt>
                <c:pt idx="356">
                  <c:v>158.03670202058163</c:v>
                </c:pt>
                <c:pt idx="357">
                  <c:v>157.44491714367851</c:v>
                </c:pt>
                <c:pt idx="358">
                  <c:v>157.33959017112312</c:v>
                </c:pt>
                <c:pt idx="359">
                  <c:v>157.47931110854324</c:v>
                </c:pt>
                <c:pt idx="360">
                  <c:v>157.84114097695164</c:v>
                </c:pt>
                <c:pt idx="361">
                  <c:v>157.80382883395964</c:v>
                </c:pt>
                <c:pt idx="362">
                  <c:v>157.22478555478827</c:v>
                </c:pt>
                <c:pt idx="363">
                  <c:v>157.30600188148861</c:v>
                </c:pt>
                <c:pt idx="364">
                  <c:v>157.23517079673209</c:v>
                </c:pt>
                <c:pt idx="365">
                  <c:v>157.24497890782482</c:v>
                </c:pt>
                <c:pt idx="366">
                  <c:v>157.51073523494438</c:v>
                </c:pt>
                <c:pt idx="367">
                  <c:v>157.86590743073677</c:v>
                </c:pt>
                <c:pt idx="368">
                  <c:v>157.94256572940023</c:v>
                </c:pt>
                <c:pt idx="369">
                  <c:v>157.95947082610456</c:v>
                </c:pt>
                <c:pt idx="370">
                  <c:v>157.96815042832361</c:v>
                </c:pt>
                <c:pt idx="371">
                  <c:v>157.98261242662676</c:v>
                </c:pt>
                <c:pt idx="372">
                  <c:v>157.97353495100407</c:v>
                </c:pt>
                <c:pt idx="373">
                  <c:v>157.82028226207362</c:v>
                </c:pt>
                <c:pt idx="374">
                  <c:v>157.89803127437918</c:v>
                </c:pt>
                <c:pt idx="375">
                  <c:v>158.0264825136523</c:v>
                </c:pt>
                <c:pt idx="376">
                  <c:v>158.27291702176944</c:v>
                </c:pt>
                <c:pt idx="377">
                  <c:v>158.39403847225904</c:v>
                </c:pt>
                <c:pt idx="378">
                  <c:v>158.48292810308192</c:v>
                </c:pt>
                <c:pt idx="379">
                  <c:v>158.61938182319267</c:v>
                </c:pt>
                <c:pt idx="380">
                  <c:v>158.84869301337224</c:v>
                </c:pt>
                <c:pt idx="381">
                  <c:v>159.06832198509508</c:v>
                </c:pt>
                <c:pt idx="382">
                  <c:v>159.09379407581147</c:v>
                </c:pt>
                <c:pt idx="383">
                  <c:v>158.8308293328744</c:v>
                </c:pt>
                <c:pt idx="384">
                  <c:v>161.29861316951468</c:v>
                </c:pt>
                <c:pt idx="385">
                  <c:v>162.70815595561831</c:v>
                </c:pt>
                <c:pt idx="386">
                  <c:v>163.9658921158051</c:v>
                </c:pt>
                <c:pt idx="387">
                  <c:v>165.03570844961675</c:v>
                </c:pt>
                <c:pt idx="388">
                  <c:v>166.90979238624274</c:v>
                </c:pt>
                <c:pt idx="389">
                  <c:v>168.7733489938131</c:v>
                </c:pt>
                <c:pt idx="390">
                  <c:v>170.40093389968629</c:v>
                </c:pt>
                <c:pt idx="391">
                  <c:v>171.42446329430385</c:v>
                </c:pt>
                <c:pt idx="392">
                  <c:v>171.88783504127954</c:v>
                </c:pt>
                <c:pt idx="393">
                  <c:v>172.50980648171353</c:v>
                </c:pt>
                <c:pt idx="394">
                  <c:v>173.07339156449203</c:v>
                </c:pt>
                <c:pt idx="395">
                  <c:v>173.18679909941687</c:v>
                </c:pt>
                <c:pt idx="396">
                  <c:v>173.53927833824511</c:v>
                </c:pt>
                <c:pt idx="397">
                  <c:v>174.27962586730015</c:v>
                </c:pt>
                <c:pt idx="398">
                  <c:v>174.78274380786974</c:v>
                </c:pt>
                <c:pt idx="399">
                  <c:v>175.08976286867457</c:v>
                </c:pt>
                <c:pt idx="400">
                  <c:v>175.51329819103969</c:v>
                </c:pt>
                <c:pt idx="401">
                  <c:v>175.91222777164273</c:v>
                </c:pt>
                <c:pt idx="402">
                  <c:v>176.04243127820075</c:v>
                </c:pt>
                <c:pt idx="403">
                  <c:v>174.95598953156579</c:v>
                </c:pt>
                <c:pt idx="404">
                  <c:v>175.72588030331235</c:v>
                </c:pt>
                <c:pt idx="405">
                  <c:v>176.19044474210406</c:v>
                </c:pt>
                <c:pt idx="406">
                  <c:v>176.98499302107516</c:v>
                </c:pt>
                <c:pt idx="407">
                  <c:v>177.5362016088626</c:v>
                </c:pt>
                <c:pt idx="408">
                  <c:v>178.58559669913762</c:v>
                </c:pt>
                <c:pt idx="409">
                  <c:v>179.74116993797884</c:v>
                </c:pt>
                <c:pt idx="410">
                  <c:v>180.75768398792937</c:v>
                </c:pt>
                <c:pt idx="411">
                  <c:v>181.66368121876141</c:v>
                </c:pt>
                <c:pt idx="412">
                  <c:v>182.06746844448381</c:v>
                </c:pt>
                <c:pt idx="413">
                  <c:v>182.23286293923402</c:v>
                </c:pt>
                <c:pt idx="414">
                  <c:v>182.23234669842066</c:v>
                </c:pt>
                <c:pt idx="415">
                  <c:v>181.41581943502206</c:v>
                </c:pt>
                <c:pt idx="416">
                  <c:v>180.98649057035888</c:v>
                </c:pt>
                <c:pt idx="417">
                  <c:v>181.10685186681266</c:v>
                </c:pt>
                <c:pt idx="418">
                  <c:v>181.06211797046254</c:v>
                </c:pt>
                <c:pt idx="419">
                  <c:v>180.9383810902292</c:v>
                </c:pt>
                <c:pt idx="420">
                  <c:v>180.75415551125354</c:v>
                </c:pt>
                <c:pt idx="421">
                  <c:v>180.70614993449408</c:v>
                </c:pt>
                <c:pt idx="422">
                  <c:v>180.56026540941991</c:v>
                </c:pt>
                <c:pt idx="423">
                  <c:v>180.12651306585161</c:v>
                </c:pt>
                <c:pt idx="424">
                  <c:v>180.04323538639736</c:v>
                </c:pt>
                <c:pt idx="425">
                  <c:v>179.86954296317828</c:v>
                </c:pt>
                <c:pt idx="426">
                  <c:v>179.861440481686</c:v>
                </c:pt>
                <c:pt idx="427">
                  <c:v>179.84496076364238</c:v>
                </c:pt>
                <c:pt idx="428">
                  <c:v>179.82494250245307</c:v>
                </c:pt>
                <c:pt idx="429">
                  <c:v>180.02040112781927</c:v>
                </c:pt>
                <c:pt idx="430">
                  <c:v>179.83714667125128</c:v>
                </c:pt>
                <c:pt idx="431">
                  <c:v>179.74874597008159</c:v>
                </c:pt>
                <c:pt idx="432">
                  <c:v>179.58399756445741</c:v>
                </c:pt>
                <c:pt idx="433">
                  <c:v>179.58834723635948</c:v>
                </c:pt>
                <c:pt idx="434">
                  <c:v>179.65678312699785</c:v>
                </c:pt>
                <c:pt idx="435">
                  <c:v>180.02600380511203</c:v>
                </c:pt>
                <c:pt idx="436">
                  <c:v>180.86990389014798</c:v>
                </c:pt>
                <c:pt idx="437">
                  <c:v>182.75976230330278</c:v>
                </c:pt>
                <c:pt idx="438">
                  <c:v>184.38615885557292</c:v>
                </c:pt>
                <c:pt idx="439">
                  <c:v>185.6598453158725</c:v>
                </c:pt>
                <c:pt idx="440">
                  <c:v>187.47834574303207</c:v>
                </c:pt>
                <c:pt idx="441">
                  <c:v>188.89035621551878</c:v>
                </c:pt>
                <c:pt idx="442">
                  <c:v>190.27613068215689</c:v>
                </c:pt>
                <c:pt idx="443">
                  <c:v>191.59496463748638</c:v>
                </c:pt>
                <c:pt idx="444">
                  <c:v>193.08059666971621</c:v>
                </c:pt>
                <c:pt idx="445">
                  <c:v>194.29215385000725</c:v>
                </c:pt>
                <c:pt idx="446">
                  <c:v>195.35436573172271</c:v>
                </c:pt>
                <c:pt idx="447">
                  <c:v>196.19189129071785</c:v>
                </c:pt>
                <c:pt idx="448">
                  <c:v>196.96267601280081</c:v>
                </c:pt>
                <c:pt idx="449">
                  <c:v>197.39791684713913</c:v>
                </c:pt>
                <c:pt idx="450">
                  <c:v>198.00140532403572</c:v>
                </c:pt>
                <c:pt idx="451">
                  <c:v>198.0928070473538</c:v>
                </c:pt>
                <c:pt idx="452">
                  <c:v>197.92286232762365</c:v>
                </c:pt>
                <c:pt idx="453">
                  <c:v>197.56112134114059</c:v>
                </c:pt>
                <c:pt idx="454">
                  <c:v>196.88514541893733</c:v>
                </c:pt>
                <c:pt idx="455">
                  <c:v>195.95906622251923</c:v>
                </c:pt>
                <c:pt idx="456">
                  <c:v>195.04359915677503</c:v>
                </c:pt>
                <c:pt idx="457">
                  <c:v>194.8407628891481</c:v>
                </c:pt>
                <c:pt idx="458">
                  <c:v>194.76511295694928</c:v>
                </c:pt>
                <c:pt idx="459">
                  <c:v>194.4742035998178</c:v>
                </c:pt>
                <c:pt idx="460">
                  <c:v>194.46455279211452</c:v>
                </c:pt>
                <c:pt idx="461">
                  <c:v>194.68388087344553</c:v>
                </c:pt>
                <c:pt idx="462">
                  <c:v>194.82293095653765</c:v>
                </c:pt>
                <c:pt idx="463">
                  <c:v>195.02786914807083</c:v>
                </c:pt>
                <c:pt idx="464">
                  <c:v>194.99368053077302</c:v>
                </c:pt>
                <c:pt idx="465">
                  <c:v>194.98228680340009</c:v>
                </c:pt>
                <c:pt idx="466">
                  <c:v>194.85647072191992</c:v>
                </c:pt>
                <c:pt idx="467">
                  <c:v>195.31568562049756</c:v>
                </c:pt>
                <c:pt idx="468">
                  <c:v>195.82622415429677</c:v>
                </c:pt>
                <c:pt idx="469">
                  <c:v>196.38190071692549</c:v>
                </c:pt>
                <c:pt idx="470">
                  <c:v>196.90713446429911</c:v>
                </c:pt>
                <c:pt idx="471">
                  <c:v>198.27404242922384</c:v>
                </c:pt>
                <c:pt idx="472">
                  <c:v>199.75884853064343</c:v>
                </c:pt>
                <c:pt idx="473">
                  <c:v>201.62743482153977</c:v>
                </c:pt>
                <c:pt idx="474">
                  <c:v>203.4159823503492</c:v>
                </c:pt>
                <c:pt idx="475">
                  <c:v>205.24696229717563</c:v>
                </c:pt>
                <c:pt idx="476">
                  <c:v>207.3320628604408</c:v>
                </c:pt>
                <c:pt idx="477">
                  <c:v>209.17146510088966</c:v>
                </c:pt>
                <c:pt idx="478">
                  <c:v>210.86509408140296</c:v>
                </c:pt>
                <c:pt idx="479">
                  <c:v>212.27303269354633</c:v>
                </c:pt>
                <c:pt idx="480">
                  <c:v>213.18587776999544</c:v>
                </c:pt>
                <c:pt idx="481">
                  <c:v>213.70072904951391</c:v>
                </c:pt>
                <c:pt idx="482">
                  <c:v>214.00836075653692</c:v>
                </c:pt>
                <c:pt idx="483">
                  <c:v>213.59004556418367</c:v>
                </c:pt>
                <c:pt idx="484">
                  <c:v>212.95882855787596</c:v>
                </c:pt>
                <c:pt idx="485">
                  <c:v>211.82008709362287</c:v>
                </c:pt>
                <c:pt idx="486">
                  <c:v>210.5137395804831</c:v>
                </c:pt>
                <c:pt idx="487">
                  <c:v>210.49819960633712</c:v>
                </c:pt>
                <c:pt idx="488">
                  <c:v>210.97959899554934</c:v>
                </c:pt>
                <c:pt idx="489">
                  <c:v>211.66202262414782</c:v>
                </c:pt>
                <c:pt idx="490">
                  <c:v>212.81161601000701</c:v>
                </c:pt>
                <c:pt idx="491">
                  <c:v>213.07479018464429</c:v>
                </c:pt>
                <c:pt idx="492">
                  <c:v>213.41328459539665</c:v>
                </c:pt>
                <c:pt idx="493">
                  <c:v>213.57482841361431</c:v>
                </c:pt>
                <c:pt idx="494">
                  <c:v>213.57633427208509</c:v>
                </c:pt>
                <c:pt idx="495">
                  <c:v>213.64860560881846</c:v>
                </c:pt>
                <c:pt idx="496">
                  <c:v>213.6411121102343</c:v>
                </c:pt>
                <c:pt idx="497">
                  <c:v>213.71497272252881</c:v>
                </c:pt>
                <c:pt idx="498">
                  <c:v>213.72034440047119</c:v>
                </c:pt>
                <c:pt idx="499">
                  <c:v>213.76228748962077</c:v>
                </c:pt>
                <c:pt idx="500">
                  <c:v>213.81002866283504</c:v>
                </c:pt>
                <c:pt idx="501">
                  <c:v>213.85561324201589</c:v>
                </c:pt>
                <c:pt idx="502">
                  <c:v>213.9196545197054</c:v>
                </c:pt>
                <c:pt idx="503">
                  <c:v>213.80534484470007</c:v>
                </c:pt>
                <c:pt idx="504">
                  <c:v>213.59905157489689</c:v>
                </c:pt>
                <c:pt idx="505">
                  <c:v>213.31971134518659</c:v>
                </c:pt>
                <c:pt idx="506">
                  <c:v>212.48941800292661</c:v>
                </c:pt>
                <c:pt idx="507">
                  <c:v>212.59873788341812</c:v>
                </c:pt>
                <c:pt idx="508">
                  <c:v>212.55711791952962</c:v>
                </c:pt>
                <c:pt idx="509">
                  <c:v>213.07897787597173</c:v>
                </c:pt>
                <c:pt idx="510">
                  <c:v>214.6104068252555</c:v>
                </c:pt>
                <c:pt idx="511">
                  <c:v>216.90423115629534</c:v>
                </c:pt>
                <c:pt idx="512">
                  <c:v>218.45041533091941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158.46198805991099</c:v>
                </c:pt>
                <c:pt idx="20">
                  <c:v>158.28816704729283</c:v>
                </c:pt>
                <c:pt idx="21">
                  <c:v>157.95618807617871</c:v>
                </c:pt>
                <c:pt idx="22">
                  <c:v>157.22025713795472</c:v>
                </c:pt>
                <c:pt idx="23">
                  <c:v>156.38726749100977</c:v>
                </c:pt>
                <c:pt idx="24">
                  <c:v>156.18501730229568</c:v>
                </c:pt>
                <c:pt idx="25">
                  <c:v>156.0118017016018</c:v>
                </c:pt>
                <c:pt idx="26">
                  <c:v>155.61514852252344</c:v>
                </c:pt>
                <c:pt idx="27">
                  <c:v>155.31552507539601</c:v>
                </c:pt>
                <c:pt idx="28">
                  <c:v>155.35971053248903</c:v>
                </c:pt>
                <c:pt idx="29">
                  <c:v>155.07426632716462</c:v>
                </c:pt>
                <c:pt idx="30">
                  <c:v>154.69612599758412</c:v>
                </c:pt>
                <c:pt idx="31">
                  <c:v>154.74344965940347</c:v>
                </c:pt>
                <c:pt idx="32">
                  <c:v>154.76598603101795</c:v>
                </c:pt>
                <c:pt idx="33">
                  <c:v>155.2512942291273</c:v>
                </c:pt>
                <c:pt idx="34">
                  <c:v>155.32687401403768</c:v>
                </c:pt>
                <c:pt idx="35">
                  <c:v>155.17574737827888</c:v>
                </c:pt>
                <c:pt idx="36">
                  <c:v>154.83689247064646</c:v>
                </c:pt>
                <c:pt idx="37">
                  <c:v>154.72397728608152</c:v>
                </c:pt>
                <c:pt idx="38">
                  <c:v>154.599334026289</c:v>
                </c:pt>
                <c:pt idx="39">
                  <c:v>154.42905055146952</c:v>
                </c:pt>
                <c:pt idx="40">
                  <c:v>154.31607906568658</c:v>
                </c:pt>
                <c:pt idx="41">
                  <c:v>154.17900307132012</c:v>
                </c:pt>
                <c:pt idx="42">
                  <c:v>154.40969338126246</c:v>
                </c:pt>
                <c:pt idx="43">
                  <c:v>154.81904248650557</c:v>
                </c:pt>
                <c:pt idx="44">
                  <c:v>154.90205786609135</c:v>
                </c:pt>
                <c:pt idx="45">
                  <c:v>154.97487559822318</c:v>
                </c:pt>
                <c:pt idx="46">
                  <c:v>155.32584173041462</c:v>
                </c:pt>
                <c:pt idx="47">
                  <c:v>155.63248879080075</c:v>
                </c:pt>
                <c:pt idx="48">
                  <c:v>155.68605914855661</c:v>
                </c:pt>
                <c:pt idx="49">
                  <c:v>156.17466846274243</c:v>
                </c:pt>
                <c:pt idx="50">
                  <c:v>156.87991992475688</c:v>
                </c:pt>
                <c:pt idx="51">
                  <c:v>156.92805091178377</c:v>
                </c:pt>
                <c:pt idx="52">
                  <c:v>156.98699699974108</c:v>
                </c:pt>
                <c:pt idx="53">
                  <c:v>156.58346766056383</c:v>
                </c:pt>
                <c:pt idx="54">
                  <c:v>155.97936675020921</c:v>
                </c:pt>
                <c:pt idx="55">
                  <c:v>155.34162674664296</c:v>
                </c:pt>
                <c:pt idx="56">
                  <c:v>154.71290783861653</c:v>
                </c:pt>
                <c:pt idx="57">
                  <c:v>154.14311264145647</c:v>
                </c:pt>
                <c:pt idx="58">
                  <c:v>153.76270725748185</c:v>
                </c:pt>
                <c:pt idx="59">
                  <c:v>153.74482971065603</c:v>
                </c:pt>
                <c:pt idx="60">
                  <c:v>153.76209289231642</c:v>
                </c:pt>
                <c:pt idx="61">
                  <c:v>153.87026755709437</c:v>
                </c:pt>
                <c:pt idx="62">
                  <c:v>153.82696020512785</c:v>
                </c:pt>
                <c:pt idx="63">
                  <c:v>153.30517212349886</c:v>
                </c:pt>
                <c:pt idx="64">
                  <c:v>152.43808905350875</c:v>
                </c:pt>
                <c:pt idx="65">
                  <c:v>151.67324473654566</c:v>
                </c:pt>
                <c:pt idx="66">
                  <c:v>150.86113525411872</c:v>
                </c:pt>
                <c:pt idx="67">
                  <c:v>150.47986821564456</c:v>
                </c:pt>
                <c:pt idx="68">
                  <c:v>150.06072584771084</c:v>
                </c:pt>
                <c:pt idx="69">
                  <c:v>149.24166810931811</c:v>
                </c:pt>
                <c:pt idx="70">
                  <c:v>148.08292483179105</c:v>
                </c:pt>
                <c:pt idx="71">
                  <c:v>147.09927376448792</c:v>
                </c:pt>
                <c:pt idx="72">
                  <c:v>145.41304068260575</c:v>
                </c:pt>
                <c:pt idx="73">
                  <c:v>144.09331420906074</c:v>
                </c:pt>
                <c:pt idx="74">
                  <c:v>143.16912980758951</c:v>
                </c:pt>
                <c:pt idx="75">
                  <c:v>142.73018006563456</c:v>
                </c:pt>
                <c:pt idx="76">
                  <c:v>142.48576871526433</c:v>
                </c:pt>
                <c:pt idx="77">
                  <c:v>142.3270592140189</c:v>
                </c:pt>
                <c:pt idx="78">
                  <c:v>142.14087293997443</c:v>
                </c:pt>
                <c:pt idx="79">
                  <c:v>142.05612874397801</c:v>
                </c:pt>
                <c:pt idx="80">
                  <c:v>142.11307498887416</c:v>
                </c:pt>
                <c:pt idx="81">
                  <c:v>142.45603136166238</c:v>
                </c:pt>
                <c:pt idx="82">
                  <c:v>142.79058725510498</c:v>
                </c:pt>
                <c:pt idx="83">
                  <c:v>143.13013058657128</c:v>
                </c:pt>
                <c:pt idx="84">
                  <c:v>143.30198505577349</c:v>
                </c:pt>
                <c:pt idx="85">
                  <c:v>143.50223738153159</c:v>
                </c:pt>
                <c:pt idx="86">
                  <c:v>143.63651929103384</c:v>
                </c:pt>
                <c:pt idx="87">
                  <c:v>143.9337470386476</c:v>
                </c:pt>
                <c:pt idx="88">
                  <c:v>143.99507195283252</c:v>
                </c:pt>
                <c:pt idx="89">
                  <c:v>143.95731217940636</c:v>
                </c:pt>
                <c:pt idx="90">
                  <c:v>143.96664517205858</c:v>
                </c:pt>
                <c:pt idx="91">
                  <c:v>143.88747986519135</c:v>
                </c:pt>
                <c:pt idx="92">
                  <c:v>144.36075291713837</c:v>
                </c:pt>
                <c:pt idx="93">
                  <c:v>144.72596060957974</c:v>
                </c:pt>
                <c:pt idx="94">
                  <c:v>144.75622006131675</c:v>
                </c:pt>
                <c:pt idx="95">
                  <c:v>144.54932110990424</c:v>
                </c:pt>
                <c:pt idx="96">
                  <c:v>144.60928184338999</c:v>
                </c:pt>
                <c:pt idx="97">
                  <c:v>144.64893244806697</c:v>
                </c:pt>
                <c:pt idx="98">
                  <c:v>144.68020772960986</c:v>
                </c:pt>
                <c:pt idx="99">
                  <c:v>145.03854571194961</c:v>
                </c:pt>
                <c:pt idx="100">
                  <c:v>145.20559259029486</c:v>
                </c:pt>
                <c:pt idx="101">
                  <c:v>144.63633529024739</c:v>
                </c:pt>
                <c:pt idx="102">
                  <c:v>144.59667256298579</c:v>
                </c:pt>
                <c:pt idx="103">
                  <c:v>143.92522745918794</c:v>
                </c:pt>
                <c:pt idx="104">
                  <c:v>143.59845365109905</c:v>
                </c:pt>
                <c:pt idx="105">
                  <c:v>143.46350131018684</c:v>
                </c:pt>
                <c:pt idx="106">
                  <c:v>143.38803529667621</c:v>
                </c:pt>
                <c:pt idx="107">
                  <c:v>143.05416364655235</c:v>
                </c:pt>
                <c:pt idx="108">
                  <c:v>142.79093532232619</c:v>
                </c:pt>
                <c:pt idx="109">
                  <c:v>142.58682482793961</c:v>
                </c:pt>
                <c:pt idx="110">
                  <c:v>142.39981939444428</c:v>
                </c:pt>
                <c:pt idx="111">
                  <c:v>142.19287000777129</c:v>
                </c:pt>
                <c:pt idx="112">
                  <c:v>141.85210527493479</c:v>
                </c:pt>
                <c:pt idx="113">
                  <c:v>141.67116571432214</c:v>
                </c:pt>
                <c:pt idx="114">
                  <c:v>141.84090090858692</c:v>
                </c:pt>
                <c:pt idx="115">
                  <c:v>142.3799928180442</c:v>
                </c:pt>
                <c:pt idx="116">
                  <c:v>142.44402322330635</c:v>
                </c:pt>
                <c:pt idx="117">
                  <c:v>142.72018908798282</c:v>
                </c:pt>
                <c:pt idx="118">
                  <c:v>143.79310270812417</c:v>
                </c:pt>
                <c:pt idx="119">
                  <c:v>143.89512703365062</c:v>
                </c:pt>
                <c:pt idx="120">
                  <c:v>143.89624375135239</c:v>
                </c:pt>
                <c:pt idx="121">
                  <c:v>144.21861353215428</c:v>
                </c:pt>
                <c:pt idx="122">
                  <c:v>144.47824157434647</c:v>
                </c:pt>
                <c:pt idx="123">
                  <c:v>144.60814816061111</c:v>
                </c:pt>
                <c:pt idx="124">
                  <c:v>144.59217948213143</c:v>
                </c:pt>
                <c:pt idx="125">
                  <c:v>144.53690782244968</c:v>
                </c:pt>
                <c:pt idx="126">
                  <c:v>144.45986310463658</c:v>
                </c:pt>
                <c:pt idx="127">
                  <c:v>144.5030883929393</c:v>
                </c:pt>
                <c:pt idx="128">
                  <c:v>144.39891664776385</c:v>
                </c:pt>
                <c:pt idx="129">
                  <c:v>144.39898465431375</c:v>
                </c:pt>
                <c:pt idx="130">
                  <c:v>144.16033178714312</c:v>
                </c:pt>
                <c:pt idx="131">
                  <c:v>143.95705727611954</c:v>
                </c:pt>
                <c:pt idx="132">
                  <c:v>143.94587381994216</c:v>
                </c:pt>
                <c:pt idx="133">
                  <c:v>144.07604511430671</c:v>
                </c:pt>
                <c:pt idx="134">
                  <c:v>144.02481062854491</c:v>
                </c:pt>
                <c:pt idx="135">
                  <c:v>142.75131547391896</c:v>
                </c:pt>
                <c:pt idx="136">
                  <c:v>142.41466960261141</c:v>
                </c:pt>
                <c:pt idx="137">
                  <c:v>142.17647811886027</c:v>
                </c:pt>
                <c:pt idx="138">
                  <c:v>142.02949714692826</c:v>
                </c:pt>
                <c:pt idx="139">
                  <c:v>142.04563903402962</c:v>
                </c:pt>
                <c:pt idx="140">
                  <c:v>141.93433572699806</c:v>
                </c:pt>
                <c:pt idx="141">
                  <c:v>141.54651046018247</c:v>
                </c:pt>
                <c:pt idx="142">
                  <c:v>141.45443322667111</c:v>
                </c:pt>
                <c:pt idx="143">
                  <c:v>141.82686801649095</c:v>
                </c:pt>
                <c:pt idx="144">
                  <c:v>142.02632827324015</c:v>
                </c:pt>
                <c:pt idx="145">
                  <c:v>142.8194798318502</c:v>
                </c:pt>
                <c:pt idx="146">
                  <c:v>143.64397747989372</c:v>
                </c:pt>
                <c:pt idx="147">
                  <c:v>144.15492099871784</c:v>
                </c:pt>
                <c:pt idx="148">
                  <c:v>145.50641444805177</c:v>
                </c:pt>
                <c:pt idx="149">
                  <c:v>146.82929634908842</c:v>
                </c:pt>
                <c:pt idx="150">
                  <c:v>147.78188824879945</c:v>
                </c:pt>
                <c:pt idx="151">
                  <c:v>148.79363184619419</c:v>
                </c:pt>
                <c:pt idx="152">
                  <c:v>149.92830433813492</c:v>
                </c:pt>
                <c:pt idx="153">
                  <c:v>151.50166605015943</c:v>
                </c:pt>
                <c:pt idx="154">
                  <c:v>152.78441232255287</c:v>
                </c:pt>
                <c:pt idx="155">
                  <c:v>152.9531230111358</c:v>
                </c:pt>
                <c:pt idx="156">
                  <c:v>153.33994098449207</c:v>
                </c:pt>
                <c:pt idx="157">
                  <c:v>153.92824388806741</c:v>
                </c:pt>
                <c:pt idx="158">
                  <c:v>154.72299521700543</c:v>
                </c:pt>
                <c:pt idx="159">
                  <c:v>156.48370588856409</c:v>
                </c:pt>
                <c:pt idx="160">
                  <c:v>157.09047734435393</c:v>
                </c:pt>
                <c:pt idx="161">
                  <c:v>157.04131827339415</c:v>
                </c:pt>
                <c:pt idx="162">
                  <c:v>156.72764532930915</c:v>
                </c:pt>
                <c:pt idx="163">
                  <c:v>156.6366261492665</c:v>
                </c:pt>
                <c:pt idx="164">
                  <c:v>156.58821259990418</c:v>
                </c:pt>
                <c:pt idx="165">
                  <c:v>156.86878826282896</c:v>
                </c:pt>
                <c:pt idx="166">
                  <c:v>156.79217319102361</c:v>
                </c:pt>
                <c:pt idx="167">
                  <c:v>156.57068829392028</c:v>
                </c:pt>
                <c:pt idx="168">
                  <c:v>156.16155949454847</c:v>
                </c:pt>
                <c:pt idx="169">
                  <c:v>156.12660429844948</c:v>
                </c:pt>
                <c:pt idx="170">
                  <c:v>156.46323807298435</c:v>
                </c:pt>
                <c:pt idx="171">
                  <c:v>156.67828898514617</c:v>
                </c:pt>
                <c:pt idx="172">
                  <c:v>156.76019814052341</c:v>
                </c:pt>
                <c:pt idx="173">
                  <c:v>156.9553510293492</c:v>
                </c:pt>
                <c:pt idx="174">
                  <c:v>157.65735853106281</c:v>
                </c:pt>
                <c:pt idx="175">
                  <c:v>158.44208564155721</c:v>
                </c:pt>
                <c:pt idx="176">
                  <c:v>159.19110426766451</c:v>
                </c:pt>
                <c:pt idx="177">
                  <c:v>159.93726053906738</c:v>
                </c:pt>
                <c:pt idx="178">
                  <c:v>160.78181088976439</c:v>
                </c:pt>
                <c:pt idx="179">
                  <c:v>161.69610393609707</c:v>
                </c:pt>
                <c:pt idx="180">
                  <c:v>162.33132904547284</c:v>
                </c:pt>
                <c:pt idx="181">
                  <c:v>162.70338003248739</c:v>
                </c:pt>
                <c:pt idx="182">
                  <c:v>162.53986848048999</c:v>
                </c:pt>
                <c:pt idx="183">
                  <c:v>162.23624282520731</c:v>
                </c:pt>
                <c:pt idx="184">
                  <c:v>161.60220256509729</c:v>
                </c:pt>
                <c:pt idx="185">
                  <c:v>161.12850119432173</c:v>
                </c:pt>
                <c:pt idx="186">
                  <c:v>160.67382882842111</c:v>
                </c:pt>
                <c:pt idx="187">
                  <c:v>160.33196928522563</c:v>
                </c:pt>
                <c:pt idx="188">
                  <c:v>160.08080591970617</c:v>
                </c:pt>
                <c:pt idx="189">
                  <c:v>159.77228286602474</c:v>
                </c:pt>
                <c:pt idx="190">
                  <c:v>159.28331986711362</c:v>
                </c:pt>
                <c:pt idx="191">
                  <c:v>158.81576486311948</c:v>
                </c:pt>
                <c:pt idx="192">
                  <c:v>158.33138903873672</c:v>
                </c:pt>
                <c:pt idx="193">
                  <c:v>158.07940914098361</c:v>
                </c:pt>
                <c:pt idx="194">
                  <c:v>157.85283425326369</c:v>
                </c:pt>
                <c:pt idx="195">
                  <c:v>157.63694125085786</c:v>
                </c:pt>
                <c:pt idx="196">
                  <c:v>157.6242431297338</c:v>
                </c:pt>
                <c:pt idx="197">
                  <c:v>157.89512566818215</c:v>
                </c:pt>
                <c:pt idx="198">
                  <c:v>158.33017617505851</c:v>
                </c:pt>
                <c:pt idx="199">
                  <c:v>158.62810384237721</c:v>
                </c:pt>
                <c:pt idx="200">
                  <c:v>158.67715343652964</c:v>
                </c:pt>
                <c:pt idx="201">
                  <c:v>158.5470712955069</c:v>
                </c:pt>
                <c:pt idx="202">
                  <c:v>158.55747978242414</c:v>
                </c:pt>
                <c:pt idx="203">
                  <c:v>158.53623491747646</c:v>
                </c:pt>
                <c:pt idx="204">
                  <c:v>158.40724181633223</c:v>
                </c:pt>
                <c:pt idx="205">
                  <c:v>158.47553197704326</c:v>
                </c:pt>
                <c:pt idx="206">
                  <c:v>158.41822782516016</c:v>
                </c:pt>
                <c:pt idx="207">
                  <c:v>158.38593160486374</c:v>
                </c:pt>
                <c:pt idx="208">
                  <c:v>158.17726578975791</c:v>
                </c:pt>
                <c:pt idx="209">
                  <c:v>158.11374425223096</c:v>
                </c:pt>
                <c:pt idx="210">
                  <c:v>158.01861578720727</c:v>
                </c:pt>
                <c:pt idx="211">
                  <c:v>157.99540690177804</c:v>
                </c:pt>
                <c:pt idx="212">
                  <c:v>157.726721763873</c:v>
                </c:pt>
                <c:pt idx="213">
                  <c:v>157.47037691917811</c:v>
                </c:pt>
                <c:pt idx="214">
                  <c:v>157.00672943506868</c:v>
                </c:pt>
                <c:pt idx="215">
                  <c:v>156.33323353110427</c:v>
                </c:pt>
                <c:pt idx="216">
                  <c:v>155.36576410007288</c:v>
                </c:pt>
                <c:pt idx="217">
                  <c:v>154.41961588484307</c:v>
                </c:pt>
                <c:pt idx="218">
                  <c:v>153.05186178219606</c:v>
                </c:pt>
                <c:pt idx="219">
                  <c:v>152.09026758145822</c:v>
                </c:pt>
                <c:pt idx="220">
                  <c:v>151.01820485293254</c:v>
                </c:pt>
                <c:pt idx="221">
                  <c:v>150.65380902786453</c:v>
                </c:pt>
                <c:pt idx="222">
                  <c:v>150.33203834100061</c:v>
                </c:pt>
                <c:pt idx="223">
                  <c:v>149.88444110297891</c:v>
                </c:pt>
                <c:pt idx="224">
                  <c:v>150.00806680308429</c:v>
                </c:pt>
                <c:pt idx="225">
                  <c:v>150.30041346930074</c:v>
                </c:pt>
                <c:pt idx="226">
                  <c:v>150.30894430951005</c:v>
                </c:pt>
                <c:pt idx="227">
                  <c:v>150.54030455634231</c:v>
                </c:pt>
                <c:pt idx="228">
                  <c:v>150.56021696839105</c:v>
                </c:pt>
                <c:pt idx="229">
                  <c:v>150.81530554066543</c:v>
                </c:pt>
                <c:pt idx="230">
                  <c:v>151.03246355340525</c:v>
                </c:pt>
                <c:pt idx="231">
                  <c:v>151.42415018285561</c:v>
                </c:pt>
                <c:pt idx="232">
                  <c:v>151.27786990157551</c:v>
                </c:pt>
                <c:pt idx="233">
                  <c:v>150.82434782897522</c:v>
                </c:pt>
                <c:pt idx="234">
                  <c:v>150.19765778320328</c:v>
                </c:pt>
                <c:pt idx="235">
                  <c:v>149.53800511094815</c:v>
                </c:pt>
                <c:pt idx="236">
                  <c:v>148.98565728133866</c:v>
                </c:pt>
                <c:pt idx="237">
                  <c:v>148.42436939227716</c:v>
                </c:pt>
                <c:pt idx="238">
                  <c:v>147.31351619199231</c:v>
                </c:pt>
                <c:pt idx="239">
                  <c:v>146.25334658651093</c:v>
                </c:pt>
                <c:pt idx="240">
                  <c:v>145.47680031739668</c:v>
                </c:pt>
                <c:pt idx="241">
                  <c:v>144.09373659600001</c:v>
                </c:pt>
                <c:pt idx="242">
                  <c:v>143.50156582771908</c:v>
                </c:pt>
                <c:pt idx="243">
                  <c:v>142.636533932389</c:v>
                </c:pt>
                <c:pt idx="244">
                  <c:v>141.64698976591779</c:v>
                </c:pt>
                <c:pt idx="245">
                  <c:v>141.101641174566</c:v>
                </c:pt>
                <c:pt idx="246">
                  <c:v>140.79839186233568</c:v>
                </c:pt>
                <c:pt idx="247">
                  <c:v>140.78182244939691</c:v>
                </c:pt>
                <c:pt idx="248">
                  <c:v>140.7196155364129</c:v>
                </c:pt>
                <c:pt idx="249">
                  <c:v>140.87970373433248</c:v>
                </c:pt>
                <c:pt idx="250">
                  <c:v>140.95006323550433</c:v>
                </c:pt>
                <c:pt idx="251">
                  <c:v>141.507178377071</c:v>
                </c:pt>
                <c:pt idx="252">
                  <c:v>141.73288282355801</c:v>
                </c:pt>
                <c:pt idx="253">
                  <c:v>141.80875339161273</c:v>
                </c:pt>
                <c:pt idx="254">
                  <c:v>141.7735647176531</c:v>
                </c:pt>
                <c:pt idx="255">
                  <c:v>142.01716762870421</c:v>
                </c:pt>
                <c:pt idx="256">
                  <c:v>141.95956838485247</c:v>
                </c:pt>
                <c:pt idx="257">
                  <c:v>141.97539285786044</c:v>
                </c:pt>
                <c:pt idx="258">
                  <c:v>142.01562980830244</c:v>
                </c:pt>
                <c:pt idx="259">
                  <c:v>142.05231917826967</c:v>
                </c:pt>
                <c:pt idx="260">
                  <c:v>142.1551559415133</c:v>
                </c:pt>
                <c:pt idx="261">
                  <c:v>141.94392557176531</c:v>
                </c:pt>
                <c:pt idx="262">
                  <c:v>141.87883187117248</c:v>
                </c:pt>
                <c:pt idx="263">
                  <c:v>141.65280381680307</c:v>
                </c:pt>
                <c:pt idx="264">
                  <c:v>141.79131380638754</c:v>
                </c:pt>
                <c:pt idx="265">
                  <c:v>141.82130378345568</c:v>
                </c:pt>
                <c:pt idx="266">
                  <c:v>141.8047644614748</c:v>
                </c:pt>
                <c:pt idx="267">
                  <c:v>140.67967616088563</c:v>
                </c:pt>
                <c:pt idx="268">
                  <c:v>140.44491904121944</c:v>
                </c:pt>
                <c:pt idx="269">
                  <c:v>140.2357628813397</c:v>
                </c:pt>
                <c:pt idx="270">
                  <c:v>140.10942944809025</c:v>
                </c:pt>
                <c:pt idx="271">
                  <c:v>140.08111987980053</c:v>
                </c:pt>
                <c:pt idx="272">
                  <c:v>140.26748782539264</c:v>
                </c:pt>
                <c:pt idx="273">
                  <c:v>140.37100129464346</c:v>
                </c:pt>
                <c:pt idx="274">
                  <c:v>140.56739176415587</c:v>
                </c:pt>
                <c:pt idx="275">
                  <c:v>140.6601105270793</c:v>
                </c:pt>
                <c:pt idx="276">
                  <c:v>141.56374872425923</c:v>
                </c:pt>
                <c:pt idx="277">
                  <c:v>142.64273067157194</c:v>
                </c:pt>
                <c:pt idx="278">
                  <c:v>143.15858817079695</c:v>
                </c:pt>
                <c:pt idx="279">
                  <c:v>143.88636352195655</c:v>
                </c:pt>
                <c:pt idx="280">
                  <c:v>144.54349998023636</c:v>
                </c:pt>
                <c:pt idx="281">
                  <c:v>144.90807319525533</c:v>
                </c:pt>
                <c:pt idx="282">
                  <c:v>145.58317239239094</c:v>
                </c:pt>
                <c:pt idx="283">
                  <c:v>145.94245880143899</c:v>
                </c:pt>
                <c:pt idx="284">
                  <c:v>146.98885280928067</c:v>
                </c:pt>
                <c:pt idx="285">
                  <c:v>147.51588793953246</c:v>
                </c:pt>
                <c:pt idx="286">
                  <c:v>148.09796471718238</c:v>
                </c:pt>
                <c:pt idx="287">
                  <c:v>147.34219298799738</c:v>
                </c:pt>
                <c:pt idx="288">
                  <c:v>147.80139923302832</c:v>
                </c:pt>
                <c:pt idx="289">
                  <c:v>148.23640112731132</c:v>
                </c:pt>
                <c:pt idx="290">
                  <c:v>148.41345009967876</c:v>
                </c:pt>
                <c:pt idx="291">
                  <c:v>148.63176199583023</c:v>
                </c:pt>
                <c:pt idx="292">
                  <c:v>149.35843201027924</c:v>
                </c:pt>
                <c:pt idx="293">
                  <c:v>149.97467801068288</c:v>
                </c:pt>
                <c:pt idx="294">
                  <c:v>150.47250385664816</c:v>
                </c:pt>
                <c:pt idx="295">
                  <c:v>151.27985320292976</c:v>
                </c:pt>
                <c:pt idx="296">
                  <c:v>152.30049887486609</c:v>
                </c:pt>
                <c:pt idx="297">
                  <c:v>153.39642590996195</c:v>
                </c:pt>
                <c:pt idx="298">
                  <c:v>154.21453119472329</c:v>
                </c:pt>
                <c:pt idx="299">
                  <c:v>155.34561797403546</c:v>
                </c:pt>
                <c:pt idx="300">
                  <c:v>156.11319827683474</c:v>
                </c:pt>
                <c:pt idx="301">
                  <c:v>157.27001778414026</c:v>
                </c:pt>
                <c:pt idx="302">
                  <c:v>159.19960571382637</c:v>
                </c:pt>
                <c:pt idx="303">
                  <c:v>160.36827357063666</c:v>
                </c:pt>
                <c:pt idx="304">
                  <c:v>161.12196350795156</c:v>
                </c:pt>
                <c:pt idx="305">
                  <c:v>161.32016449622529</c:v>
                </c:pt>
                <c:pt idx="306">
                  <c:v>161.26783412343562</c:v>
                </c:pt>
                <c:pt idx="307">
                  <c:v>160.74893780502629</c:v>
                </c:pt>
                <c:pt idx="308">
                  <c:v>160.53464255888423</c:v>
                </c:pt>
                <c:pt idx="309">
                  <c:v>160.47863387674803</c:v>
                </c:pt>
                <c:pt idx="310">
                  <c:v>160.42995004327469</c:v>
                </c:pt>
                <c:pt idx="311">
                  <c:v>160.56915367539463</c:v>
                </c:pt>
                <c:pt idx="312">
                  <c:v>157.54968195786367</c:v>
                </c:pt>
                <c:pt idx="313">
                  <c:v>156.10986766704201</c:v>
                </c:pt>
                <c:pt idx="314">
                  <c:v>155.81608716859608</c:v>
                </c:pt>
                <c:pt idx="315">
                  <c:v>154.23414817578748</c:v>
                </c:pt>
                <c:pt idx="316">
                  <c:v>152.34328863815395</c:v>
                </c:pt>
                <c:pt idx="317">
                  <c:v>150.54702094062611</c:v>
                </c:pt>
                <c:pt idx="318">
                  <c:v>149.18658805531931</c:v>
                </c:pt>
                <c:pt idx="319">
                  <c:v>147.50793977264576</c:v>
                </c:pt>
                <c:pt idx="320">
                  <c:v>146.66097268024845</c:v>
                </c:pt>
                <c:pt idx="321">
                  <c:v>146.29097951176033</c:v>
                </c:pt>
                <c:pt idx="322">
                  <c:v>145.98440330199094</c:v>
                </c:pt>
                <c:pt idx="323">
                  <c:v>145.72737733546734</c:v>
                </c:pt>
                <c:pt idx="324">
                  <c:v>145.79977434004803</c:v>
                </c:pt>
                <c:pt idx="325">
                  <c:v>145.94805289209697</c:v>
                </c:pt>
                <c:pt idx="326">
                  <c:v>146.15203936328504</c:v>
                </c:pt>
                <c:pt idx="327">
                  <c:v>146.13275374996863</c:v>
                </c:pt>
                <c:pt idx="328">
                  <c:v>146.18564370355398</c:v>
                </c:pt>
                <c:pt idx="329">
                  <c:v>146.46522233968989</c:v>
                </c:pt>
                <c:pt idx="330">
                  <c:v>147.04842133544651</c:v>
                </c:pt>
                <c:pt idx="331">
                  <c:v>148.58174026715267</c:v>
                </c:pt>
                <c:pt idx="332">
                  <c:v>148.67643434319328</c:v>
                </c:pt>
                <c:pt idx="333">
                  <c:v>148.65106884066157</c:v>
                </c:pt>
                <c:pt idx="334">
                  <c:v>149.01093378567606</c:v>
                </c:pt>
                <c:pt idx="335">
                  <c:v>149.10183781643818</c:v>
                </c:pt>
                <c:pt idx="336">
                  <c:v>149.58124234170285</c:v>
                </c:pt>
                <c:pt idx="337">
                  <c:v>150.25248085120384</c:v>
                </c:pt>
                <c:pt idx="338">
                  <c:v>150.84349967521149</c:v>
                </c:pt>
                <c:pt idx="339">
                  <c:v>152.32692437043727</c:v>
                </c:pt>
                <c:pt idx="340">
                  <c:v>152.89433425078184</c:v>
                </c:pt>
                <c:pt idx="341">
                  <c:v>151.11862106538749</c:v>
                </c:pt>
                <c:pt idx="342">
                  <c:v>149.17666478095461</c:v>
                </c:pt>
                <c:pt idx="343">
                  <c:v>148.51284911769173</c:v>
                </c:pt>
                <c:pt idx="344">
                  <c:v>148.21327873275433</c:v>
                </c:pt>
                <c:pt idx="345">
                  <c:v>148.08639090458806</c:v>
                </c:pt>
                <c:pt idx="346">
                  <c:v>148.15307274379614</c:v>
                </c:pt>
                <c:pt idx="347">
                  <c:v>148.08839567388105</c:v>
                </c:pt>
                <c:pt idx="348">
                  <c:v>147.98569806116828</c:v>
                </c:pt>
                <c:pt idx="349">
                  <c:v>147.91864524758873</c:v>
                </c:pt>
                <c:pt idx="350">
                  <c:v>147.8836299853358</c:v>
                </c:pt>
                <c:pt idx="351">
                  <c:v>147.82890777301586</c:v>
                </c:pt>
                <c:pt idx="352">
                  <c:v>147.89022217541083</c:v>
                </c:pt>
                <c:pt idx="353">
                  <c:v>147.87445948401407</c:v>
                </c:pt>
                <c:pt idx="354">
                  <c:v>147.9167272423054</c:v>
                </c:pt>
                <c:pt idx="355">
                  <c:v>147.92727004794131</c:v>
                </c:pt>
                <c:pt idx="356">
                  <c:v>147.90829797941836</c:v>
                </c:pt>
                <c:pt idx="357">
                  <c:v>148.13608285632151</c:v>
                </c:pt>
                <c:pt idx="358">
                  <c:v>148.17840982887697</c:v>
                </c:pt>
                <c:pt idx="359">
                  <c:v>148.13968889145679</c:v>
                </c:pt>
                <c:pt idx="360">
                  <c:v>148.00885902304833</c:v>
                </c:pt>
                <c:pt idx="361">
                  <c:v>148.72817116604034</c:v>
                </c:pt>
                <c:pt idx="362">
                  <c:v>150.33721444521174</c:v>
                </c:pt>
                <c:pt idx="363">
                  <c:v>151.00499811851142</c:v>
                </c:pt>
                <c:pt idx="364">
                  <c:v>151.4648292032679</c:v>
                </c:pt>
                <c:pt idx="365">
                  <c:v>151.44402109217515</c:v>
                </c:pt>
                <c:pt idx="366">
                  <c:v>150.88526476505558</c:v>
                </c:pt>
                <c:pt idx="367">
                  <c:v>150.19109256926325</c:v>
                </c:pt>
                <c:pt idx="368">
                  <c:v>149.98543427059977</c:v>
                </c:pt>
                <c:pt idx="369">
                  <c:v>149.89352917389544</c:v>
                </c:pt>
                <c:pt idx="370">
                  <c:v>149.78784957167642</c:v>
                </c:pt>
                <c:pt idx="371">
                  <c:v>149.7313875733733</c:v>
                </c:pt>
                <c:pt idx="372">
                  <c:v>149.62346504899597</c:v>
                </c:pt>
                <c:pt idx="373">
                  <c:v>149.53071773792638</c:v>
                </c:pt>
                <c:pt idx="374">
                  <c:v>149.5049687256209</c:v>
                </c:pt>
                <c:pt idx="375">
                  <c:v>149.49051748634764</c:v>
                </c:pt>
                <c:pt idx="376">
                  <c:v>149.52308297823049</c:v>
                </c:pt>
                <c:pt idx="377">
                  <c:v>149.5629615277409</c:v>
                </c:pt>
                <c:pt idx="378">
                  <c:v>149.55007189691804</c:v>
                </c:pt>
                <c:pt idx="379">
                  <c:v>149.51861817680737</c:v>
                </c:pt>
                <c:pt idx="380">
                  <c:v>149.41330698662782</c:v>
                </c:pt>
                <c:pt idx="381">
                  <c:v>149.35767801490496</c:v>
                </c:pt>
                <c:pt idx="382">
                  <c:v>149.34820592418859</c:v>
                </c:pt>
                <c:pt idx="383">
                  <c:v>149.41817066712568</c:v>
                </c:pt>
                <c:pt idx="384">
                  <c:v>147.90638683048542</c:v>
                </c:pt>
                <c:pt idx="385">
                  <c:v>147.55684404438173</c:v>
                </c:pt>
                <c:pt idx="386">
                  <c:v>147.59610788419491</c:v>
                </c:pt>
                <c:pt idx="387">
                  <c:v>147.98329155038326</c:v>
                </c:pt>
                <c:pt idx="388">
                  <c:v>147.77020761375726</c:v>
                </c:pt>
                <c:pt idx="389">
                  <c:v>147.59765100618688</c:v>
                </c:pt>
                <c:pt idx="390">
                  <c:v>147.6980661003137</c:v>
                </c:pt>
                <c:pt idx="391">
                  <c:v>148.3035367056961</c:v>
                </c:pt>
                <c:pt idx="392">
                  <c:v>149.22116495872044</c:v>
                </c:pt>
                <c:pt idx="393">
                  <c:v>150.13519351828646</c:v>
                </c:pt>
                <c:pt idx="394">
                  <c:v>150.70560843550797</c:v>
                </c:pt>
                <c:pt idx="395">
                  <c:v>151.51020090058307</c:v>
                </c:pt>
                <c:pt idx="396">
                  <c:v>152.2897216617549</c:v>
                </c:pt>
                <c:pt idx="397">
                  <c:v>153.12637413269991</c:v>
                </c:pt>
                <c:pt idx="398">
                  <c:v>154.11825619213022</c:v>
                </c:pt>
                <c:pt idx="399">
                  <c:v>155.24223713132542</c:v>
                </c:pt>
                <c:pt idx="400">
                  <c:v>156.20270180896026</c:v>
                </c:pt>
                <c:pt idx="401">
                  <c:v>157.44677222835725</c:v>
                </c:pt>
                <c:pt idx="402">
                  <c:v>159.01656872179927</c:v>
                </c:pt>
                <c:pt idx="403">
                  <c:v>161.86401046843426</c:v>
                </c:pt>
                <c:pt idx="404">
                  <c:v>162.0581196966877</c:v>
                </c:pt>
                <c:pt idx="405">
                  <c:v>162.76755525789602</c:v>
                </c:pt>
                <c:pt idx="406">
                  <c:v>163.26700697892485</c:v>
                </c:pt>
                <c:pt idx="407">
                  <c:v>163.90479839113738</c:v>
                </c:pt>
                <c:pt idx="408">
                  <c:v>163.84240330086237</c:v>
                </c:pt>
                <c:pt idx="409">
                  <c:v>163.66083006202115</c:v>
                </c:pt>
                <c:pt idx="410">
                  <c:v>163.58131601207063</c:v>
                </c:pt>
                <c:pt idx="411">
                  <c:v>163.77431878123858</c:v>
                </c:pt>
                <c:pt idx="412">
                  <c:v>164.58953155551617</c:v>
                </c:pt>
                <c:pt idx="413">
                  <c:v>165.26213706076598</c:v>
                </c:pt>
                <c:pt idx="414">
                  <c:v>166.21565330157932</c:v>
                </c:pt>
                <c:pt idx="415">
                  <c:v>168.10318056497789</c:v>
                </c:pt>
                <c:pt idx="416">
                  <c:v>169.5165094296411</c:v>
                </c:pt>
                <c:pt idx="417">
                  <c:v>170.09814813318732</c:v>
                </c:pt>
                <c:pt idx="418">
                  <c:v>170.86888202953739</c:v>
                </c:pt>
                <c:pt idx="419">
                  <c:v>171.80961890977073</c:v>
                </c:pt>
                <c:pt idx="420">
                  <c:v>172.68384448874644</c:v>
                </c:pt>
                <c:pt idx="421">
                  <c:v>173.21185006550593</c:v>
                </c:pt>
                <c:pt idx="422">
                  <c:v>173.67173459058012</c:v>
                </c:pt>
                <c:pt idx="423">
                  <c:v>174.40648693414835</c:v>
                </c:pt>
                <c:pt idx="424">
                  <c:v>174.89776461360267</c:v>
                </c:pt>
                <c:pt idx="425">
                  <c:v>175.4054570368217</c:v>
                </c:pt>
                <c:pt idx="426">
                  <c:v>175.489559518314</c:v>
                </c:pt>
                <c:pt idx="427">
                  <c:v>175.52703923635758</c:v>
                </c:pt>
                <c:pt idx="428">
                  <c:v>175.48705749754694</c:v>
                </c:pt>
                <c:pt idx="429">
                  <c:v>174.82359887218067</c:v>
                </c:pt>
                <c:pt idx="430">
                  <c:v>174.73285332874872</c:v>
                </c:pt>
                <c:pt idx="431">
                  <c:v>174.31325402991843</c:v>
                </c:pt>
                <c:pt idx="432">
                  <c:v>174.29500243554261</c:v>
                </c:pt>
                <c:pt idx="433">
                  <c:v>174.31065276364052</c:v>
                </c:pt>
                <c:pt idx="434">
                  <c:v>174.33621687300214</c:v>
                </c:pt>
                <c:pt idx="435">
                  <c:v>174.39299619488796</c:v>
                </c:pt>
                <c:pt idx="436">
                  <c:v>173.99409610985199</c:v>
                </c:pt>
                <c:pt idx="437">
                  <c:v>172.84023769669724</c:v>
                </c:pt>
                <c:pt idx="438">
                  <c:v>172.01884114442711</c:v>
                </c:pt>
                <c:pt idx="439">
                  <c:v>171.46715468412756</c:v>
                </c:pt>
                <c:pt idx="440">
                  <c:v>170.66965425696796</c:v>
                </c:pt>
                <c:pt idx="441">
                  <c:v>170.26064378448118</c:v>
                </c:pt>
                <c:pt idx="442">
                  <c:v>170.06786931784305</c:v>
                </c:pt>
                <c:pt idx="443">
                  <c:v>170.13903536251365</c:v>
                </c:pt>
                <c:pt idx="444">
                  <c:v>169.9114033302838</c:v>
                </c:pt>
                <c:pt idx="445">
                  <c:v>169.96584614999267</c:v>
                </c:pt>
                <c:pt idx="446">
                  <c:v>170.2536342682773</c:v>
                </c:pt>
                <c:pt idx="447">
                  <c:v>170.85510870928206</c:v>
                </c:pt>
                <c:pt idx="448">
                  <c:v>171.4813239871992</c:v>
                </c:pt>
                <c:pt idx="449">
                  <c:v>172.84208315286082</c:v>
                </c:pt>
                <c:pt idx="450">
                  <c:v>173.94159467596427</c:v>
                </c:pt>
                <c:pt idx="451">
                  <c:v>175.80119295264615</c:v>
                </c:pt>
                <c:pt idx="452">
                  <c:v>177.50113767237633</c:v>
                </c:pt>
                <c:pt idx="453">
                  <c:v>179.48787865885939</c:v>
                </c:pt>
                <c:pt idx="454">
                  <c:v>181.63785458106264</c:v>
                </c:pt>
                <c:pt idx="455">
                  <c:v>183.6329337774807</c:v>
                </c:pt>
                <c:pt idx="456">
                  <c:v>185.41640084322495</c:v>
                </c:pt>
                <c:pt idx="457">
                  <c:v>185.77023711085184</c:v>
                </c:pt>
                <c:pt idx="458">
                  <c:v>185.90088704305066</c:v>
                </c:pt>
                <c:pt idx="459">
                  <c:v>186.49879640018216</c:v>
                </c:pt>
                <c:pt idx="460">
                  <c:v>186.53144720788546</c:v>
                </c:pt>
                <c:pt idx="461">
                  <c:v>186.12211912655451</c:v>
                </c:pt>
                <c:pt idx="462">
                  <c:v>185.78006904346236</c:v>
                </c:pt>
                <c:pt idx="463">
                  <c:v>185.2061308519292</c:v>
                </c:pt>
                <c:pt idx="464">
                  <c:v>184.82931946922696</c:v>
                </c:pt>
                <c:pt idx="465">
                  <c:v>184.42571319659993</c:v>
                </c:pt>
                <c:pt idx="466">
                  <c:v>184.30252927808007</c:v>
                </c:pt>
                <c:pt idx="467">
                  <c:v>184.14131437950243</c:v>
                </c:pt>
                <c:pt idx="468">
                  <c:v>183.95277584570323</c:v>
                </c:pt>
                <c:pt idx="469">
                  <c:v>183.7100992830745</c:v>
                </c:pt>
                <c:pt idx="470">
                  <c:v>183.45586553570084</c:v>
                </c:pt>
                <c:pt idx="471">
                  <c:v>182.67495757077612</c:v>
                </c:pt>
                <c:pt idx="472">
                  <c:v>182.00215146935648</c:v>
                </c:pt>
                <c:pt idx="473">
                  <c:v>181.0905651784602</c:v>
                </c:pt>
                <c:pt idx="474">
                  <c:v>180.36201764965071</c:v>
                </c:pt>
                <c:pt idx="475">
                  <c:v>179.88103770282436</c:v>
                </c:pt>
                <c:pt idx="476">
                  <c:v>179.37093713955917</c:v>
                </c:pt>
                <c:pt idx="477">
                  <c:v>179.50553489911036</c:v>
                </c:pt>
                <c:pt idx="478">
                  <c:v>179.90790591859707</c:v>
                </c:pt>
                <c:pt idx="479">
                  <c:v>180.28696730645368</c:v>
                </c:pt>
                <c:pt idx="480">
                  <c:v>181.02112223000466</c:v>
                </c:pt>
                <c:pt idx="481">
                  <c:v>182.42227095048619</c:v>
                </c:pt>
                <c:pt idx="482">
                  <c:v>183.96163924346317</c:v>
                </c:pt>
                <c:pt idx="483">
                  <c:v>186.02795443581638</c:v>
                </c:pt>
                <c:pt idx="484">
                  <c:v>188.15517144212407</c:v>
                </c:pt>
                <c:pt idx="485">
                  <c:v>190.79891290637715</c:v>
                </c:pt>
                <c:pt idx="486">
                  <c:v>193.2602604195169</c:v>
                </c:pt>
                <c:pt idx="487">
                  <c:v>194.54680039366283</c:v>
                </c:pt>
                <c:pt idx="488">
                  <c:v>195.62740100445063</c:v>
                </c:pt>
                <c:pt idx="489">
                  <c:v>196.57797737585213</c:v>
                </c:pt>
                <c:pt idx="490">
                  <c:v>197.25238398999295</c:v>
                </c:pt>
                <c:pt idx="491">
                  <c:v>197.96120981535566</c:v>
                </c:pt>
                <c:pt idx="492">
                  <c:v>198.65571540460331</c:v>
                </c:pt>
                <c:pt idx="493">
                  <c:v>199.07417158638569</c:v>
                </c:pt>
                <c:pt idx="494">
                  <c:v>199.40266572791489</c:v>
                </c:pt>
                <c:pt idx="495">
                  <c:v>199.67239439118157</c:v>
                </c:pt>
                <c:pt idx="496">
                  <c:v>199.65288788976568</c:v>
                </c:pt>
                <c:pt idx="497">
                  <c:v>199.69002727747122</c:v>
                </c:pt>
                <c:pt idx="498">
                  <c:v>199.6916555995289</c:v>
                </c:pt>
                <c:pt idx="499">
                  <c:v>199.71371251037934</c:v>
                </c:pt>
                <c:pt idx="500">
                  <c:v>199.82297133716506</c:v>
                </c:pt>
                <c:pt idx="501">
                  <c:v>199.93038675798417</c:v>
                </c:pt>
                <c:pt idx="502">
                  <c:v>200.0683454802946</c:v>
                </c:pt>
                <c:pt idx="503">
                  <c:v>200.36565515529992</c:v>
                </c:pt>
                <c:pt idx="504">
                  <c:v>200.85794842510316</c:v>
                </c:pt>
                <c:pt idx="505">
                  <c:v>201.72428865481339</c:v>
                </c:pt>
                <c:pt idx="506">
                  <c:v>203.13358199707332</c:v>
                </c:pt>
                <c:pt idx="507">
                  <c:v>202.80926211658189</c:v>
                </c:pt>
                <c:pt idx="508">
                  <c:v>202.82188208047029</c:v>
                </c:pt>
                <c:pt idx="509">
                  <c:v>202.50702212402817</c:v>
                </c:pt>
                <c:pt idx="510">
                  <c:v>201.41359317474439</c:v>
                </c:pt>
                <c:pt idx="511">
                  <c:v>200.14676884370471</c:v>
                </c:pt>
                <c:pt idx="512">
                  <c:v>199.4335846690806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in val="1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Data!$Z$1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5">
                  <c:v>0.74828385623832983</c:v>
                </c:pt>
                <c:pt idx="36">
                  <c:v>0.75648138741190618</c:v>
                </c:pt>
                <c:pt idx="37">
                  <c:v>0.74228242739444295</c:v>
                </c:pt>
                <c:pt idx="38">
                  <c:v>0.73734901398776187</c:v>
                </c:pt>
                <c:pt idx="39">
                  <c:v>0.68957604459780675</c:v>
                </c:pt>
                <c:pt idx="40">
                  <c:v>0.67395880023569243</c:v>
                </c:pt>
                <c:pt idx="41">
                  <c:v>0.48504938995393776</c:v>
                </c:pt>
                <c:pt idx="42">
                  <c:v>0.35012179487130918</c:v>
                </c:pt>
                <c:pt idx="43">
                  <c:v>0.2068026603511465</c:v>
                </c:pt>
                <c:pt idx="44">
                  <c:v>7.5476378453892781E-2</c:v>
                </c:pt>
                <c:pt idx="45">
                  <c:v>2.9855082485943651E-2</c:v>
                </c:pt>
                <c:pt idx="46">
                  <c:v>0.10792223291189684</c:v>
                </c:pt>
                <c:pt idx="47">
                  <c:v>0.24641298690623376</c:v>
                </c:pt>
                <c:pt idx="48">
                  <c:v>0.21392890478096921</c:v>
                </c:pt>
                <c:pt idx="49">
                  <c:v>5.9541973769590417E-2</c:v>
                </c:pt>
                <c:pt idx="50">
                  <c:v>-0.1084106005562093</c:v>
                </c:pt>
                <c:pt idx="51">
                  <c:v>-0.30070330502765968</c:v>
                </c:pt>
                <c:pt idx="52">
                  <c:v>-0.44196489903119357</c:v>
                </c:pt>
                <c:pt idx="53">
                  <c:v>-0.53644692166198138</c:v>
                </c:pt>
                <c:pt idx="54">
                  <c:v>-0.56735306835045463</c:v>
                </c:pt>
                <c:pt idx="55">
                  <c:v>-0.58804483252881545</c:v>
                </c:pt>
                <c:pt idx="56">
                  <c:v>-0.56736244149594173</c:v>
                </c:pt>
                <c:pt idx="57">
                  <c:v>-0.48480071113359346</c:v>
                </c:pt>
                <c:pt idx="58">
                  <c:v>-0.26201630446716329</c:v>
                </c:pt>
                <c:pt idx="59">
                  <c:v>-8.7507200513513572E-2</c:v>
                </c:pt>
                <c:pt idx="60">
                  <c:v>6.9519651234375424E-3</c:v>
                </c:pt>
                <c:pt idx="61">
                  <c:v>6.9244188739062573E-2</c:v>
                </c:pt>
                <c:pt idx="62">
                  <c:v>-0.1103048967912289</c:v>
                </c:pt>
                <c:pt idx="63">
                  <c:v>-0.32264355759475183</c:v>
                </c:pt>
                <c:pt idx="64">
                  <c:v>-0.43836843023657912</c:v>
                </c:pt>
                <c:pt idx="65">
                  <c:v>-0.53050622083749177</c:v>
                </c:pt>
                <c:pt idx="66">
                  <c:v>-0.50609444342490839</c:v>
                </c:pt>
                <c:pt idx="67">
                  <c:v>-0.58680915087468999</c:v>
                </c:pt>
                <c:pt idx="68">
                  <c:v>-0.68445043590835764</c:v>
                </c:pt>
                <c:pt idx="69">
                  <c:v>-0.77708798041523797</c:v>
                </c:pt>
                <c:pt idx="70">
                  <c:v>-0.77444625392740196</c:v>
                </c:pt>
                <c:pt idx="71">
                  <c:v>-0.91531339110169441</c:v>
                </c:pt>
                <c:pt idx="72">
                  <c:v>-0.91584931451178875</c:v>
                </c:pt>
                <c:pt idx="73">
                  <c:v>-0.78483137048464169</c:v>
                </c:pt>
                <c:pt idx="74">
                  <c:v>-0.49985620206297376</c:v>
                </c:pt>
                <c:pt idx="75">
                  <c:v>-0.19344818113563722</c:v>
                </c:pt>
                <c:pt idx="76">
                  <c:v>6.1632428142433415E-2</c:v>
                </c:pt>
                <c:pt idx="77">
                  <c:v>0.17721782455415847</c:v>
                </c:pt>
                <c:pt idx="78">
                  <c:v>0.1555112198712516</c:v>
                </c:pt>
                <c:pt idx="79">
                  <c:v>0.11426829698166996</c:v>
                </c:pt>
                <c:pt idx="80">
                  <c:v>0.14947399271921435</c:v>
                </c:pt>
                <c:pt idx="81">
                  <c:v>4.4700577636858974E-2</c:v>
                </c:pt>
                <c:pt idx="82">
                  <c:v>0.42045327650043784</c:v>
                </c:pt>
                <c:pt idx="83">
                  <c:v>0.57576589783645815</c:v>
                </c:pt>
                <c:pt idx="84">
                  <c:v>0.62238569294189316</c:v>
                </c:pt>
                <c:pt idx="85">
                  <c:v>0.59446379415842587</c:v>
                </c:pt>
                <c:pt idx="86">
                  <c:v>0.57289807556505568</c:v>
                </c:pt>
                <c:pt idx="87">
                  <c:v>0.56088463732352722</c:v>
                </c:pt>
                <c:pt idx="88">
                  <c:v>0.59696761284605082</c:v>
                </c:pt>
                <c:pt idx="89">
                  <c:v>0.60633751198168406</c:v>
                </c:pt>
                <c:pt idx="90">
                  <c:v>0.67686310069337208</c:v>
                </c:pt>
                <c:pt idx="91">
                  <c:v>0.70708980163836177</c:v>
                </c:pt>
                <c:pt idx="92">
                  <c:v>0.78097576626604526</c:v>
                </c:pt>
                <c:pt idx="93">
                  <c:v>0.89699493786820828</c:v>
                </c:pt>
                <c:pt idx="94">
                  <c:v>0.95152395797917455</c:v>
                </c:pt>
                <c:pt idx="95">
                  <c:v>0.72444503944492289</c:v>
                </c:pt>
                <c:pt idx="96">
                  <c:v>0.54426341312584414</c:v>
                </c:pt>
                <c:pt idx="97">
                  <c:v>0.54782348333411379</c:v>
                </c:pt>
                <c:pt idx="98">
                  <c:v>0.27837902122765884</c:v>
                </c:pt>
                <c:pt idx="99">
                  <c:v>-8.0404250632277338E-2</c:v>
                </c:pt>
                <c:pt idx="100">
                  <c:v>-0.46725761520742143</c:v>
                </c:pt>
                <c:pt idx="101">
                  <c:v>-0.68124349373413673</c:v>
                </c:pt>
                <c:pt idx="102">
                  <c:v>-0.72433141815674296</c:v>
                </c:pt>
                <c:pt idx="103">
                  <c:v>-0.62129446267393185</c:v>
                </c:pt>
                <c:pt idx="104">
                  <c:v>-0.45107622750891918</c:v>
                </c:pt>
                <c:pt idx="105">
                  <c:v>-0.31110093540645378</c:v>
                </c:pt>
                <c:pt idx="106">
                  <c:v>-0.31732539287696349</c:v>
                </c:pt>
                <c:pt idx="107">
                  <c:v>-0.2686312024110038</c:v>
                </c:pt>
                <c:pt idx="108">
                  <c:v>-0.17405372304654287</c:v>
                </c:pt>
                <c:pt idx="109">
                  <c:v>-9.4207466144168306E-2</c:v>
                </c:pt>
                <c:pt idx="110">
                  <c:v>-5.4368827748168314E-2</c:v>
                </c:pt>
                <c:pt idx="111">
                  <c:v>-0.10411198979577796</c:v>
                </c:pt>
                <c:pt idx="112">
                  <c:v>-0.11845182513134955</c:v>
                </c:pt>
                <c:pt idx="113">
                  <c:v>-0.10638896443580648</c:v>
                </c:pt>
                <c:pt idx="114">
                  <c:v>-5.7745626071867395E-2</c:v>
                </c:pt>
                <c:pt idx="115">
                  <c:v>-3.3903244511364727E-2</c:v>
                </c:pt>
                <c:pt idx="116">
                  <c:v>0.12829871618918087</c:v>
                </c:pt>
                <c:pt idx="117">
                  <c:v>0.29439797706339954</c:v>
                </c:pt>
                <c:pt idx="118">
                  <c:v>0.41527120163127806</c:v>
                </c:pt>
                <c:pt idx="119">
                  <c:v>0.353734134801022</c:v>
                </c:pt>
                <c:pt idx="120">
                  <c:v>0.2798410298346703</c:v>
                </c:pt>
                <c:pt idx="121">
                  <c:v>0.15995770241131546</c:v>
                </c:pt>
                <c:pt idx="122">
                  <c:v>0.10523687676037263</c:v>
                </c:pt>
                <c:pt idx="123">
                  <c:v>8.8881931680623638E-2</c:v>
                </c:pt>
                <c:pt idx="124">
                  <c:v>5.3194562583194216E-2</c:v>
                </c:pt>
                <c:pt idx="125">
                  <c:v>1.160679080041449E-2</c:v>
                </c:pt>
                <c:pt idx="126">
                  <c:v>4.0588366531528974E-2</c:v>
                </c:pt>
                <c:pt idx="127">
                  <c:v>-2.043947291844872E-3</c:v>
                </c:pt>
                <c:pt idx="128">
                  <c:v>7.6688451221543108E-2</c:v>
                </c:pt>
                <c:pt idx="129">
                  <c:v>0.27888013697270286</c:v>
                </c:pt>
                <c:pt idx="130">
                  <c:v>0.41256359498859213</c:v>
                </c:pt>
                <c:pt idx="131">
                  <c:v>0.489615609684661</c:v>
                </c:pt>
                <c:pt idx="132">
                  <c:v>0.47368652156447866</c:v>
                </c:pt>
                <c:pt idx="133">
                  <c:v>0.55303465106419836</c:v>
                </c:pt>
                <c:pt idx="134">
                  <c:v>0.92918777934662844</c:v>
                </c:pt>
                <c:pt idx="135">
                  <c:v>1.0400432778521758</c:v>
                </c:pt>
                <c:pt idx="136">
                  <c:v>1.0038752597033054</c:v>
                </c:pt>
                <c:pt idx="137">
                  <c:v>0.89303264799952897</c:v>
                </c:pt>
                <c:pt idx="138">
                  <c:v>0.64726316266283801</c:v>
                </c:pt>
                <c:pt idx="139">
                  <c:v>0.69975132918035521</c:v>
                </c:pt>
                <c:pt idx="140">
                  <c:v>0.89845915404735877</c:v>
                </c:pt>
                <c:pt idx="141">
                  <c:v>1.0257405787322909</c:v>
                </c:pt>
                <c:pt idx="142">
                  <c:v>0.90268474211449723</c:v>
                </c:pt>
                <c:pt idx="143">
                  <c:v>0.93663141864053223</c:v>
                </c:pt>
                <c:pt idx="144">
                  <c:v>0.66620951655875293</c:v>
                </c:pt>
                <c:pt idx="145">
                  <c:v>0.62546769450928075</c:v>
                </c:pt>
                <c:pt idx="146">
                  <c:v>0.75938938521534105</c:v>
                </c:pt>
                <c:pt idx="147">
                  <c:v>0.59389883144583377</c:v>
                </c:pt>
                <c:pt idx="148">
                  <c:v>0.28699293106541779</c:v>
                </c:pt>
                <c:pt idx="149">
                  <c:v>4.792206763011464E-2</c:v>
                </c:pt>
                <c:pt idx="150">
                  <c:v>-4.7501290503075388E-2</c:v>
                </c:pt>
                <c:pt idx="151">
                  <c:v>-0.10649091077723183</c:v>
                </c:pt>
                <c:pt idx="152">
                  <c:v>-0.21206165905522845</c:v>
                </c:pt>
                <c:pt idx="153">
                  <c:v>-0.38867427931414067</c:v>
                </c:pt>
                <c:pt idx="154">
                  <c:v>-0.49883846709318158</c:v>
                </c:pt>
                <c:pt idx="155">
                  <c:v>-0.52725693699651588</c:v>
                </c:pt>
                <c:pt idx="156">
                  <c:v>-0.52153078203242043</c:v>
                </c:pt>
                <c:pt idx="157">
                  <c:v>-0.49734399787992567</c:v>
                </c:pt>
                <c:pt idx="158">
                  <c:v>-0.44321369010537115</c:v>
                </c:pt>
                <c:pt idx="159">
                  <c:v>-0.32491771712886131</c:v>
                </c:pt>
                <c:pt idx="160">
                  <c:v>-0.19420084781226521</c:v>
                </c:pt>
                <c:pt idx="161">
                  <c:v>-7.2253816932832393E-3</c:v>
                </c:pt>
                <c:pt idx="162">
                  <c:v>0.12226382523851242</c:v>
                </c:pt>
                <c:pt idx="163">
                  <c:v>7.208525584857739E-2</c:v>
                </c:pt>
                <c:pt idx="164">
                  <c:v>7.9601007488053988E-2</c:v>
                </c:pt>
                <c:pt idx="165">
                  <c:v>8.0583368786542486E-2</c:v>
                </c:pt>
                <c:pt idx="166">
                  <c:v>0.16147488103104646</c:v>
                </c:pt>
                <c:pt idx="167">
                  <c:v>0.26678357127557817</c:v>
                </c:pt>
                <c:pt idx="168">
                  <c:v>0.31106853617105479</c:v>
                </c:pt>
                <c:pt idx="169">
                  <c:v>0.1500631370784884</c:v>
                </c:pt>
                <c:pt idx="170">
                  <c:v>-1.9197051882271499E-2</c:v>
                </c:pt>
                <c:pt idx="171">
                  <c:v>-3.4723652094150737E-3</c:v>
                </c:pt>
                <c:pt idx="172">
                  <c:v>3.4207068747664771E-2</c:v>
                </c:pt>
                <c:pt idx="173">
                  <c:v>-0.12891869056383953</c:v>
                </c:pt>
                <c:pt idx="174">
                  <c:v>-0.25717406125795916</c:v>
                </c:pt>
                <c:pt idx="175">
                  <c:v>-0.2886171141013647</c:v>
                </c:pt>
                <c:pt idx="176">
                  <c:v>-0.2194215464583138</c:v>
                </c:pt>
                <c:pt idx="177">
                  <c:v>-0.17898143380226106</c:v>
                </c:pt>
                <c:pt idx="178">
                  <c:v>-0.22209434970166964</c:v>
                </c:pt>
                <c:pt idx="179">
                  <c:v>-0.34097567913356031</c:v>
                </c:pt>
                <c:pt idx="180">
                  <c:v>-0.45758023925571645</c:v>
                </c:pt>
                <c:pt idx="181">
                  <c:v>-0.58347118870610548</c:v>
                </c:pt>
                <c:pt idx="182">
                  <c:v>-0.67534457471307929</c:v>
                </c:pt>
                <c:pt idx="183">
                  <c:v>-0.8505837444241704</c:v>
                </c:pt>
                <c:pt idx="184">
                  <c:v>-0.87741153150473083</c:v>
                </c:pt>
                <c:pt idx="185">
                  <c:v>-0.85758956164455402</c:v>
                </c:pt>
                <c:pt idx="186">
                  <c:v>-0.76613142673921453</c:v>
                </c:pt>
                <c:pt idx="187">
                  <c:v>-0.67940824405873756</c:v>
                </c:pt>
                <c:pt idx="188">
                  <c:v>-0.64651374928579586</c:v>
                </c:pt>
                <c:pt idx="189">
                  <c:v>-0.63803623184633773</c:v>
                </c:pt>
                <c:pt idx="190">
                  <c:v>-0.61449686924670066</c:v>
                </c:pt>
                <c:pt idx="191">
                  <c:v>-0.61645015861625463</c:v>
                </c:pt>
                <c:pt idx="192">
                  <c:v>-0.5741620883902171</c:v>
                </c:pt>
                <c:pt idx="193">
                  <c:v>-0.45399843899156722</c:v>
                </c:pt>
                <c:pt idx="194">
                  <c:v>-0.36048773825319119</c:v>
                </c:pt>
                <c:pt idx="195">
                  <c:v>-0.21820169679758128</c:v>
                </c:pt>
                <c:pt idx="196">
                  <c:v>-0.10399806801307476</c:v>
                </c:pt>
                <c:pt idx="197">
                  <c:v>0.13746402486584253</c:v>
                </c:pt>
                <c:pt idx="198">
                  <c:v>0.29766112735138128</c:v>
                </c:pt>
                <c:pt idx="199">
                  <c:v>0.39848485811560769</c:v>
                </c:pt>
                <c:pt idx="200">
                  <c:v>0.4852570609275737</c:v>
                </c:pt>
                <c:pt idx="201">
                  <c:v>0.36994336536355998</c:v>
                </c:pt>
                <c:pt idx="202">
                  <c:v>0.31887730416809107</c:v>
                </c:pt>
                <c:pt idx="203">
                  <c:v>0.42426421517702184</c:v>
                </c:pt>
                <c:pt idx="204">
                  <c:v>0.32766002461977722</c:v>
                </c:pt>
                <c:pt idx="205">
                  <c:v>7.047847435310578E-2</c:v>
                </c:pt>
                <c:pt idx="206">
                  <c:v>-5.0028606941057735E-2</c:v>
                </c:pt>
                <c:pt idx="207">
                  <c:v>-0.22075296357620797</c:v>
                </c:pt>
                <c:pt idx="208">
                  <c:v>-0.28394988443373403</c:v>
                </c:pt>
                <c:pt idx="209">
                  <c:v>-0.35683905850383651</c:v>
                </c:pt>
                <c:pt idx="210">
                  <c:v>-0.36607485267955947</c:v>
                </c:pt>
                <c:pt idx="211">
                  <c:v>-0.47194158112376905</c:v>
                </c:pt>
                <c:pt idx="212">
                  <c:v>-0.50411402031105312</c:v>
                </c:pt>
                <c:pt idx="213">
                  <c:v>-0.52427504145323622</c:v>
                </c:pt>
                <c:pt idx="214">
                  <c:v>-0.57805174694843764</c:v>
                </c:pt>
                <c:pt idx="215">
                  <c:v>-0.65578149454900503</c:v>
                </c:pt>
                <c:pt idx="216">
                  <c:v>-0.68998650343643364</c:v>
                </c:pt>
                <c:pt idx="217">
                  <c:v>-0.81926614513539864</c:v>
                </c:pt>
                <c:pt idx="218">
                  <c:v>-0.80803940761827331</c:v>
                </c:pt>
                <c:pt idx="219">
                  <c:v>-0.83321363026263295</c:v>
                </c:pt>
                <c:pt idx="220">
                  <c:v>-0.65462270941602507</c:v>
                </c:pt>
                <c:pt idx="221">
                  <c:v>-0.44297778061504167</c:v>
                </c:pt>
                <c:pt idx="222">
                  <c:v>-0.38279724701491458</c:v>
                </c:pt>
                <c:pt idx="223">
                  <c:v>-0.29985674465356826</c:v>
                </c:pt>
                <c:pt idx="224">
                  <c:v>-6.0810905312860708E-2</c:v>
                </c:pt>
                <c:pt idx="225">
                  <c:v>9.0102111850673516E-2</c:v>
                </c:pt>
                <c:pt idx="226">
                  <c:v>0.23764731680836704</c:v>
                </c:pt>
                <c:pt idx="227">
                  <c:v>0.25546640122486508</c:v>
                </c:pt>
                <c:pt idx="228">
                  <c:v>0.32702910161486898</c:v>
                </c:pt>
                <c:pt idx="229">
                  <c:v>0.34673202578178475</c:v>
                </c:pt>
                <c:pt idx="230">
                  <c:v>0.34359429412429132</c:v>
                </c:pt>
                <c:pt idx="231">
                  <c:v>0.18320845575971489</c:v>
                </c:pt>
                <c:pt idx="232">
                  <c:v>-3.2647612844877383E-2</c:v>
                </c:pt>
                <c:pt idx="233">
                  <c:v>-0.21189280082326811</c:v>
                </c:pt>
                <c:pt idx="234">
                  <c:v>-0.31108665137366254</c:v>
                </c:pt>
                <c:pt idx="235">
                  <c:v>-0.32228810760674831</c:v>
                </c:pt>
                <c:pt idx="236">
                  <c:v>-0.31913553526263416</c:v>
                </c:pt>
                <c:pt idx="237">
                  <c:v>-0.44809923817763497</c:v>
                </c:pt>
                <c:pt idx="238">
                  <c:v>-0.51232837993259306</c:v>
                </c:pt>
                <c:pt idx="239">
                  <c:v>-0.481670677335861</c:v>
                </c:pt>
                <c:pt idx="240">
                  <c:v>-0.59307468251271667</c:v>
                </c:pt>
                <c:pt idx="241">
                  <c:v>-0.44618034657542749</c:v>
                </c:pt>
                <c:pt idx="242">
                  <c:v>-0.41338366436711649</c:v>
                </c:pt>
                <c:pt idx="243">
                  <c:v>-0.42160759709187179</c:v>
                </c:pt>
                <c:pt idx="244">
                  <c:v>-0.32268602795188084</c:v>
                </c:pt>
                <c:pt idx="245">
                  <c:v>-0.16680148912405945</c:v>
                </c:pt>
                <c:pt idx="246">
                  <c:v>2.9548987299636842E-3</c:v>
                </c:pt>
                <c:pt idx="247">
                  <c:v>0.11825523339384425</c:v>
                </c:pt>
                <c:pt idx="248">
                  <c:v>0.17651721464932724</c:v>
                </c:pt>
                <c:pt idx="249">
                  <c:v>0.12026730993132251</c:v>
                </c:pt>
                <c:pt idx="250">
                  <c:v>0.18573298779086933</c:v>
                </c:pt>
                <c:pt idx="251">
                  <c:v>0.20365528475070871</c:v>
                </c:pt>
                <c:pt idx="252">
                  <c:v>0.23951422475959072</c:v>
                </c:pt>
                <c:pt idx="253">
                  <c:v>0.2395174542123546</c:v>
                </c:pt>
                <c:pt idx="254">
                  <c:v>0.41433569874307663</c:v>
                </c:pt>
                <c:pt idx="255">
                  <c:v>0.27188664714500677</c:v>
                </c:pt>
                <c:pt idx="256">
                  <c:v>0.17674457014336209</c:v>
                </c:pt>
                <c:pt idx="257">
                  <c:v>0.28304053579678845</c:v>
                </c:pt>
                <c:pt idx="258">
                  <c:v>0.37344502335180518</c:v>
                </c:pt>
                <c:pt idx="259">
                  <c:v>0.44446967110244451</c:v>
                </c:pt>
                <c:pt idx="260">
                  <c:v>0.66326071767794437</c:v>
                </c:pt>
                <c:pt idx="261">
                  <c:v>0.73577325687553063</c:v>
                </c:pt>
                <c:pt idx="262">
                  <c:v>0.82982391302503955</c:v>
                </c:pt>
                <c:pt idx="263">
                  <c:v>0.67528196098607074</c:v>
                </c:pt>
                <c:pt idx="264">
                  <c:v>0.64271428970853428</c:v>
                </c:pt>
                <c:pt idx="265">
                  <c:v>0.61089708990465263</c:v>
                </c:pt>
                <c:pt idx="266">
                  <c:v>0.95571186311694778</c:v>
                </c:pt>
                <c:pt idx="267">
                  <c:v>0.96878268403851431</c:v>
                </c:pt>
                <c:pt idx="268">
                  <c:v>0.98035151420184441</c:v>
                </c:pt>
                <c:pt idx="269">
                  <c:v>1.0487648296837633</c:v>
                </c:pt>
                <c:pt idx="270">
                  <c:v>0.99111538135218891</c:v>
                </c:pt>
                <c:pt idx="271">
                  <c:v>0.88329513389028391</c:v>
                </c:pt>
                <c:pt idx="272">
                  <c:v>0.86892127001104724</c:v>
                </c:pt>
                <c:pt idx="273">
                  <c:v>0.88508742455783573</c:v>
                </c:pt>
                <c:pt idx="274">
                  <c:v>0.76564468129963448</c:v>
                </c:pt>
                <c:pt idx="275">
                  <c:v>0.61613718936281492</c:v>
                </c:pt>
                <c:pt idx="276">
                  <c:v>0.55058349626031977</c:v>
                </c:pt>
                <c:pt idx="277">
                  <c:v>0.58897156070663947</c:v>
                </c:pt>
                <c:pt idx="278">
                  <c:v>0.51301680186619492</c:v>
                </c:pt>
                <c:pt idx="279">
                  <c:v>0.55072510000038166</c:v>
                </c:pt>
                <c:pt idx="280">
                  <c:v>0.45924667382902595</c:v>
                </c:pt>
                <c:pt idx="281">
                  <c:v>0.28671618599173399</c:v>
                </c:pt>
                <c:pt idx="282">
                  <c:v>0.33087440032229409</c:v>
                </c:pt>
                <c:pt idx="283">
                  <c:v>0.43694231212572854</c:v>
                </c:pt>
                <c:pt idx="284">
                  <c:v>0.62822654876438699</c:v>
                </c:pt>
                <c:pt idx="285">
                  <c:v>0.78615859244173292</c:v>
                </c:pt>
                <c:pt idx="286">
                  <c:v>0.97118932862875562</c:v>
                </c:pt>
                <c:pt idx="287">
                  <c:v>0.81922916835815318</c:v>
                </c:pt>
                <c:pt idx="288">
                  <c:v>0.69572110607508986</c:v>
                </c:pt>
                <c:pt idx="289">
                  <c:v>0.63577838002678844</c:v>
                </c:pt>
                <c:pt idx="290">
                  <c:v>0.67927353838566296</c:v>
                </c:pt>
                <c:pt idx="291">
                  <c:v>0.52084449396694854</c:v>
                </c:pt>
                <c:pt idx="292">
                  <c:v>0.34252682906691279</c:v>
                </c:pt>
                <c:pt idx="293">
                  <c:v>0.22476622133219726</c:v>
                </c:pt>
                <c:pt idx="294">
                  <c:v>0.16019517137983197</c:v>
                </c:pt>
                <c:pt idx="295">
                  <c:v>0.14155475930256678</c:v>
                </c:pt>
                <c:pt idx="296">
                  <c:v>-2.9523031386416765E-2</c:v>
                </c:pt>
                <c:pt idx="297">
                  <c:v>-0.36177681501210301</c:v>
                </c:pt>
                <c:pt idx="298">
                  <c:v>-0.57578509258467836</c:v>
                </c:pt>
                <c:pt idx="299">
                  <c:v>-0.72357003194335689</c:v>
                </c:pt>
                <c:pt idx="300">
                  <c:v>-0.80704946327689697</c:v>
                </c:pt>
                <c:pt idx="301">
                  <c:v>-0.75593951320676078</c:v>
                </c:pt>
                <c:pt idx="302">
                  <c:v>-0.7918210376720074</c:v>
                </c:pt>
                <c:pt idx="303">
                  <c:v>-0.79621665762865579</c:v>
                </c:pt>
                <c:pt idx="304">
                  <c:v>-0.74181811312607326</c:v>
                </c:pt>
                <c:pt idx="305">
                  <c:v>-0.71235621405744576</c:v>
                </c:pt>
                <c:pt idx="306">
                  <c:v>-0.8216130499377603</c:v>
                </c:pt>
                <c:pt idx="307">
                  <c:v>-0.82067759370589255</c:v>
                </c:pt>
                <c:pt idx="308">
                  <c:v>-0.70354375016637327</c:v>
                </c:pt>
                <c:pt idx="309">
                  <c:v>-0.57108450068189875</c:v>
                </c:pt>
                <c:pt idx="310">
                  <c:v>-0.33574432037711999</c:v>
                </c:pt>
                <c:pt idx="311">
                  <c:v>-0.98688806907759075</c:v>
                </c:pt>
                <c:pt idx="312">
                  <c:v>-1.2191597635039646</c:v>
                </c:pt>
                <c:pt idx="313">
                  <c:v>-1.0239642814957941</c:v>
                </c:pt>
                <c:pt idx="314">
                  <c:v>-1.2732863112486834</c:v>
                </c:pt>
                <c:pt idx="315">
                  <c:v>-1.5325334070727656</c:v>
                </c:pt>
                <c:pt idx="316">
                  <c:v>-1.6532828996114999</c:v>
                </c:pt>
                <c:pt idx="317">
                  <c:v>-1.5756566380044228</c:v>
                </c:pt>
                <c:pt idx="318">
                  <c:v>-1.5815777609873449</c:v>
                </c:pt>
                <c:pt idx="319">
                  <c:v>-1.2964396638509368</c:v>
                </c:pt>
                <c:pt idx="320">
                  <c:v>-0.86702909044665</c:v>
                </c:pt>
                <c:pt idx="321">
                  <c:v>-0.58279112815167777</c:v>
                </c:pt>
                <c:pt idx="322">
                  <c:v>-0.33738427710381513</c:v>
                </c:pt>
                <c:pt idx="323">
                  <c:v>8.0272080747517016E-2</c:v>
                </c:pt>
                <c:pt idx="324">
                  <c:v>0.32152330141285379</c:v>
                </c:pt>
                <c:pt idx="325">
                  <c:v>0.52689597141640077</c:v>
                </c:pt>
                <c:pt idx="326">
                  <c:v>0.49359725950883404</c:v>
                </c:pt>
                <c:pt idx="327">
                  <c:v>0.43385442928519291</c:v>
                </c:pt>
                <c:pt idx="328">
                  <c:v>0.36606168026710484</c:v>
                </c:pt>
                <c:pt idx="329">
                  <c:v>0.36741866088698005</c:v>
                </c:pt>
                <c:pt idx="330">
                  <c:v>0.39780708637365247</c:v>
                </c:pt>
                <c:pt idx="331">
                  <c:v>0.43368133856301316</c:v>
                </c:pt>
                <c:pt idx="332">
                  <c:v>0.32653522198731455</c:v>
                </c:pt>
                <c:pt idx="333">
                  <c:v>0.35861924569387682</c:v>
                </c:pt>
                <c:pt idx="334">
                  <c:v>0.29805765523905459</c:v>
                </c:pt>
                <c:pt idx="335">
                  <c:v>0.21957541528185409</c:v>
                </c:pt>
                <c:pt idx="336">
                  <c:v>0.34790192174194912</c:v>
                </c:pt>
                <c:pt idx="337">
                  <c:v>0.31306716026909842</c:v>
                </c:pt>
                <c:pt idx="338">
                  <c:v>0.18984216215135263</c:v>
                </c:pt>
                <c:pt idx="339">
                  <c:v>0.10403486823239683</c:v>
                </c:pt>
                <c:pt idx="340">
                  <c:v>-0.3127139606231536</c:v>
                </c:pt>
                <c:pt idx="341">
                  <c:v>-0.68331118852889605</c:v>
                </c:pt>
                <c:pt idx="342">
                  <c:v>-0.66384861542823526</c:v>
                </c:pt>
                <c:pt idx="343">
                  <c:v>-0.49705235637686584</c:v>
                </c:pt>
                <c:pt idx="344">
                  <c:v>-0.28125894169098431</c:v>
                </c:pt>
                <c:pt idx="345">
                  <c:v>-4.4788083806467816E-2</c:v>
                </c:pt>
                <c:pt idx="346">
                  <c:v>8.7049737570020103E-2</c:v>
                </c:pt>
                <c:pt idx="347">
                  <c:v>0.14045244858993478</c:v>
                </c:pt>
                <c:pt idx="348">
                  <c:v>0.19900987151842875</c:v>
                </c:pt>
                <c:pt idx="349">
                  <c:v>0.25599855410730576</c:v>
                </c:pt>
                <c:pt idx="350">
                  <c:v>0.2363191071302353</c:v>
                </c:pt>
                <c:pt idx="351">
                  <c:v>0.29479936965228148</c:v>
                </c:pt>
                <c:pt idx="352">
                  <c:v>0.42916356312491655</c:v>
                </c:pt>
                <c:pt idx="353">
                  <c:v>0.51117115488455067</c:v>
                </c:pt>
                <c:pt idx="354">
                  <c:v>0.48023194040731609</c:v>
                </c:pt>
                <c:pt idx="355">
                  <c:v>0.36498730889858977</c:v>
                </c:pt>
                <c:pt idx="356">
                  <c:v>0.30677207803290563</c:v>
                </c:pt>
                <c:pt idx="357">
                  <c:v>0.34600474097628553</c:v>
                </c:pt>
                <c:pt idx="358">
                  <c:v>0.36880393339842082</c:v>
                </c:pt>
                <c:pt idx="359">
                  <c:v>0.44436121185485389</c:v>
                </c:pt>
                <c:pt idx="360">
                  <c:v>0.39421204026704082</c:v>
                </c:pt>
                <c:pt idx="361">
                  <c:v>0.43229066387942083</c:v>
                </c:pt>
                <c:pt idx="362">
                  <c:v>0.46142238076380976</c:v>
                </c:pt>
                <c:pt idx="363">
                  <c:v>0.33431056210560195</c:v>
                </c:pt>
                <c:pt idx="364">
                  <c:v>5.3904815225907426E-2</c:v>
                </c:pt>
                <c:pt idx="365">
                  <c:v>-0.23206310350083043</c:v>
                </c:pt>
                <c:pt idx="366">
                  <c:v>-0.46068691287997243</c:v>
                </c:pt>
                <c:pt idx="367">
                  <c:v>-0.48270407929792963</c:v>
                </c:pt>
                <c:pt idx="368">
                  <c:v>-0.41508950618038909</c:v>
                </c:pt>
                <c:pt idx="369">
                  <c:v>-0.34367166765712998</c:v>
                </c:pt>
                <c:pt idx="370">
                  <c:v>-0.29580491889296057</c:v>
                </c:pt>
                <c:pt idx="371">
                  <c:v>-0.2217767569924648</c:v>
                </c:pt>
                <c:pt idx="372">
                  <c:v>-0.1385553924805516</c:v>
                </c:pt>
                <c:pt idx="373">
                  <c:v>0.12698527625209677</c:v>
                </c:pt>
                <c:pt idx="374">
                  <c:v>0.26731429371093091</c:v>
                </c:pt>
                <c:pt idx="375">
                  <c:v>0.37288983927104979</c:v>
                </c:pt>
                <c:pt idx="376">
                  <c:v>0.37435522606350274</c:v>
                </c:pt>
                <c:pt idx="377">
                  <c:v>0.39004658941803655</c:v>
                </c:pt>
                <c:pt idx="378">
                  <c:v>0.41102842709276682</c:v>
                </c:pt>
                <c:pt idx="379">
                  <c:v>0.49200176276054353</c:v>
                </c:pt>
                <c:pt idx="380">
                  <c:v>0.46481161914619429</c:v>
                </c:pt>
                <c:pt idx="381">
                  <c:v>0.41550319605924341</c:v>
                </c:pt>
                <c:pt idx="382">
                  <c:v>0.25377554489249027</c:v>
                </c:pt>
                <c:pt idx="383">
                  <c:v>0.74807221899067056</c:v>
                </c:pt>
                <c:pt idx="384">
                  <c:v>0.89777583035290642</c:v>
                </c:pt>
                <c:pt idx="385">
                  <c:v>0.98242177528995334</c:v>
                </c:pt>
                <c:pt idx="386">
                  <c:v>1.0157853572052458</c:v>
                </c:pt>
                <c:pt idx="387">
                  <c:v>1.1986513947963768</c:v>
                </c:pt>
                <c:pt idx="388">
                  <c:v>1.3097421732455627</c:v>
                </c:pt>
                <c:pt idx="389">
                  <c:v>1.3217263389503007</c:v>
                </c:pt>
                <c:pt idx="390">
                  <c:v>1.1581853065812551</c:v>
                </c:pt>
                <c:pt idx="391">
                  <c:v>0.83823134878227457</c:v>
                </c:pt>
                <c:pt idx="392">
                  <c:v>0.68845894126786922</c:v>
                </c:pt>
                <c:pt idx="393">
                  <c:v>0.47677481354790086</c:v>
                </c:pt>
                <c:pt idx="394">
                  <c:v>0.12972028598178076</c:v>
                </c:pt>
                <c:pt idx="395">
                  <c:v>4.1823989504761183E-2</c:v>
                </c:pt>
                <c:pt idx="396">
                  <c:v>0.19235117879174846</c:v>
                </c:pt>
                <c:pt idx="397">
                  <c:v>0.2280794667744046</c:v>
                </c:pt>
                <c:pt idx="398">
                  <c:v>0.19903390188169467</c:v>
                </c:pt>
                <c:pt idx="399">
                  <c:v>0.20001957243038326</c:v>
                </c:pt>
                <c:pt idx="400">
                  <c:v>0.27420387489097919</c:v>
                </c:pt>
                <c:pt idx="401">
                  <c:v>0.30615269232425213</c:v>
                </c:pt>
                <c:pt idx="402">
                  <c:v>0.21161550662186945</c:v>
                </c:pt>
                <c:pt idx="403">
                  <c:v>0.21330416457125301</c:v>
                </c:pt>
                <c:pt idx="404">
                  <c:v>0.18921496202336607</c:v>
                </c:pt>
                <c:pt idx="405">
                  <c:v>0.25318484793095442</c:v>
                </c:pt>
                <c:pt idx="406">
                  <c:v>0.22099919446861893</c:v>
                </c:pt>
                <c:pt idx="407">
                  <c:v>0.25353490284885627</c:v>
                </c:pt>
                <c:pt idx="408">
                  <c:v>0.29180626549944089</c:v>
                </c:pt>
                <c:pt idx="409">
                  <c:v>0.27037451092584952</c:v>
                </c:pt>
                <c:pt idx="410">
                  <c:v>0.22926001813598429</c:v>
                </c:pt>
                <c:pt idx="411">
                  <c:v>9.830762291091677E-2</c:v>
                </c:pt>
                <c:pt idx="412">
                  <c:v>-0.14868312149343943</c:v>
                </c:pt>
                <c:pt idx="413">
                  <c:v>-0.31344269958783988</c:v>
                </c:pt>
                <c:pt idx="414">
                  <c:v>-0.52197097573126827</c:v>
                </c:pt>
                <c:pt idx="415">
                  <c:v>-0.55052949833952081</c:v>
                </c:pt>
                <c:pt idx="416">
                  <c:v>-0.51650327396088702</c:v>
                </c:pt>
                <c:pt idx="417">
                  <c:v>-0.50448341873406655</c:v>
                </c:pt>
                <c:pt idx="418">
                  <c:v>-0.45340652594194264</c:v>
                </c:pt>
                <c:pt idx="419">
                  <c:v>-0.44905482215910952</c:v>
                </c:pt>
                <c:pt idx="420">
                  <c:v>-0.47127966844439939</c:v>
                </c:pt>
                <c:pt idx="421">
                  <c:v>-0.5634443440988921</c:v>
                </c:pt>
                <c:pt idx="422">
                  <c:v>-0.69333032161635666</c:v>
                </c:pt>
                <c:pt idx="423">
                  <c:v>-0.59085766712881771</c:v>
                </c:pt>
                <c:pt idx="424">
                  <c:v>-0.54779786639557138</c:v>
                </c:pt>
                <c:pt idx="425">
                  <c:v>-0.55702550117892047</c:v>
                </c:pt>
                <c:pt idx="426">
                  <c:v>-0.61514153178191622</c:v>
                </c:pt>
                <c:pt idx="427">
                  <c:v>-0.59223761620767235</c:v>
                </c:pt>
                <c:pt idx="428">
                  <c:v>-0.75963356899416423</c:v>
                </c:pt>
                <c:pt idx="429">
                  <c:v>-0.71224370597692799</c:v>
                </c:pt>
                <c:pt idx="430">
                  <c:v>-0.78699999406489707</c:v>
                </c:pt>
                <c:pt idx="431">
                  <c:v>-0.65499570536385177</c:v>
                </c:pt>
                <c:pt idx="432">
                  <c:v>-0.54305282821334777</c:v>
                </c:pt>
                <c:pt idx="433">
                  <c:v>-0.3889641311714056</c:v>
                </c:pt>
                <c:pt idx="434">
                  <c:v>-0.15566170291731396</c:v>
                </c:pt>
                <c:pt idx="435">
                  <c:v>0.11094780667335735</c:v>
                </c:pt>
                <c:pt idx="436">
                  <c:v>0.50481995065788854</c:v>
                </c:pt>
                <c:pt idx="437">
                  <c:v>0.75435783867892403</c:v>
                </c:pt>
                <c:pt idx="438">
                  <c:v>0.85395692407174395</c:v>
                </c:pt>
                <c:pt idx="439">
                  <c:v>1.02663200579306</c:v>
                </c:pt>
                <c:pt idx="440">
                  <c:v>1.0333304267849357</c:v>
                </c:pt>
                <c:pt idx="441">
                  <c:v>1.0105109541922896</c:v>
                </c:pt>
                <c:pt idx="442">
                  <c:v>0.97255054981551847</c:v>
                </c:pt>
                <c:pt idx="443">
                  <c:v>0.96252583207172693</c:v>
                </c:pt>
                <c:pt idx="444">
                  <c:v>0.85666147102327272</c:v>
                </c:pt>
                <c:pt idx="445">
                  <c:v>0.72878529669692371</c:v>
                </c:pt>
                <c:pt idx="446">
                  <c:v>0.57747691282389457</c:v>
                </c:pt>
                <c:pt idx="447">
                  <c:v>0.44170985838881949</c:v>
                </c:pt>
                <c:pt idx="448">
                  <c:v>0.36199932358696296</c:v>
                </c:pt>
                <c:pt idx="449">
                  <c:v>0.33035006713492265</c:v>
                </c:pt>
                <c:pt idx="450">
                  <c:v>0.29144026225546327</c:v>
                </c:pt>
                <c:pt idx="451">
                  <c:v>0.10002181790573506</c:v>
                </c:pt>
                <c:pt idx="452">
                  <c:v>7.8916391920476059E-3</c:v>
                </c:pt>
                <c:pt idx="453">
                  <c:v>-0.11483597423130476</c:v>
                </c:pt>
                <c:pt idx="454">
                  <c:v>-0.35215441036047546</c:v>
                </c:pt>
                <c:pt idx="455">
                  <c:v>-0.52233210074098713</c:v>
                </c:pt>
                <c:pt idx="456">
                  <c:v>-0.8489995368528569</c:v>
                </c:pt>
                <c:pt idx="457">
                  <c:v>-1.0606865274004798</c:v>
                </c:pt>
                <c:pt idx="458">
                  <c:v>-1.0093783958052787</c:v>
                </c:pt>
                <c:pt idx="459">
                  <c:v>-0.96145955205420863</c:v>
                </c:pt>
                <c:pt idx="460">
                  <c:v>-1.0710625955085109</c:v>
                </c:pt>
                <c:pt idx="461">
                  <c:v>-1.0663558643451916</c:v>
                </c:pt>
                <c:pt idx="462">
                  <c:v>-1.0809920640823132</c:v>
                </c:pt>
                <c:pt idx="463">
                  <c:v>-0.98773466003500832</c:v>
                </c:pt>
                <c:pt idx="464">
                  <c:v>-0.91691929494456215</c:v>
                </c:pt>
                <c:pt idx="465">
                  <c:v>-0.71884101205423501</c:v>
                </c:pt>
                <c:pt idx="466">
                  <c:v>-0.22127476813697688</c:v>
                </c:pt>
                <c:pt idx="467">
                  <c:v>0.12827196681261244</c:v>
                </c:pt>
                <c:pt idx="468">
                  <c:v>0.3855720650972505</c:v>
                </c:pt>
                <c:pt idx="469">
                  <c:v>0.55919968609755455</c:v>
                </c:pt>
                <c:pt idx="470">
                  <c:v>0.85954510488173597</c:v>
                </c:pt>
                <c:pt idx="471">
                  <c:v>1.0154800499420871</c:v>
                </c:pt>
                <c:pt idx="472">
                  <c:v>1.2037913732123364</c:v>
                </c:pt>
                <c:pt idx="473">
                  <c:v>1.2753358638884462</c:v>
                </c:pt>
                <c:pt idx="474">
                  <c:v>1.2842667064441478</c:v>
                </c:pt>
                <c:pt idx="475">
                  <c:v>1.3347965704964659</c:v>
                </c:pt>
                <c:pt idx="476">
                  <c:v>1.3080677393188926</c:v>
                </c:pt>
                <c:pt idx="477">
                  <c:v>1.2485652424764613</c:v>
                </c:pt>
                <c:pt idx="478">
                  <c:v>1.0711533077469895</c:v>
                </c:pt>
                <c:pt idx="479">
                  <c:v>0.76670826936420422</c:v>
                </c:pt>
                <c:pt idx="480">
                  <c:v>0.50279069333756965</c:v>
                </c:pt>
                <c:pt idx="481">
                  <c:v>0.26611497646358373</c:v>
                </c:pt>
                <c:pt idx="482">
                  <c:v>-0.11782242068708193</c:v>
                </c:pt>
                <c:pt idx="483">
                  <c:v>-0.42688478540681452</c:v>
                </c:pt>
                <c:pt idx="484">
                  <c:v>-0.65652617441720817</c:v>
                </c:pt>
                <c:pt idx="485">
                  <c:v>-0.90900734361738333</c:v>
                </c:pt>
                <c:pt idx="486">
                  <c:v>-0.634639202998728</c:v>
                </c:pt>
                <c:pt idx="487">
                  <c:v>-0.24146141641097163</c:v>
                </c:pt>
                <c:pt idx="488">
                  <c:v>8.4869703433559263E-2</c:v>
                </c:pt>
                <c:pt idx="489">
                  <c:v>0.41709639293222089</c:v>
                </c:pt>
                <c:pt idx="490">
                  <c:v>0.25857202010267732</c:v>
                </c:pt>
                <c:pt idx="491">
                  <c:v>0.17669937699323635</c:v>
                </c:pt>
                <c:pt idx="492">
                  <c:v>-4.7884155945079776E-2</c:v>
                </c:pt>
                <c:pt idx="493">
                  <c:v>-0.34492851917271627</c:v>
                </c:pt>
                <c:pt idx="494">
                  <c:v>-0.48659916036307749</c:v>
                </c:pt>
                <c:pt idx="495">
                  <c:v>-0.68125487854947009</c:v>
                </c:pt>
                <c:pt idx="496">
                  <c:v>-0.67144919451838225</c:v>
                </c:pt>
                <c:pt idx="497">
                  <c:v>-0.66968270348643966</c:v>
                </c:pt>
                <c:pt idx="498">
                  <c:v>-0.66641586981067658</c:v>
                </c:pt>
                <c:pt idx="499">
                  <c:v>-0.69787525169655229</c:v>
                </c:pt>
                <c:pt idx="500">
                  <c:v>-0.70382641305681748</c:v>
                </c:pt>
                <c:pt idx="501">
                  <c:v>-0.66889902451648675</c:v>
                </c:pt>
                <c:pt idx="502">
                  <c:v>-0.8281889116211647</c:v>
                </c:pt>
                <c:pt idx="503">
                  <c:v>-0.87433439869702978</c:v>
                </c:pt>
                <c:pt idx="504">
                  <c:v>-0.70347614649223233</c:v>
                </c:pt>
                <c:pt idx="505">
                  <c:v>-0.68730788939181808</c:v>
                </c:pt>
                <c:pt idx="506">
                  <c:v>-0.74312666517488468</c:v>
                </c:pt>
                <c:pt idx="507">
                  <c:v>-0.41250549915687351</c:v>
                </c:pt>
                <c:pt idx="508">
                  <c:v>5.4592482077195692E-2</c:v>
                </c:pt>
                <c:pt idx="509">
                  <c:v>0.64452414566785476</c:v>
                </c:pt>
                <c:pt idx="510">
                  <c:v>1.0314388525401306</c:v>
                </c:pt>
                <c:pt idx="511">
                  <c:v>1.1453048068012293</c:v>
                </c:pt>
                <c:pt idx="512">
                  <c:v>-1.6770136312397359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Data!$X$2:$X$514</c:f>
              <c:numCache>
                <c:formatCode>General</c:formatCode>
                <c:ptCount val="513"/>
                <c:pt idx="25">
                  <c:v>-1.5517962700845089</c:v>
                </c:pt>
                <c:pt idx="26">
                  <c:v>-1.5481167017110238</c:v>
                </c:pt>
                <c:pt idx="27">
                  <c:v>-1.4406399264701406</c:v>
                </c:pt>
                <c:pt idx="28">
                  <c:v>-1.4501023968487061</c:v>
                </c:pt>
                <c:pt idx="29">
                  <c:v>-1.4992242480358868</c:v>
                </c:pt>
                <c:pt idx="30">
                  <c:v>-1.3467217183616356</c:v>
                </c:pt>
                <c:pt idx="31">
                  <c:v>-1.3211801726811245</c:v>
                </c:pt>
                <c:pt idx="32">
                  <c:v>-1.1816113813624156</c:v>
                </c:pt>
                <c:pt idx="33">
                  <c:v>-0.99338385105443194</c:v>
                </c:pt>
                <c:pt idx="34">
                  <c:v>-0.69339494439088867</c:v>
                </c:pt>
                <c:pt idx="35">
                  <c:v>-0.33957577313722709</c:v>
                </c:pt>
                <c:pt idx="36">
                  <c:v>-0.14225789511067433</c:v>
                </c:pt>
                <c:pt idx="37">
                  <c:v>2.9113751720473147E-2</c:v>
                </c:pt>
                <c:pt idx="38">
                  <c:v>0.20851759181073248</c:v>
                </c:pt>
                <c:pt idx="39">
                  <c:v>0.3331386335702291</c:v>
                </c:pt>
                <c:pt idx="40">
                  <c:v>0.48601108926703773</c:v>
                </c:pt>
                <c:pt idx="41">
                  <c:v>0.41836402647376758</c:v>
                </c:pt>
                <c:pt idx="42">
                  <c:v>0.37096688010896628</c:v>
                </c:pt>
                <c:pt idx="43">
                  <c:v>0.27934841067659022</c:v>
                </c:pt>
                <c:pt idx="44">
                  <c:v>0.16689122339280971</c:v>
                </c:pt>
                <c:pt idx="45">
                  <c:v>0.12873369804634649</c:v>
                </c:pt>
                <c:pt idx="46">
                  <c:v>0.23378140670027392</c:v>
                </c:pt>
                <c:pt idx="47">
                  <c:v>0.43387540742116926</c:v>
                </c:pt>
                <c:pt idx="48">
                  <c:v>0.45487355149114705</c:v>
                </c:pt>
                <c:pt idx="49">
                  <c:v>0.31537211392216591</c:v>
                </c:pt>
                <c:pt idx="50">
                  <c:v>0.12031688945731389</c:v>
                </c:pt>
                <c:pt idx="51">
                  <c:v>-0.1471516412710514</c:v>
                </c:pt>
                <c:pt idx="52">
                  <c:v>-0.39890446003238367</c:v>
                </c:pt>
                <c:pt idx="53">
                  <c:v>-0.62749821307866682</c:v>
                </c:pt>
                <c:pt idx="54">
                  <c:v>-0.80024262685475378</c:v>
                </c:pt>
                <c:pt idx="55">
                  <c:v>-0.96794559916531853</c:v>
                </c:pt>
                <c:pt idx="56">
                  <c:v>-1.0891038185064303</c:v>
                </c:pt>
                <c:pt idx="57">
                  <c:v>-1.1277422659274805</c:v>
                </c:pt>
                <c:pt idx="58">
                  <c:v>-0.9704619353778412</c:v>
                </c:pt>
                <c:pt idx="59">
                  <c:v>-0.81782963155256994</c:v>
                </c:pt>
                <c:pt idx="60">
                  <c:v>-0.72163247463475955</c:v>
                </c:pt>
                <c:pt idx="61">
                  <c:v>-0.6420292038343689</c:v>
                </c:pt>
                <c:pt idx="62">
                  <c:v>-0.84915451356246763</c:v>
                </c:pt>
                <c:pt idx="63">
                  <c:v>-1.1421540637646785</c:v>
                </c:pt>
                <c:pt idx="64">
                  <c:v>-1.3674710439656508</c:v>
                </c:pt>
                <c:pt idx="65">
                  <c:v>-1.5922353897759365</c:v>
                </c:pt>
                <c:pt idx="66">
                  <c:v>-1.6943472232195802</c:v>
                </c:pt>
                <c:pt idx="67">
                  <c:v>-1.9217642183880344</c:v>
                </c:pt>
                <c:pt idx="68">
                  <c:v>-2.1905181123987916</c:v>
                </c:pt>
                <c:pt idx="69">
                  <c:v>-2.4774276520094816</c:v>
                </c:pt>
                <c:pt idx="70">
                  <c:v>-2.668397489003496</c:v>
                </c:pt>
                <c:pt idx="71">
                  <c:v>-3.0380929739532121</c:v>
                </c:pt>
                <c:pt idx="72">
                  <c:v>-3.2675912259912536</c:v>
                </c:pt>
                <c:pt idx="73">
                  <c:v>-3.3327811245852672</c:v>
                </c:pt>
                <c:pt idx="74">
                  <c:v>-3.1727700066793432</c:v>
                </c:pt>
                <c:pt idx="75">
                  <c:v>-2.9147240310359166</c:v>
                </c:pt>
                <c:pt idx="76">
                  <c:v>-2.6442353147222377</c:v>
                </c:pt>
                <c:pt idx="77">
                  <c:v>-2.4843454621719729</c:v>
                </c:pt>
                <c:pt idx="78">
                  <c:v>-2.4671742618870667</c:v>
                </c:pt>
                <c:pt idx="79">
                  <c:v>-2.4798501105312312</c:v>
                </c:pt>
                <c:pt idx="80">
                  <c:v>-2.4072759166138837</c:v>
                </c:pt>
                <c:pt idx="81">
                  <c:v>-2.5008741872870246</c:v>
                </c:pt>
                <c:pt idx="82">
                  <c:v>-2.020008169298336</c:v>
                </c:pt>
                <c:pt idx="83">
                  <c:v>-1.7207540735032012</c:v>
                </c:pt>
                <c:pt idx="84">
                  <c:v>-1.5185378551622932</c:v>
                </c:pt>
                <c:pt idx="85">
                  <c:v>-1.3978438054061542</c:v>
                </c:pt>
                <c:pt idx="86">
                  <c:v>-1.2761850051082604</c:v>
                </c:pt>
                <c:pt idx="87">
                  <c:v>-1.1479772840189071</c:v>
                </c:pt>
                <c:pt idx="88">
                  <c:v>-0.96265240528487084</c:v>
                </c:pt>
                <c:pt idx="89">
                  <c:v>-0.80169812815381647</c:v>
                </c:pt>
                <c:pt idx="90">
                  <c:v>-0.56195676426878549</c:v>
                </c:pt>
                <c:pt idx="91">
                  <c:v>-0.35495761291420536</c:v>
                </c:pt>
                <c:pt idx="92">
                  <c:v>-8.582770672001061E-2</c:v>
                </c:pt>
                <c:pt idx="93">
                  <c:v>0.25444019934920448</c:v>
                </c:pt>
                <c:pt idx="94">
                  <c:v>0.5468502089549645</c:v>
                </c:pt>
                <c:pt idx="95">
                  <c:v>0.5008825502819434</c:v>
                </c:pt>
                <c:pt idx="96">
                  <c:v>0.45676677724432579</c:v>
                </c:pt>
                <c:pt idx="97">
                  <c:v>0.59728271828612378</c:v>
                </c:pt>
                <c:pt idx="98">
                  <c:v>0.39743301148658361</c:v>
                </c:pt>
                <c:pt idx="99">
                  <c:v>1.8548676968578093E-2</c:v>
                </c:pt>
                <c:pt idx="100">
                  <c:v>-0.48511909140842135</c:v>
                </c:pt>
                <c:pt idx="101">
                  <c:v>-0.86941584336867095</c:v>
                </c:pt>
                <c:pt idx="102">
                  <c:v>-1.0935866223304629</c:v>
                </c:pt>
                <c:pt idx="103">
                  <c:v>-1.1458732825161349</c:v>
                </c:pt>
                <c:pt idx="104">
                  <c:v>-1.088424104228352</c:v>
                </c:pt>
                <c:pt idx="105">
                  <c:v>-1.0262240459775001</c:v>
                </c:pt>
                <c:pt idx="106">
                  <c:v>-1.1117798516672508</c:v>
                </c:pt>
                <c:pt idx="107">
                  <c:v>-1.1302434618040422</c:v>
                </c:pt>
                <c:pt idx="108">
                  <c:v>-1.0791794132012171</c:v>
                </c:pt>
                <c:pt idx="109">
                  <c:v>-1.0228850228348847</c:v>
                </c:pt>
                <c:pt idx="110">
                  <c:v>-0.99663859137592681</c:v>
                </c:pt>
                <c:pt idx="111">
                  <c:v>-1.072409750872481</c:v>
                </c:pt>
                <c:pt idx="112">
                  <c:v>-1.1163625424908901</c:v>
                </c:pt>
                <c:pt idx="113">
                  <c:v>-1.1308969229042987</c:v>
                </c:pt>
                <c:pt idx="114">
                  <c:v>-1.0966899910583265</c:v>
                </c:pt>
                <c:pt idx="115">
                  <c:v>-1.0813234206256652</c:v>
                </c:pt>
                <c:pt idx="116">
                  <c:v>-0.8870467808778244</c:v>
                </c:pt>
                <c:pt idx="117">
                  <c:v>-0.64734802573775596</c:v>
                </c:pt>
                <c:pt idx="118">
                  <c:v>-0.42265700076205803</c:v>
                </c:pt>
                <c:pt idx="119">
                  <c:v>-0.39576053389205867</c:v>
                </c:pt>
                <c:pt idx="120">
                  <c:v>-0.39969338139974298</c:v>
                </c:pt>
                <c:pt idx="121">
                  <c:v>-0.479587283220269</c:v>
                </c:pt>
                <c:pt idx="122">
                  <c:v>-0.50799888968111873</c:v>
                </c:pt>
                <c:pt idx="123">
                  <c:v>-0.50213335184071184</c:v>
                </c:pt>
                <c:pt idx="124">
                  <c:v>-0.52452208029234271</c:v>
                </c:pt>
                <c:pt idx="125">
                  <c:v>-0.56320815437501892</c:v>
                </c:pt>
                <c:pt idx="126">
                  <c:v>-0.52407948701102214</c:v>
                </c:pt>
                <c:pt idx="127">
                  <c:v>-0.56722278765735723</c:v>
                </c:pt>
                <c:pt idx="128">
                  <c:v>-0.46931827633858347</c:v>
                </c:pt>
                <c:pt idx="129">
                  <c:v>-0.19740655634424797</c:v>
                </c:pt>
                <c:pt idx="130">
                  <c:v>3.9417800418789284E-2</c:v>
                </c:pt>
                <c:pt idx="131">
                  <c:v>0.23887371753602338</c:v>
                </c:pt>
                <c:pt idx="132">
                  <c:v>0.34136625980696067</c:v>
                </c:pt>
                <c:pt idx="133">
                  <c:v>0.55897305207273007</c:v>
                </c:pt>
                <c:pt idx="134">
                  <c:v>1.1674231251918172</c:v>
                </c:pt>
                <c:pt idx="135">
                  <c:v>1.5382894431604086</c:v>
                </c:pt>
                <c:pt idx="136">
                  <c:v>1.7530902399373645</c:v>
                </c:pt>
                <c:pt idx="137">
                  <c:v>1.8655057902334704</c:v>
                </c:pt>
                <c:pt idx="138">
                  <c:v>1.7815520955624891</c:v>
                </c:pt>
                <c:pt idx="139">
                  <c:v>2.0089780943750952</c:v>
                </c:pt>
                <c:pt idx="140">
                  <c:v>2.4323007077539387</c:v>
                </c:pt>
                <c:pt idx="141">
                  <c:v>2.8160172771219436</c:v>
                </c:pt>
                <c:pt idx="142">
                  <c:v>2.9186326260327746</c:v>
                </c:pt>
                <c:pt idx="143">
                  <c:v>3.1867371572189427</c:v>
                </c:pt>
                <c:pt idx="144">
                  <c:v>3.0828676342768517</c:v>
                </c:pt>
                <c:pt idx="145">
                  <c:v>3.1984927358546997</c:v>
                </c:pt>
                <c:pt idx="146">
                  <c:v>3.5222617728645957</c:v>
                </c:pt>
                <c:pt idx="147">
                  <c:v>3.5052459269565475</c:v>
                </c:pt>
                <c:pt idx="148">
                  <c:v>3.2700882593424865</c:v>
                </c:pt>
                <c:pt idx="149">
                  <c:v>3.0429979128147124</c:v>
                </c:pt>
                <c:pt idx="150">
                  <c:v>2.9356992320557538</c:v>
                </c:pt>
                <c:pt idx="151">
                  <c:v>2.8500868840872897</c:v>
                </c:pt>
                <c:pt idx="152">
                  <c:v>2.691500721045486</c:v>
                </c:pt>
                <c:pt idx="153">
                  <c:v>2.4177195309580384</c:v>
                </c:pt>
                <c:pt idx="154">
                  <c:v>2.1828457264057022</c:v>
                </c:pt>
                <c:pt idx="155">
                  <c:v>2.022613022253239</c:v>
                </c:pt>
                <c:pt idx="156">
                  <c:v>1.8979564817092296</c:v>
                </c:pt>
                <c:pt idx="157">
                  <c:v>1.797807266391743</c:v>
                </c:pt>
                <c:pt idx="158">
                  <c:v>1.7411341516399546</c:v>
                </c:pt>
                <c:pt idx="159">
                  <c:v>1.7782006953342488</c:v>
                </c:pt>
                <c:pt idx="160">
                  <c:v>1.8603673526977786</c:v>
                </c:pt>
                <c:pt idx="161">
                  <c:v>2.0455364733934402</c:v>
                </c:pt>
                <c:pt idx="162">
                  <c:v>2.205591636634864</c:v>
                </c:pt>
                <c:pt idx="163">
                  <c:v>2.1734343812070733</c:v>
                </c:pt>
                <c:pt idx="164">
                  <c:v>2.2008503847185636</c:v>
                </c:pt>
                <c:pt idx="165">
                  <c:v>2.2219785882136875</c:v>
                </c:pt>
                <c:pt idx="166">
                  <c:v>2.3432388207159534</c:v>
                </c:pt>
                <c:pt idx="167">
                  <c:v>2.5152434037793796</c:v>
                </c:pt>
                <c:pt idx="168">
                  <c:v>2.6372955027176204</c:v>
                </c:pt>
                <c:pt idx="169">
                  <c:v>2.5138058878946765</c:v>
                </c:pt>
                <c:pt idx="170">
                  <c:v>2.3397464359633489</c:v>
                </c:pt>
                <c:pt idx="171">
                  <c:v>2.354603031333852</c:v>
                </c:pt>
                <c:pt idx="172">
                  <c:v>2.4008342324778482</c:v>
                </c:pt>
                <c:pt idx="173">
                  <c:v>2.205478800525384</c:v>
                </c:pt>
                <c:pt idx="174">
                  <c:v>2.0129299145167749</c:v>
                </c:pt>
                <c:pt idx="175">
                  <c:v>1.9093325831480286</c:v>
                </c:pt>
                <c:pt idx="176">
                  <c:v>1.9236727641765015</c:v>
                </c:pt>
                <c:pt idx="177">
                  <c:v>1.9193675183819892</c:v>
                </c:pt>
                <c:pt idx="178">
                  <c:v>1.8207310150571629</c:v>
                </c:pt>
                <c:pt idx="179">
                  <c:v>1.6166057658418822</c:v>
                </c:pt>
                <c:pt idx="180">
                  <c:v>1.3856061459057969</c:v>
                </c:pt>
                <c:pt idx="181">
                  <c:v>1.1138473992788818</c:v>
                </c:pt>
                <c:pt idx="182">
                  <c:v>0.85313786959363824</c:v>
                </c:pt>
                <c:pt idx="183">
                  <c:v>0.46525276377650471</c:v>
                </c:pt>
                <c:pt idx="184">
                  <c:v>0.21907209381976145</c:v>
                </c:pt>
                <c:pt idx="185">
                  <c:v>2.4496673268799896E-2</c:v>
                </c:pt>
                <c:pt idx="186">
                  <c:v>-7.5578048510664075E-2</c:v>
                </c:pt>
                <c:pt idx="187">
                  <c:v>-0.15870692684487153</c:v>
                </c:pt>
                <c:pt idx="188">
                  <c:v>-0.28744086939337876</c:v>
                </c:pt>
                <c:pt idx="189">
                  <c:v>-0.43847240991550507</c:v>
                </c:pt>
                <c:pt idx="190">
                  <c:v>-0.56855726462754319</c:v>
                </c:pt>
                <c:pt idx="191">
                  <c:v>-0.72462309365116084</c:v>
                </c:pt>
                <c:pt idx="192">
                  <c:v>-0.82587554552267761</c:v>
                </c:pt>
                <c:pt idx="193">
                  <c:v>-0.8192115058719196</c:v>
                </c:pt>
                <c:pt idx="194">
                  <c:v>-0.81582273969684138</c:v>
                </c:pt>
                <c:pt idx="195">
                  <c:v>-0.7280871224406269</c:v>
                </c:pt>
                <c:pt idx="196">
                  <c:v>-0.63988301065938913</c:v>
                </c:pt>
                <c:pt idx="197">
                  <c:v>-0.36405491156401126</c:v>
                </c:pt>
                <c:pt idx="198">
                  <c:v>-0.12944252724062721</c:v>
                </c:pt>
                <c:pt idx="199">
                  <c:v>7.1002418052501071E-2</c:v>
                </c:pt>
                <c:pt idx="200">
                  <c:v>0.27908888609636051</c:v>
                </c:pt>
                <c:pt idx="201">
                  <c:v>0.25626103187323679</c:v>
                </c:pt>
                <c:pt idx="202">
                  <c:v>0.28491429671979063</c:v>
                </c:pt>
                <c:pt idx="203">
                  <c:v>0.49636726152297683</c:v>
                </c:pt>
                <c:pt idx="204">
                  <c:v>0.48167807712067656</c:v>
                </c:pt>
                <c:pt idx="205">
                  <c:v>0.24211614544228155</c:v>
                </c:pt>
                <c:pt idx="206">
                  <c:v>0.10910191241285361</c:v>
                </c:pt>
                <c:pt idx="207">
                  <c:v>-0.11681068511634862</c:v>
                </c:pt>
                <c:pt idx="208">
                  <c:v>-0.25099507708230817</c:v>
                </c:pt>
                <c:pt idx="209">
                  <c:v>-0.41309401577836979</c:v>
                </c:pt>
                <c:pt idx="210">
                  <c:v>-0.51384852312398266</c:v>
                </c:pt>
                <c:pt idx="211">
                  <c:v>-0.7377006468491345</c:v>
                </c:pt>
                <c:pt idx="212">
                  <c:v>-0.89590159111418188</c:v>
                </c:pt>
                <c:pt idx="213">
                  <c:v>-1.047131372619674</c:v>
                </c:pt>
                <c:pt idx="214">
                  <c:v>-1.2454210148519849</c:v>
                </c:pt>
                <c:pt idx="215">
                  <c:v>-1.4870961360898036</c:v>
                </c:pt>
                <c:pt idx="216">
                  <c:v>-1.6937977708363405</c:v>
                </c:pt>
                <c:pt idx="217">
                  <c:v>-2.0278939488191554</c:v>
                </c:pt>
                <c:pt idx="218">
                  <c:v>-2.2186770632065986</c:v>
                </c:pt>
                <c:pt idx="219">
                  <c:v>-2.4521546934166167</c:v>
                </c:pt>
                <c:pt idx="220">
                  <c:v>-2.4372194499240152</c:v>
                </c:pt>
                <c:pt idx="221">
                  <c:v>-2.3363189662767923</c:v>
                </c:pt>
                <c:pt idx="222">
                  <c:v>-2.371837744430394</c:v>
                </c:pt>
                <c:pt idx="223">
                  <c:v>-2.3638614282324397</c:v>
                </c:pt>
                <c:pt idx="224">
                  <c:v>-2.1400183152199475</c:v>
                </c:pt>
                <c:pt idx="225">
                  <c:v>-1.9665797700937446</c:v>
                </c:pt>
                <c:pt idx="226">
                  <c:v>-1.7596227359339593</c:v>
                </c:pt>
                <c:pt idx="227">
                  <c:v>-1.677937051211245</c:v>
                </c:pt>
                <c:pt idx="228">
                  <c:v>-1.5246170754175239</c:v>
                </c:pt>
                <c:pt idx="229">
                  <c:v>-1.4182311448051621</c:v>
                </c:pt>
                <c:pt idx="230">
                  <c:v>-1.3354703029315829</c:v>
                </c:pt>
                <c:pt idx="231">
                  <c:v>-1.4500540273562308</c:v>
                </c:pt>
                <c:pt idx="232">
                  <c:v>-1.6740719991720425</c:v>
                </c:pt>
                <c:pt idx="233">
                  <c:v>-1.9062903873562504</c:v>
                </c:pt>
                <c:pt idx="234">
                  <c:v>-2.0832559007500606</c:v>
                </c:pt>
                <c:pt idx="235">
                  <c:v>-2.1750293838848336</c:v>
                </c:pt>
                <c:pt idx="236">
                  <c:v>-2.251660695356378</c:v>
                </c:pt>
                <c:pt idx="237">
                  <c:v>-2.4926492078157878</c:v>
                </c:pt>
                <c:pt idx="238">
                  <c:v>-2.6849604445538944</c:v>
                </c:pt>
                <c:pt idx="239">
                  <c:v>-2.7747204112911277</c:v>
                </c:pt>
                <c:pt idx="240">
                  <c:v>-3.0343930870961628</c:v>
                </c:pt>
                <c:pt idx="241">
                  <c:v>-2.9990438378027306</c:v>
                </c:pt>
                <c:pt idx="242">
                  <c:v>-3.0695930716861994</c:v>
                </c:pt>
                <c:pt idx="243">
                  <c:v>-3.1832189036839225</c:v>
                </c:pt>
                <c:pt idx="244">
                  <c:v>-3.1649688415319019</c:v>
                </c:pt>
                <c:pt idx="245">
                  <c:v>-3.0507846749850955</c:v>
                </c:pt>
                <c:pt idx="246">
                  <c:v>-2.8802895624485814</c:v>
                </c:pt>
                <c:pt idx="247">
                  <c:v>-2.7354254194362397</c:v>
                </c:pt>
                <c:pt idx="248">
                  <c:v>-2.6330341345184252</c:v>
                </c:pt>
                <c:pt idx="249">
                  <c:v>-2.6592172117535995</c:v>
                </c:pt>
                <c:pt idx="250">
                  <c:v>-2.5473182869463358</c:v>
                </c:pt>
                <c:pt idx="251">
                  <c:v>-2.4784821687988199</c:v>
                </c:pt>
                <c:pt idx="252">
                  <c:v>-2.3827446726000403</c:v>
                </c:pt>
                <c:pt idx="253">
                  <c:v>-2.3228620795941879</c:v>
                </c:pt>
                <c:pt idx="254">
                  <c:v>-2.0444599103776966</c:v>
                </c:pt>
                <c:pt idx="255">
                  <c:v>-2.1189373001895149</c:v>
                </c:pt>
                <c:pt idx="256">
                  <c:v>-2.1698932346553192</c:v>
                </c:pt>
                <c:pt idx="257">
                  <c:v>-1.9928371350526959</c:v>
                </c:pt>
                <c:pt idx="258">
                  <c:v>-1.8090713916597281</c:v>
                </c:pt>
                <c:pt idx="259">
                  <c:v>-1.6269293261334781</c:v>
                </c:pt>
                <c:pt idx="260">
                  <c:v>-1.242323100138492</c:v>
                </c:pt>
                <c:pt idx="261">
                  <c:v>-0.98586724672202308</c:v>
                </c:pt>
                <c:pt idx="262">
                  <c:v>-0.68436061231625445</c:v>
                </c:pt>
                <c:pt idx="263">
                  <c:v>-0.67008207410870568</c:v>
                </c:pt>
                <c:pt idx="264">
                  <c:v>-0.54197117295910857</c:v>
                </c:pt>
                <c:pt idx="265">
                  <c:v>-0.42106410028682717</c:v>
                </c:pt>
                <c:pt idx="266">
                  <c:v>0.16267863870470478</c:v>
                </c:pt>
                <c:pt idx="267">
                  <c:v>0.41794513063589989</c:v>
                </c:pt>
                <c:pt idx="268">
                  <c:v>0.67460183934969109</c:v>
                </c:pt>
                <c:pt idx="269">
                  <c:v>1.0052063622525509</c:v>
                </c:pt>
                <c:pt idx="270">
                  <c:v>1.1953357592590237</c:v>
                </c:pt>
                <c:pt idx="271">
                  <c:v>1.3083392952696897</c:v>
                </c:pt>
                <c:pt idx="272">
                  <c:v>1.5111957488932148</c:v>
                </c:pt>
                <c:pt idx="273">
                  <c:v>1.7486337595794623</c:v>
                </c:pt>
                <c:pt idx="274">
                  <c:v>1.8206021866461697</c:v>
                </c:pt>
                <c:pt idx="275">
                  <c:v>1.825128992050054</c:v>
                </c:pt>
                <c:pt idx="276">
                  <c:v>1.8972211730126389</c:v>
                </c:pt>
                <c:pt idx="277">
                  <c:v>2.0828521276356184</c:v>
                </c:pt>
                <c:pt idx="278">
                  <c:v>2.1351515692617227</c:v>
                </c:pt>
                <c:pt idx="279">
                  <c:v>2.3105411423960049</c:v>
                </c:pt>
                <c:pt idx="280">
                  <c:v>2.3338743846819057</c:v>
                </c:pt>
                <c:pt idx="281">
                  <c:v>2.2330229433425473</c:v>
                </c:pt>
                <c:pt idx="282">
                  <c:v>2.3598997577536807</c:v>
                </c:pt>
                <c:pt idx="283">
                  <c:v>2.5752032475885471</c:v>
                </c:pt>
                <c:pt idx="284">
                  <c:v>2.9235441214183027</c:v>
                </c:pt>
                <c:pt idx="285">
                  <c:v>3.2780158132060819</c:v>
                </c:pt>
                <c:pt idx="286">
                  <c:v>3.7058438815502939</c:v>
                </c:pt>
                <c:pt idx="287">
                  <c:v>3.7586910133692299</c:v>
                </c:pt>
                <c:pt idx="288">
                  <c:v>3.8091132276049393</c:v>
                </c:pt>
                <c:pt idx="289">
                  <c:v>3.9081150965633356</c:v>
                </c:pt>
                <c:pt idx="290">
                  <c:v>4.1214286395186264</c:v>
                </c:pt>
                <c:pt idx="291">
                  <c:v>4.0932107185916493</c:v>
                </c:pt>
                <c:pt idx="292">
                  <c:v>4.0005247609583421</c:v>
                </c:pt>
                <c:pt idx="293">
                  <c:v>3.9389557085566764</c:v>
                </c:pt>
                <c:pt idx="294">
                  <c:v>3.9144334514492698</c:v>
                </c:pt>
                <c:pt idx="295">
                  <c:v>3.9311817291976467</c:v>
                </c:pt>
                <c:pt idx="296">
                  <c:v>3.7527231806620591</c:v>
                </c:pt>
                <c:pt idx="297">
                  <c:v>3.3300251932833476</c:v>
                </c:pt>
                <c:pt idx="298">
                  <c:v>2.9720706425646028</c:v>
                </c:pt>
                <c:pt idx="299">
                  <c:v>2.6433931952200851</c:v>
                </c:pt>
                <c:pt idx="300">
                  <c:v>2.3581513980673208</c:v>
                </c:pt>
                <c:pt idx="301">
                  <c:v>2.2202764698357669</c:v>
                </c:pt>
                <c:pt idx="302">
                  <c:v>1.9864396859525186</c:v>
                </c:pt>
                <c:pt idx="303">
                  <c:v>1.7829899015887065</c:v>
                </c:pt>
                <c:pt idx="304">
                  <c:v>1.6519339178097709</c:v>
                </c:pt>
                <c:pt idx="305">
                  <c:v>1.5033067633640371</c:v>
                </c:pt>
                <c:pt idx="306">
                  <c:v>1.1886466649992826</c:v>
                </c:pt>
                <c:pt idx="307">
                  <c:v>0.98441272280467729</c:v>
                </c:pt>
                <c:pt idx="308">
                  <c:v>0.92566062880260347</c:v>
                </c:pt>
                <c:pt idx="309">
                  <c:v>0.91534875311660358</c:v>
                </c:pt>
                <c:pt idx="310">
                  <c:v>1.0667528533271025</c:v>
                </c:pt>
                <c:pt idx="311">
                  <c:v>0.16888708735723412</c:v>
                </c:pt>
                <c:pt idx="312">
                  <c:v>-0.36817454794513083</c:v>
                </c:pt>
                <c:pt idx="313">
                  <c:v>-0.42897013631090886</c:v>
                </c:pt>
                <c:pt idx="314">
                  <c:v>-0.99661374387596879</c:v>
                </c:pt>
                <c:pt idx="315">
                  <c:v>-1.6389941914682424</c:v>
                </c:pt>
                <c:pt idx="316">
                  <c:v>-2.1730644089098519</c:v>
                </c:pt>
                <c:pt idx="317">
                  <c:v>-2.4893523068038803</c:v>
                </c:pt>
                <c:pt idx="318">
                  <c:v>-2.8906678700336386</c:v>
                </c:pt>
                <c:pt idx="319">
                  <c:v>-2.9296396888599645</c:v>
                </c:pt>
                <c:pt idx="320">
                  <c:v>-2.7169863880673404</c:v>
                </c:pt>
                <c:pt idx="321">
                  <c:v>-2.5784462078102877</c:v>
                </c:pt>
                <c:pt idx="322">
                  <c:v>-2.4173854260383791</c:v>
                </c:pt>
                <c:pt idx="323">
                  <c:v>-1.9796610480001675</c:v>
                </c:pt>
                <c:pt idx="324">
                  <c:v>-1.6580290019816175</c:v>
                </c:pt>
                <c:pt idx="325">
                  <c:v>-1.3209323391239707</c:v>
                </c:pt>
                <c:pt idx="326">
                  <c:v>-1.2308317361543288</c:v>
                </c:pt>
                <c:pt idx="327">
                  <c:v>-1.1821109590566721</c:v>
                </c:pt>
                <c:pt idx="328">
                  <c:v>-1.1583882880079841</c:v>
                </c:pt>
                <c:pt idx="329">
                  <c:v>-1.0651766421663638</c:v>
                </c:pt>
                <c:pt idx="330">
                  <c:v>-0.93533644508627845</c:v>
                </c:pt>
                <c:pt idx="331">
                  <c:v>-0.79104185825616469</c:v>
                </c:pt>
                <c:pt idx="332">
                  <c:v>-0.81655416933503489</c:v>
                </c:pt>
                <c:pt idx="333">
                  <c:v>-0.69481533420500341</c:v>
                </c:pt>
                <c:pt idx="334">
                  <c:v>-0.68086251085006211</c:v>
                </c:pt>
                <c:pt idx="335">
                  <c:v>-0.70445089698679908</c:v>
                </c:pt>
                <c:pt idx="336">
                  <c:v>-0.48914891009121675</c:v>
                </c:pt>
                <c:pt idx="337">
                  <c:v>-0.44571688149679289</c:v>
                </c:pt>
                <c:pt idx="338">
                  <c:v>-0.52148133907670058</c:v>
                </c:pt>
                <c:pt idx="339">
                  <c:v>-0.58127991593755723</c:v>
                </c:pt>
                <c:pt idx="340">
                  <c:v>-1.076207234948896</c:v>
                </c:pt>
                <c:pt idx="341">
                  <c:v>-1.6176322599868627</c:v>
                </c:pt>
                <c:pt idx="342">
                  <c:v>-1.7641318407432607</c:v>
                </c:pt>
                <c:pt idx="343">
                  <c:v>-1.7215986707861077</c:v>
                </c:pt>
                <c:pt idx="344">
                  <c:v>-1.5761199915229724</c:v>
                </c:pt>
                <c:pt idx="345">
                  <c:v>-1.350846154590073</c:v>
                </c:pt>
                <c:pt idx="346">
                  <c:v>-1.1972458988210803</c:v>
                </c:pt>
                <c:pt idx="347">
                  <c:v>-1.108730075653682</c:v>
                </c:pt>
                <c:pt idx="348">
                  <c:v>-1.0004201848455807</c:v>
                </c:pt>
                <c:pt idx="349">
                  <c:v>-0.87943186372987725</c:v>
                </c:pt>
                <c:pt idx="350">
                  <c:v>-0.8400315339243889</c:v>
                </c:pt>
                <c:pt idx="351">
                  <c:v>-0.70785142898927234</c:v>
                </c:pt>
                <c:pt idx="352">
                  <c:v>-0.46619634473540827</c:v>
                </c:pt>
                <c:pt idx="353">
                  <c:v>-0.25639596425463651</c:v>
                </c:pt>
                <c:pt idx="354">
                  <c:v>-0.16727719363004212</c:v>
                </c:pt>
                <c:pt idx="355">
                  <c:v>-0.19127499791412106</c:v>
                </c:pt>
                <c:pt idx="356">
                  <c:v>-0.17279720927157882</c:v>
                </c:pt>
                <c:pt idx="357">
                  <c:v>-4.7063361084127564E-2</c:v>
                </c:pt>
                <c:pt idx="358">
                  <c:v>6.7936814687612923E-2</c:v>
                </c:pt>
                <c:pt idx="359">
                  <c:v>0.2545843961077594</c:v>
                </c:pt>
                <c:pt idx="360">
                  <c:v>0.30298823458670654</c:v>
                </c:pt>
                <c:pt idx="361">
                  <c:v>0.44913952416894176</c:v>
                </c:pt>
                <c:pt idx="362">
                  <c:v>0.59362683624428314</c:v>
                </c:pt>
                <c:pt idx="363">
                  <c:v>0.55009265811247587</c:v>
                </c:pt>
                <c:pt idx="364">
                  <c:v>0.28316311503925817</c:v>
                </c:pt>
                <c:pt idx="365">
                  <c:v>-6.0820579562687271E-2</c:v>
                </c:pt>
                <c:pt idx="366">
                  <c:v>-0.40461611716182233</c:v>
                </c:pt>
                <c:pt idx="367">
                  <c:v>-0.54730930340426198</c:v>
                </c:pt>
                <c:pt idx="368">
                  <c:v>-0.58346710683181868</c:v>
                </c:pt>
                <c:pt idx="369">
                  <c:v>-0.59796718522284209</c:v>
                </c:pt>
                <c:pt idx="370">
                  <c:v>-0.62405166618191288</c:v>
                </c:pt>
                <c:pt idx="371">
                  <c:v>-0.60546769352953334</c:v>
                </c:pt>
                <c:pt idx="372">
                  <c:v>-0.55688517713775809</c:v>
                </c:pt>
                <c:pt idx="373">
                  <c:v>-0.25959818934208556</c:v>
                </c:pt>
                <c:pt idx="374">
                  <c:v>-5.2440598455518739E-2</c:v>
                </c:pt>
                <c:pt idx="375">
                  <c:v>0.14635740692236254</c:v>
                </c:pt>
                <c:pt idx="376">
                  <c:v>0.24141160023069119</c:v>
                </c:pt>
                <c:pt idx="377">
                  <c:v>0.35461461093973412</c:v>
                </c:pt>
                <c:pt idx="378">
                  <c:v>0.47835355538765612</c:v>
                </c:pt>
                <c:pt idx="379">
                  <c:v>0.6823273317455687</c:v>
                </c:pt>
                <c:pt idx="380">
                  <c:v>0.77134009291776806</c:v>
                </c:pt>
                <c:pt idx="381">
                  <c:v>0.82590746884562805</c:v>
                </c:pt>
                <c:pt idx="382">
                  <c:v>0.72762370390199749</c:v>
                </c:pt>
                <c:pt idx="383">
                  <c:v>1.4089384327478456</c:v>
                </c:pt>
                <c:pt idx="384">
                  <c:v>1.7830860016983081</c:v>
                </c:pt>
                <c:pt idx="385">
                  <c:v>2.1133373904578434</c:v>
                </c:pt>
                <c:pt idx="386">
                  <c:v>2.4006473116744473</c:v>
                </c:pt>
                <c:pt idx="387">
                  <c:v>2.8831761979646728</c:v>
                </c:pt>
                <c:pt idx="388">
                  <c:v>3.3217025197252497</c:v>
                </c:pt>
                <c:pt idx="389">
                  <c:v>3.6641182701675632</c:v>
                </c:pt>
                <c:pt idx="390">
                  <c:v>3.7901235644438316</c:v>
                </c:pt>
                <c:pt idx="391">
                  <c:v>3.6797274438404202</c:v>
                </c:pt>
                <c:pt idx="392">
                  <c:v>3.7020697716429822</c:v>
                </c:pt>
                <c:pt idx="393">
                  <c:v>3.6095793473099889</c:v>
                </c:pt>
                <c:pt idx="394">
                  <c:v>3.2949548912393141</c:v>
                </c:pt>
                <c:pt idx="395">
                  <c:v>3.2175145921384853</c:v>
                </c:pt>
                <c:pt idx="396">
                  <c:v>3.4161295761234101</c:v>
                </c:pt>
                <c:pt idx="397">
                  <c:v>3.5088777307996679</c:v>
                </c:pt>
                <c:pt idx="398">
                  <c:v>3.5295906413773821</c:v>
                </c:pt>
                <c:pt idx="399">
                  <c:v>3.5805812050336669</c:v>
                </c:pt>
                <c:pt idx="400">
                  <c:v>3.7233164762170077</c:v>
                </c:pt>
                <c:pt idx="401">
                  <c:v>3.8318034667313441</c:v>
                </c:pt>
                <c:pt idx="402">
                  <c:v>3.7901701576844289</c:v>
                </c:pt>
                <c:pt idx="403">
                  <c:v>3.8451848567766262</c:v>
                </c:pt>
                <c:pt idx="404">
                  <c:v>3.8683993947345812</c:v>
                </c:pt>
                <c:pt idx="405">
                  <c:v>3.9956654926249087</c:v>
                </c:pt>
                <c:pt idx="406">
                  <c:v>4.0187296377797281</c:v>
                </c:pt>
                <c:pt idx="407">
                  <c:v>4.1146490718721793</c:v>
                </c:pt>
                <c:pt idx="408">
                  <c:v>4.225872000897624</c:v>
                </c:pt>
                <c:pt idx="409">
                  <c:v>4.2720338740554951</c:v>
                </c:pt>
                <c:pt idx="410">
                  <c:v>4.2882343857996261</c:v>
                </c:pt>
                <c:pt idx="411">
                  <c:v>4.1818588963022876</c:v>
                </c:pt>
                <c:pt idx="412">
                  <c:v>3.897697371524572</c:v>
                </c:pt>
                <c:pt idx="413">
                  <c:v>3.6545771185332114</c:v>
                </c:pt>
                <c:pt idx="414">
                  <c:v>3.3155560984569661</c:v>
                </c:pt>
                <c:pt idx="415">
                  <c:v>3.1493652012638336</c:v>
                </c:pt>
                <c:pt idx="416">
                  <c:v>3.0542656071522458</c:v>
                </c:pt>
                <c:pt idx="417">
                  <c:v>2.9401646076955501</c:v>
                </c:pt>
                <c:pt idx="418">
                  <c:v>2.877889869002189</c:v>
                </c:pt>
                <c:pt idx="419">
                  <c:v>2.7699778672452453</c:v>
                </c:pt>
                <c:pt idx="420">
                  <c:v>2.629933103848856</c:v>
                </c:pt>
                <c:pt idx="421">
                  <c:v>2.3969073421696407</c:v>
                </c:pt>
                <c:pt idx="422">
                  <c:v>2.0936887842480871</c:v>
                </c:pt>
                <c:pt idx="423">
                  <c:v>2.0484470219534217</c:v>
                </c:pt>
                <c:pt idx="424">
                  <c:v>1.9545573560877756</c:v>
                </c:pt>
                <c:pt idx="425">
                  <c:v>1.8060733460096969</c:v>
                </c:pt>
                <c:pt idx="426">
                  <c:v>1.5941719324612222</c:v>
                </c:pt>
                <c:pt idx="427">
                  <c:v>1.4690164439835485</c:v>
                </c:pt>
                <c:pt idx="428">
                  <c:v>1.1117120989485159</c:v>
                </c:pt>
                <c:pt idx="429">
                  <c:v>0.98104103547152022</c:v>
                </c:pt>
                <c:pt idx="430">
                  <c:v>0.70953474886732693</c:v>
                </c:pt>
                <c:pt idx="431">
                  <c:v>0.6777901112274094</c:v>
                </c:pt>
                <c:pt idx="432">
                  <c:v>0.65396978132457662</c:v>
                </c:pt>
                <c:pt idx="433">
                  <c:v>0.71081744557366733</c:v>
                </c:pt>
                <c:pt idx="434">
                  <c:v>0.9052044480984307</c:v>
                </c:pt>
                <c:pt idx="435">
                  <c:v>1.1995509093574412</c:v>
                </c:pt>
                <c:pt idx="436">
                  <c:v>1.7196280410064446</c:v>
                </c:pt>
                <c:pt idx="437">
                  <c:v>2.1577553886972112</c:v>
                </c:pt>
                <c:pt idx="438">
                  <c:v>2.470843705107967</c:v>
                </c:pt>
                <c:pt idx="439">
                  <c:v>2.9001767882775482</c:v>
                </c:pt>
                <c:pt idx="440">
                  <c:v>3.1652078159656583</c:v>
                </c:pt>
                <c:pt idx="441">
                  <c:v>3.3950160819210851</c:v>
                </c:pt>
                <c:pt idx="442">
                  <c:v>3.6001933149981937</c:v>
                </c:pt>
                <c:pt idx="443">
                  <c:v>3.8308000552723342</c:v>
                </c:pt>
                <c:pt idx="444">
                  <c:v>3.9391010619796987</c:v>
                </c:pt>
                <c:pt idx="445">
                  <c:v>3.9934212118275809</c:v>
                </c:pt>
                <c:pt idx="446">
                  <c:v>3.9864820561605256</c:v>
                </c:pt>
                <c:pt idx="447">
                  <c:v>3.9611424663226558</c:v>
                </c:pt>
                <c:pt idx="448">
                  <c:v>3.9719317624175403</c:v>
                </c:pt>
                <c:pt idx="449">
                  <c:v>4.0228700227492311</c:v>
                </c:pt>
                <c:pt idx="450">
                  <c:v>4.0568202834336375</c:v>
                </c:pt>
                <c:pt idx="451">
                  <c:v>3.8904072935603438</c:v>
                </c:pt>
                <c:pt idx="452">
                  <c:v>3.8002500246446687</c:v>
                </c:pt>
                <c:pt idx="453">
                  <c:v>3.6488134176634901</c:v>
                </c:pt>
                <c:pt idx="454">
                  <c:v>3.3234563789442007</c:v>
                </c:pt>
                <c:pt idx="455">
                  <c:v>3.0226956633784425</c:v>
                </c:pt>
                <c:pt idx="456">
                  <c:v>2.4837783430533591</c:v>
                </c:pt>
                <c:pt idx="457">
                  <c:v>2.0069197206556169</c:v>
                </c:pt>
                <c:pt idx="458">
                  <c:v>1.8058832532994984</c:v>
                </c:pt>
                <c:pt idx="459">
                  <c:v>1.6134372090370164</c:v>
                </c:pt>
                <c:pt idx="460">
                  <c:v>1.2360685167055863</c:v>
                </c:pt>
                <c:pt idx="461">
                  <c:v>0.97418628178260747</c:v>
                </c:pt>
                <c:pt idx="462">
                  <c:v>0.68930206602490784</c:v>
                </c:pt>
                <c:pt idx="463">
                  <c:v>0.5356258050634608</c:v>
                </c:pt>
                <c:pt idx="464">
                  <c:v>0.37721134641776644</c:v>
                </c:pt>
                <c:pt idx="465">
                  <c:v>0.39557937629453477</c:v>
                </c:pt>
                <c:pt idx="466">
                  <c:v>0.83782692817754878</c:v>
                </c:pt>
                <c:pt idx="467">
                  <c:v>1.2194416548302911</c:v>
                </c:pt>
                <c:pt idx="468">
                  <c:v>1.5731347693892417</c:v>
                </c:pt>
                <c:pt idx="469">
                  <c:v>1.8865623119139343</c:v>
                </c:pt>
                <c:pt idx="470">
                  <c:v>2.4017940069185499</c:v>
                </c:pt>
                <c:pt idx="471">
                  <c:v>2.811598964464423</c:v>
                </c:pt>
                <c:pt idx="472">
                  <c:v>3.3008581310377565</c:v>
                </c:pt>
                <c:pt idx="473">
                  <c:v>3.6912365876859781</c:v>
                </c:pt>
                <c:pt idx="474">
                  <c:v>4.0212341068527166</c:v>
                </c:pt>
                <c:pt idx="475">
                  <c:v>4.4054631135291515</c:v>
                </c:pt>
                <c:pt idx="476">
                  <c:v>4.7057512171813016</c:v>
                </c:pt>
                <c:pt idx="477">
                  <c:v>4.958390030957986</c:v>
                </c:pt>
                <c:pt idx="478">
                  <c:v>5.0487664231652616</c:v>
                </c:pt>
                <c:pt idx="479">
                  <c:v>4.9359984521235276</c:v>
                </c:pt>
                <c:pt idx="480">
                  <c:v>4.7977785494312855</c:v>
                </c:pt>
                <c:pt idx="481">
                  <c:v>4.6276315766731955</c:v>
                </c:pt>
                <c:pt idx="482">
                  <c:v>4.2142385743507589</c:v>
                </c:pt>
                <c:pt idx="483">
                  <c:v>3.7984550132793231</c:v>
                </c:pt>
                <c:pt idx="484">
                  <c:v>3.4046820806646281</c:v>
                </c:pt>
                <c:pt idx="485">
                  <c:v>2.9249490755601073</c:v>
                </c:pt>
                <c:pt idx="486">
                  <c:v>3.0406574154290809</c:v>
                </c:pt>
                <c:pt idx="487">
                  <c:v>3.3734698479140945</c:v>
                </c:pt>
                <c:pt idx="488">
                  <c:v>3.7210183936170154</c:v>
                </c:pt>
                <c:pt idx="489">
                  <c:v>4.1575191813487322</c:v>
                </c:pt>
                <c:pt idx="490">
                  <c:v>4.0636378135448581</c:v>
                </c:pt>
                <c:pt idx="491">
                  <c:v>4.0259400146837265</c:v>
                </c:pt>
                <c:pt idx="492">
                  <c:v>3.7893854427591407</c:v>
                </c:pt>
                <c:pt idx="493">
                  <c:v>3.406108949738325</c:v>
                </c:pt>
                <c:pt idx="494">
                  <c:v>3.1427885184571949</c:v>
                </c:pt>
                <c:pt idx="495">
                  <c:v>2.7778190806334351</c:v>
                </c:pt>
                <c:pt idx="496">
                  <c:v>2.6197624660349277</c:v>
                </c:pt>
                <c:pt idx="497">
                  <c:v>2.4541082811952606</c:v>
                </c:pt>
                <c:pt idx="498">
                  <c:v>2.2907711474183543</c:v>
                </c:pt>
                <c:pt idx="499">
                  <c:v>2.0848429526083407</c:v>
                </c:pt>
                <c:pt idx="500">
                  <c:v>1.9029351879838714</c:v>
                </c:pt>
                <c:pt idx="501">
                  <c:v>1.7706378203950806</c:v>
                </c:pt>
                <c:pt idx="502">
                  <c:v>1.4043007053851113</c:v>
                </c:pt>
                <c:pt idx="503">
                  <c:v>1.1395716186349887</c:v>
                </c:pt>
                <c:pt idx="504">
                  <c:v>1.1345608342167282</c:v>
                </c:pt>
                <c:pt idx="505">
                  <c:v>0.978902118969188</c:v>
                </c:pt>
                <c:pt idx="506">
                  <c:v>0.73730167689240034</c:v>
                </c:pt>
                <c:pt idx="507">
                  <c:v>0.96479646812119313</c:v>
                </c:pt>
                <c:pt idx="508">
                  <c:v>1.4455425698745614</c:v>
                </c:pt>
                <c:pt idx="509">
                  <c:v>2.1966052698821841</c:v>
                </c:pt>
                <c:pt idx="510">
                  <c:v>2.841379689889493</c:v>
                </c:pt>
                <c:pt idx="511">
                  <c:v>3.2415718458508991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Data!$Y$1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34">
                  <c:v>-1.2749305934351394</c:v>
                </c:pt>
                <c:pt idx="35">
                  <c:v>-1.0878596293755569</c:v>
                </c:pt>
                <c:pt idx="36">
                  <c:v>-0.89873928252258051</c:v>
                </c:pt>
                <c:pt idx="37">
                  <c:v>-0.7131686756739698</c:v>
                </c:pt>
                <c:pt idx="38">
                  <c:v>-0.52883142217702939</c:v>
                </c:pt>
                <c:pt idx="39">
                  <c:v>-0.3564374110275777</c:v>
                </c:pt>
                <c:pt idx="40">
                  <c:v>-0.18794771096865465</c:v>
                </c:pt>
                <c:pt idx="41">
                  <c:v>-6.6685363480170207E-2</c:v>
                </c:pt>
                <c:pt idx="42">
                  <c:v>2.0845085237657088E-2</c:v>
                </c:pt>
                <c:pt idx="43">
                  <c:v>7.254575032544372E-2</c:v>
                </c:pt>
                <c:pt idx="44">
                  <c:v>9.1414844938916925E-2</c:v>
                </c:pt>
                <c:pt idx="45">
                  <c:v>9.8878615560402838E-2</c:v>
                </c:pt>
                <c:pt idx="46">
                  <c:v>0.12585917378837708</c:v>
                </c:pt>
                <c:pt idx="47">
                  <c:v>0.1874624205149355</c:v>
                </c:pt>
                <c:pt idx="48">
                  <c:v>0.24094464671017785</c:v>
                </c:pt>
                <c:pt idx="49">
                  <c:v>0.25583014015257549</c:v>
                </c:pt>
                <c:pt idx="50">
                  <c:v>0.22872749001352319</c:v>
                </c:pt>
                <c:pt idx="51">
                  <c:v>0.15355166375660828</c:v>
                </c:pt>
                <c:pt idx="52">
                  <c:v>4.3060438998809888E-2</c:v>
                </c:pt>
                <c:pt idx="53">
                  <c:v>-9.105129141668547E-2</c:v>
                </c:pt>
                <c:pt idx="54">
                  <c:v>-0.23288955850429915</c:v>
                </c:pt>
                <c:pt idx="55">
                  <c:v>-0.37990076663650307</c:v>
                </c:pt>
                <c:pt idx="56">
                  <c:v>-0.52174137701048862</c:v>
                </c:pt>
                <c:pt idx="57">
                  <c:v>-0.64294155479388704</c:v>
                </c:pt>
                <c:pt idx="58">
                  <c:v>-0.70844563091067791</c:v>
                </c:pt>
                <c:pt idx="59">
                  <c:v>-0.73032243103905636</c:v>
                </c:pt>
                <c:pt idx="60">
                  <c:v>-0.72858443975819709</c:v>
                </c:pt>
                <c:pt idx="61">
                  <c:v>-0.71127339257343147</c:v>
                </c:pt>
                <c:pt idx="62">
                  <c:v>-0.73884961677123873</c:v>
                </c:pt>
                <c:pt idx="63">
                  <c:v>-0.81951050616992671</c:v>
                </c:pt>
                <c:pt idx="64">
                  <c:v>-0.92910261372907166</c:v>
                </c:pt>
                <c:pt idx="65">
                  <c:v>-1.0617291689384447</c:v>
                </c:pt>
                <c:pt idx="66">
                  <c:v>-1.1882527797946718</c:v>
                </c:pt>
                <c:pt idx="67">
                  <c:v>-1.3349550675133444</c:v>
                </c:pt>
                <c:pt idx="68">
                  <c:v>-1.5060676764904339</c:v>
                </c:pt>
                <c:pt idx="69">
                  <c:v>-1.7003396715942436</c:v>
                </c:pt>
                <c:pt idx="70">
                  <c:v>-1.8939512350760941</c:v>
                </c:pt>
                <c:pt idx="71">
                  <c:v>-2.1227795828515177</c:v>
                </c:pt>
                <c:pt idx="72">
                  <c:v>-2.3517419114794649</c:v>
                </c:pt>
                <c:pt idx="73">
                  <c:v>-2.5479497541006255</c:v>
                </c:pt>
                <c:pt idx="74">
                  <c:v>-2.6729138046163694</c:v>
                </c:pt>
                <c:pt idx="75">
                  <c:v>-2.7212758499002794</c:v>
                </c:pt>
                <c:pt idx="76">
                  <c:v>-2.7058677428646711</c:v>
                </c:pt>
                <c:pt idx="77">
                  <c:v>-2.6615632867261314</c:v>
                </c:pt>
                <c:pt idx="78">
                  <c:v>-2.6226854817583183</c:v>
                </c:pt>
                <c:pt idx="79">
                  <c:v>-2.5941184075129011</c:v>
                </c:pt>
                <c:pt idx="80">
                  <c:v>-2.5567499093330981</c:v>
                </c:pt>
                <c:pt idx="81">
                  <c:v>-2.5455747649238836</c:v>
                </c:pt>
                <c:pt idx="82">
                  <c:v>-2.4404614457987739</c:v>
                </c:pt>
                <c:pt idx="83">
                  <c:v>-2.2965199713396593</c:v>
                </c:pt>
                <c:pt idx="84">
                  <c:v>-2.1409235481041864</c:v>
                </c:pt>
                <c:pt idx="85">
                  <c:v>-1.99230759956458</c:v>
                </c:pt>
                <c:pt idx="86">
                  <c:v>-1.8490830806733161</c:v>
                </c:pt>
                <c:pt idx="87">
                  <c:v>-1.7088619213424343</c:v>
                </c:pt>
                <c:pt idx="88">
                  <c:v>-1.5596200181309217</c:v>
                </c:pt>
                <c:pt idx="89">
                  <c:v>-1.4080356401355005</c:v>
                </c:pt>
                <c:pt idx="90">
                  <c:v>-1.2388198649621576</c:v>
                </c:pt>
                <c:pt idx="91">
                  <c:v>-1.0620474145525671</c:v>
                </c:pt>
                <c:pt idx="92">
                  <c:v>-0.86680347298605587</c:v>
                </c:pt>
                <c:pt idx="93">
                  <c:v>-0.6425547385190038</c:v>
                </c:pt>
                <c:pt idx="94">
                  <c:v>-0.40467374902421011</c:v>
                </c:pt>
                <c:pt idx="95">
                  <c:v>-0.22356248916297944</c:v>
                </c:pt>
                <c:pt idx="96">
                  <c:v>-8.7496635881518403E-2</c:v>
                </c:pt>
                <c:pt idx="97">
                  <c:v>4.9459234952010031E-2</c:v>
                </c:pt>
                <c:pt idx="98">
                  <c:v>0.11905399025892476</c:v>
                </c:pt>
                <c:pt idx="99">
                  <c:v>9.8952927600855431E-2</c:v>
                </c:pt>
                <c:pt idx="100">
                  <c:v>-1.7861476200999926E-2</c:v>
                </c:pt>
                <c:pt idx="101">
                  <c:v>-0.18817234963453416</c:v>
                </c:pt>
                <c:pt idx="102">
                  <c:v>-0.36925520417371993</c:v>
                </c:pt>
                <c:pt idx="103">
                  <c:v>-0.524578819842203</c:v>
                </c:pt>
                <c:pt idx="104">
                  <c:v>-0.63734787671943283</c:v>
                </c:pt>
                <c:pt idx="105">
                  <c:v>-0.71512311057104627</c:v>
                </c:pt>
                <c:pt idx="106">
                  <c:v>-0.79445445879028731</c:v>
                </c:pt>
                <c:pt idx="107">
                  <c:v>-0.86161225939303843</c:v>
                </c:pt>
                <c:pt idx="108">
                  <c:v>-0.90512569015467426</c:v>
                </c:pt>
                <c:pt idx="109">
                  <c:v>-0.92867755669071639</c:v>
                </c:pt>
                <c:pt idx="110">
                  <c:v>-0.94226976362775849</c:v>
                </c:pt>
                <c:pt idx="111">
                  <c:v>-0.96829776107670307</c:v>
                </c:pt>
                <c:pt idx="112">
                  <c:v>-0.99791071735954051</c:v>
                </c:pt>
                <c:pt idx="113">
                  <c:v>-1.0245079584684922</c:v>
                </c:pt>
                <c:pt idx="114">
                  <c:v>-1.0389443649864591</c:v>
                </c:pt>
                <c:pt idx="115">
                  <c:v>-1.0474201761143005</c:v>
                </c:pt>
                <c:pt idx="116">
                  <c:v>-1.0153454970670053</c:v>
                </c:pt>
                <c:pt idx="117">
                  <c:v>-0.9417460028011555</c:v>
                </c:pt>
                <c:pt idx="118">
                  <c:v>-0.8379282023933361</c:v>
                </c:pt>
                <c:pt idx="119">
                  <c:v>-0.74949466869308068</c:v>
                </c:pt>
                <c:pt idx="120">
                  <c:v>-0.67953441123441327</c:v>
                </c:pt>
                <c:pt idx="121">
                  <c:v>-0.63954498563158446</c:v>
                </c:pt>
                <c:pt idx="122">
                  <c:v>-0.61323576644149136</c:v>
                </c:pt>
                <c:pt idx="123">
                  <c:v>-0.59101528352133548</c:v>
                </c:pt>
                <c:pt idx="124">
                  <c:v>-0.57771664287553692</c:v>
                </c:pt>
                <c:pt idx="125">
                  <c:v>-0.57481494517543341</c:v>
                </c:pt>
                <c:pt idx="126">
                  <c:v>-0.56466785354255111</c:v>
                </c:pt>
                <c:pt idx="127">
                  <c:v>-0.56517884036551236</c:v>
                </c:pt>
                <c:pt idx="128">
                  <c:v>-0.54600672756012658</c:v>
                </c:pt>
                <c:pt idx="129">
                  <c:v>-0.47628669331695084</c:v>
                </c:pt>
                <c:pt idx="130">
                  <c:v>-0.37314579456980285</c:v>
                </c:pt>
                <c:pt idx="131">
                  <c:v>-0.25074189214863762</c:v>
                </c:pt>
                <c:pt idx="132">
                  <c:v>-0.13232026175751796</c:v>
                </c:pt>
                <c:pt idx="133">
                  <c:v>5.9384010085316574E-3</c:v>
                </c:pt>
                <c:pt idx="134">
                  <c:v>0.23823534584518877</c:v>
                </c:pt>
                <c:pt idx="135">
                  <c:v>0.49824616530823279</c:v>
                </c:pt>
                <c:pt idx="136">
                  <c:v>0.74921498023405919</c:v>
                </c:pt>
                <c:pt idx="137">
                  <c:v>0.97247314223394143</c:v>
                </c:pt>
                <c:pt idx="138">
                  <c:v>1.134288932899651</c:v>
                </c:pt>
                <c:pt idx="139">
                  <c:v>1.30922676519474</c:v>
                </c:pt>
                <c:pt idx="140">
                  <c:v>1.5338415537065799</c:v>
                </c:pt>
                <c:pt idx="141">
                  <c:v>1.7902766983896528</c:v>
                </c:pt>
                <c:pt idx="142">
                  <c:v>2.0159478839182774</c:v>
                </c:pt>
                <c:pt idx="143">
                  <c:v>2.2501057385784105</c:v>
                </c:pt>
                <c:pt idx="144">
                  <c:v>2.4166581177180988</c:v>
                </c:pt>
                <c:pt idx="145">
                  <c:v>2.573025041345419</c:v>
                </c:pt>
                <c:pt idx="146">
                  <c:v>2.7628723876492547</c:v>
                </c:pt>
                <c:pt idx="147">
                  <c:v>2.9113470955107137</c:v>
                </c:pt>
                <c:pt idx="148">
                  <c:v>2.9830953282770687</c:v>
                </c:pt>
                <c:pt idx="149">
                  <c:v>2.9950758451845978</c:v>
                </c:pt>
                <c:pt idx="150">
                  <c:v>2.9832005225588292</c:v>
                </c:pt>
                <c:pt idx="151">
                  <c:v>2.9565777948645215</c:v>
                </c:pt>
                <c:pt idx="152">
                  <c:v>2.9035623801007144</c:v>
                </c:pt>
                <c:pt idx="153">
                  <c:v>2.806393810272179</c:v>
                </c:pt>
                <c:pt idx="154">
                  <c:v>2.6816841934988838</c:v>
                </c:pt>
                <c:pt idx="155">
                  <c:v>2.5498699592497549</c:v>
                </c:pt>
                <c:pt idx="156">
                  <c:v>2.41948726374165</c:v>
                </c:pt>
                <c:pt idx="157">
                  <c:v>2.2951512642716687</c:v>
                </c:pt>
                <c:pt idx="158">
                  <c:v>2.1843478417453257</c:v>
                </c:pt>
                <c:pt idx="159">
                  <c:v>2.1031184124631102</c:v>
                </c:pt>
                <c:pt idx="160">
                  <c:v>2.0545682005100439</c:v>
                </c:pt>
                <c:pt idx="161">
                  <c:v>2.0527618550867235</c:v>
                </c:pt>
                <c:pt idx="162">
                  <c:v>2.0833278113963516</c:v>
                </c:pt>
                <c:pt idx="163">
                  <c:v>2.1013491253584959</c:v>
                </c:pt>
                <c:pt idx="164">
                  <c:v>2.1212493772305097</c:v>
                </c:pt>
                <c:pt idx="165">
                  <c:v>2.1413952194271451</c:v>
                </c:pt>
                <c:pt idx="166">
                  <c:v>2.1817639396849069</c:v>
                </c:pt>
                <c:pt idx="167">
                  <c:v>2.2484598325038014</c:v>
                </c:pt>
                <c:pt idx="168">
                  <c:v>2.3262269665465656</c:v>
                </c:pt>
                <c:pt idx="169">
                  <c:v>2.3637427508161881</c:v>
                </c:pt>
                <c:pt idx="170">
                  <c:v>2.3589434878456204</c:v>
                </c:pt>
                <c:pt idx="171">
                  <c:v>2.358075396543267</c:v>
                </c:pt>
                <c:pt idx="172">
                  <c:v>2.3666271637301834</c:v>
                </c:pt>
                <c:pt idx="173">
                  <c:v>2.3343974910892236</c:v>
                </c:pt>
                <c:pt idx="174">
                  <c:v>2.2701039757747341</c:v>
                </c:pt>
                <c:pt idx="175">
                  <c:v>2.1979496972493933</c:v>
                </c:pt>
                <c:pt idx="176">
                  <c:v>2.1430943106348153</c:v>
                </c:pt>
                <c:pt idx="177">
                  <c:v>2.0983489521842502</c:v>
                </c:pt>
                <c:pt idx="178">
                  <c:v>2.0428253647588326</c:v>
                </c:pt>
                <c:pt idx="179">
                  <c:v>1.9575814449754425</c:v>
                </c:pt>
                <c:pt idx="180">
                  <c:v>1.8431863851615133</c:v>
                </c:pt>
                <c:pt idx="181">
                  <c:v>1.6973185879849872</c:v>
                </c:pt>
                <c:pt idx="182">
                  <c:v>1.5284824443067175</c:v>
                </c:pt>
                <c:pt idx="183">
                  <c:v>1.3158365082006751</c:v>
                </c:pt>
                <c:pt idx="184">
                  <c:v>1.0964836253244923</c:v>
                </c:pt>
                <c:pt idx="185">
                  <c:v>0.88208623491335392</c:v>
                </c:pt>
                <c:pt idx="186">
                  <c:v>0.69055337822855045</c:v>
                </c:pt>
                <c:pt idx="187">
                  <c:v>0.52070131721386603</c:v>
                </c:pt>
                <c:pt idx="188">
                  <c:v>0.3590728798924171</c:v>
                </c:pt>
                <c:pt idx="189">
                  <c:v>0.19956382193083266</c:v>
                </c:pt>
                <c:pt idx="190">
                  <c:v>4.5939604619157484E-2</c:v>
                </c:pt>
                <c:pt idx="191">
                  <c:v>-0.10817293503490619</c:v>
                </c:pt>
                <c:pt idx="192">
                  <c:v>-0.25171345713246052</c:v>
                </c:pt>
                <c:pt idx="193">
                  <c:v>-0.36521306688035238</c:v>
                </c:pt>
                <c:pt idx="194">
                  <c:v>-0.45533500144365019</c:v>
                </c:pt>
                <c:pt idx="195">
                  <c:v>-0.50988542564304562</c:v>
                </c:pt>
                <c:pt idx="196">
                  <c:v>-0.53588494264631437</c:v>
                </c:pt>
                <c:pt idx="197">
                  <c:v>-0.50151893642985379</c:v>
                </c:pt>
                <c:pt idx="198">
                  <c:v>-0.4271036545920085</c:v>
                </c:pt>
                <c:pt idx="199">
                  <c:v>-0.32748244006310662</c:v>
                </c:pt>
                <c:pt idx="200">
                  <c:v>-0.20616817483121319</c:v>
                </c:pt>
                <c:pt idx="201">
                  <c:v>-0.1136823334903232</c:v>
                </c:pt>
                <c:pt idx="202">
                  <c:v>-3.3963007448300435E-2</c:v>
                </c:pt>
                <c:pt idx="203">
                  <c:v>7.2103046345955019E-2</c:v>
                </c:pt>
                <c:pt idx="204">
                  <c:v>0.15401805250089934</c:v>
                </c:pt>
                <c:pt idx="205">
                  <c:v>0.17163767108917577</c:v>
                </c:pt>
                <c:pt idx="206">
                  <c:v>0.15913051935391134</c:v>
                </c:pt>
                <c:pt idx="207">
                  <c:v>0.10394227845985934</c:v>
                </c:pt>
                <c:pt idx="208">
                  <c:v>3.2954807351425842E-2</c:v>
                </c:pt>
                <c:pt idx="209">
                  <c:v>-5.6254957274533293E-2</c:v>
                </c:pt>
                <c:pt idx="210">
                  <c:v>-0.14777367044442319</c:v>
                </c:pt>
                <c:pt idx="211">
                  <c:v>-0.26575906572536545</c:v>
                </c:pt>
                <c:pt idx="212">
                  <c:v>-0.39178757080312876</c:v>
                </c:pt>
                <c:pt idx="213">
                  <c:v>-0.52285633116643782</c:v>
                </c:pt>
                <c:pt idx="214">
                  <c:v>-0.66736926790354723</c:v>
                </c:pt>
                <c:pt idx="215">
                  <c:v>-0.83131464154079859</c:v>
                </c:pt>
                <c:pt idx="216">
                  <c:v>-1.0038112673999069</c:v>
                </c:pt>
                <c:pt idx="217">
                  <c:v>-1.2086278036837568</c:v>
                </c:pt>
                <c:pt idx="218">
                  <c:v>-1.4106376555883253</c:v>
                </c:pt>
                <c:pt idx="219">
                  <c:v>-1.6189410631539838</c:v>
                </c:pt>
                <c:pt idx="220">
                  <c:v>-1.7825967405079901</c:v>
                </c:pt>
                <c:pt idx="221">
                  <c:v>-1.8933411856617506</c:v>
                </c:pt>
                <c:pt idx="222">
                  <c:v>-1.9890404974154794</c:v>
                </c:pt>
                <c:pt idx="223">
                  <c:v>-2.0640046835788715</c:v>
                </c:pt>
                <c:pt idx="224">
                  <c:v>-2.0792074099070867</c:v>
                </c:pt>
                <c:pt idx="225">
                  <c:v>-2.0566818819444181</c:v>
                </c:pt>
                <c:pt idx="226">
                  <c:v>-1.9972700527423264</c:v>
                </c:pt>
                <c:pt idx="227">
                  <c:v>-1.9334034524361101</c:v>
                </c:pt>
                <c:pt idx="228">
                  <c:v>-1.8516461770323929</c:v>
                </c:pt>
                <c:pt idx="229">
                  <c:v>-1.7649631705869469</c:v>
                </c:pt>
                <c:pt idx="230">
                  <c:v>-1.6790645970558742</c:v>
                </c:pt>
                <c:pt idx="231">
                  <c:v>-1.6332624831159457</c:v>
                </c:pt>
                <c:pt idx="232">
                  <c:v>-1.6414243863271651</c:v>
                </c:pt>
                <c:pt idx="233">
                  <c:v>-1.6943975865329823</c:v>
                </c:pt>
                <c:pt idx="234">
                  <c:v>-1.7721692493763981</c:v>
                </c:pt>
                <c:pt idx="235">
                  <c:v>-1.8527412762780853</c:v>
                </c:pt>
                <c:pt idx="236">
                  <c:v>-1.9325251600937439</c:v>
                </c:pt>
                <c:pt idx="237">
                  <c:v>-2.0445499696381528</c:v>
                </c:pt>
                <c:pt idx="238">
                  <c:v>-2.1726320646213013</c:v>
                </c:pt>
                <c:pt idx="239">
                  <c:v>-2.2930497339552667</c:v>
                </c:pt>
                <c:pt idx="240">
                  <c:v>-2.4413184045834462</c:v>
                </c:pt>
                <c:pt idx="241">
                  <c:v>-2.5528634912273032</c:v>
                </c:pt>
                <c:pt idx="242">
                  <c:v>-2.6562094073190829</c:v>
                </c:pt>
                <c:pt idx="243">
                  <c:v>-2.7616113065920507</c:v>
                </c:pt>
                <c:pt idx="244">
                  <c:v>-2.8422828135800211</c:v>
                </c:pt>
                <c:pt idx="245">
                  <c:v>-2.8839831858610361</c:v>
                </c:pt>
                <c:pt idx="246">
                  <c:v>-2.883244461178545</c:v>
                </c:pt>
                <c:pt idx="247">
                  <c:v>-2.853680652830084</c:v>
                </c:pt>
                <c:pt idx="248">
                  <c:v>-2.8095513491677524</c:v>
                </c:pt>
                <c:pt idx="249">
                  <c:v>-2.779484521684922</c:v>
                </c:pt>
                <c:pt idx="250">
                  <c:v>-2.7330512747372051</c:v>
                </c:pt>
                <c:pt idx="251">
                  <c:v>-2.6821374535495286</c:v>
                </c:pt>
                <c:pt idx="252">
                  <c:v>-2.622258897359631</c:v>
                </c:pt>
                <c:pt idx="253">
                  <c:v>-2.5623795338065425</c:v>
                </c:pt>
                <c:pt idx="254">
                  <c:v>-2.4587956091207732</c:v>
                </c:pt>
                <c:pt idx="255">
                  <c:v>-2.3908239473345216</c:v>
                </c:pt>
                <c:pt idx="256">
                  <c:v>-2.3466378047986813</c:v>
                </c:pt>
                <c:pt idx="257">
                  <c:v>-2.2758776708494843</c:v>
                </c:pt>
                <c:pt idx="258">
                  <c:v>-2.1825164150115333</c:v>
                </c:pt>
                <c:pt idx="259">
                  <c:v>-2.0713989972359226</c:v>
                </c:pt>
                <c:pt idx="260">
                  <c:v>-1.9055838178164364</c:v>
                </c:pt>
                <c:pt idx="261">
                  <c:v>-1.7216405035975537</c:v>
                </c:pt>
                <c:pt idx="262">
                  <c:v>-1.514184525341294</c:v>
                </c:pt>
                <c:pt idx="263">
                  <c:v>-1.3453640350947764</c:v>
                </c:pt>
                <c:pt idx="264">
                  <c:v>-1.1846854626676429</c:v>
                </c:pt>
                <c:pt idx="265">
                  <c:v>-1.0319611901914798</c:v>
                </c:pt>
                <c:pt idx="266">
                  <c:v>-0.793033224412243</c:v>
                </c:pt>
                <c:pt idx="267">
                  <c:v>-0.55083755340261442</c:v>
                </c:pt>
                <c:pt idx="268">
                  <c:v>-0.30574967485215332</c:v>
                </c:pt>
                <c:pt idx="269">
                  <c:v>-4.35584674312125E-2</c:v>
                </c:pt>
                <c:pt idx="270">
                  <c:v>0.20422037790683473</c:v>
                </c:pt>
                <c:pt idx="271">
                  <c:v>0.42504416137940576</c:v>
                </c:pt>
                <c:pt idx="272">
                  <c:v>0.6422744788821676</c:v>
                </c:pt>
                <c:pt idx="273">
                  <c:v>0.86354633502162659</c:v>
                </c:pt>
                <c:pt idx="274">
                  <c:v>1.0549575053465352</c:v>
                </c:pt>
                <c:pt idx="275">
                  <c:v>1.208991802687239</c:v>
                </c:pt>
                <c:pt idx="276">
                  <c:v>1.3466376767523192</c:v>
                </c:pt>
                <c:pt idx="277">
                  <c:v>1.493880566928979</c:v>
                </c:pt>
                <c:pt idx="278">
                  <c:v>1.6221347673955278</c:v>
                </c:pt>
                <c:pt idx="279">
                  <c:v>1.7598160423956233</c:v>
                </c:pt>
                <c:pt idx="280">
                  <c:v>1.8746277108528797</c:v>
                </c:pt>
                <c:pt idx="281">
                  <c:v>1.9463067573508133</c:v>
                </c:pt>
                <c:pt idx="282">
                  <c:v>2.0290253574313866</c:v>
                </c:pt>
                <c:pt idx="283">
                  <c:v>2.1382609354628186</c:v>
                </c:pt>
                <c:pt idx="284">
                  <c:v>2.2953175726539157</c:v>
                </c:pt>
                <c:pt idx="285">
                  <c:v>2.491857220764349</c:v>
                </c:pt>
                <c:pt idx="286">
                  <c:v>2.7346545529215383</c:v>
                </c:pt>
                <c:pt idx="287">
                  <c:v>2.9394618450110768</c:v>
                </c:pt>
                <c:pt idx="288">
                  <c:v>3.1133921215298495</c:v>
                </c:pt>
                <c:pt idx="289">
                  <c:v>3.2723367165365471</c:v>
                </c:pt>
                <c:pt idx="290">
                  <c:v>3.4421551011329634</c:v>
                </c:pt>
                <c:pt idx="291">
                  <c:v>3.5723662246247008</c:v>
                </c:pt>
                <c:pt idx="292">
                  <c:v>3.6579979318914293</c:v>
                </c:pt>
                <c:pt idx="293">
                  <c:v>3.7141894872244792</c:v>
                </c:pt>
                <c:pt idx="294">
                  <c:v>3.7542382800694378</c:v>
                </c:pt>
                <c:pt idx="295">
                  <c:v>3.78962696989508</c:v>
                </c:pt>
                <c:pt idx="296">
                  <c:v>3.7822462120484759</c:v>
                </c:pt>
                <c:pt idx="297">
                  <c:v>3.6918020082954506</c:v>
                </c:pt>
                <c:pt idx="298">
                  <c:v>3.5478557351492812</c:v>
                </c:pt>
                <c:pt idx="299">
                  <c:v>3.366963227163442</c:v>
                </c:pt>
                <c:pt idx="300">
                  <c:v>3.1652008613442177</c:v>
                </c:pt>
                <c:pt idx="301">
                  <c:v>2.9762159830425277</c:v>
                </c:pt>
                <c:pt idx="302">
                  <c:v>2.778260723624526</c:v>
                </c:pt>
                <c:pt idx="303">
                  <c:v>2.5792065592173623</c:v>
                </c:pt>
                <c:pt idx="304">
                  <c:v>2.3937520309358442</c:v>
                </c:pt>
                <c:pt idx="305">
                  <c:v>2.2156629774214829</c:v>
                </c:pt>
                <c:pt idx="306">
                  <c:v>2.0102597149370429</c:v>
                </c:pt>
                <c:pt idx="307">
                  <c:v>1.8050903165105698</c:v>
                </c:pt>
                <c:pt idx="308">
                  <c:v>1.6292043789689767</c:v>
                </c:pt>
                <c:pt idx="309">
                  <c:v>1.4864332537985023</c:v>
                </c:pt>
                <c:pt idx="310">
                  <c:v>1.4024971737042224</c:v>
                </c:pt>
                <c:pt idx="311">
                  <c:v>1.1557751564348249</c:v>
                </c:pt>
                <c:pt idx="312">
                  <c:v>0.85098521555883377</c:v>
                </c:pt>
                <c:pt idx="313">
                  <c:v>0.59499414518488525</c:v>
                </c:pt>
                <c:pt idx="314">
                  <c:v>0.27667256737271451</c:v>
                </c:pt>
                <c:pt idx="315">
                  <c:v>-0.1064607843954769</c:v>
                </c:pt>
                <c:pt idx="316">
                  <c:v>-0.51978150929835187</c:v>
                </c:pt>
                <c:pt idx="317">
                  <c:v>-0.91369566879945752</c:v>
                </c:pt>
                <c:pt idx="318">
                  <c:v>-1.3090901090462936</c:v>
                </c:pt>
                <c:pt idx="319">
                  <c:v>-1.6332000250090277</c:v>
                </c:pt>
                <c:pt idx="320">
                  <c:v>-1.8499572976206904</c:v>
                </c:pt>
                <c:pt idx="321">
                  <c:v>-1.9956550796586099</c:v>
                </c:pt>
                <c:pt idx="322">
                  <c:v>-2.080001148934564</c:v>
                </c:pt>
                <c:pt idx="323">
                  <c:v>-2.0599331287476845</c:v>
                </c:pt>
                <c:pt idx="324">
                  <c:v>-1.9795523033944713</c:v>
                </c:pt>
                <c:pt idx="325">
                  <c:v>-1.8478283105403714</c:v>
                </c:pt>
                <c:pt idx="326">
                  <c:v>-1.7244289956631629</c:v>
                </c:pt>
                <c:pt idx="327">
                  <c:v>-1.615965388341865</c:v>
                </c:pt>
                <c:pt idx="328">
                  <c:v>-1.5244499682750889</c:v>
                </c:pt>
                <c:pt idx="329">
                  <c:v>-1.4325953030533438</c:v>
                </c:pt>
                <c:pt idx="330">
                  <c:v>-1.3331435314599309</c:v>
                </c:pt>
                <c:pt idx="331">
                  <c:v>-1.2247231968191779</c:v>
                </c:pt>
                <c:pt idx="332">
                  <c:v>-1.1430893913223494</c:v>
                </c:pt>
                <c:pt idx="333">
                  <c:v>-1.0534345798988802</c:v>
                </c:pt>
                <c:pt idx="334">
                  <c:v>-0.97892016608911669</c:v>
                </c:pt>
                <c:pt idx="335">
                  <c:v>-0.92402631226865317</c:v>
                </c:pt>
                <c:pt idx="336">
                  <c:v>-0.83705083183316586</c:v>
                </c:pt>
                <c:pt idx="337">
                  <c:v>-0.75878404176589132</c:v>
                </c:pt>
                <c:pt idx="338">
                  <c:v>-0.71132350122805321</c:v>
                </c:pt>
                <c:pt idx="339">
                  <c:v>-0.68531478416995406</c:v>
                </c:pt>
                <c:pt idx="340">
                  <c:v>-0.76349327432574243</c:v>
                </c:pt>
                <c:pt idx="341">
                  <c:v>-0.93432107145796661</c:v>
                </c:pt>
                <c:pt idx="342">
                  <c:v>-1.1002832253150254</c:v>
                </c:pt>
                <c:pt idx="343">
                  <c:v>-1.2245463144092419</c:v>
                </c:pt>
                <c:pt idx="344">
                  <c:v>-1.2948610498319881</c:v>
                </c:pt>
                <c:pt idx="345">
                  <c:v>-1.3060580707836051</c:v>
                </c:pt>
                <c:pt idx="346">
                  <c:v>-1.2842956363911004</c:v>
                </c:pt>
                <c:pt idx="347">
                  <c:v>-1.2491825242436168</c:v>
                </c:pt>
                <c:pt idx="348">
                  <c:v>-1.1994300563640095</c:v>
                </c:pt>
                <c:pt idx="349">
                  <c:v>-1.135430417837183</c:v>
                </c:pt>
                <c:pt idx="350">
                  <c:v>-1.0763506410546242</c:v>
                </c:pt>
                <c:pt idx="351">
                  <c:v>-1.0026507986415538</c:v>
                </c:pt>
                <c:pt idx="352">
                  <c:v>-0.89535990786032482</c:v>
                </c:pt>
                <c:pt idx="353">
                  <c:v>-0.76756711913918718</c:v>
                </c:pt>
                <c:pt idx="354">
                  <c:v>-0.64750913403735821</c:v>
                </c:pt>
                <c:pt idx="355">
                  <c:v>-0.55626230681271083</c:v>
                </c:pt>
                <c:pt idx="356">
                  <c:v>-0.47956928730448445</c:v>
                </c:pt>
                <c:pt idx="357">
                  <c:v>-0.39306810206041309</c:v>
                </c:pt>
                <c:pt idx="358">
                  <c:v>-0.3008671187108079</c:v>
                </c:pt>
                <c:pt idx="359">
                  <c:v>-0.18977681574709446</c:v>
                </c:pt>
                <c:pt idx="360">
                  <c:v>-9.1223805680334252E-2</c:v>
                </c:pt>
                <c:pt idx="361">
                  <c:v>1.6848860289520956E-2</c:v>
                </c:pt>
                <c:pt idx="362">
                  <c:v>0.13220445548047338</c:v>
                </c:pt>
                <c:pt idx="363">
                  <c:v>0.2157820960068739</c:v>
                </c:pt>
                <c:pt idx="364">
                  <c:v>0.22925829981335075</c:v>
                </c:pt>
                <c:pt idx="365">
                  <c:v>0.17124252393814315</c:v>
                </c:pt>
                <c:pt idx="366">
                  <c:v>5.6070795718150074E-2</c:v>
                </c:pt>
                <c:pt idx="367">
                  <c:v>-6.4605224106332335E-2</c:v>
                </c:pt>
                <c:pt idx="368">
                  <c:v>-0.16837760065142959</c:v>
                </c:pt>
                <c:pt idx="369">
                  <c:v>-0.25429551756571211</c:v>
                </c:pt>
                <c:pt idx="370">
                  <c:v>-0.32824674728895231</c:v>
                </c:pt>
                <c:pt idx="371">
                  <c:v>-0.38369093653706854</c:v>
                </c:pt>
                <c:pt idx="372">
                  <c:v>-0.41832978465720649</c:v>
                </c:pt>
                <c:pt idx="373">
                  <c:v>-0.38658346559418233</c:v>
                </c:pt>
                <c:pt idx="374">
                  <c:v>-0.31975489216644964</c:v>
                </c:pt>
                <c:pt idx="375">
                  <c:v>-0.22653243234868725</c:v>
                </c:pt>
                <c:pt idx="376">
                  <c:v>-0.13294362583281155</c:v>
                </c:pt>
                <c:pt idx="377">
                  <c:v>-3.5431978478302428E-2</c:v>
                </c:pt>
                <c:pt idx="378">
                  <c:v>6.7325128294889278E-2</c:v>
                </c:pt>
                <c:pt idx="379">
                  <c:v>0.19032556898502517</c:v>
                </c:pt>
                <c:pt idx="380">
                  <c:v>0.30652847377157377</c:v>
                </c:pt>
                <c:pt idx="381">
                  <c:v>0.41040427278638464</c:v>
                </c:pt>
                <c:pt idx="382">
                  <c:v>0.47384815900950722</c:v>
                </c:pt>
                <c:pt idx="383">
                  <c:v>0.66086621375717503</c:v>
                </c:pt>
                <c:pt idx="384">
                  <c:v>0.88531017134540169</c:v>
                </c:pt>
                <c:pt idx="385">
                  <c:v>1.1309156151678901</c:v>
                </c:pt>
                <c:pt idx="386">
                  <c:v>1.3848619544692016</c:v>
                </c:pt>
                <c:pt idx="387">
                  <c:v>1.684524803168296</c:v>
                </c:pt>
                <c:pt idx="388">
                  <c:v>2.0119603464796869</c:v>
                </c:pt>
                <c:pt idx="389">
                  <c:v>2.3423919312172625</c:v>
                </c:pt>
                <c:pt idx="390">
                  <c:v>2.6319382578625765</c:v>
                </c:pt>
                <c:pt idx="391">
                  <c:v>2.8414960950581456</c:v>
                </c:pt>
                <c:pt idx="392">
                  <c:v>3.013610830375113</c:v>
                </c:pt>
                <c:pt idx="393">
                  <c:v>3.132804533762088</c:v>
                </c:pt>
                <c:pt idx="394">
                  <c:v>3.1652346052575333</c:v>
                </c:pt>
                <c:pt idx="395">
                  <c:v>3.1756906026337242</c:v>
                </c:pt>
                <c:pt idx="396">
                  <c:v>3.2237783973316616</c:v>
                </c:pt>
                <c:pt idx="397">
                  <c:v>3.2807982640252633</c:v>
                </c:pt>
                <c:pt idx="398">
                  <c:v>3.3305567394956874</c:v>
                </c:pt>
                <c:pt idx="399">
                  <c:v>3.3805616326032837</c:v>
                </c:pt>
                <c:pt idx="400">
                  <c:v>3.4491126013260285</c:v>
                </c:pt>
                <c:pt idx="401">
                  <c:v>3.525650774407092</c:v>
                </c:pt>
                <c:pt idx="402">
                  <c:v>3.5785546510625594</c:v>
                </c:pt>
                <c:pt idx="403">
                  <c:v>3.6318806922053732</c:v>
                </c:pt>
                <c:pt idx="404">
                  <c:v>3.6791844327112151</c:v>
                </c:pt>
                <c:pt idx="405">
                  <c:v>3.7424806446939543</c:v>
                </c:pt>
                <c:pt idx="406">
                  <c:v>3.7977304433111092</c:v>
                </c:pt>
                <c:pt idx="407">
                  <c:v>3.8611141690233231</c:v>
                </c:pt>
                <c:pt idx="408">
                  <c:v>3.9340657353981832</c:v>
                </c:pt>
                <c:pt idx="409">
                  <c:v>4.0016593631296455</c:v>
                </c:pt>
                <c:pt idx="410">
                  <c:v>4.0589743676636418</c:v>
                </c:pt>
                <c:pt idx="411">
                  <c:v>4.0835512733913708</c:v>
                </c:pt>
                <c:pt idx="412">
                  <c:v>4.0463804930180114</c:v>
                </c:pt>
                <c:pt idx="413">
                  <c:v>3.9680198181210513</c:v>
                </c:pt>
                <c:pt idx="414">
                  <c:v>3.8375270741882344</c:v>
                </c:pt>
                <c:pt idx="415">
                  <c:v>3.6998946996033544</c:v>
                </c:pt>
                <c:pt idx="416">
                  <c:v>3.5707688811131328</c:v>
                </c:pt>
                <c:pt idx="417">
                  <c:v>3.4446480264296166</c:v>
                </c:pt>
                <c:pt idx="418">
                  <c:v>3.3312963949441317</c:v>
                </c:pt>
                <c:pt idx="419">
                  <c:v>3.2190326894043548</c:v>
                </c:pt>
                <c:pt idx="420">
                  <c:v>3.1012127722932554</c:v>
                </c:pt>
                <c:pt idx="421">
                  <c:v>2.9603516862685328</c:v>
                </c:pt>
                <c:pt idx="422">
                  <c:v>2.7870191058644438</c:v>
                </c:pt>
                <c:pt idx="423">
                  <c:v>2.6393046890822394</c:v>
                </c:pt>
                <c:pt idx="424">
                  <c:v>2.502355222483347</c:v>
                </c:pt>
                <c:pt idx="425">
                  <c:v>2.3630988471886174</c:v>
                </c:pt>
                <c:pt idx="426">
                  <c:v>2.2093134642431385</c:v>
                </c:pt>
                <c:pt idx="427">
                  <c:v>2.0612540601912208</c:v>
                </c:pt>
                <c:pt idx="428">
                  <c:v>1.8713456679426801</c:v>
                </c:pt>
                <c:pt idx="429">
                  <c:v>1.6932847414484482</c:v>
                </c:pt>
                <c:pt idx="430">
                  <c:v>1.496534742932224</c:v>
                </c:pt>
                <c:pt idx="431">
                  <c:v>1.3327858165912612</c:v>
                </c:pt>
                <c:pt idx="432">
                  <c:v>1.1970226095379244</c:v>
                </c:pt>
                <c:pt idx="433">
                  <c:v>1.0997815767450729</c:v>
                </c:pt>
                <c:pt idx="434">
                  <c:v>1.0608661510157447</c:v>
                </c:pt>
                <c:pt idx="435">
                  <c:v>1.0886031026840839</c:v>
                </c:pt>
                <c:pt idx="436">
                  <c:v>1.2148080903485561</c:v>
                </c:pt>
                <c:pt idx="437">
                  <c:v>1.4033975500182871</c:v>
                </c:pt>
                <c:pt idx="438">
                  <c:v>1.6168867810362231</c:v>
                </c:pt>
                <c:pt idx="439">
                  <c:v>1.8735447824844882</c:v>
                </c:pt>
                <c:pt idx="440">
                  <c:v>2.1318773891807226</c:v>
                </c:pt>
                <c:pt idx="441">
                  <c:v>2.3845051277287954</c:v>
                </c:pt>
                <c:pt idx="442">
                  <c:v>2.6276427651826753</c:v>
                </c:pt>
                <c:pt idx="443">
                  <c:v>2.8682742232006073</c:v>
                </c:pt>
                <c:pt idx="444">
                  <c:v>3.0824395909564259</c:v>
                </c:pt>
                <c:pt idx="445">
                  <c:v>3.2646359151306572</c:v>
                </c:pt>
                <c:pt idx="446">
                  <c:v>3.4090051433366311</c:v>
                </c:pt>
                <c:pt idx="447">
                  <c:v>3.5194326079338363</c:v>
                </c:pt>
                <c:pt idx="448">
                  <c:v>3.6099324388305774</c:v>
                </c:pt>
                <c:pt idx="449">
                  <c:v>3.6925199556143085</c:v>
                </c:pt>
                <c:pt idx="450">
                  <c:v>3.7653800211781743</c:v>
                </c:pt>
                <c:pt idx="451">
                  <c:v>3.7903854756546087</c:v>
                </c:pt>
                <c:pt idx="452">
                  <c:v>3.7923583854526211</c:v>
                </c:pt>
                <c:pt idx="453">
                  <c:v>3.7636493918947949</c:v>
                </c:pt>
                <c:pt idx="454">
                  <c:v>3.6756107893046761</c:v>
                </c:pt>
                <c:pt idx="455">
                  <c:v>3.5450277641194297</c:v>
                </c:pt>
                <c:pt idx="456">
                  <c:v>3.332777879906216</c:v>
                </c:pt>
                <c:pt idx="457">
                  <c:v>3.0676062480560966</c:v>
                </c:pt>
                <c:pt idx="458">
                  <c:v>2.8152616491047771</c:v>
                </c:pt>
                <c:pt idx="459">
                  <c:v>2.574896761091225</c:v>
                </c:pt>
                <c:pt idx="460">
                  <c:v>2.3071311122140972</c:v>
                </c:pt>
                <c:pt idx="461">
                  <c:v>2.0405421461277991</c:v>
                </c:pt>
                <c:pt idx="462">
                  <c:v>1.770294130107221</c:v>
                </c:pt>
                <c:pt idx="463">
                  <c:v>1.5233604650984691</c:v>
                </c:pt>
                <c:pt idx="464">
                  <c:v>1.2941306413623286</c:v>
                </c:pt>
                <c:pt idx="465">
                  <c:v>1.1144203883487698</c:v>
                </c:pt>
                <c:pt idx="466">
                  <c:v>1.0591016963145257</c:v>
                </c:pt>
                <c:pt idx="467">
                  <c:v>1.0911696880176787</c:v>
                </c:pt>
                <c:pt idx="468">
                  <c:v>1.1875627042919912</c:v>
                </c:pt>
                <c:pt idx="469">
                  <c:v>1.3273626258163798</c:v>
                </c:pt>
                <c:pt idx="470">
                  <c:v>1.542248902036814</c:v>
                </c:pt>
                <c:pt idx="471">
                  <c:v>1.796118914522336</c:v>
                </c:pt>
                <c:pt idx="472">
                  <c:v>2.0970667578254201</c:v>
                </c:pt>
                <c:pt idx="473">
                  <c:v>2.4159007237975318</c:v>
                </c:pt>
                <c:pt idx="474">
                  <c:v>2.7369674004085689</c:v>
                </c:pt>
                <c:pt idx="475">
                  <c:v>3.0706665430326856</c:v>
                </c:pt>
                <c:pt idx="476">
                  <c:v>3.397683477862409</c:v>
                </c:pt>
                <c:pt idx="477">
                  <c:v>3.7098247884815247</c:v>
                </c:pt>
                <c:pt idx="478">
                  <c:v>3.9776131154182721</c:v>
                </c:pt>
                <c:pt idx="479">
                  <c:v>4.1692901827593234</c:v>
                </c:pt>
                <c:pt idx="480">
                  <c:v>4.2949878560937158</c:v>
                </c:pt>
                <c:pt idx="481">
                  <c:v>4.3615166002096117</c:v>
                </c:pt>
                <c:pt idx="482">
                  <c:v>4.3320609950378408</c:v>
                </c:pt>
                <c:pt idx="483">
                  <c:v>4.2253397986861376</c:v>
                </c:pt>
                <c:pt idx="484">
                  <c:v>4.0612082550818362</c:v>
                </c:pt>
                <c:pt idx="485">
                  <c:v>3.8339564191774906</c:v>
                </c:pt>
                <c:pt idx="486">
                  <c:v>3.6752966184278089</c:v>
                </c:pt>
                <c:pt idx="487">
                  <c:v>3.6149312643250662</c:v>
                </c:pt>
                <c:pt idx="488">
                  <c:v>3.6361486901834561</c:v>
                </c:pt>
                <c:pt idx="489">
                  <c:v>3.7404227884165113</c:v>
                </c:pt>
                <c:pt idx="490">
                  <c:v>3.8050657934421808</c:v>
                </c:pt>
                <c:pt idx="491">
                  <c:v>3.8492406376904902</c:v>
                </c:pt>
                <c:pt idx="492">
                  <c:v>3.8372695987042205</c:v>
                </c:pt>
                <c:pt idx="493">
                  <c:v>3.7510374689110413</c:v>
                </c:pt>
                <c:pt idx="494">
                  <c:v>3.6293876788202724</c:v>
                </c:pt>
                <c:pt idx="495">
                  <c:v>3.4590739591829052</c:v>
                </c:pt>
                <c:pt idx="496">
                  <c:v>3.2912116605533099</c:v>
                </c:pt>
                <c:pt idx="497">
                  <c:v>3.1237909846817002</c:v>
                </c:pt>
                <c:pt idx="498">
                  <c:v>2.9571870172290309</c:v>
                </c:pt>
                <c:pt idx="499">
                  <c:v>2.782718204304893</c:v>
                </c:pt>
                <c:pt idx="500">
                  <c:v>2.6067616010406889</c:v>
                </c:pt>
                <c:pt idx="501">
                  <c:v>2.4395368449115673</c:v>
                </c:pt>
                <c:pt idx="502">
                  <c:v>2.232489617006276</c:v>
                </c:pt>
                <c:pt idx="503">
                  <c:v>2.0139060173320185</c:v>
                </c:pt>
                <c:pt idx="504">
                  <c:v>1.8380369807089605</c:v>
                </c:pt>
                <c:pt idx="505">
                  <c:v>1.6662100083610061</c:v>
                </c:pt>
                <c:pt idx="506">
                  <c:v>1.480428342067285</c:v>
                </c:pt>
                <c:pt idx="507">
                  <c:v>1.3773019672780666</c:v>
                </c:pt>
                <c:pt idx="508">
                  <c:v>1.3909500877973657</c:v>
                </c:pt>
                <c:pt idx="509">
                  <c:v>1.5520811242143293</c:v>
                </c:pt>
                <c:pt idx="510">
                  <c:v>1.8099408373493624</c:v>
                </c:pt>
                <c:pt idx="511">
                  <c:v>2.0962670390496698</c:v>
                </c:pt>
                <c:pt idx="512">
                  <c:v>1.6770136312397359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99">
                  <c:v>155.62810000000002</c:v>
                </c:pt>
                <c:pt idx="100">
                  <c:v>155.49810000000002</c:v>
                </c:pt>
                <c:pt idx="101">
                  <c:v>155.33220000000006</c:v>
                </c:pt>
                <c:pt idx="102">
                  <c:v>155.17030000000005</c:v>
                </c:pt>
                <c:pt idx="103">
                  <c:v>155.01180000000005</c:v>
                </c:pt>
                <c:pt idx="104">
                  <c:v>154.86320000000006</c:v>
                </c:pt>
                <c:pt idx="105">
                  <c:v>154.72430000000003</c:v>
                </c:pt>
                <c:pt idx="106">
                  <c:v>154.58360000000005</c:v>
                </c:pt>
                <c:pt idx="107">
                  <c:v>154.43180000000004</c:v>
                </c:pt>
                <c:pt idx="108">
                  <c:v>154.27210000000005</c:v>
                </c:pt>
                <c:pt idx="109">
                  <c:v>154.13770000000005</c:v>
                </c:pt>
                <c:pt idx="110">
                  <c:v>154.00470000000004</c:v>
                </c:pt>
                <c:pt idx="111">
                  <c:v>153.86020000000002</c:v>
                </c:pt>
                <c:pt idx="112">
                  <c:v>153.69750000000002</c:v>
                </c:pt>
                <c:pt idx="113">
                  <c:v>153.52730000000003</c:v>
                </c:pt>
                <c:pt idx="114">
                  <c:v>153.38460000000003</c:v>
                </c:pt>
                <c:pt idx="115">
                  <c:v>153.25450000000006</c:v>
                </c:pt>
                <c:pt idx="116">
                  <c:v>153.11540000000002</c:v>
                </c:pt>
                <c:pt idx="117">
                  <c:v>152.99820000000003</c:v>
                </c:pt>
                <c:pt idx="118">
                  <c:v>152.89210000000003</c:v>
                </c:pt>
                <c:pt idx="119">
                  <c:v>152.79560000000004</c:v>
                </c:pt>
                <c:pt idx="120">
                  <c:v>152.67850000000001</c:v>
                </c:pt>
                <c:pt idx="121">
                  <c:v>152.56310000000002</c:v>
                </c:pt>
                <c:pt idx="122">
                  <c:v>152.45500000000004</c:v>
                </c:pt>
                <c:pt idx="123">
                  <c:v>152.35860000000002</c:v>
                </c:pt>
                <c:pt idx="124">
                  <c:v>152.2424</c:v>
                </c:pt>
                <c:pt idx="125">
                  <c:v>152.12290000000002</c:v>
                </c:pt>
                <c:pt idx="126">
                  <c:v>152.01580000000001</c:v>
                </c:pt>
                <c:pt idx="127">
                  <c:v>151.91300000000001</c:v>
                </c:pt>
                <c:pt idx="128">
                  <c:v>151.78930000000003</c:v>
                </c:pt>
                <c:pt idx="129">
                  <c:v>151.6951</c:v>
                </c:pt>
                <c:pt idx="130">
                  <c:v>151.63200000000001</c:v>
                </c:pt>
                <c:pt idx="131">
                  <c:v>151.5498</c:v>
                </c:pt>
                <c:pt idx="132">
                  <c:v>151.48310000000001</c:v>
                </c:pt>
                <c:pt idx="133">
                  <c:v>151.39690000000002</c:v>
                </c:pt>
                <c:pt idx="134">
                  <c:v>151.32020000000003</c:v>
                </c:pt>
                <c:pt idx="135">
                  <c:v>151.28150000000002</c:v>
                </c:pt>
                <c:pt idx="136">
                  <c:v>151.21730000000002</c:v>
                </c:pt>
                <c:pt idx="137">
                  <c:v>151.15630000000002</c:v>
                </c:pt>
                <c:pt idx="138">
                  <c:v>151.08890000000005</c:v>
                </c:pt>
                <c:pt idx="139">
                  <c:v>150.99690000000004</c:v>
                </c:pt>
                <c:pt idx="140">
                  <c:v>150.94590000000005</c:v>
                </c:pt>
                <c:pt idx="141">
                  <c:v>150.92110000000005</c:v>
                </c:pt>
                <c:pt idx="142">
                  <c:v>150.92910000000003</c:v>
                </c:pt>
                <c:pt idx="143">
                  <c:v>150.91500000000005</c:v>
                </c:pt>
                <c:pt idx="144">
                  <c:v>150.93490000000003</c:v>
                </c:pt>
                <c:pt idx="145">
                  <c:v>150.92470000000003</c:v>
                </c:pt>
                <c:pt idx="146">
                  <c:v>150.93710000000002</c:v>
                </c:pt>
                <c:pt idx="147">
                  <c:v>150.96620000000001</c:v>
                </c:pt>
                <c:pt idx="148">
                  <c:v>150.9513</c:v>
                </c:pt>
                <c:pt idx="149">
                  <c:v>150.93</c:v>
                </c:pt>
                <c:pt idx="150">
                  <c:v>150.92690000000002</c:v>
                </c:pt>
                <c:pt idx="151">
                  <c:v>150.94729999999998</c:v>
                </c:pt>
                <c:pt idx="152">
                  <c:v>150.98590000000002</c:v>
                </c:pt>
                <c:pt idx="153">
                  <c:v>151.02260000000001</c:v>
                </c:pt>
                <c:pt idx="154">
                  <c:v>151.0489</c:v>
                </c:pt>
                <c:pt idx="155">
                  <c:v>151.0762</c:v>
                </c:pt>
                <c:pt idx="156">
                  <c:v>151.1148</c:v>
                </c:pt>
                <c:pt idx="157">
                  <c:v>151.15650000000002</c:v>
                </c:pt>
                <c:pt idx="158">
                  <c:v>151.1951</c:v>
                </c:pt>
                <c:pt idx="159">
                  <c:v>151.21709999999996</c:v>
                </c:pt>
                <c:pt idx="160">
                  <c:v>151.24949999999998</c:v>
                </c:pt>
                <c:pt idx="161">
                  <c:v>151.29519999999997</c:v>
                </c:pt>
                <c:pt idx="162">
                  <c:v>151.35919999999996</c:v>
                </c:pt>
                <c:pt idx="163">
                  <c:v>151.46269999999996</c:v>
                </c:pt>
                <c:pt idx="164">
                  <c:v>151.56719999999993</c:v>
                </c:pt>
                <c:pt idx="165">
                  <c:v>151.68249999999995</c:v>
                </c:pt>
                <c:pt idx="166">
                  <c:v>151.80889999999994</c:v>
                </c:pt>
                <c:pt idx="167">
                  <c:v>151.94459999999995</c:v>
                </c:pt>
                <c:pt idx="168">
                  <c:v>152.11419999999993</c:v>
                </c:pt>
                <c:pt idx="169">
                  <c:v>152.29989999999992</c:v>
                </c:pt>
                <c:pt idx="170">
                  <c:v>152.47459999999992</c:v>
                </c:pt>
                <c:pt idx="171">
                  <c:v>152.64249999999993</c:v>
                </c:pt>
                <c:pt idx="172">
                  <c:v>152.86409999999992</c:v>
                </c:pt>
                <c:pt idx="173">
                  <c:v>153.09019999999992</c:v>
                </c:pt>
                <c:pt idx="174">
                  <c:v>153.28099999999992</c:v>
                </c:pt>
                <c:pt idx="175">
                  <c:v>153.4482999999999</c:v>
                </c:pt>
                <c:pt idx="176">
                  <c:v>153.61229999999992</c:v>
                </c:pt>
                <c:pt idx="177">
                  <c:v>153.78659999999994</c:v>
                </c:pt>
                <c:pt idx="178">
                  <c:v>153.97199999999992</c:v>
                </c:pt>
                <c:pt idx="179">
                  <c:v>154.16529999999995</c:v>
                </c:pt>
                <c:pt idx="180">
                  <c:v>154.35209999999989</c:v>
                </c:pt>
                <c:pt idx="181">
                  <c:v>154.52549999999991</c:v>
                </c:pt>
                <c:pt idx="182">
                  <c:v>154.7117999999999</c:v>
                </c:pt>
                <c:pt idx="183">
                  <c:v>154.82779999999991</c:v>
                </c:pt>
                <c:pt idx="184">
                  <c:v>154.9345999999999</c:v>
                </c:pt>
                <c:pt idx="185">
                  <c:v>155.05579999999989</c:v>
                </c:pt>
                <c:pt idx="186">
                  <c:v>155.18399999999988</c:v>
                </c:pt>
                <c:pt idx="187">
                  <c:v>155.31739999999988</c:v>
                </c:pt>
                <c:pt idx="188">
                  <c:v>155.44779999999989</c:v>
                </c:pt>
                <c:pt idx="189">
                  <c:v>155.56099999999992</c:v>
                </c:pt>
                <c:pt idx="190">
                  <c:v>155.66689999999991</c:v>
                </c:pt>
                <c:pt idx="191">
                  <c:v>155.75759999999994</c:v>
                </c:pt>
                <c:pt idx="192">
                  <c:v>155.83909999999995</c:v>
                </c:pt>
                <c:pt idx="193">
                  <c:v>155.90929999999994</c:v>
                </c:pt>
                <c:pt idx="194">
                  <c:v>155.97299999999996</c:v>
                </c:pt>
                <c:pt idx="195">
                  <c:v>156.03169999999997</c:v>
                </c:pt>
                <c:pt idx="196">
                  <c:v>156.13359999999994</c:v>
                </c:pt>
                <c:pt idx="197">
                  <c:v>156.23719999999997</c:v>
                </c:pt>
                <c:pt idx="198">
                  <c:v>156.34319999999997</c:v>
                </c:pt>
                <c:pt idx="199">
                  <c:v>156.489</c:v>
                </c:pt>
                <c:pt idx="200">
                  <c:v>156.66400000000002</c:v>
                </c:pt>
                <c:pt idx="201">
                  <c:v>156.87140000000002</c:v>
                </c:pt>
                <c:pt idx="202">
                  <c:v>157.05530000000002</c:v>
                </c:pt>
                <c:pt idx="203">
                  <c:v>157.23700000000002</c:v>
                </c:pt>
                <c:pt idx="204">
                  <c:v>157.42890000000003</c:v>
                </c:pt>
                <c:pt idx="205">
                  <c:v>157.58820000000006</c:v>
                </c:pt>
                <c:pt idx="206">
                  <c:v>157.71900000000002</c:v>
                </c:pt>
                <c:pt idx="207">
                  <c:v>157.87530000000004</c:v>
                </c:pt>
                <c:pt idx="208">
                  <c:v>158.01200000000006</c:v>
                </c:pt>
                <c:pt idx="209">
                  <c:v>158.14730000000006</c:v>
                </c:pt>
                <c:pt idx="210">
                  <c:v>158.27460000000005</c:v>
                </c:pt>
                <c:pt idx="211">
                  <c:v>158.40830000000003</c:v>
                </c:pt>
                <c:pt idx="212">
                  <c:v>158.53660000000002</c:v>
                </c:pt>
                <c:pt idx="213">
                  <c:v>158.66560000000004</c:v>
                </c:pt>
                <c:pt idx="214">
                  <c:v>158.78900000000002</c:v>
                </c:pt>
                <c:pt idx="215">
                  <c:v>158.89680000000001</c:v>
                </c:pt>
                <c:pt idx="216">
                  <c:v>158.995</c:v>
                </c:pt>
                <c:pt idx="217">
                  <c:v>159.0676</c:v>
                </c:pt>
                <c:pt idx="218">
                  <c:v>159.10649999999998</c:v>
                </c:pt>
                <c:pt idx="219">
                  <c:v>159.14769999999999</c:v>
                </c:pt>
                <c:pt idx="220">
                  <c:v>159.19449999999998</c:v>
                </c:pt>
                <c:pt idx="221">
                  <c:v>159.2663</c:v>
                </c:pt>
                <c:pt idx="222">
                  <c:v>159.35599999999999</c:v>
                </c:pt>
                <c:pt idx="223">
                  <c:v>159.42439999999999</c:v>
                </c:pt>
                <c:pt idx="224">
                  <c:v>159.49110000000002</c:v>
                </c:pt>
                <c:pt idx="225">
                  <c:v>159.58580000000001</c:v>
                </c:pt>
                <c:pt idx="226">
                  <c:v>159.68060000000003</c:v>
                </c:pt>
                <c:pt idx="227">
                  <c:v>159.77360000000002</c:v>
                </c:pt>
                <c:pt idx="228">
                  <c:v>159.864</c:v>
                </c:pt>
                <c:pt idx="229">
                  <c:v>159.94750000000002</c:v>
                </c:pt>
                <c:pt idx="230">
                  <c:v>160.00330000000002</c:v>
                </c:pt>
                <c:pt idx="231">
                  <c:v>160.05430000000001</c:v>
                </c:pt>
                <c:pt idx="232">
                  <c:v>160.07910000000001</c:v>
                </c:pt>
                <c:pt idx="233">
                  <c:v>160.09139999999999</c:v>
                </c:pt>
                <c:pt idx="234">
                  <c:v>160.07650000000001</c:v>
                </c:pt>
                <c:pt idx="235">
                  <c:v>160.00380000000001</c:v>
                </c:pt>
                <c:pt idx="236">
                  <c:v>159.94560000000001</c:v>
                </c:pt>
                <c:pt idx="237">
                  <c:v>159.89100000000002</c:v>
                </c:pt>
                <c:pt idx="238">
                  <c:v>159.81500000000003</c:v>
                </c:pt>
                <c:pt idx="239">
                  <c:v>159.75390000000002</c:v>
                </c:pt>
                <c:pt idx="240">
                  <c:v>159.65730000000002</c:v>
                </c:pt>
                <c:pt idx="241">
                  <c:v>159.49940000000004</c:v>
                </c:pt>
                <c:pt idx="242">
                  <c:v>159.3571</c:v>
                </c:pt>
                <c:pt idx="243">
                  <c:v>159.21900000000002</c:v>
                </c:pt>
                <c:pt idx="244">
                  <c:v>159.04150000000001</c:v>
                </c:pt>
                <c:pt idx="245">
                  <c:v>158.90770000000001</c:v>
                </c:pt>
                <c:pt idx="246">
                  <c:v>158.75280000000001</c:v>
                </c:pt>
                <c:pt idx="247">
                  <c:v>158.56990000000002</c:v>
                </c:pt>
                <c:pt idx="248">
                  <c:v>158.41320000000005</c:v>
                </c:pt>
                <c:pt idx="249">
                  <c:v>158.274</c:v>
                </c:pt>
                <c:pt idx="250">
                  <c:v>158.11840000000001</c:v>
                </c:pt>
                <c:pt idx="251">
                  <c:v>157.9624</c:v>
                </c:pt>
                <c:pt idx="252">
                  <c:v>157.79640000000001</c:v>
                </c:pt>
                <c:pt idx="253">
                  <c:v>157.63950000000003</c:v>
                </c:pt>
                <c:pt idx="254">
                  <c:v>157.49220000000003</c:v>
                </c:pt>
                <c:pt idx="255">
                  <c:v>157.36970000000002</c:v>
                </c:pt>
                <c:pt idx="256">
                  <c:v>157.20150000000004</c:v>
                </c:pt>
                <c:pt idx="257">
                  <c:v>157.02820000000003</c:v>
                </c:pt>
                <c:pt idx="258">
                  <c:v>156.87660000000002</c:v>
                </c:pt>
                <c:pt idx="259">
                  <c:v>156.7225</c:v>
                </c:pt>
                <c:pt idx="260">
                  <c:v>156.55789999999999</c:v>
                </c:pt>
                <c:pt idx="261">
                  <c:v>156.41210000000001</c:v>
                </c:pt>
                <c:pt idx="262">
                  <c:v>156.24110000000002</c:v>
                </c:pt>
                <c:pt idx="263">
                  <c:v>156.07650000000001</c:v>
                </c:pt>
                <c:pt idx="264">
                  <c:v>155.89970000000002</c:v>
                </c:pt>
                <c:pt idx="265">
                  <c:v>155.7269</c:v>
                </c:pt>
                <c:pt idx="266">
                  <c:v>155.55280000000002</c:v>
                </c:pt>
                <c:pt idx="267">
                  <c:v>155.42310000000001</c:v>
                </c:pt>
                <c:pt idx="268">
                  <c:v>155.25530000000001</c:v>
                </c:pt>
                <c:pt idx="269">
                  <c:v>155.0932</c:v>
                </c:pt>
                <c:pt idx="270">
                  <c:v>154.97200000000001</c:v>
                </c:pt>
                <c:pt idx="271">
                  <c:v>154.84969999999998</c:v>
                </c:pt>
                <c:pt idx="272">
                  <c:v>154.70230000000001</c:v>
                </c:pt>
                <c:pt idx="273">
                  <c:v>154.56339999999997</c:v>
                </c:pt>
                <c:pt idx="274">
                  <c:v>154.46209999999999</c:v>
                </c:pt>
                <c:pt idx="275">
                  <c:v>154.35079999999999</c:v>
                </c:pt>
                <c:pt idx="276">
                  <c:v>154.2268</c:v>
                </c:pt>
                <c:pt idx="277">
                  <c:v>154.0993</c:v>
                </c:pt>
                <c:pt idx="278">
                  <c:v>153.98989999999998</c:v>
                </c:pt>
                <c:pt idx="279">
                  <c:v>153.88099999999997</c:v>
                </c:pt>
                <c:pt idx="280">
                  <c:v>153.80529999999999</c:v>
                </c:pt>
                <c:pt idx="281">
                  <c:v>153.72519999999997</c:v>
                </c:pt>
                <c:pt idx="282">
                  <c:v>153.6429</c:v>
                </c:pt>
                <c:pt idx="283">
                  <c:v>153.59399999999999</c:v>
                </c:pt>
                <c:pt idx="284">
                  <c:v>153.5848</c:v>
                </c:pt>
                <c:pt idx="285">
                  <c:v>153.59389999999999</c:v>
                </c:pt>
                <c:pt idx="286">
                  <c:v>153.6173</c:v>
                </c:pt>
                <c:pt idx="287">
                  <c:v>153.6576</c:v>
                </c:pt>
                <c:pt idx="288">
                  <c:v>153.66849999999999</c:v>
                </c:pt>
                <c:pt idx="289">
                  <c:v>153.69409999999999</c:v>
                </c:pt>
                <c:pt idx="290">
                  <c:v>153.73929999999999</c:v>
                </c:pt>
                <c:pt idx="291">
                  <c:v>153.8092</c:v>
                </c:pt>
                <c:pt idx="292">
                  <c:v>153.8681</c:v>
                </c:pt>
                <c:pt idx="293">
                  <c:v>153.92240000000001</c:v>
                </c:pt>
                <c:pt idx="294">
                  <c:v>153.9742</c:v>
                </c:pt>
                <c:pt idx="295">
                  <c:v>154.03600000000003</c:v>
                </c:pt>
                <c:pt idx="296">
                  <c:v>154.09840000000003</c:v>
                </c:pt>
                <c:pt idx="297">
                  <c:v>154.14100000000005</c:v>
                </c:pt>
                <c:pt idx="298">
                  <c:v>154.12850000000003</c:v>
                </c:pt>
                <c:pt idx="299">
                  <c:v>154.11560000000003</c:v>
                </c:pt>
                <c:pt idx="300">
                  <c:v>154.09900000000002</c:v>
                </c:pt>
                <c:pt idx="301">
                  <c:v>154.07620000000003</c:v>
                </c:pt>
                <c:pt idx="302">
                  <c:v>154.09040000000002</c:v>
                </c:pt>
                <c:pt idx="303">
                  <c:v>154.08580000000003</c:v>
                </c:pt>
                <c:pt idx="304">
                  <c:v>154.05740000000006</c:v>
                </c:pt>
                <c:pt idx="305">
                  <c:v>154.05700000000004</c:v>
                </c:pt>
                <c:pt idx="306">
                  <c:v>154.08110000000005</c:v>
                </c:pt>
                <c:pt idx="307">
                  <c:v>154.07530000000006</c:v>
                </c:pt>
                <c:pt idx="308">
                  <c:v>154.09160000000003</c:v>
                </c:pt>
                <c:pt idx="309">
                  <c:v>154.11680000000001</c:v>
                </c:pt>
                <c:pt idx="310">
                  <c:v>154.15530000000001</c:v>
                </c:pt>
                <c:pt idx="311">
                  <c:v>154.21240000000003</c:v>
                </c:pt>
                <c:pt idx="312">
                  <c:v>154.16250000000002</c:v>
                </c:pt>
                <c:pt idx="313">
                  <c:v>154.13260000000002</c:v>
                </c:pt>
                <c:pt idx="314">
                  <c:v>154.15200000000004</c:v>
                </c:pt>
                <c:pt idx="315">
                  <c:v>154.11710000000002</c:v>
                </c:pt>
                <c:pt idx="316">
                  <c:v>154.06860000000003</c:v>
                </c:pt>
                <c:pt idx="317">
                  <c:v>154.01820000000004</c:v>
                </c:pt>
                <c:pt idx="318">
                  <c:v>154.00150000000002</c:v>
                </c:pt>
                <c:pt idx="319">
                  <c:v>153.95599999999999</c:v>
                </c:pt>
                <c:pt idx="320">
                  <c:v>153.9546</c:v>
                </c:pt>
                <c:pt idx="321">
                  <c:v>153.95820000000001</c:v>
                </c:pt>
                <c:pt idx="322">
                  <c:v>153.94669999999999</c:v>
                </c:pt>
                <c:pt idx="323">
                  <c:v>153.95580000000001</c:v>
                </c:pt>
                <c:pt idx="324">
                  <c:v>153.99940000000001</c:v>
                </c:pt>
                <c:pt idx="325">
                  <c:v>154.0136</c:v>
                </c:pt>
                <c:pt idx="326">
                  <c:v>154.0394</c:v>
                </c:pt>
                <c:pt idx="327">
                  <c:v>154.03540000000001</c:v>
                </c:pt>
                <c:pt idx="328">
                  <c:v>154.0395</c:v>
                </c:pt>
                <c:pt idx="329">
                  <c:v>154.03130000000002</c:v>
                </c:pt>
                <c:pt idx="330">
                  <c:v>154.03470000000002</c:v>
                </c:pt>
                <c:pt idx="331">
                  <c:v>154.04580000000001</c:v>
                </c:pt>
                <c:pt idx="332">
                  <c:v>154.08530000000002</c:v>
                </c:pt>
                <c:pt idx="333">
                  <c:v>154.12520000000001</c:v>
                </c:pt>
                <c:pt idx="334">
                  <c:v>154.19120000000001</c:v>
                </c:pt>
                <c:pt idx="335">
                  <c:v>154.24809999999999</c:v>
                </c:pt>
                <c:pt idx="336">
                  <c:v>154.29679999999999</c:v>
                </c:pt>
                <c:pt idx="337">
                  <c:v>154.37749999999997</c:v>
                </c:pt>
                <c:pt idx="338">
                  <c:v>154.46769999999998</c:v>
                </c:pt>
                <c:pt idx="339">
                  <c:v>154.54749999999996</c:v>
                </c:pt>
                <c:pt idx="340">
                  <c:v>154.62269999999998</c:v>
                </c:pt>
                <c:pt idx="341">
                  <c:v>154.66859999999997</c:v>
                </c:pt>
                <c:pt idx="342">
                  <c:v>154.66809999999995</c:v>
                </c:pt>
                <c:pt idx="343">
                  <c:v>154.71669999999997</c:v>
                </c:pt>
                <c:pt idx="344">
                  <c:v>154.79419999999993</c:v>
                </c:pt>
                <c:pt idx="345">
                  <c:v>154.87439999999998</c:v>
                </c:pt>
                <c:pt idx="346">
                  <c:v>154.95829999999995</c:v>
                </c:pt>
                <c:pt idx="347">
                  <c:v>155.03159999999997</c:v>
                </c:pt>
                <c:pt idx="348">
                  <c:v>155.10189999999997</c:v>
                </c:pt>
                <c:pt idx="349">
                  <c:v>155.18079999999998</c:v>
                </c:pt>
                <c:pt idx="350">
                  <c:v>155.27989999999997</c:v>
                </c:pt>
                <c:pt idx="351">
                  <c:v>155.35799999999998</c:v>
                </c:pt>
                <c:pt idx="352">
                  <c:v>155.45359999999999</c:v>
                </c:pt>
                <c:pt idx="353">
                  <c:v>155.56379999999999</c:v>
                </c:pt>
                <c:pt idx="354">
                  <c:v>155.68119999999996</c:v>
                </c:pt>
                <c:pt idx="355">
                  <c:v>155.76309999999998</c:v>
                </c:pt>
                <c:pt idx="356">
                  <c:v>155.87259999999998</c:v>
                </c:pt>
                <c:pt idx="357">
                  <c:v>155.98859999999996</c:v>
                </c:pt>
                <c:pt idx="358">
                  <c:v>156.09419999999997</c:v>
                </c:pt>
                <c:pt idx="359">
                  <c:v>156.19899999999998</c:v>
                </c:pt>
                <c:pt idx="360">
                  <c:v>156.31379999999999</c:v>
                </c:pt>
                <c:pt idx="361">
                  <c:v>156.3887</c:v>
                </c:pt>
                <c:pt idx="362">
                  <c:v>156.48500000000001</c:v>
                </c:pt>
                <c:pt idx="363">
                  <c:v>156.5745</c:v>
                </c:pt>
                <c:pt idx="364">
                  <c:v>156.67399999999998</c:v>
                </c:pt>
                <c:pt idx="365">
                  <c:v>156.73139999999998</c:v>
                </c:pt>
                <c:pt idx="366">
                  <c:v>156.77049999999997</c:v>
                </c:pt>
                <c:pt idx="367">
                  <c:v>156.73949999999999</c:v>
                </c:pt>
                <c:pt idx="368">
                  <c:v>156.74889999999996</c:v>
                </c:pt>
                <c:pt idx="369">
                  <c:v>156.7593</c:v>
                </c:pt>
                <c:pt idx="370">
                  <c:v>156.75339999999997</c:v>
                </c:pt>
                <c:pt idx="371">
                  <c:v>156.75199999999998</c:v>
                </c:pt>
                <c:pt idx="372">
                  <c:v>156.75739999999999</c:v>
                </c:pt>
                <c:pt idx="373">
                  <c:v>156.74999999999997</c:v>
                </c:pt>
                <c:pt idx="374">
                  <c:v>156.76229999999998</c:v>
                </c:pt>
                <c:pt idx="375">
                  <c:v>156.78279999999998</c:v>
                </c:pt>
                <c:pt idx="376">
                  <c:v>156.81169999999997</c:v>
                </c:pt>
                <c:pt idx="377">
                  <c:v>156.822</c:v>
                </c:pt>
                <c:pt idx="378">
                  <c:v>156.8186</c:v>
                </c:pt>
                <c:pt idx="379">
                  <c:v>156.8288</c:v>
                </c:pt>
                <c:pt idx="380">
                  <c:v>156.83320000000001</c:v>
                </c:pt>
                <c:pt idx="381">
                  <c:v>156.84070000000003</c:v>
                </c:pt>
                <c:pt idx="382">
                  <c:v>156.85900000000001</c:v>
                </c:pt>
                <c:pt idx="383">
                  <c:v>156.83180000000002</c:v>
                </c:pt>
                <c:pt idx="384">
                  <c:v>156.8828</c:v>
                </c:pt>
                <c:pt idx="385">
                  <c:v>156.8896</c:v>
                </c:pt>
                <c:pt idx="386">
                  <c:v>156.88920000000005</c:v>
                </c:pt>
                <c:pt idx="387">
                  <c:v>156.87190000000004</c:v>
                </c:pt>
                <c:pt idx="388">
                  <c:v>156.92040000000006</c:v>
                </c:pt>
                <c:pt idx="389">
                  <c:v>156.97410000000008</c:v>
                </c:pt>
                <c:pt idx="390">
                  <c:v>157.01950000000005</c:v>
                </c:pt>
                <c:pt idx="391">
                  <c:v>157.02970000000002</c:v>
                </c:pt>
                <c:pt idx="392">
                  <c:v>157.03770000000003</c:v>
                </c:pt>
                <c:pt idx="393">
                  <c:v>157.06760000000003</c:v>
                </c:pt>
                <c:pt idx="394">
                  <c:v>157.08190000000002</c:v>
                </c:pt>
                <c:pt idx="395">
                  <c:v>157.06240000000003</c:v>
                </c:pt>
                <c:pt idx="396">
                  <c:v>157.05870000000002</c:v>
                </c:pt>
                <c:pt idx="397">
                  <c:v>157.11050000000003</c:v>
                </c:pt>
                <c:pt idx="398">
                  <c:v>157.18940000000003</c:v>
                </c:pt>
                <c:pt idx="399">
                  <c:v>157.26540000000003</c:v>
                </c:pt>
                <c:pt idx="400">
                  <c:v>157.35260000000005</c:v>
                </c:pt>
                <c:pt idx="401">
                  <c:v>157.45750000000004</c:v>
                </c:pt>
                <c:pt idx="402">
                  <c:v>157.55320000000003</c:v>
                </c:pt>
                <c:pt idx="403">
                  <c:v>157.65110000000004</c:v>
                </c:pt>
                <c:pt idx="404">
                  <c:v>157.76510000000005</c:v>
                </c:pt>
                <c:pt idx="405">
                  <c:v>157.87600000000003</c:v>
                </c:pt>
                <c:pt idx="406">
                  <c:v>158.00950000000003</c:v>
                </c:pt>
                <c:pt idx="407">
                  <c:v>158.16180000000003</c:v>
                </c:pt>
                <c:pt idx="408">
                  <c:v>158.32259999999999</c:v>
                </c:pt>
                <c:pt idx="409">
                  <c:v>158.47969999999998</c:v>
                </c:pt>
                <c:pt idx="410">
                  <c:v>158.6319</c:v>
                </c:pt>
                <c:pt idx="411">
                  <c:v>158.76640000000003</c:v>
                </c:pt>
                <c:pt idx="412">
                  <c:v>159.01800000000003</c:v>
                </c:pt>
                <c:pt idx="413">
                  <c:v>159.22930000000002</c:v>
                </c:pt>
                <c:pt idx="414">
                  <c:v>159.39900000000003</c:v>
                </c:pt>
                <c:pt idx="415">
                  <c:v>159.62110000000001</c:v>
                </c:pt>
                <c:pt idx="416">
                  <c:v>159.88660000000004</c:v>
                </c:pt>
                <c:pt idx="417">
                  <c:v>160.16720000000001</c:v>
                </c:pt>
                <c:pt idx="418">
                  <c:v>160.43750000000003</c:v>
                </c:pt>
                <c:pt idx="419">
                  <c:v>160.73820000000003</c:v>
                </c:pt>
                <c:pt idx="420">
                  <c:v>161.00520000000003</c:v>
                </c:pt>
                <c:pt idx="421">
                  <c:v>161.24290000000002</c:v>
                </c:pt>
                <c:pt idx="422">
                  <c:v>161.47630000000001</c:v>
                </c:pt>
                <c:pt idx="423">
                  <c:v>161.69510000000002</c:v>
                </c:pt>
                <c:pt idx="424">
                  <c:v>161.90540000000001</c:v>
                </c:pt>
                <c:pt idx="425">
                  <c:v>162.11680000000001</c:v>
                </c:pt>
                <c:pt idx="426">
                  <c:v>162.3133</c:v>
                </c:pt>
                <c:pt idx="427">
                  <c:v>162.5241</c:v>
                </c:pt>
                <c:pt idx="428">
                  <c:v>162.74680000000001</c:v>
                </c:pt>
                <c:pt idx="429">
                  <c:v>162.94259999999997</c:v>
                </c:pt>
                <c:pt idx="430">
                  <c:v>163.15100000000001</c:v>
                </c:pt>
                <c:pt idx="431">
                  <c:v>163.334</c:v>
                </c:pt>
                <c:pt idx="432">
                  <c:v>163.5367</c:v>
                </c:pt>
                <c:pt idx="433">
                  <c:v>163.75899999999999</c:v>
                </c:pt>
                <c:pt idx="434">
                  <c:v>163.9751</c:v>
                </c:pt>
                <c:pt idx="435">
                  <c:v>164.22219999999999</c:v>
                </c:pt>
                <c:pt idx="436">
                  <c:v>164.49369999999996</c:v>
                </c:pt>
                <c:pt idx="437">
                  <c:v>164.77489999999995</c:v>
                </c:pt>
                <c:pt idx="438">
                  <c:v>165.07879999999997</c:v>
                </c:pt>
                <c:pt idx="439">
                  <c:v>165.3964</c:v>
                </c:pt>
                <c:pt idx="440">
                  <c:v>165.7414</c:v>
                </c:pt>
                <c:pt idx="441">
                  <c:v>166.13859999999997</c:v>
                </c:pt>
                <c:pt idx="442">
                  <c:v>166.56389999999999</c:v>
                </c:pt>
                <c:pt idx="443">
                  <c:v>166.96469999999997</c:v>
                </c:pt>
                <c:pt idx="444">
                  <c:v>167.36219999999997</c:v>
                </c:pt>
                <c:pt idx="445">
                  <c:v>167.74450000000002</c:v>
                </c:pt>
                <c:pt idx="446">
                  <c:v>168.11690000000002</c:v>
                </c:pt>
                <c:pt idx="447">
                  <c:v>168.49359999999996</c:v>
                </c:pt>
                <c:pt idx="448">
                  <c:v>168.87919999999994</c:v>
                </c:pt>
                <c:pt idx="449">
                  <c:v>169.2709999999999</c:v>
                </c:pt>
                <c:pt idx="450">
                  <c:v>169.67069999999993</c:v>
                </c:pt>
                <c:pt idx="451">
                  <c:v>170.08359999999993</c:v>
                </c:pt>
                <c:pt idx="452">
                  <c:v>170.46659999999997</c:v>
                </c:pt>
                <c:pt idx="453">
                  <c:v>170.84389999999996</c:v>
                </c:pt>
                <c:pt idx="454">
                  <c:v>171.21459999999996</c:v>
                </c:pt>
                <c:pt idx="455">
                  <c:v>171.5744</c:v>
                </c:pt>
                <c:pt idx="456">
                  <c:v>171.94519999999997</c:v>
                </c:pt>
                <c:pt idx="457">
                  <c:v>172.27789999999996</c:v>
                </c:pt>
                <c:pt idx="458">
                  <c:v>172.59359999999998</c:v>
                </c:pt>
                <c:pt idx="459">
                  <c:v>172.93179999999995</c:v>
                </c:pt>
                <c:pt idx="460">
                  <c:v>173.25599999999994</c:v>
                </c:pt>
                <c:pt idx="461">
                  <c:v>173.56599999999992</c:v>
                </c:pt>
                <c:pt idx="462">
                  <c:v>173.86799999999991</c:v>
                </c:pt>
                <c:pt idx="463">
                  <c:v>174.15699999999993</c:v>
                </c:pt>
                <c:pt idx="464">
                  <c:v>174.47449999999992</c:v>
                </c:pt>
                <c:pt idx="465">
                  <c:v>174.81639999999993</c:v>
                </c:pt>
                <c:pt idx="466">
                  <c:v>175.19319999999993</c:v>
                </c:pt>
                <c:pt idx="467">
                  <c:v>175.63359999999997</c:v>
                </c:pt>
                <c:pt idx="468">
                  <c:v>176.06429999999997</c:v>
                </c:pt>
                <c:pt idx="469">
                  <c:v>176.49489999999994</c:v>
                </c:pt>
                <c:pt idx="470">
                  <c:v>176.93139999999997</c:v>
                </c:pt>
                <c:pt idx="471">
                  <c:v>177.40709999999996</c:v>
                </c:pt>
                <c:pt idx="472">
                  <c:v>177.88299999999998</c:v>
                </c:pt>
                <c:pt idx="473">
                  <c:v>178.38059999999999</c:v>
                </c:pt>
                <c:pt idx="474">
                  <c:v>178.85209999999995</c:v>
                </c:pt>
                <c:pt idx="475">
                  <c:v>179.33549999999997</c:v>
                </c:pt>
                <c:pt idx="476">
                  <c:v>179.83589999999995</c:v>
                </c:pt>
                <c:pt idx="477">
                  <c:v>180.34989999999993</c:v>
                </c:pt>
                <c:pt idx="478">
                  <c:v>180.86759999999995</c:v>
                </c:pt>
                <c:pt idx="479">
                  <c:v>181.37399999999994</c:v>
                </c:pt>
                <c:pt idx="480">
                  <c:v>181.85049999999993</c:v>
                </c:pt>
                <c:pt idx="481">
                  <c:v>182.33569999999992</c:v>
                </c:pt>
                <c:pt idx="482">
                  <c:v>182.82079999999991</c:v>
                </c:pt>
                <c:pt idx="483">
                  <c:v>183.29389999999992</c:v>
                </c:pt>
                <c:pt idx="484">
                  <c:v>183.66539999999995</c:v>
                </c:pt>
                <c:pt idx="485">
                  <c:v>184.05179999999993</c:v>
                </c:pt>
                <c:pt idx="486">
                  <c:v>184.41439999999992</c:v>
                </c:pt>
                <c:pt idx="487">
                  <c:v>184.83619999999991</c:v>
                </c:pt>
                <c:pt idx="488">
                  <c:v>185.25699999999989</c:v>
                </c:pt>
                <c:pt idx="489">
                  <c:v>185.6817999999999</c:v>
                </c:pt>
                <c:pt idx="490">
                  <c:v>186.1278999999999</c:v>
                </c:pt>
                <c:pt idx="491">
                  <c:v>186.53789999999989</c:v>
                </c:pt>
                <c:pt idx="492">
                  <c:v>186.97899999999993</c:v>
                </c:pt>
                <c:pt idx="493">
                  <c:v>187.38099999999994</c:v>
                </c:pt>
                <c:pt idx="494">
                  <c:v>187.77209999999997</c:v>
                </c:pt>
                <c:pt idx="495">
                  <c:v>188.19789999999989</c:v>
                </c:pt>
                <c:pt idx="496">
                  <c:v>188.58239999999989</c:v>
                </c:pt>
                <c:pt idx="497">
                  <c:v>188.9497999999999</c:v>
                </c:pt>
                <c:pt idx="498">
                  <c:v>189.31869999999992</c:v>
                </c:pt>
                <c:pt idx="499">
                  <c:v>189.68839999999992</c:v>
                </c:pt>
                <c:pt idx="500">
                  <c:v>190.04219999999998</c:v>
                </c:pt>
                <c:pt idx="501">
                  <c:v>190.37839999999997</c:v>
                </c:pt>
                <c:pt idx="502">
                  <c:v>190.71369999999996</c:v>
                </c:pt>
                <c:pt idx="503">
                  <c:v>191.02899999999994</c:v>
                </c:pt>
                <c:pt idx="504">
                  <c:v>191.33270000000002</c:v>
                </c:pt>
                <c:pt idx="505">
                  <c:v>191.66040000000001</c:v>
                </c:pt>
                <c:pt idx="506">
                  <c:v>191.95149999999998</c:v>
                </c:pt>
                <c:pt idx="507">
                  <c:v>192.23289999999997</c:v>
                </c:pt>
                <c:pt idx="508">
                  <c:v>192.55210000000002</c:v>
                </c:pt>
                <c:pt idx="509">
                  <c:v>192.90020000000004</c:v>
                </c:pt>
                <c:pt idx="510">
                  <c:v>193.29640000000003</c:v>
                </c:pt>
                <c:pt idx="511">
                  <c:v>193.69920000000005</c:v>
                </c:pt>
                <c:pt idx="512">
                  <c:v>194.10170000000005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Plus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#,##0</c:formatCode>
                <c:ptCount val="513"/>
                <c:pt idx="0">
                  <c:v>9622108</c:v>
                </c:pt>
                <c:pt idx="1">
                  <c:v>8231987</c:v>
                </c:pt>
                <c:pt idx="2">
                  <c:v>6766641</c:v>
                </c:pt>
                <c:pt idx="3">
                  <c:v>5602564</c:v>
                </c:pt>
                <c:pt idx="4">
                  <c:v>6569810</c:v>
                </c:pt>
                <c:pt idx="5">
                  <c:v>6357014</c:v>
                </c:pt>
                <c:pt idx="6">
                  <c:v>4945088</c:v>
                </c:pt>
                <c:pt idx="7">
                  <c:v>4946015</c:v>
                </c:pt>
                <c:pt idx="8">
                  <c:v>4496942</c:v>
                </c:pt>
                <c:pt idx="9">
                  <c:v>6923174</c:v>
                </c:pt>
                <c:pt idx="10">
                  <c:v>5072104</c:v>
                </c:pt>
                <c:pt idx="11">
                  <c:v>5368502</c:v>
                </c:pt>
                <c:pt idx="12">
                  <c:v>7071320</c:v>
                </c:pt>
                <c:pt idx="13">
                  <c:v>6824156</c:v>
                </c:pt>
                <c:pt idx="14">
                  <c:v>9149777</c:v>
                </c:pt>
                <c:pt idx="15">
                  <c:v>7247926</c:v>
                </c:pt>
                <c:pt idx="16">
                  <c:v>5478898</c:v>
                </c:pt>
                <c:pt idx="17">
                  <c:v>5591930</c:v>
                </c:pt>
                <c:pt idx="18">
                  <c:v>6483190</c:v>
                </c:pt>
                <c:pt idx="19">
                  <c:v>7200538</c:v>
                </c:pt>
                <c:pt idx="20">
                  <c:v>8257029</c:v>
                </c:pt>
                <c:pt idx="21">
                  <c:v>8012122</c:v>
                </c:pt>
                <c:pt idx="22">
                  <c:v>8295916</c:v>
                </c:pt>
                <c:pt idx="23">
                  <c:v>9121808</c:v>
                </c:pt>
                <c:pt idx="24">
                  <c:v>9230611</c:v>
                </c:pt>
                <c:pt idx="25">
                  <c:v>8690294</c:v>
                </c:pt>
                <c:pt idx="26">
                  <c:v>9754960</c:v>
                </c:pt>
                <c:pt idx="27">
                  <c:v>6529202</c:v>
                </c:pt>
                <c:pt idx="28">
                  <c:v>6701508</c:v>
                </c:pt>
                <c:pt idx="29">
                  <c:v>8621022</c:v>
                </c:pt>
                <c:pt idx="30">
                  <c:v>9098805</c:v>
                </c:pt>
                <c:pt idx="31">
                  <c:v>7462529</c:v>
                </c:pt>
                <c:pt idx="32">
                  <c:v>8540961</c:v>
                </c:pt>
                <c:pt idx="33">
                  <c:v>9501742</c:v>
                </c:pt>
                <c:pt idx="34">
                  <c:v>7473300</c:v>
                </c:pt>
                <c:pt idx="35">
                  <c:v>8065010</c:v>
                </c:pt>
                <c:pt idx="36">
                  <c:v>6725963</c:v>
                </c:pt>
                <c:pt idx="37">
                  <c:v>5465417</c:v>
                </c:pt>
                <c:pt idx="38">
                  <c:v>5078650</c:v>
                </c:pt>
                <c:pt idx="39">
                  <c:v>6071076</c:v>
                </c:pt>
                <c:pt idx="40">
                  <c:v>9849270</c:v>
                </c:pt>
                <c:pt idx="41">
                  <c:v>5670135</c:v>
                </c:pt>
                <c:pt idx="42">
                  <c:v>8533083</c:v>
                </c:pt>
                <c:pt idx="43">
                  <c:v>8298182</c:v>
                </c:pt>
                <c:pt idx="44">
                  <c:v>5773683</c:v>
                </c:pt>
                <c:pt idx="45">
                  <c:v>5188726</c:v>
                </c:pt>
                <c:pt idx="46">
                  <c:v>5283951</c:v>
                </c:pt>
                <c:pt idx="47">
                  <c:v>4620826</c:v>
                </c:pt>
                <c:pt idx="48">
                  <c:v>8018736</c:v>
                </c:pt>
                <c:pt idx="49">
                  <c:v>6260000</c:v>
                </c:pt>
                <c:pt idx="50">
                  <c:v>6988264</c:v>
                </c:pt>
                <c:pt idx="51">
                  <c:v>13165500</c:v>
                </c:pt>
                <c:pt idx="52">
                  <c:v>6602255</c:v>
                </c:pt>
                <c:pt idx="53">
                  <c:v>7840624</c:v>
                </c:pt>
                <c:pt idx="54">
                  <c:v>5982304</c:v>
                </c:pt>
                <c:pt idx="55">
                  <c:v>5915777</c:v>
                </c:pt>
                <c:pt idx="56">
                  <c:v>7248622</c:v>
                </c:pt>
                <c:pt idx="57">
                  <c:v>7498100</c:v>
                </c:pt>
                <c:pt idx="58">
                  <c:v>6864099</c:v>
                </c:pt>
                <c:pt idx="59">
                  <c:v>8461600</c:v>
                </c:pt>
                <c:pt idx="60">
                  <c:v>6181503</c:v>
                </c:pt>
                <c:pt idx="61">
                  <c:v>4364699</c:v>
                </c:pt>
                <c:pt idx="62">
                  <c:v>6102497</c:v>
                </c:pt>
                <c:pt idx="63">
                  <c:v>8098242</c:v>
                </c:pt>
                <c:pt idx="64">
                  <c:v>6947423</c:v>
                </c:pt>
                <c:pt idx="65">
                  <c:v>6783020</c:v>
                </c:pt>
                <c:pt idx="66">
                  <c:v>5935415</c:v>
                </c:pt>
                <c:pt idx="67">
                  <c:v>6135556</c:v>
                </c:pt>
                <c:pt idx="68">
                  <c:v>6809519</c:v>
                </c:pt>
                <c:pt idx="69">
                  <c:v>8374434</c:v>
                </c:pt>
                <c:pt idx="70">
                  <c:v>7100178</c:v>
                </c:pt>
                <c:pt idx="71">
                  <c:v>8502266</c:v>
                </c:pt>
                <c:pt idx="72">
                  <c:v>12774859</c:v>
                </c:pt>
                <c:pt idx="73">
                  <c:v>9378059</c:v>
                </c:pt>
                <c:pt idx="74">
                  <c:v>9887704</c:v>
                </c:pt>
                <c:pt idx="75">
                  <c:v>9750751</c:v>
                </c:pt>
                <c:pt idx="76">
                  <c:v>10118694</c:v>
                </c:pt>
                <c:pt idx="77">
                  <c:v>10110442</c:v>
                </c:pt>
                <c:pt idx="78">
                  <c:v>9756259</c:v>
                </c:pt>
                <c:pt idx="79">
                  <c:v>7642732</c:v>
                </c:pt>
                <c:pt idx="80">
                  <c:v>6182982</c:v>
                </c:pt>
                <c:pt idx="81">
                  <c:v>6461588</c:v>
                </c:pt>
                <c:pt idx="82">
                  <c:v>8817719</c:v>
                </c:pt>
                <c:pt idx="83">
                  <c:v>14473711</c:v>
                </c:pt>
                <c:pt idx="84">
                  <c:v>8459796</c:v>
                </c:pt>
                <c:pt idx="85">
                  <c:v>6532718</c:v>
                </c:pt>
                <c:pt idx="86">
                  <c:v>5042757</c:v>
                </c:pt>
                <c:pt idx="87">
                  <c:v>7333730</c:v>
                </c:pt>
                <c:pt idx="88">
                  <c:v>7735148</c:v>
                </c:pt>
                <c:pt idx="89">
                  <c:v>6546153</c:v>
                </c:pt>
                <c:pt idx="90">
                  <c:v>5710566</c:v>
                </c:pt>
                <c:pt idx="91">
                  <c:v>5628467</c:v>
                </c:pt>
                <c:pt idx="92">
                  <c:v>8254171</c:v>
                </c:pt>
                <c:pt idx="93">
                  <c:v>5547955</c:v>
                </c:pt>
                <c:pt idx="94">
                  <c:v>7590959</c:v>
                </c:pt>
                <c:pt idx="95">
                  <c:v>6521794</c:v>
                </c:pt>
                <c:pt idx="96">
                  <c:v>7742280</c:v>
                </c:pt>
                <c:pt idx="97">
                  <c:v>5492354</c:v>
                </c:pt>
                <c:pt idx="98">
                  <c:v>6609788</c:v>
                </c:pt>
                <c:pt idx="99">
                  <c:v>8000422</c:v>
                </c:pt>
                <c:pt idx="100">
                  <c:v>9520576</c:v>
                </c:pt>
                <c:pt idx="101">
                  <c:v>10499829</c:v>
                </c:pt>
                <c:pt idx="102">
                  <c:v>8263810</c:v>
                </c:pt>
                <c:pt idx="103">
                  <c:v>8491111</c:v>
                </c:pt>
                <c:pt idx="104">
                  <c:v>14621203</c:v>
                </c:pt>
                <c:pt idx="105">
                  <c:v>7329241</c:v>
                </c:pt>
                <c:pt idx="106">
                  <c:v>8876441</c:v>
                </c:pt>
                <c:pt idx="107">
                  <c:v>5891299</c:v>
                </c:pt>
                <c:pt idx="108">
                  <c:v>5016301</c:v>
                </c:pt>
                <c:pt idx="109">
                  <c:v>5111626</c:v>
                </c:pt>
                <c:pt idx="110">
                  <c:v>5751309</c:v>
                </c:pt>
                <c:pt idx="111">
                  <c:v>5661236</c:v>
                </c:pt>
                <c:pt idx="112">
                  <c:v>6180493</c:v>
                </c:pt>
                <c:pt idx="113">
                  <c:v>6840374</c:v>
                </c:pt>
                <c:pt idx="114">
                  <c:v>4075342</c:v>
                </c:pt>
                <c:pt idx="115">
                  <c:v>6666583</c:v>
                </c:pt>
                <c:pt idx="116">
                  <c:v>6156572</c:v>
                </c:pt>
                <c:pt idx="117">
                  <c:v>8749717</c:v>
                </c:pt>
                <c:pt idx="118">
                  <c:v>15176869</c:v>
                </c:pt>
                <c:pt idx="119">
                  <c:v>6914671</c:v>
                </c:pt>
                <c:pt idx="120">
                  <c:v>6620303</c:v>
                </c:pt>
                <c:pt idx="121">
                  <c:v>5267809</c:v>
                </c:pt>
                <c:pt idx="122">
                  <c:v>5739246</c:v>
                </c:pt>
                <c:pt idx="123">
                  <c:v>10495735</c:v>
                </c:pt>
                <c:pt idx="124">
                  <c:v>5144443</c:v>
                </c:pt>
                <c:pt idx="125">
                  <c:v>5491962</c:v>
                </c:pt>
                <c:pt idx="126">
                  <c:v>3246157</c:v>
                </c:pt>
                <c:pt idx="127">
                  <c:v>4888535</c:v>
                </c:pt>
                <c:pt idx="128">
                  <c:v>5260229</c:v>
                </c:pt>
                <c:pt idx="129">
                  <c:v>5892187</c:v>
                </c:pt>
                <c:pt idx="130">
                  <c:v>6093187</c:v>
                </c:pt>
                <c:pt idx="131">
                  <c:v>6352109</c:v>
                </c:pt>
                <c:pt idx="132">
                  <c:v>5336394</c:v>
                </c:pt>
                <c:pt idx="133">
                  <c:v>6711354</c:v>
                </c:pt>
                <c:pt idx="134">
                  <c:v>6469582</c:v>
                </c:pt>
                <c:pt idx="135">
                  <c:v>13801429</c:v>
                </c:pt>
                <c:pt idx="136">
                  <c:v>10166247</c:v>
                </c:pt>
                <c:pt idx="137">
                  <c:v>7398036</c:v>
                </c:pt>
                <c:pt idx="138">
                  <c:v>6840609</c:v>
                </c:pt>
                <c:pt idx="139">
                  <c:v>6261870</c:v>
                </c:pt>
                <c:pt idx="140">
                  <c:v>7168217</c:v>
                </c:pt>
                <c:pt idx="141">
                  <c:v>10019578</c:v>
                </c:pt>
                <c:pt idx="142">
                  <c:v>8356878</c:v>
                </c:pt>
                <c:pt idx="143">
                  <c:v>5625204</c:v>
                </c:pt>
                <c:pt idx="144">
                  <c:v>6545677</c:v>
                </c:pt>
                <c:pt idx="145">
                  <c:v>8293239</c:v>
                </c:pt>
                <c:pt idx="146">
                  <c:v>7213419</c:v>
                </c:pt>
                <c:pt idx="147">
                  <c:v>11280357</c:v>
                </c:pt>
                <c:pt idx="148">
                  <c:v>12032209</c:v>
                </c:pt>
                <c:pt idx="149">
                  <c:v>7607144</c:v>
                </c:pt>
                <c:pt idx="150">
                  <c:v>5993028</c:v>
                </c:pt>
                <c:pt idx="151">
                  <c:v>5094830</c:v>
                </c:pt>
                <c:pt idx="152">
                  <c:v>4579186</c:v>
                </c:pt>
                <c:pt idx="153">
                  <c:v>7605419</c:v>
                </c:pt>
                <c:pt idx="154">
                  <c:v>9711395</c:v>
                </c:pt>
                <c:pt idx="155">
                  <c:v>5141249</c:v>
                </c:pt>
                <c:pt idx="156">
                  <c:v>7237785</c:v>
                </c:pt>
                <c:pt idx="157">
                  <c:v>5012774</c:v>
                </c:pt>
                <c:pt idx="158">
                  <c:v>4408517</c:v>
                </c:pt>
                <c:pt idx="159">
                  <c:v>7275133</c:v>
                </c:pt>
                <c:pt idx="160">
                  <c:v>5019375</c:v>
                </c:pt>
                <c:pt idx="161">
                  <c:v>6552142</c:v>
                </c:pt>
                <c:pt idx="162">
                  <c:v>7093429</c:v>
                </c:pt>
                <c:pt idx="163">
                  <c:v>6870622</c:v>
                </c:pt>
                <c:pt idx="164">
                  <c:v>4388728</c:v>
                </c:pt>
                <c:pt idx="165">
                  <c:v>5187198</c:v>
                </c:pt>
                <c:pt idx="166">
                  <c:v>7390125</c:v>
                </c:pt>
                <c:pt idx="167">
                  <c:v>7971017</c:v>
                </c:pt>
                <c:pt idx="168">
                  <c:v>6956452</c:v>
                </c:pt>
                <c:pt idx="169">
                  <c:v>6939132</c:v>
                </c:pt>
                <c:pt idx="170">
                  <c:v>4600392</c:v>
                </c:pt>
                <c:pt idx="171">
                  <c:v>6016884</c:v>
                </c:pt>
                <c:pt idx="172">
                  <c:v>7538233</c:v>
                </c:pt>
                <c:pt idx="173">
                  <c:v>6559734</c:v>
                </c:pt>
                <c:pt idx="174">
                  <c:v>5920165</c:v>
                </c:pt>
                <c:pt idx="175">
                  <c:v>4541046</c:v>
                </c:pt>
                <c:pt idx="176">
                  <c:v>3693548</c:v>
                </c:pt>
                <c:pt idx="177">
                  <c:v>5187887</c:v>
                </c:pt>
                <c:pt idx="178">
                  <c:v>5066586</c:v>
                </c:pt>
                <c:pt idx="179">
                  <c:v>4722765</c:v>
                </c:pt>
                <c:pt idx="180">
                  <c:v>4956119</c:v>
                </c:pt>
                <c:pt idx="181">
                  <c:v>11838967</c:v>
                </c:pt>
                <c:pt idx="182">
                  <c:v>4671645</c:v>
                </c:pt>
                <c:pt idx="183">
                  <c:v>6041561</c:v>
                </c:pt>
                <c:pt idx="184">
                  <c:v>5420011</c:v>
                </c:pt>
                <c:pt idx="185">
                  <c:v>6122231</c:v>
                </c:pt>
                <c:pt idx="186">
                  <c:v>7553905</c:v>
                </c:pt>
                <c:pt idx="187">
                  <c:v>6010407</c:v>
                </c:pt>
                <c:pt idx="188">
                  <c:v>4408019</c:v>
                </c:pt>
                <c:pt idx="189">
                  <c:v>4684472</c:v>
                </c:pt>
                <c:pt idx="190">
                  <c:v>4791223</c:v>
                </c:pt>
                <c:pt idx="191">
                  <c:v>5331694</c:v>
                </c:pt>
                <c:pt idx="192">
                  <c:v>4265971</c:v>
                </c:pt>
                <c:pt idx="193">
                  <c:v>4766250</c:v>
                </c:pt>
                <c:pt idx="194">
                  <c:v>6047269</c:v>
                </c:pt>
                <c:pt idx="195">
                  <c:v>4793889</c:v>
                </c:pt>
                <c:pt idx="196">
                  <c:v>5253459</c:v>
                </c:pt>
                <c:pt idx="197">
                  <c:v>5963961</c:v>
                </c:pt>
                <c:pt idx="198">
                  <c:v>10547966</c:v>
                </c:pt>
                <c:pt idx="199">
                  <c:v>5982291</c:v>
                </c:pt>
                <c:pt idx="200">
                  <c:v>4798238</c:v>
                </c:pt>
                <c:pt idx="201">
                  <c:v>5908012</c:v>
                </c:pt>
                <c:pt idx="202">
                  <c:v>6082736</c:v>
                </c:pt>
                <c:pt idx="203">
                  <c:v>5680612</c:v>
                </c:pt>
                <c:pt idx="204">
                  <c:v>7442026</c:v>
                </c:pt>
                <c:pt idx="205">
                  <c:v>5386525</c:v>
                </c:pt>
                <c:pt idx="206">
                  <c:v>6400449</c:v>
                </c:pt>
                <c:pt idx="207">
                  <c:v>4842653</c:v>
                </c:pt>
                <c:pt idx="208">
                  <c:v>5216879</c:v>
                </c:pt>
                <c:pt idx="209">
                  <c:v>5820530</c:v>
                </c:pt>
                <c:pt idx="210">
                  <c:v>8613860</c:v>
                </c:pt>
                <c:pt idx="211">
                  <c:v>5256652</c:v>
                </c:pt>
                <c:pt idx="212">
                  <c:v>4644011</c:v>
                </c:pt>
                <c:pt idx="213">
                  <c:v>6547074</c:v>
                </c:pt>
                <c:pt idx="214">
                  <c:v>8926601</c:v>
                </c:pt>
                <c:pt idx="215">
                  <c:v>7522812</c:v>
                </c:pt>
                <c:pt idx="216">
                  <c:v>8926134</c:v>
                </c:pt>
                <c:pt idx="217">
                  <c:v>7146759</c:v>
                </c:pt>
                <c:pt idx="218">
                  <c:v>7181408</c:v>
                </c:pt>
                <c:pt idx="219">
                  <c:v>7162233</c:v>
                </c:pt>
                <c:pt idx="220">
                  <c:v>7716385</c:v>
                </c:pt>
                <c:pt idx="221">
                  <c:v>11328515</c:v>
                </c:pt>
                <c:pt idx="222">
                  <c:v>7514177</c:v>
                </c:pt>
                <c:pt idx="223">
                  <c:v>8233678</c:v>
                </c:pt>
                <c:pt idx="224">
                  <c:v>9061274</c:v>
                </c:pt>
                <c:pt idx="225">
                  <c:v>10141056</c:v>
                </c:pt>
                <c:pt idx="226">
                  <c:v>8265961</c:v>
                </c:pt>
                <c:pt idx="227">
                  <c:v>12256242</c:v>
                </c:pt>
                <c:pt idx="228">
                  <c:v>5683499</c:v>
                </c:pt>
                <c:pt idx="229">
                  <c:v>4140444</c:v>
                </c:pt>
                <c:pt idx="230">
                  <c:v>5687821</c:v>
                </c:pt>
                <c:pt idx="231">
                  <c:v>6946494</c:v>
                </c:pt>
                <c:pt idx="232">
                  <c:v>8674415</c:v>
                </c:pt>
                <c:pt idx="233">
                  <c:v>10333110</c:v>
                </c:pt>
                <c:pt idx="234">
                  <c:v>7898098</c:v>
                </c:pt>
                <c:pt idx="235">
                  <c:v>8389611</c:v>
                </c:pt>
                <c:pt idx="236">
                  <c:v>8410303</c:v>
                </c:pt>
                <c:pt idx="237">
                  <c:v>9398671</c:v>
                </c:pt>
                <c:pt idx="238">
                  <c:v>13446656</c:v>
                </c:pt>
                <c:pt idx="239">
                  <c:v>6176269</c:v>
                </c:pt>
                <c:pt idx="240">
                  <c:v>8324900</c:v>
                </c:pt>
                <c:pt idx="241">
                  <c:v>8732378</c:v>
                </c:pt>
                <c:pt idx="242">
                  <c:v>10342958</c:v>
                </c:pt>
                <c:pt idx="243">
                  <c:v>9336094</c:v>
                </c:pt>
                <c:pt idx="244">
                  <c:v>9516653</c:v>
                </c:pt>
                <c:pt idx="245">
                  <c:v>17702755</c:v>
                </c:pt>
                <c:pt idx="246">
                  <c:v>8720824</c:v>
                </c:pt>
                <c:pt idx="247">
                  <c:v>3164071</c:v>
                </c:pt>
                <c:pt idx="248">
                  <c:v>4656981</c:v>
                </c:pt>
                <c:pt idx="249">
                  <c:v>5588306</c:v>
                </c:pt>
                <c:pt idx="250">
                  <c:v>6268692</c:v>
                </c:pt>
                <c:pt idx="251">
                  <c:v>5811401</c:v>
                </c:pt>
                <c:pt idx="252">
                  <c:v>6051330</c:v>
                </c:pt>
                <c:pt idx="253">
                  <c:v>5879816</c:v>
                </c:pt>
                <c:pt idx="254">
                  <c:v>7910493</c:v>
                </c:pt>
                <c:pt idx="255">
                  <c:v>8422010</c:v>
                </c:pt>
                <c:pt idx="256">
                  <c:v>11175552</c:v>
                </c:pt>
                <c:pt idx="257">
                  <c:v>8821541</c:v>
                </c:pt>
                <c:pt idx="258">
                  <c:v>10376377</c:v>
                </c:pt>
                <c:pt idx="259">
                  <c:v>8681741</c:v>
                </c:pt>
                <c:pt idx="260">
                  <c:v>7434562</c:v>
                </c:pt>
                <c:pt idx="261">
                  <c:v>8964016</c:v>
                </c:pt>
                <c:pt idx="262">
                  <c:v>10773054</c:v>
                </c:pt>
                <c:pt idx="263">
                  <c:v>11111747</c:v>
                </c:pt>
                <c:pt idx="264">
                  <c:v>16834747</c:v>
                </c:pt>
                <c:pt idx="265">
                  <c:v>10506361</c:v>
                </c:pt>
                <c:pt idx="266">
                  <c:v>9887682</c:v>
                </c:pt>
                <c:pt idx="267">
                  <c:v>15152314</c:v>
                </c:pt>
                <c:pt idx="268">
                  <c:v>10320613</c:v>
                </c:pt>
                <c:pt idx="269">
                  <c:v>7156421</c:v>
                </c:pt>
                <c:pt idx="270">
                  <c:v>8910983</c:v>
                </c:pt>
                <c:pt idx="271">
                  <c:v>8458715</c:v>
                </c:pt>
                <c:pt idx="272">
                  <c:v>6687487</c:v>
                </c:pt>
                <c:pt idx="273">
                  <c:v>9645289</c:v>
                </c:pt>
                <c:pt idx="274">
                  <c:v>8946957</c:v>
                </c:pt>
                <c:pt idx="275">
                  <c:v>7418468</c:v>
                </c:pt>
                <c:pt idx="276">
                  <c:v>6204916</c:v>
                </c:pt>
                <c:pt idx="277">
                  <c:v>6936561</c:v>
                </c:pt>
                <c:pt idx="278">
                  <c:v>7554811</c:v>
                </c:pt>
                <c:pt idx="279">
                  <c:v>7746014</c:v>
                </c:pt>
                <c:pt idx="280">
                  <c:v>10705077</c:v>
                </c:pt>
                <c:pt idx="281">
                  <c:v>6411840</c:v>
                </c:pt>
                <c:pt idx="282">
                  <c:v>9670657</c:v>
                </c:pt>
                <c:pt idx="283">
                  <c:v>7974736</c:v>
                </c:pt>
                <c:pt idx="284">
                  <c:v>7224030</c:v>
                </c:pt>
                <c:pt idx="285">
                  <c:v>12546930</c:v>
                </c:pt>
                <c:pt idx="286">
                  <c:v>10201917</c:v>
                </c:pt>
                <c:pt idx="287">
                  <c:v>12303697</c:v>
                </c:pt>
                <c:pt idx="288">
                  <c:v>11396410</c:v>
                </c:pt>
                <c:pt idx="289">
                  <c:v>8364573</c:v>
                </c:pt>
                <c:pt idx="290">
                  <c:v>12037415</c:v>
                </c:pt>
                <c:pt idx="291">
                  <c:v>9191464</c:v>
                </c:pt>
                <c:pt idx="292">
                  <c:v>11999962</c:v>
                </c:pt>
                <c:pt idx="293">
                  <c:v>8745050</c:v>
                </c:pt>
                <c:pt idx="294">
                  <c:v>8037888</c:v>
                </c:pt>
                <c:pt idx="295">
                  <c:v>9637593</c:v>
                </c:pt>
                <c:pt idx="296">
                  <c:v>17558982</c:v>
                </c:pt>
                <c:pt idx="297">
                  <c:v>9890648</c:v>
                </c:pt>
                <c:pt idx="298">
                  <c:v>8010692</c:v>
                </c:pt>
                <c:pt idx="299">
                  <c:v>5286734</c:v>
                </c:pt>
                <c:pt idx="300">
                  <c:v>6235797</c:v>
                </c:pt>
                <c:pt idx="301">
                  <c:v>6669815</c:v>
                </c:pt>
                <c:pt idx="302">
                  <c:v>7348974</c:v>
                </c:pt>
                <c:pt idx="303">
                  <c:v>5936637</c:v>
                </c:pt>
                <c:pt idx="304">
                  <c:v>7485930</c:v>
                </c:pt>
                <c:pt idx="305">
                  <c:v>17047106</c:v>
                </c:pt>
                <c:pt idx="306">
                  <c:v>8046565</c:v>
                </c:pt>
                <c:pt idx="307">
                  <c:v>7456197</c:v>
                </c:pt>
                <c:pt idx="308">
                  <c:v>7223773</c:v>
                </c:pt>
                <c:pt idx="309">
                  <c:v>6752466</c:v>
                </c:pt>
                <c:pt idx="310">
                  <c:v>5760545</c:v>
                </c:pt>
                <c:pt idx="311">
                  <c:v>12481400</c:v>
                </c:pt>
                <c:pt idx="312">
                  <c:v>23303065</c:v>
                </c:pt>
                <c:pt idx="313">
                  <c:v>10356920</c:v>
                </c:pt>
                <c:pt idx="314">
                  <c:v>13249313</c:v>
                </c:pt>
                <c:pt idx="315">
                  <c:v>16601728</c:v>
                </c:pt>
                <c:pt idx="316">
                  <c:v>18083040</c:v>
                </c:pt>
                <c:pt idx="317">
                  <c:v>12018391</c:v>
                </c:pt>
                <c:pt idx="318">
                  <c:v>18773742</c:v>
                </c:pt>
                <c:pt idx="319">
                  <c:v>13830474</c:v>
                </c:pt>
                <c:pt idx="320">
                  <c:v>9943851</c:v>
                </c:pt>
                <c:pt idx="321">
                  <c:v>10685338</c:v>
                </c:pt>
                <c:pt idx="322">
                  <c:v>10847653</c:v>
                </c:pt>
                <c:pt idx="323">
                  <c:v>7987296</c:v>
                </c:pt>
                <c:pt idx="324">
                  <c:v>10981067</c:v>
                </c:pt>
                <c:pt idx="325">
                  <c:v>6285438</c:v>
                </c:pt>
                <c:pt idx="326">
                  <c:v>7136321</c:v>
                </c:pt>
                <c:pt idx="327">
                  <c:v>9099438</c:v>
                </c:pt>
                <c:pt idx="328">
                  <c:v>8310425</c:v>
                </c:pt>
                <c:pt idx="329">
                  <c:v>8643927</c:v>
                </c:pt>
                <c:pt idx="330">
                  <c:v>5815179</c:v>
                </c:pt>
                <c:pt idx="331">
                  <c:v>5246725</c:v>
                </c:pt>
                <c:pt idx="332">
                  <c:v>9598156</c:v>
                </c:pt>
                <c:pt idx="333">
                  <c:v>7325849</c:v>
                </c:pt>
                <c:pt idx="334">
                  <c:v>5974539</c:v>
                </c:pt>
                <c:pt idx="335">
                  <c:v>5464496</c:v>
                </c:pt>
                <c:pt idx="336">
                  <c:v>8644189</c:v>
                </c:pt>
                <c:pt idx="337">
                  <c:v>7854106</c:v>
                </c:pt>
                <c:pt idx="338">
                  <c:v>7606095</c:v>
                </c:pt>
                <c:pt idx="339">
                  <c:v>6520449</c:v>
                </c:pt>
                <c:pt idx="340">
                  <c:v>9023782</c:v>
                </c:pt>
                <c:pt idx="341">
                  <c:v>10549609</c:v>
                </c:pt>
                <c:pt idx="342">
                  <c:v>10215952</c:v>
                </c:pt>
                <c:pt idx="343">
                  <c:v>7945768</c:v>
                </c:pt>
                <c:pt idx="344">
                  <c:v>8051150</c:v>
                </c:pt>
                <c:pt idx="345">
                  <c:v>12639948</c:v>
                </c:pt>
                <c:pt idx="346">
                  <c:v>7351451</c:v>
                </c:pt>
                <c:pt idx="347">
                  <c:v>7032225</c:v>
                </c:pt>
                <c:pt idx="348">
                  <c:v>7535335</c:v>
                </c:pt>
                <c:pt idx="349">
                  <c:v>6727539</c:v>
                </c:pt>
                <c:pt idx="350">
                  <c:v>6990694</c:v>
                </c:pt>
                <c:pt idx="351">
                  <c:v>8459310</c:v>
                </c:pt>
                <c:pt idx="352">
                  <c:v>6810982</c:v>
                </c:pt>
                <c:pt idx="353">
                  <c:v>15529716</c:v>
                </c:pt>
                <c:pt idx="354">
                  <c:v>6669669</c:v>
                </c:pt>
                <c:pt idx="355">
                  <c:v>8209757</c:v>
                </c:pt>
                <c:pt idx="356">
                  <c:v>6983861</c:v>
                </c:pt>
                <c:pt idx="357">
                  <c:v>5296258</c:v>
                </c:pt>
                <c:pt idx="358">
                  <c:v>5391841</c:v>
                </c:pt>
                <c:pt idx="359">
                  <c:v>5319232</c:v>
                </c:pt>
                <c:pt idx="360">
                  <c:v>6791881</c:v>
                </c:pt>
                <c:pt idx="361">
                  <c:v>6016039</c:v>
                </c:pt>
                <c:pt idx="362">
                  <c:v>7075511</c:v>
                </c:pt>
                <c:pt idx="363">
                  <c:v>6587849</c:v>
                </c:pt>
                <c:pt idx="364">
                  <c:v>7023995</c:v>
                </c:pt>
                <c:pt idx="365">
                  <c:v>6407098</c:v>
                </c:pt>
                <c:pt idx="366">
                  <c:v>8325237</c:v>
                </c:pt>
                <c:pt idx="367">
                  <c:v>22605471</c:v>
                </c:pt>
                <c:pt idx="368">
                  <c:v>7397853</c:v>
                </c:pt>
                <c:pt idx="369">
                  <c:v>9544217</c:v>
                </c:pt>
                <c:pt idx="370">
                  <c:v>7153708</c:v>
                </c:pt>
                <c:pt idx="371">
                  <c:v>7156903</c:v>
                </c:pt>
                <c:pt idx="372">
                  <c:v>10010787</c:v>
                </c:pt>
                <c:pt idx="373">
                  <c:v>9039552</c:v>
                </c:pt>
                <c:pt idx="374">
                  <c:v>10896676</c:v>
                </c:pt>
                <c:pt idx="375">
                  <c:v>5544030</c:v>
                </c:pt>
                <c:pt idx="376">
                  <c:v>3482521</c:v>
                </c:pt>
                <c:pt idx="377">
                  <c:v>6270887</c:v>
                </c:pt>
                <c:pt idx="378">
                  <c:v>6438221</c:v>
                </c:pt>
                <c:pt idx="379">
                  <c:v>6147685</c:v>
                </c:pt>
                <c:pt idx="380">
                  <c:v>6733128</c:v>
                </c:pt>
                <c:pt idx="381">
                  <c:v>7872172</c:v>
                </c:pt>
                <c:pt idx="382">
                  <c:v>10185632</c:v>
                </c:pt>
                <c:pt idx="383">
                  <c:v>6873200</c:v>
                </c:pt>
                <c:pt idx="384">
                  <c:v>22134769</c:v>
                </c:pt>
                <c:pt idx="385">
                  <c:v>11295747</c:v>
                </c:pt>
                <c:pt idx="386">
                  <c:v>9793046</c:v>
                </c:pt>
                <c:pt idx="387">
                  <c:v>8254003</c:v>
                </c:pt>
                <c:pt idx="388">
                  <c:v>9287991</c:v>
                </c:pt>
                <c:pt idx="389">
                  <c:v>10617636</c:v>
                </c:pt>
                <c:pt idx="390">
                  <c:v>6636918</c:v>
                </c:pt>
                <c:pt idx="391">
                  <c:v>6255183</c:v>
                </c:pt>
                <c:pt idx="392">
                  <c:v>8014640</c:v>
                </c:pt>
                <c:pt idx="393">
                  <c:v>7663408</c:v>
                </c:pt>
                <c:pt idx="394">
                  <c:v>6189161</c:v>
                </c:pt>
                <c:pt idx="395">
                  <c:v>11036179</c:v>
                </c:pt>
                <c:pt idx="396">
                  <c:v>8928229</c:v>
                </c:pt>
                <c:pt idx="397">
                  <c:v>12679095</c:v>
                </c:pt>
                <c:pt idx="398">
                  <c:v>7934442</c:v>
                </c:pt>
                <c:pt idx="399">
                  <c:v>8957240</c:v>
                </c:pt>
                <c:pt idx="400">
                  <c:v>9315942</c:v>
                </c:pt>
                <c:pt idx="401">
                  <c:v>7686765</c:v>
                </c:pt>
                <c:pt idx="402">
                  <c:v>7256778</c:v>
                </c:pt>
                <c:pt idx="403">
                  <c:v>7917437</c:v>
                </c:pt>
                <c:pt idx="404">
                  <c:v>5878666</c:v>
                </c:pt>
                <c:pt idx="405">
                  <c:v>8241942</c:v>
                </c:pt>
                <c:pt idx="406">
                  <c:v>9477559</c:v>
                </c:pt>
                <c:pt idx="407">
                  <c:v>9284138</c:v>
                </c:pt>
                <c:pt idx="408">
                  <c:v>9274182</c:v>
                </c:pt>
                <c:pt idx="409">
                  <c:v>9030396</c:v>
                </c:pt>
                <c:pt idx="410">
                  <c:v>8859552</c:v>
                </c:pt>
                <c:pt idx="411">
                  <c:v>9524308</c:v>
                </c:pt>
                <c:pt idx="412">
                  <c:v>6229149</c:v>
                </c:pt>
                <c:pt idx="413">
                  <c:v>9145045</c:v>
                </c:pt>
                <c:pt idx="414">
                  <c:v>5951099</c:v>
                </c:pt>
                <c:pt idx="415">
                  <c:v>6424695</c:v>
                </c:pt>
                <c:pt idx="416">
                  <c:v>6942311</c:v>
                </c:pt>
                <c:pt idx="417">
                  <c:v>9049003</c:v>
                </c:pt>
                <c:pt idx="418">
                  <c:v>7111689</c:v>
                </c:pt>
                <c:pt idx="419">
                  <c:v>7854833</c:v>
                </c:pt>
                <c:pt idx="420">
                  <c:v>9733803</c:v>
                </c:pt>
                <c:pt idx="421">
                  <c:v>8382514</c:v>
                </c:pt>
                <c:pt idx="422">
                  <c:v>6005703</c:v>
                </c:pt>
                <c:pt idx="423">
                  <c:v>6891590</c:v>
                </c:pt>
                <c:pt idx="424">
                  <c:v>5792527</c:v>
                </c:pt>
                <c:pt idx="425">
                  <c:v>7220473</c:v>
                </c:pt>
                <c:pt idx="426">
                  <c:v>4768547</c:v>
                </c:pt>
                <c:pt idx="427">
                  <c:v>7959652</c:v>
                </c:pt>
                <c:pt idx="428">
                  <c:v>6715188</c:v>
                </c:pt>
                <c:pt idx="429">
                  <c:v>8200854</c:v>
                </c:pt>
                <c:pt idx="430">
                  <c:v>25620954</c:v>
                </c:pt>
                <c:pt idx="431">
                  <c:v>7193868</c:v>
                </c:pt>
                <c:pt idx="432">
                  <c:v>8350743</c:v>
                </c:pt>
                <c:pt idx="433">
                  <c:v>6676770</c:v>
                </c:pt>
                <c:pt idx="434">
                  <c:v>8474975</c:v>
                </c:pt>
                <c:pt idx="435">
                  <c:v>8634403</c:v>
                </c:pt>
                <c:pt idx="436">
                  <c:v>8597083</c:v>
                </c:pt>
                <c:pt idx="437">
                  <c:v>11569019</c:v>
                </c:pt>
                <c:pt idx="438">
                  <c:v>13063788</c:v>
                </c:pt>
                <c:pt idx="439">
                  <c:v>7728069</c:v>
                </c:pt>
                <c:pt idx="440">
                  <c:v>8675087</c:v>
                </c:pt>
                <c:pt idx="441">
                  <c:v>5806089</c:v>
                </c:pt>
                <c:pt idx="442">
                  <c:v>8776784</c:v>
                </c:pt>
                <c:pt idx="443">
                  <c:v>5751163</c:v>
                </c:pt>
                <c:pt idx="444">
                  <c:v>7484764</c:v>
                </c:pt>
                <c:pt idx="445">
                  <c:v>9598019</c:v>
                </c:pt>
                <c:pt idx="446">
                  <c:v>7979476</c:v>
                </c:pt>
                <c:pt idx="447">
                  <c:v>13613340</c:v>
                </c:pt>
                <c:pt idx="448">
                  <c:v>9472995</c:v>
                </c:pt>
                <c:pt idx="449">
                  <c:v>10611760</c:v>
                </c:pt>
                <c:pt idx="450">
                  <c:v>7764449</c:v>
                </c:pt>
                <c:pt idx="451">
                  <c:v>8034740</c:v>
                </c:pt>
                <c:pt idx="452">
                  <c:v>6716360</c:v>
                </c:pt>
                <c:pt idx="453">
                  <c:v>6343472</c:v>
                </c:pt>
                <c:pt idx="454">
                  <c:v>8882491</c:v>
                </c:pt>
                <c:pt idx="455">
                  <c:v>6903379</c:v>
                </c:pt>
                <c:pt idx="456">
                  <c:v>7125956</c:v>
                </c:pt>
                <c:pt idx="457">
                  <c:v>8329457</c:v>
                </c:pt>
                <c:pt idx="458">
                  <c:v>10551079</c:v>
                </c:pt>
                <c:pt idx="459">
                  <c:v>7072517</c:v>
                </c:pt>
                <c:pt idx="460">
                  <c:v>8791666</c:v>
                </c:pt>
                <c:pt idx="461">
                  <c:v>7542636</c:v>
                </c:pt>
                <c:pt idx="462">
                  <c:v>7209395</c:v>
                </c:pt>
                <c:pt idx="463">
                  <c:v>5049443</c:v>
                </c:pt>
                <c:pt idx="464">
                  <c:v>6767417</c:v>
                </c:pt>
                <c:pt idx="465">
                  <c:v>6959209</c:v>
                </c:pt>
                <c:pt idx="466">
                  <c:v>5324077</c:v>
                </c:pt>
                <c:pt idx="467">
                  <c:v>7465592</c:v>
                </c:pt>
                <c:pt idx="468">
                  <c:v>8803005</c:v>
                </c:pt>
                <c:pt idx="469">
                  <c:v>8631614</c:v>
                </c:pt>
                <c:pt idx="470">
                  <c:v>8824847</c:v>
                </c:pt>
                <c:pt idx="471">
                  <c:v>13256995</c:v>
                </c:pt>
                <c:pt idx="472">
                  <c:v>12468619</c:v>
                </c:pt>
                <c:pt idx="473">
                  <c:v>14690837</c:v>
                </c:pt>
                <c:pt idx="474">
                  <c:v>10612550</c:v>
                </c:pt>
                <c:pt idx="475">
                  <c:v>13189055</c:v>
                </c:pt>
                <c:pt idx="476">
                  <c:v>14803873</c:v>
                </c:pt>
                <c:pt idx="477">
                  <c:v>10275724</c:v>
                </c:pt>
                <c:pt idx="478">
                  <c:v>6728994</c:v>
                </c:pt>
                <c:pt idx="479">
                  <c:v>5638279</c:v>
                </c:pt>
                <c:pt idx="480">
                  <c:v>8473726</c:v>
                </c:pt>
                <c:pt idx="481">
                  <c:v>8393565</c:v>
                </c:pt>
                <c:pt idx="482">
                  <c:v>8363292</c:v>
                </c:pt>
                <c:pt idx="483">
                  <c:v>9049943</c:v>
                </c:pt>
                <c:pt idx="484">
                  <c:v>7785552</c:v>
                </c:pt>
                <c:pt idx="485">
                  <c:v>7785708</c:v>
                </c:pt>
                <c:pt idx="486">
                  <c:v>7509402</c:v>
                </c:pt>
                <c:pt idx="487">
                  <c:v>11599785</c:v>
                </c:pt>
                <c:pt idx="488">
                  <c:v>9008960</c:v>
                </c:pt>
                <c:pt idx="489">
                  <c:v>6922683</c:v>
                </c:pt>
                <c:pt idx="490">
                  <c:v>8466964</c:v>
                </c:pt>
                <c:pt idx="491">
                  <c:v>9949810</c:v>
                </c:pt>
                <c:pt idx="492">
                  <c:v>8457560</c:v>
                </c:pt>
                <c:pt idx="493">
                  <c:v>7499852</c:v>
                </c:pt>
                <c:pt idx="494">
                  <c:v>24803920</c:v>
                </c:pt>
                <c:pt idx="495">
                  <c:v>8187755</c:v>
                </c:pt>
                <c:pt idx="496">
                  <c:v>7047346</c:v>
                </c:pt>
                <c:pt idx="497">
                  <c:v>2376541</c:v>
                </c:pt>
                <c:pt idx="498">
                  <c:v>2316730</c:v>
                </c:pt>
                <c:pt idx="499">
                  <c:v>4348854</c:v>
                </c:pt>
                <c:pt idx="500">
                  <c:v>3937395</c:v>
                </c:pt>
                <c:pt idx="501">
                  <c:v>4084013</c:v>
                </c:pt>
                <c:pt idx="502">
                  <c:v>6325672</c:v>
                </c:pt>
                <c:pt idx="503">
                  <c:v>9476975</c:v>
                </c:pt>
                <c:pt idx="504">
                  <c:v>8107853</c:v>
                </c:pt>
                <c:pt idx="505">
                  <c:v>7545920</c:v>
                </c:pt>
                <c:pt idx="506">
                  <c:v>6557776</c:v>
                </c:pt>
                <c:pt idx="507">
                  <c:v>6154326</c:v>
                </c:pt>
                <c:pt idx="508">
                  <c:v>11794339</c:v>
                </c:pt>
                <c:pt idx="509">
                  <c:v>11379590</c:v>
                </c:pt>
                <c:pt idx="510">
                  <c:v>11858784</c:v>
                </c:pt>
                <c:pt idx="511">
                  <c:v>8492116</c:v>
                </c:pt>
                <c:pt idx="512">
                  <c:v>10021515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68479"/>
        <c:axId val="1062567519"/>
      </c:areaChar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239023"/>
        <c:axId val="440222703"/>
      </c:lineChart>
      <c:dateAx>
        <c:axId val="4402390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22703"/>
        <c:crosses val="autoZero"/>
        <c:auto val="1"/>
        <c:lblOffset val="100"/>
        <c:baseTimeUnit val="days"/>
      </c:dateAx>
      <c:valAx>
        <c:axId val="440222703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9023"/>
        <c:crosses val="autoZero"/>
        <c:crossBetween val="between"/>
      </c:valAx>
      <c:valAx>
        <c:axId val="10625675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68479"/>
        <c:crosses val="max"/>
        <c:crossBetween val="between"/>
      </c:valAx>
      <c:dateAx>
        <c:axId val="10625684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62567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Quarter Forecast: Weekly Average</a:t>
            </a:r>
          </a:p>
        </c:rich>
      </c:tx>
      <c:layout>
        <c:manualLayout>
          <c:xMode val="edge"/>
          <c:yMode val="edge"/>
          <c:x val="0.19543634352439113"/>
          <c:y val="4.7114252061248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E-4E0D-9D78-30594A87013B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7">
                  <c:v>216.03</c:v>
                </c:pt>
                <c:pt idx="108">
                  <c:v>216.41801688540696</c:v>
                </c:pt>
                <c:pt idx="109">
                  <c:v>220.25084150470832</c:v>
                </c:pt>
                <c:pt idx="110">
                  <c:v>222.3707687031291</c:v>
                </c:pt>
                <c:pt idx="111">
                  <c:v>224.49071024947349</c:v>
                </c:pt>
                <c:pt idx="112">
                  <c:v>226.61066137158087</c:v>
                </c:pt>
                <c:pt idx="113">
                  <c:v>228.7306031972324</c:v>
                </c:pt>
                <c:pt idx="114">
                  <c:v>219.14393849084911</c:v>
                </c:pt>
                <c:pt idx="115">
                  <c:v>219.67630169449598</c:v>
                </c:pt>
                <c:pt idx="116">
                  <c:v>220.24351649675805</c:v>
                </c:pt>
                <c:pt idx="117">
                  <c:v>220.8283353276878</c:v>
                </c:pt>
                <c:pt idx="118">
                  <c:v>221.44832134427563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E-4E0D-9D78-30594A87013B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Weekly!$D$2:$D$120</c:f>
              <c:numCache>
                <c:formatCode>General</c:formatCode>
                <c:ptCount val="119"/>
                <c:pt idx="107">
                  <c:v>6.216527628055676</c:v>
                </c:pt>
                <c:pt idx="108">
                  <c:v>8.8243955147979865</c:v>
                </c:pt>
                <c:pt idx="109">
                  <c:v>11.955867226599016</c:v>
                </c:pt>
                <c:pt idx="110">
                  <c:v>14.519412911344887</c:v>
                </c:pt>
                <c:pt idx="111">
                  <c:v>17.02839776453628</c:v>
                </c:pt>
                <c:pt idx="112">
                  <c:v>19.544227526698752</c:v>
                </c:pt>
                <c:pt idx="113">
                  <c:v>22.111369098277486</c:v>
                </c:pt>
                <c:pt idx="114">
                  <c:v>18.473280873559958</c:v>
                </c:pt>
                <c:pt idx="115">
                  <c:v>19.665699083821874</c:v>
                </c:pt>
                <c:pt idx="116">
                  <c:v>20.829182943124561</c:v>
                </c:pt>
                <c:pt idx="117">
                  <c:v>21.953147918662239</c:v>
                </c:pt>
                <c:pt idx="118">
                  <c:v>22.847186917999988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0-4D5F-A0A3-36E42B10306F}"/>
            </c:ext>
          </c:extLst>
        </c:ser>
        <c:ser>
          <c:idx val="3"/>
          <c:order val="3"/>
          <c:tx>
            <c:strRef>
              <c:f>Weekly!$E$1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Weekly!$E$2:$E$120</c:f>
              <c:numCache>
                <c:formatCode>General</c:formatCode>
                <c:ptCount val="119"/>
                <c:pt idx="107">
                  <c:v>222.24652762805567</c:v>
                </c:pt>
                <c:pt idx="108">
                  <c:v>225.24241240020496</c:v>
                </c:pt>
                <c:pt idx="109">
                  <c:v>232.20670873130734</c:v>
                </c:pt>
                <c:pt idx="110">
                  <c:v>236.89018161447399</c:v>
                </c:pt>
                <c:pt idx="111">
                  <c:v>241.51910801400976</c:v>
                </c:pt>
                <c:pt idx="112">
                  <c:v>246.15488889827964</c:v>
                </c:pt>
                <c:pt idx="113">
                  <c:v>250.84197229550989</c:v>
                </c:pt>
                <c:pt idx="114">
                  <c:v>237.61721936440907</c:v>
                </c:pt>
                <c:pt idx="115">
                  <c:v>239.34200077831784</c:v>
                </c:pt>
                <c:pt idx="116">
                  <c:v>241.0726994398826</c:v>
                </c:pt>
                <c:pt idx="117">
                  <c:v>242.78148324635004</c:v>
                </c:pt>
                <c:pt idx="118">
                  <c:v>244.2955082622756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0-4D5F-A0A3-36E42B10306F}"/>
            </c:ext>
          </c:extLst>
        </c:ser>
        <c:ser>
          <c:idx val="4"/>
          <c:order val="4"/>
          <c:tx>
            <c:strRef>
              <c:f>Weekly!$F$1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7">
                  <c:v>209.81347237194433</c:v>
                </c:pt>
                <c:pt idx="108">
                  <c:v>207.59362137060896</c:v>
                </c:pt>
                <c:pt idx="109">
                  <c:v>208.29497427810929</c:v>
                </c:pt>
                <c:pt idx="110">
                  <c:v>207.85135579178421</c:v>
                </c:pt>
                <c:pt idx="111">
                  <c:v>207.46231248493723</c:v>
                </c:pt>
                <c:pt idx="112">
                  <c:v>207.06643384488211</c:v>
                </c:pt>
                <c:pt idx="113">
                  <c:v>206.61923409895491</c:v>
                </c:pt>
                <c:pt idx="114">
                  <c:v>200.67065761728915</c:v>
                </c:pt>
                <c:pt idx="115">
                  <c:v>200.01060261067411</c:v>
                </c:pt>
                <c:pt idx="116">
                  <c:v>199.4143335536335</c:v>
                </c:pt>
                <c:pt idx="117">
                  <c:v>198.87518740902556</c:v>
                </c:pt>
                <c:pt idx="118">
                  <c:v>198.60113442627565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0-4D5F-A0A3-36E42B103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265135"/>
        <c:axId val="886267055"/>
      </c:lineChart>
      <c:dateAx>
        <c:axId val="886265135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7055"/>
        <c:crosses val="autoZero"/>
        <c:auto val="1"/>
        <c:lblOffset val="100"/>
        <c:baseTimeUnit val="days"/>
      </c:dateAx>
      <c:valAx>
        <c:axId val="886267055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51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18</xdr:row>
      <xdr:rowOff>28575</xdr:rowOff>
    </xdr:from>
    <xdr:to>
      <xdr:col>6</xdr:col>
      <xdr:colOff>314325</xdr:colOff>
      <xdr:row>28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30</xdr:row>
      <xdr:rowOff>57150</xdr:rowOff>
    </xdr:from>
    <xdr:to>
      <xdr:col>6</xdr:col>
      <xdr:colOff>333375</xdr:colOff>
      <xdr:row>44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46</xdr:row>
      <xdr:rowOff>104775</xdr:rowOff>
    </xdr:from>
    <xdr:to>
      <xdr:col>6</xdr:col>
      <xdr:colOff>295275</xdr:colOff>
      <xdr:row>61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62</xdr:row>
      <xdr:rowOff>133349</xdr:rowOff>
    </xdr:from>
    <xdr:to>
      <xdr:col>6</xdr:col>
      <xdr:colOff>323850</xdr:colOff>
      <xdr:row>77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78</xdr:row>
      <xdr:rowOff>38100</xdr:rowOff>
    </xdr:from>
    <xdr:to>
      <xdr:col>6</xdr:col>
      <xdr:colOff>323850</xdr:colOff>
      <xdr:row>92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2</xdr:row>
      <xdr:rowOff>85725</xdr:rowOff>
    </xdr:from>
    <xdr:to>
      <xdr:col>6</xdr:col>
      <xdr:colOff>295275</xdr:colOff>
      <xdr:row>18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76E04-5679-46A2-8DB9-1ECCDC393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171450</xdr:colOff>
      <xdr:row>93</xdr:row>
      <xdr:rowOff>95250</xdr:rowOff>
    </xdr:from>
    <xdr:to>
      <xdr:col>6</xdr:col>
      <xdr:colOff>333375</xdr:colOff>
      <xdr:row>107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83320D-053C-40FD-91F0-123568566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0DEE39-9009-4B4C-B9DF-E7DA3FA6C7FA}" autoFormatId="16" applyNumberFormats="0" applyBorderFormats="0" applyFontFormats="0" applyPatternFormats="0" applyAlignmentFormats="0" applyWidthHeightFormats="0">
  <queryTableRefresh nextId="8" unboundColumnsRight="4">
    <queryTableFields count="6">
      <queryTableField id="1" name="Date" tableColumnId="1"/>
      <queryTableField id="2" name="Average Close" tableColumnId="2"/>
      <queryTableField id="3" dataBound="0" tableColumnId="3"/>
      <queryTableField id="5" dataBound="0" tableColumnId="4"/>
      <queryTableField id="6" dataBound="0" tableColumnId="5"/>
      <queryTableField id="7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3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</a>
  <a r="1" c="513">
    <v>159.97</v>
    <v>160.97</v>
    <v>160.63</v>
    <v>161.13</v>
    <v>161.53</v>
    <v>161.63</v>
    <v>161.87</v>
    <v>161.15</v>
    <v>162.38999999999999</v>
    <v>160.52000000000001</v>
    <v>160.43</v>
    <v>161.21</v>
    <v>161.68</v>
    <v>162.47</v>
    <v>159.81</v>
    <v>158.96</v>
    <v>159.56</v>
    <v>159.5</v>
    <v>159.36000000000001</v>
    <v>158.77000000000001</v>
    <v>158.9</v>
    <v>158.36000000000001</v>
    <v>156.61000000000001</v>
    <v>155.80000000000001</v>
    <v>158.06</v>
    <v>157.97999999999999</v>
    <v>156.4</v>
    <v>156.76</v>
    <v>157.85</v>
    <v>156.47</v>
    <v>155.74</v>
    <v>157.91999999999999</v>
    <v>156.55000000000001</v>
    <v>157.86000000000001</v>
    <v>158.68</v>
    <v>160.44999999999999</v>
    <v>161.84</v>
    <v>160.79</v>
    <v>160.97999999999999</v>
    <v>161.55000000000001</v>
    <v>161.38</v>
    <v>162.12</v>
    <v>159.84</v>
    <v>159.97</v>
    <v>159.34</v>
    <v>158.87</v>
    <v>159.52000000000001</v>
    <v>161.22999999999999</v>
    <v>162.74</v>
    <v>161.1</v>
    <v>159.21</v>
    <v>158.18</v>
    <v>156.76</v>
    <v>156.21</v>
    <v>155.76</v>
    <v>155.75</v>
    <v>155.22999999999999</v>
    <v>155.22</v>
    <v>155.77000000000001</v>
    <v>157.96</v>
    <v>158.19</v>
    <v>157.78</v>
    <v>157.72999999999999</v>
    <v>154.26</v>
    <v>152.5</v>
    <v>152.38999999999999</v>
    <v>151.59</v>
    <v>152.29</v>
    <v>150.19999999999999</v>
    <v>148.79</v>
    <v>147.52000000000001</v>
    <v>147.59</v>
    <v>144.44999999999999</v>
    <v>144.77000000000001</v>
    <v>145.74</v>
    <v>147.91</v>
    <v>149.12</v>
    <v>149.56</v>
    <v>148.53</v>
    <v>146.82</v>
    <v>146.13999999999999</v>
    <v>146.82</v>
    <v>144.59</v>
    <v>151.18</v>
    <v>149.91999999999999</v>
    <v>149.27000000000001</v>
    <v>148.58000000000001</v>
    <v>148.72</v>
    <v>148.94999999999999</v>
    <v>149.85</v>
    <v>149.91</v>
    <v>151.22</v>
    <v>151.38</v>
    <v>152.66999999999999</v>
    <v>154.28</v>
    <v>154.63999999999999</v>
    <v>151.27000000000001</v>
    <v>151.24</v>
    <v>153.5</v>
    <v>149.69999999999999</v>
    <v>146.97</v>
    <v>144.38</v>
    <v>144.44</v>
    <v>145.28</v>
    <v>146.66999999999999</v>
    <v>147.74</v>
    <v>147.80000000000001</v>
    <v>145.97</v>
    <v>146.41999999999999</v>
    <v>147.08000000000001</v>
    <v>147.13</v>
    <v>146.76</v>
    <v>145.41</v>
    <v>145.44999999999999</v>
    <v>145.54</v>
    <v>145.94999999999999</v>
    <v>145.65</v>
    <v>147.78</v>
    <v>148.75</v>
    <v>149.12</v>
    <v>147.19</v>
    <v>146.82</v>
    <v>145.80000000000001</v>
    <v>146.16</v>
    <v>146.44</v>
    <v>146.03</v>
    <v>145.69</v>
    <v>146.47999999999999</v>
    <v>145.47999999999999</v>
    <v>147.05000000000001</v>
    <v>149.43</v>
    <v>149.69999999999999</v>
    <v>149.88</v>
    <v>149.24</v>
    <v>151.01</v>
    <v>156.58000000000001</v>
    <v>155.41999999999999</v>
    <v>154.69</v>
    <v>154.24</v>
    <v>152.35</v>
    <v>156.28</v>
    <v>159.63999999999999</v>
    <v>160.63999999999999</v>
    <v>158.56</v>
    <v>161.33000000000001</v>
    <v>157.85</v>
    <v>160.76</v>
    <v>164.14</v>
    <v>161.25</v>
    <v>158.97</v>
    <v>158.9</v>
    <v>160.22</v>
    <v>160.62</v>
    <v>159.88</v>
    <v>158.38999999999999</v>
    <v>158.47999999999999</v>
    <v>159.09</v>
    <v>159.38999999999999</v>
    <v>159.63</v>
    <v>160.16</v>
    <v>161.43</v>
    <v>162.35</v>
    <v>164.13</v>
    <v>164.61</v>
    <v>162.94999999999999</v>
    <v>163.92</v>
    <v>164.23</v>
    <v>165.86</v>
    <v>167.16</v>
    <v>167.36</v>
    <v>164.99</v>
    <v>164.38</v>
    <v>166.61</v>
    <v>167.38</v>
    <v>164.82</v>
    <v>164.64</v>
    <v>165.52</v>
    <v>166.99</v>
    <v>167.07</v>
    <v>166.15</v>
    <v>164.82</v>
    <v>164.16</v>
    <v>163.22</v>
    <v>162.78</v>
    <v>160.6</v>
    <v>161.38999999999999</v>
    <v>161.4</v>
    <v>162.06</v>
    <v>161.99</v>
    <v>161.16999999999999</v>
    <v>160.5</v>
    <v>160.29</v>
    <v>159.53</v>
    <v>159.69</v>
    <v>160.65</v>
    <v>160.51</v>
    <v>161.46</v>
    <v>161.6</v>
    <v>164.1</v>
    <v>164.28</v>
    <v>164.47</v>
    <v>165.12</v>
    <v>162.83000000000001</v>
    <v>163.44999999999999</v>
    <v>165.86</v>
    <v>163.66999999999999</v>
    <v>160.88</v>
    <v>161.6</v>
    <v>160.09</v>
    <v>160.61000000000001</v>
    <v>159.86000000000001</v>
    <v>160.13</v>
    <v>158.24</v>
    <v>158.35</v>
    <v>157.88</v>
    <v>156.72999999999999</v>
    <v>155.47</v>
    <v>155.04</v>
    <v>152.63999999999999</v>
    <v>153.24</v>
    <v>151.87</v>
    <v>154</v>
    <v>154.77000000000001</v>
    <v>153</v>
    <v>153.11000000000001</v>
    <v>155.5</v>
    <v>155.16999999999999</v>
    <v>155.78</v>
    <v>154.52000000000001</v>
    <v>155.4</v>
    <v>155.01</v>
    <v>154.80000000000001</v>
    <v>152.36000000000001</v>
    <v>150.47</v>
    <v>149.52000000000001</v>
    <v>149.31</v>
    <v>149.6</v>
    <v>149.22999999999999</v>
    <v>146.63999999999999</v>
    <v>146.24</v>
    <v>146.62</v>
    <v>143.85</v>
    <v>146.41</v>
    <v>144.75</v>
    <v>143.58000000000001</v>
    <v>144.47</v>
    <v>145.27000000000001</v>
    <v>145.85</v>
    <v>145.58000000000001</v>
    <v>145.05000000000001</v>
    <v>143.34</v>
    <v>144.62</v>
    <v>144.02000000000001</v>
    <v>144.19</v>
    <v>143.66</v>
    <v>146.22999999999999</v>
    <v>142.27000000000001</v>
    <v>142.06</v>
    <v>144.47</v>
    <v>144.75</v>
    <v>144.97</v>
    <v>147.77000000000001</v>
    <v>147.03</v>
    <v>148.15</v>
    <v>145.27000000000001</v>
    <v>146.63999999999999</v>
    <v>146.82</v>
    <v>152.88999999999999</v>
    <v>150.38</v>
    <v>151.15</v>
    <v>152.87</v>
    <v>152.15</v>
    <v>151.87</v>
    <v>153.49</v>
    <v>154.69</v>
    <v>153.51</v>
    <v>153.12</v>
    <v>154.24</v>
    <v>156.13</v>
    <v>155.26</v>
    <v>157.25</v>
    <v>156.15</v>
    <v>154.99</v>
    <v>157.88999999999999</v>
    <v>159.68</v>
    <v>162.30000000000001</v>
    <v>163.74</v>
    <v>166.09</v>
    <v>163.08000000000001</v>
    <v>163.72999999999999</v>
    <v>165.02</v>
    <v>167.28</v>
    <v>165.42</v>
    <v>165.12</v>
    <v>165.83</v>
    <v>166.69</v>
    <v>167.7</v>
    <v>165.86</v>
    <v>162.85</v>
    <v>162.99</v>
    <v>162.81</v>
    <v>162.84</v>
    <v>164.25</v>
    <v>162.99</v>
    <v>163.02000000000001</v>
    <v>163.63</v>
    <v>163.29</v>
    <v>161.02000000000001</v>
    <v>161.72</v>
    <v>163.13</v>
    <v>163.71</v>
    <v>165.84</v>
    <v>153.25</v>
    <v>155.36000000000001</v>
    <v>159.82</v>
    <v>153.24</v>
    <v>150.62</v>
    <v>150</v>
    <v>150.97</v>
    <v>148.69</v>
    <v>151.72999999999999</v>
    <v>154.36000000000001</v>
    <v>153.62</v>
    <v>153.91</v>
    <v>157.47</v>
    <v>156.91999999999999</v>
    <v>157.75</v>
    <v>155.38</v>
    <v>154.93</v>
    <v>154.58000000000001</v>
    <v>155.35</v>
    <v>155.91</v>
    <v>156.31</v>
    <v>154.46</v>
    <v>156.12</v>
    <v>155</v>
    <v>154.47</v>
    <v>157.30000000000001</v>
    <v>155.66</v>
    <v>154.22</v>
    <v>154.13999999999999</v>
    <v>148.44</v>
    <v>146.36000000000001</v>
    <v>149.61000000000001</v>
    <v>151.33000000000001</v>
    <v>152.49</v>
    <v>153.66</v>
    <v>153.18</v>
    <v>152.61000000000001</v>
    <v>152.94</v>
    <v>153.25</v>
    <v>152.43</v>
    <v>153.58000000000001</v>
    <v>155.21</v>
    <v>155.4</v>
    <v>154.41999999999999</v>
    <v>153.22</v>
    <v>153.66</v>
    <v>155.03</v>
    <v>155.22999999999999</v>
    <v>156.44999999999999</v>
    <v>155.26</v>
    <v>156.66</v>
    <v>157.1</v>
    <v>155.22</v>
    <v>152.38</v>
    <v>150.72999999999999</v>
    <v>149.79</v>
    <v>151.32</v>
    <v>152.19</v>
    <v>152.28</v>
    <v>152.01</v>
    <v>152.41</v>
    <v>152.75</v>
    <v>155.91999999999999</v>
    <v>155.56</v>
    <v>156.01</v>
    <v>155.27000000000001</v>
    <v>155.79</v>
    <v>156.28</v>
    <v>157.69</v>
    <v>156.9</v>
    <v>156.82</v>
    <v>155.16999999999999</v>
    <v>164.78</v>
    <v>162.97999999999999</v>
    <v>163.69999999999999</v>
    <v>164.36</v>
    <v>167.93</v>
    <v>169.1</v>
    <v>169.56</v>
    <v>168.3</v>
    <v>166.22</v>
    <v>168.11</v>
    <v>167.26</v>
    <v>164.74</v>
    <v>167.33</v>
    <v>171.04</v>
    <v>170.74</v>
    <v>170.59</v>
    <v>171.53</v>
    <v>173.33</v>
    <v>173.82</v>
    <v>172.78</v>
    <v>174.42</v>
    <v>174.72</v>
    <v>176.64</v>
    <v>176.25</v>
    <v>177.8</v>
    <v>178.84</v>
    <v>178.93</v>
    <v>179.29</v>
    <v>178.41</v>
    <v>176.49</v>
    <v>176.79</v>
    <v>175.45</v>
    <v>177.17</v>
    <v>178.06</v>
    <v>178</v>
    <v>178.76</v>
    <v>178.43</v>
    <v>178.13</v>
    <v>176.96</v>
    <v>175.79</v>
    <v>178.5</v>
    <v>178.06</v>
    <v>177.4</v>
    <v>176.46</v>
    <v>177.2</v>
    <v>174.16</v>
    <v>176.19</v>
    <v>174.21</v>
    <v>176.58</v>
    <v>176.69</v>
    <v>177.73</v>
    <v>179.71</v>
    <v>181.62</v>
    <v>185.42</v>
    <v>186.05</v>
    <v>185.98</v>
    <v>188.64</v>
    <v>188.16</v>
    <v>188.89</v>
    <v>189.69</v>
    <v>191.08</v>
    <v>190.72</v>
    <v>190.9</v>
    <v>190.85</v>
    <v>191.17</v>
    <v>192.12</v>
    <v>193.22</v>
    <v>193.72</v>
    <v>191.88</v>
    <v>192.94</v>
    <v>192.47</v>
    <v>190.4</v>
    <v>190.3</v>
    <v>186.93</v>
    <v>186.6</v>
    <v>189.05</v>
    <v>188.87</v>
    <v>186.26</v>
    <v>186.86</v>
    <v>186</v>
    <v>186.97</v>
    <v>186.57</v>
    <v>188.41</v>
    <v>193.83</v>
    <v>194.39</v>
    <v>195.25</v>
    <v>195.93</v>
    <v>199.58</v>
    <v>200</v>
    <v>202.51</v>
    <v>203.07</v>
    <v>203.9</v>
    <v>206.05</v>
    <v>206.67</v>
    <v>207.56</v>
    <v>206.92</v>
    <v>205.34</v>
    <v>205.42</v>
    <v>205.33</v>
    <v>202.48</v>
    <v>201.93</v>
    <v>201.62</v>
    <v>199.96</v>
    <v>206.54</v>
    <v>210.01</v>
    <v>211.58</v>
    <v>214.17</v>
    <v>209.3</v>
    <v>210.33</v>
    <v>208.31</v>
    <v>206.37</v>
    <v>207.32</v>
    <v>205.78</v>
    <v>207.78</v>
    <v>207.63</v>
    <v>207.56</v>
    <v>206.91</v>
    <v>206.95</v>
    <v>207.35</v>
    <v>204.31</v>
    <v>204.79</v>
    <v>207.49</v>
    <v>205.75</v>
    <v>204.39</v>
    <v>209.72</v>
    <v>213.65</v>
    <v>218.55</v>
    <v>219.57</v>
    <v>218.66</v>
  </a>
  <a r="1" c="513">
    <v>9622108</v>
    <v>8231987</v>
    <v>6766641</v>
    <v>5602564</v>
    <v>6569810</v>
    <v>6357014</v>
    <v>4945088</v>
    <v>4946015</v>
    <v>4496942</v>
    <v>6923174</v>
    <v>5072104</v>
    <v>5368502</v>
    <v>7071320</v>
    <v>6824156</v>
    <v>9149777</v>
    <v>7247926</v>
    <v>5478898</v>
    <v>5591930</v>
    <v>6483190</v>
    <v>7200538</v>
    <v>8257029</v>
    <v>8012122</v>
    <v>8295916</v>
    <v>9121808</v>
    <v>9230611</v>
    <v>8690294</v>
    <v>9754960</v>
    <v>6529202</v>
    <v>6701508</v>
    <v>8621022</v>
    <v>9098805</v>
    <v>7462529</v>
    <v>8540961</v>
    <v>9501742</v>
    <v>7473300</v>
    <v>8065010</v>
    <v>6725963</v>
    <v>5465417</v>
    <v>5078650</v>
    <v>6071076</v>
    <v>9849270</v>
    <v>5670135</v>
    <v>8533083</v>
    <v>8298182</v>
    <v>5773683</v>
    <v>5188726</v>
    <v>5283951</v>
    <v>4620826</v>
    <v>8018736</v>
    <v>6260000</v>
    <v>6988264</v>
    <v>13165500</v>
    <v>6602255</v>
    <v>7840624</v>
    <v>5982304</v>
    <v>5915777</v>
    <v>7248622</v>
    <v>7498100</v>
    <v>6864099</v>
    <v>8461600</v>
    <v>6181503</v>
    <v>4364699</v>
    <v>6102497</v>
    <v>8098242</v>
    <v>6947423</v>
    <v>6783020</v>
    <v>5935415</v>
    <v>6135556</v>
    <v>6809519</v>
    <v>8374434</v>
    <v>7100178</v>
    <v>8502266</v>
    <v>12774859</v>
    <v>9378059</v>
    <v>9887704</v>
    <v>9750751</v>
    <v>10118694</v>
    <v>10110442</v>
    <v>9756259</v>
    <v>7642732</v>
    <v>6182982</v>
    <v>6461588</v>
    <v>8817719</v>
    <v>14473711</v>
    <v>8459796</v>
    <v>6532718</v>
    <v>5042757</v>
    <v>7333730</v>
    <v>7735148</v>
    <v>6546153</v>
    <v>5710566</v>
    <v>5628467</v>
    <v>8254171</v>
    <v>5547955</v>
    <v>7590959</v>
    <v>6521794</v>
    <v>7742280</v>
    <v>5492354</v>
    <v>6609788</v>
    <v>8000422</v>
    <v>9520576</v>
    <v>10499829</v>
    <v>8263810</v>
    <v>8491111</v>
    <v>14621203</v>
    <v>7329241</v>
    <v>8876441</v>
    <v>5891299</v>
    <v>5016301</v>
    <v>5111626</v>
    <v>5751309</v>
    <v>5661236</v>
    <v>6180493</v>
    <v>6840374</v>
    <v>4075342</v>
    <v>6666583</v>
    <v>6156572</v>
    <v>8749717</v>
    <v>15176869</v>
    <v>6914671</v>
    <v>6620303</v>
    <v>5267809</v>
    <v>5739246</v>
    <v>10495735</v>
    <v>5144443</v>
    <v>5491962</v>
    <v>3246157</v>
    <v>4888535</v>
    <v>5260229</v>
    <v>5892187</v>
    <v>6093187</v>
    <v>6352109</v>
    <v>5336394</v>
    <v>6711354</v>
    <v>6469582</v>
    <v>13801429</v>
    <v>10166247</v>
    <v>7398036</v>
    <v>6840609</v>
    <v>6261870</v>
    <v>7168217</v>
    <v>10019578</v>
    <v>8356878</v>
    <v>5625204</v>
    <v>6545677</v>
    <v>8293239</v>
    <v>7213419</v>
    <v>11280357</v>
    <v>12032209</v>
    <v>7607144</v>
    <v>5993028</v>
    <v>5094830</v>
    <v>4579186</v>
    <v>7605419</v>
    <v>9711395</v>
    <v>5141249</v>
    <v>7237785</v>
    <v>5012774</v>
    <v>4408517</v>
    <v>7275133</v>
    <v>5019375</v>
    <v>6552142</v>
    <v>7093429</v>
    <v>6870622</v>
    <v>4388728</v>
    <v>5187198</v>
    <v>7390125</v>
    <v>7971017</v>
    <v>6956452</v>
    <v>6939132</v>
    <v>4600392</v>
    <v>6016884</v>
    <v>7538233</v>
    <v>6559734</v>
    <v>5920165</v>
    <v>4541046</v>
    <v>3693548</v>
    <v>5187887</v>
    <v>5066586</v>
    <v>4722765</v>
    <v>4956119</v>
    <v>11838967</v>
    <v>4671645</v>
    <v>6041561</v>
    <v>5420011</v>
    <v>6122231</v>
    <v>7553905</v>
    <v>6010407</v>
    <v>4408019</v>
    <v>4684472</v>
    <v>4791223</v>
    <v>5331694</v>
    <v>4265971</v>
    <v>4766250</v>
    <v>6047269</v>
    <v>4793889</v>
    <v>5253459</v>
    <v>5963961</v>
    <v>10547966</v>
    <v>5982291</v>
    <v>4798238</v>
    <v>5908012</v>
    <v>6082736</v>
    <v>5680612</v>
    <v>7442026</v>
    <v>5386525</v>
    <v>6400449</v>
    <v>4842653</v>
    <v>5216879</v>
    <v>5820530</v>
    <v>8613860</v>
    <v>5256652</v>
    <v>4644011</v>
    <v>6547074</v>
    <v>8926601</v>
    <v>7522812</v>
    <v>8926134</v>
    <v>7146759</v>
    <v>7181408</v>
    <v>7162233</v>
    <v>7716385</v>
    <v>11328515</v>
    <v>7514177</v>
    <v>8233678</v>
    <v>9061274</v>
    <v>10141056</v>
    <v>8265961</v>
    <v>12256242</v>
    <v>5683499</v>
    <v>4140444</v>
    <v>5687821</v>
    <v>6946494</v>
    <v>8674415</v>
    <v>10333110</v>
    <v>7898098</v>
    <v>8389611</v>
    <v>8410303</v>
    <v>9398671</v>
    <v>13446656</v>
    <v>6176269</v>
    <v>8324900</v>
    <v>8732378</v>
    <v>10342958</v>
    <v>9336094</v>
    <v>9516653</v>
    <v>17702755</v>
    <v>8720824</v>
    <v>3164071</v>
    <v>4656981</v>
    <v>5588306</v>
    <v>6268692</v>
    <v>5811401</v>
    <v>6051330</v>
    <v>5879816</v>
    <v>7910493</v>
    <v>8422010</v>
    <v>11175552</v>
    <v>8821541</v>
    <v>10376377</v>
    <v>8681741</v>
    <v>7434562</v>
    <v>8964016</v>
    <v>10773054</v>
    <v>11111747</v>
    <v>16834747</v>
    <v>10506361</v>
    <v>9887682</v>
    <v>15152314</v>
    <v>10320613</v>
    <v>7156421</v>
    <v>8910983</v>
    <v>8458715</v>
    <v>6687487</v>
    <v>9645289</v>
    <v>8946957</v>
    <v>7418468</v>
    <v>6204916</v>
    <v>6936561</v>
    <v>7554811</v>
    <v>7746014</v>
    <v>10705077</v>
    <v>6411840</v>
    <v>9670657</v>
    <v>7974736</v>
    <v>7224030</v>
    <v>12546930</v>
    <v>10201917</v>
    <v>12303697</v>
    <v>11396410</v>
    <v>8364573</v>
    <v>12037415</v>
    <v>9191464</v>
    <v>11999962</v>
    <v>8745050</v>
    <v>8037888</v>
    <v>9637593</v>
    <v>17558982</v>
    <v>9890648</v>
    <v>8010692</v>
    <v>5286734</v>
    <v>6235797</v>
    <v>6669815</v>
    <v>7348974</v>
    <v>5936637</v>
    <v>7485930</v>
    <v>17047106</v>
    <v>8046565</v>
    <v>7456197</v>
    <v>7223773</v>
    <v>6752466</v>
    <v>5760545</v>
    <v>12481400</v>
    <v>23303065</v>
    <v>10356920</v>
    <v>13249313</v>
    <v>16601728</v>
    <v>18083040</v>
    <v>12018391</v>
    <v>18773742</v>
    <v>13830474</v>
    <v>9943851</v>
    <v>10685338</v>
    <v>10847653</v>
    <v>7987296</v>
    <v>10981067</v>
    <v>6285438</v>
    <v>7136321</v>
    <v>9099438</v>
    <v>8310425</v>
    <v>8643927</v>
    <v>5815179</v>
    <v>5246725</v>
    <v>9598156</v>
    <v>7325849</v>
    <v>5974539</v>
    <v>5464496</v>
    <v>8644189</v>
    <v>7854106</v>
    <v>7606095</v>
    <v>6520449</v>
    <v>9023782</v>
    <v>10549609</v>
    <v>10215952</v>
    <v>7945768</v>
    <v>8051150</v>
    <v>12639948</v>
    <v>7351451</v>
    <v>7032225</v>
    <v>7535335</v>
    <v>6727539</v>
    <v>6990694</v>
    <v>8459310</v>
    <v>6810982</v>
    <v>15529716</v>
    <v>6669669</v>
    <v>8209757</v>
    <v>6983861</v>
    <v>5296258</v>
    <v>5391841</v>
    <v>5319232</v>
    <v>6791881</v>
    <v>6016039</v>
    <v>7075511</v>
    <v>6587849</v>
    <v>7023995</v>
    <v>6407098</v>
    <v>8325237</v>
    <v>22605471</v>
    <v>7397853</v>
    <v>9544217</v>
    <v>7153708</v>
    <v>7156903</v>
    <v>10010787</v>
    <v>9039552</v>
    <v>10896676</v>
    <v>5544030</v>
    <v>3482521</v>
    <v>6270887</v>
    <v>6438221</v>
    <v>6147685</v>
    <v>6733128</v>
    <v>7872172</v>
    <v>10185632</v>
    <v>6873200</v>
    <v>22134769</v>
    <v>11295747</v>
    <v>9793046</v>
    <v>8254003</v>
    <v>9287991</v>
    <v>10617636</v>
    <v>6636918</v>
    <v>6255183</v>
    <v>8014640</v>
    <v>7663408</v>
    <v>6189161</v>
    <v>11036179</v>
    <v>8928229</v>
    <v>12679095</v>
    <v>7934442</v>
    <v>8957240</v>
    <v>9315942</v>
    <v>7686765</v>
    <v>7256778</v>
    <v>7917437</v>
    <v>5878666</v>
    <v>8241942</v>
    <v>9477559</v>
    <v>9284138</v>
    <v>9274182</v>
    <v>9030396</v>
    <v>8859552</v>
    <v>9524308</v>
    <v>6229149</v>
    <v>9145045</v>
    <v>5951099</v>
    <v>6424695</v>
    <v>6942311</v>
    <v>9049003</v>
    <v>7111689</v>
    <v>7854833</v>
    <v>9733803</v>
    <v>8382514</v>
    <v>6005703</v>
    <v>6891590</v>
    <v>5792527</v>
    <v>7220473</v>
    <v>4768547</v>
    <v>7959652</v>
    <v>6715188</v>
    <v>8200854</v>
    <v>25620954</v>
    <v>7193868</v>
    <v>8350743</v>
    <v>6676770</v>
    <v>8474975</v>
    <v>8634403</v>
    <v>8597083</v>
    <v>11569019</v>
    <v>13063788</v>
    <v>7728069</v>
    <v>8675087</v>
    <v>5806089</v>
    <v>8776784</v>
    <v>5751163</v>
    <v>7484764</v>
    <v>9598019</v>
    <v>7979476</v>
    <v>13613340</v>
    <v>9472995</v>
    <v>10611760</v>
    <v>7764449</v>
    <v>8034740</v>
    <v>6716360</v>
    <v>6343472</v>
    <v>8882491</v>
    <v>6903379</v>
    <v>7125956</v>
    <v>8329457</v>
    <v>10551079</v>
    <v>7072517</v>
    <v>8791666</v>
    <v>7542636</v>
    <v>7209395</v>
    <v>5049443</v>
    <v>6767417</v>
    <v>6959209</v>
    <v>5324077</v>
    <v>7465592</v>
    <v>8803005</v>
    <v>8631614</v>
    <v>8824847</v>
    <v>13256995</v>
    <v>12468619</v>
    <v>14690837</v>
    <v>10612550</v>
    <v>13189055</v>
    <v>14803873</v>
    <v>10275724</v>
    <v>6728994</v>
    <v>5638279</v>
    <v>8473726</v>
    <v>8393565</v>
    <v>8363292</v>
    <v>9049943</v>
    <v>7785552</v>
    <v>7785708</v>
    <v>7509402</v>
    <v>11599785</v>
    <v>9008960</v>
    <v>6922683</v>
    <v>8466964</v>
    <v>9949810</v>
    <v>8457560</v>
    <v>7499852</v>
    <v>24803920</v>
    <v>8187755</v>
    <v>7047346</v>
    <v>2376541</v>
    <v>2316730</v>
    <v>4348854</v>
    <v>3937395</v>
    <v>4084013</v>
    <v>6325672</v>
    <v>9476975</v>
    <v>8107853</v>
    <v>7545920</v>
    <v>6557776</v>
    <v>6154326</v>
    <v>11794339</v>
    <v>11379590</v>
    <v>11858784</v>
    <v>8492116</v>
    <v>10021515</v>
  </a>
</arrayData>
</file>

<file path=xl/richData/rdrichvalue.xml><?xml version="1.0" encoding="utf-8"?>
<rvData xmlns="http://schemas.microsoft.com/office/spreadsheetml/2017/richdata" count="1507">
  <rv s="0">
    <fb>45293</fb>
    <v>0</v>
  </rv>
  <rv s="0">
    <fb>159.97</fb>
    <v>1</v>
  </rv>
  <rv s="0">
    <fb>9622108</fb>
    <v>2</v>
  </rv>
  <rv s="0">
    <fb>45294</fb>
    <v>0</v>
  </rv>
  <rv s="0">
    <fb>160.97</fb>
    <v>1</v>
  </rv>
  <rv s="0">
    <fb>8231987</fb>
    <v>2</v>
  </rv>
  <rv s="0">
    <fb>45295</fb>
    <v>0</v>
  </rv>
  <rv s="0">
    <fb>160.63</fb>
    <v>1</v>
  </rv>
  <rv s="0">
    <fb>6766641</fb>
    <v>2</v>
  </rv>
  <rv s="0">
    <fb>45296</fb>
    <v>0</v>
  </rv>
  <rv s="0">
    <fb>161.13</fb>
    <v>1</v>
  </rv>
  <rv s="0">
    <fb>5602564</fb>
    <v>2</v>
  </rv>
  <rv s="0">
    <fb>45299</fb>
    <v>0</v>
  </rv>
  <rv s="0">
    <fb>161.53</fb>
    <v>1</v>
  </rv>
  <rv s="0">
    <fb>6569810</fb>
    <v>2</v>
  </rv>
  <rv s="0">
    <fb>45300</fb>
    <v>0</v>
  </rv>
  <rv s="0">
    <fb>161.63</fb>
    <v>1</v>
  </rv>
  <rv s="0">
    <fb>6357014</fb>
    <v>2</v>
  </rv>
  <rv s="0">
    <fb>45301</fb>
    <v>0</v>
  </rv>
  <rv s="0">
    <fb>161.87</fb>
    <v>1</v>
  </rv>
  <rv s="0">
    <fb>4945088</fb>
    <v>2</v>
  </rv>
  <rv s="0">
    <fb>45302</fb>
    <v>0</v>
  </rv>
  <rv s="0">
    <fb>161.15</fb>
    <v>1</v>
  </rv>
  <rv s="0">
    <fb>4946015</fb>
    <v>2</v>
  </rv>
  <rv s="0">
    <fb>45303</fb>
    <v>0</v>
  </rv>
  <rv s="0">
    <fb>162.38999999999999</fb>
    <v>1</v>
  </rv>
  <rv s="0">
    <fb>4496942</fb>
    <v>2</v>
  </rv>
  <rv s="0">
    <fb>45307</fb>
    <v>0</v>
  </rv>
  <rv s="0">
    <fb>160.52000000000001</fb>
    <v>1</v>
  </rv>
  <rv s="0">
    <fb>6923174</fb>
    <v>2</v>
  </rv>
  <rv s="0">
    <fb>45308</fb>
    <v>0</v>
  </rv>
  <rv s="0">
    <fb>160.43</fb>
    <v>1</v>
  </rv>
  <rv s="0">
    <fb>5072104</fb>
    <v>2</v>
  </rv>
  <rv s="0">
    <fb>45309</fb>
    <v>0</v>
  </rv>
  <rv s="0">
    <fb>161.21</fb>
    <v>1</v>
  </rv>
  <rv s="0">
    <fb>5368502</fb>
    <v>2</v>
  </rv>
  <rv s="0">
    <fb>45310</fb>
    <v>0</v>
  </rv>
  <rv s="0">
    <fb>161.68</fb>
    <v>1</v>
  </rv>
  <rv s="0">
    <fb>7071320</fb>
    <v>2</v>
  </rv>
  <rv s="0">
    <fb>45313</fb>
    <v>0</v>
  </rv>
  <rv s="0">
    <fb>162.47</fb>
    <v>1</v>
  </rv>
  <rv s="0">
    <fb>6824156</fb>
    <v>2</v>
  </rv>
  <rv s="0">
    <fb>45314</fb>
    <v>0</v>
  </rv>
  <rv s="0">
    <fb>159.81</fb>
    <v>1</v>
  </rv>
  <rv s="0">
    <fb>9149777</fb>
    <v>2</v>
  </rv>
  <rv s="0">
    <fb>45315</fb>
    <v>0</v>
  </rv>
  <rv s="0">
    <fb>158.96</fb>
    <v>1</v>
  </rv>
  <rv s="0">
    <fb>7247926</fb>
    <v>2</v>
  </rv>
  <rv s="0">
    <fb>45316</fb>
    <v>0</v>
  </rv>
  <rv s="0">
    <fb>159.56</fb>
    <v>1</v>
  </rv>
  <rv s="0">
    <fb>5478898</fb>
    <v>2</v>
  </rv>
  <rv s="0">
    <fb>45317</fb>
    <v>0</v>
  </rv>
  <rv s="0">
    <fb>159.5</fb>
    <v>1</v>
  </rv>
  <rv s="0">
    <fb>5591930</fb>
    <v>2</v>
  </rv>
  <rv s="0">
    <fb>45320</fb>
    <v>0</v>
  </rv>
  <rv s="0">
    <fb>159.36000000000001</fb>
    <v>1</v>
  </rv>
  <rv s="0">
    <fb>6483190</fb>
    <v>2</v>
  </rv>
  <rv s="0">
    <fb>45321</fb>
    <v>0</v>
  </rv>
  <rv s="0">
    <fb>158.77000000000001</fb>
    <v>1</v>
  </rv>
  <rv s="0">
    <fb>7200538</fb>
    <v>2</v>
  </rv>
  <rv s="0">
    <fb>45322</fb>
    <v>0</v>
  </rv>
  <rv s="0">
    <fb>158.9</fb>
    <v>1</v>
  </rv>
  <rv s="0">
    <fb>8257029</fb>
    <v>2</v>
  </rv>
  <rv s="0">
    <fb>45323</fb>
    <v>0</v>
  </rv>
  <rv s="0">
    <fb>158.36000000000001</fb>
    <v>1</v>
  </rv>
  <rv s="0">
    <fb>8012122</fb>
    <v>2</v>
  </rv>
  <rv s="0">
    <fb>45324</fb>
    <v>0</v>
  </rv>
  <rv s="0">
    <fb>156.61000000000001</fb>
    <v>1</v>
  </rv>
  <rv s="0">
    <fb>8295916</fb>
    <v>2</v>
  </rv>
  <rv s="0">
    <fb>45327</fb>
    <v>0</v>
  </rv>
  <rv s="0">
    <fb>155.80000000000001</fb>
    <v>1</v>
  </rv>
  <rv s="0">
    <fb>9121808</fb>
    <v>2</v>
  </rv>
  <rv s="0">
    <fb>45328</fb>
    <v>0</v>
  </rv>
  <rv s="0">
    <fb>158.06</fb>
    <v>1</v>
  </rv>
  <rv s="0">
    <fb>9230611</fb>
    <v>2</v>
  </rv>
  <rv s="0">
    <fb>45329</fb>
    <v>0</v>
  </rv>
  <rv s="0">
    <fb>157.97999999999999</fb>
    <v>1</v>
  </rv>
  <rv s="0">
    <fb>8690294</fb>
    <v>2</v>
  </rv>
  <rv s="0">
    <fb>45330</fb>
    <v>0</v>
  </rv>
  <rv s="0">
    <fb>156.4</fb>
    <v>1</v>
  </rv>
  <rv s="0">
    <fb>9754960</fb>
    <v>2</v>
  </rv>
  <rv s="0">
    <fb>45331</fb>
    <v>0</v>
  </rv>
  <rv s="0">
    <fb>156.76</fb>
    <v>1</v>
  </rv>
  <rv s="0">
    <fb>6529202</fb>
    <v>2</v>
  </rv>
  <rv s="0">
    <fb>45334</fb>
    <v>0</v>
  </rv>
  <rv s="0">
    <fb>157.85</fb>
    <v>1</v>
  </rv>
  <rv s="0">
    <fb>6701508</fb>
    <v>2</v>
  </rv>
  <rv s="0">
    <fb>45335</fb>
    <v>0</v>
  </rv>
  <rv s="0">
    <fb>156.47</fb>
    <v>1</v>
  </rv>
  <rv s="0">
    <fb>8621022</fb>
    <v>2</v>
  </rv>
  <rv s="0">
    <fb>45336</fb>
    <v>0</v>
  </rv>
  <rv s="0">
    <fb>155.74</fb>
    <v>1</v>
  </rv>
  <rv s="0">
    <fb>9098805</fb>
    <v>2</v>
  </rv>
  <rv s="0">
    <fb>45337</fb>
    <v>0</v>
  </rv>
  <rv s="0">
    <fb>157.91999999999999</fb>
    <v>1</v>
  </rv>
  <rv s="0">
    <fb>7462529</fb>
    <v>2</v>
  </rv>
  <rv s="0">
    <fb>45338</fb>
    <v>0</v>
  </rv>
  <rv s="0">
    <fb>156.55000000000001</fb>
    <v>1</v>
  </rv>
  <rv s="0">
    <fb>8540961</fb>
    <v>2</v>
  </rv>
  <rv s="0">
    <fb>45342</fb>
    <v>0</v>
  </rv>
  <rv s="0">
    <fb>157.86000000000001</fb>
    <v>1</v>
  </rv>
  <rv s="0">
    <fb>9501742</fb>
    <v>2</v>
  </rv>
  <rv s="0">
    <fb>45343</fb>
    <v>0</v>
  </rv>
  <rv s="0">
    <fb>158.68</fb>
    <v>1</v>
  </rv>
  <rv s="0">
    <fb>7473300</fb>
    <v>2</v>
  </rv>
  <rv s="0">
    <fb>45344</fb>
    <v>0</v>
  </rv>
  <rv s="0">
    <fb>160.44999999999999</fb>
    <v>1</v>
  </rv>
  <rv s="0">
    <fb>8065010</fb>
    <v>2</v>
  </rv>
  <rv s="0">
    <fb>45345</fb>
    <v>0</v>
  </rv>
  <rv s="0">
    <fb>161.84</fb>
    <v>1</v>
  </rv>
  <rv s="0">
    <fb>6725963</fb>
    <v>2</v>
  </rv>
  <rv s="0">
    <fb>45348</fb>
    <v>0</v>
  </rv>
  <rv s="0">
    <fb>160.79</fb>
    <v>1</v>
  </rv>
  <rv s="0">
    <fb>5465417</fb>
    <v>2</v>
  </rv>
  <rv s="0">
    <fb>45349</fb>
    <v>0</v>
  </rv>
  <rv s="0">
    <fb>160.97999999999999</fb>
    <v>1</v>
  </rv>
  <rv s="0">
    <fb>5078650</fb>
    <v>2</v>
  </rv>
  <rv s="0">
    <fb>45350</fb>
    <v>0</v>
  </rv>
  <rv s="0">
    <fb>161.55000000000001</fb>
    <v>1</v>
  </rv>
  <rv s="0">
    <fb>6071076</fb>
    <v>2</v>
  </rv>
  <rv s="0">
    <fb>45351</fb>
    <v>0</v>
  </rv>
  <rv s="0">
    <fb>161.38</fb>
    <v>1</v>
  </rv>
  <rv s="0">
    <fb>9849270</fb>
    <v>2</v>
  </rv>
  <rv s="0">
    <fb>45352</fb>
    <v>0</v>
  </rv>
  <rv s="0">
    <fb>162.12</fb>
    <v>1</v>
  </rv>
  <rv s="0">
    <fb>5670135</fb>
    <v>2</v>
  </rv>
  <rv s="0">
    <fb>45355</fb>
    <v>0</v>
  </rv>
  <rv s="0">
    <fb>159.84</fb>
    <v>1</v>
  </rv>
  <rv s="0">
    <fb>8533083</fb>
    <v>2</v>
  </rv>
  <rv s="0">
    <fb>45356</fb>
    <v>0</v>
  </rv>
  <rv s="0">
    <fb>8298182</fb>
    <v>2</v>
  </rv>
  <rv s="0">
    <fb>45357</fb>
    <v>0</v>
  </rv>
  <rv s="0">
    <fb>159.34</fb>
    <v>1</v>
  </rv>
  <rv s="0">
    <fb>5773683</fb>
    <v>2</v>
  </rv>
  <rv s="0">
    <fb>45358</fb>
    <v>0</v>
  </rv>
  <rv s="0">
    <fb>158.87</fb>
    <v>1</v>
  </rv>
  <rv s="0">
    <fb>5188726</fb>
    <v>2</v>
  </rv>
  <rv s="0">
    <fb>45359</fb>
    <v>0</v>
  </rv>
  <rv s="0">
    <fb>159.52000000000001</fb>
    <v>1</v>
  </rv>
  <rv s="0">
    <fb>5283951</fb>
    <v>2</v>
  </rv>
  <rv s="0">
    <fb>45362</fb>
    <v>0</v>
  </rv>
  <rv s="0">
    <fb>161.22999999999999</fb>
    <v>1</v>
  </rv>
  <rv s="0">
    <fb>4620826</fb>
    <v>2</v>
  </rv>
  <rv s="0">
    <fb>45363</fb>
    <v>0</v>
  </rv>
  <rv s="0">
    <fb>162.74</fb>
    <v>1</v>
  </rv>
  <rv s="0">
    <fb>8018736</fb>
    <v>2</v>
  </rv>
  <rv s="0">
    <fb>45364</fb>
    <v>0</v>
  </rv>
  <rv s="0">
    <fb>161.1</fb>
    <v>1</v>
  </rv>
  <rv s="0">
    <fb>6260000</fb>
    <v>2</v>
  </rv>
  <rv s="0">
    <fb>45365</fb>
    <v>0</v>
  </rv>
  <rv s="0">
    <fb>159.21</fb>
    <v>1</v>
  </rv>
  <rv s="0">
    <fb>6988264</fb>
    <v>2</v>
  </rv>
  <rv s="0">
    <fb>45366</fb>
    <v>0</v>
  </rv>
  <rv s="0">
    <fb>158.18</fb>
    <v>1</v>
  </rv>
  <rv s="0">
    <fb>13165500</fb>
    <v>2</v>
  </rv>
  <rv s="0">
    <fb>45369</fb>
    <v>0</v>
  </rv>
  <rv s="0">
    <fb>6602255</fb>
    <v>2</v>
  </rv>
  <rv s="0">
    <fb>45370</fb>
    <v>0</v>
  </rv>
  <rv s="0">
    <fb>156.21</fb>
    <v>1</v>
  </rv>
  <rv s="0">
    <fb>7840624</fb>
    <v>2</v>
  </rv>
  <rv s="0">
    <fb>45371</fb>
    <v>0</v>
  </rv>
  <rv s="0">
    <fb>155.76</fb>
    <v>1</v>
  </rv>
  <rv s="0">
    <fb>5982304</fb>
    <v>2</v>
  </rv>
  <rv s="0">
    <fb>45372</fb>
    <v>0</v>
  </rv>
  <rv s="0">
    <fb>155.75</fb>
    <v>1</v>
  </rv>
  <rv s="0">
    <fb>5915777</fb>
    <v>2</v>
  </rv>
  <rv s="0">
    <fb>45373</fb>
    <v>0</v>
  </rv>
  <rv s="0">
    <fb>155.22999999999999</fb>
    <v>1</v>
  </rv>
  <rv s="0">
    <fb>7248622</fb>
    <v>2</v>
  </rv>
  <rv s="0">
    <fb>45376</fb>
    <v>0</v>
  </rv>
  <rv s="0">
    <fb>155.22</fb>
    <v>1</v>
  </rv>
  <rv s="0">
    <fb>7498100</fb>
    <v>2</v>
  </rv>
  <rv s="0">
    <fb>45377</fb>
    <v>0</v>
  </rv>
  <rv s="0">
    <fb>155.77000000000001</fb>
    <v>1</v>
  </rv>
  <rv s="0">
    <fb>6864099</fb>
    <v>2</v>
  </rv>
  <rv s="0">
    <fb>45378</fb>
    <v>0</v>
  </rv>
  <rv s="0">
    <fb>157.96</fb>
    <v>1</v>
  </rv>
  <rv s="0">
    <fb>8461600</fb>
    <v>2</v>
  </rv>
  <rv s="0">
    <fb>45379</fb>
    <v>0</v>
  </rv>
  <rv s="0">
    <fb>158.19</fb>
    <v>1</v>
  </rv>
  <rv s="0">
    <fb>6181503</fb>
    <v>2</v>
  </rv>
  <rv s="0">
    <fb>45383</fb>
    <v>0</v>
  </rv>
  <rv s="0">
    <fb>157.78</fb>
    <v>1</v>
  </rv>
  <rv s="0">
    <fb>4364699</fb>
    <v>2</v>
  </rv>
  <rv s="0">
    <fb>45384</fb>
    <v>0</v>
  </rv>
  <rv s="0">
    <fb>157.72999999999999</fb>
    <v>1</v>
  </rv>
  <rv s="0">
    <fb>6102497</fb>
    <v>2</v>
  </rv>
  <rv s="0">
    <fb>45385</fb>
    <v>0</v>
  </rv>
  <rv s="0">
    <fb>154.26</fb>
    <v>1</v>
  </rv>
  <rv s="0">
    <fb>8098242</fb>
    <v>2</v>
  </rv>
  <rv s="0">
    <fb>45386</fb>
    <v>0</v>
  </rv>
  <rv s="0">
    <fb>152.5</fb>
    <v>1</v>
  </rv>
  <rv s="0">
    <fb>6947423</fb>
    <v>2</v>
  </rv>
  <rv s="0">
    <fb>45387</fb>
    <v>0</v>
  </rv>
  <rv s="0">
    <fb>152.38999999999999</fb>
    <v>1</v>
  </rv>
  <rv s="0">
    <fb>6783020</fb>
    <v>2</v>
  </rv>
  <rv s="0">
    <fb>45390</fb>
    <v>0</v>
  </rv>
  <rv s="0">
    <fb>151.59</fb>
    <v>1</v>
  </rv>
  <rv s="0">
    <fb>5935415</fb>
    <v>2</v>
  </rv>
  <rv s="0">
    <fb>45391</fb>
    <v>0</v>
  </rv>
  <rv s="0">
    <fb>152.29</fb>
    <v>1</v>
  </rv>
  <rv s="0">
    <fb>6135556</fb>
    <v>2</v>
  </rv>
  <rv s="0">
    <fb>45392</fb>
    <v>0</v>
  </rv>
  <rv s="0">
    <fb>150.19999999999999</fb>
    <v>1</v>
  </rv>
  <rv s="0">
    <fb>6809519</fb>
    <v>2</v>
  </rv>
  <rv s="0">
    <fb>45393</fb>
    <v>0</v>
  </rv>
  <rv s="0">
    <fb>148.79</fb>
    <v>1</v>
  </rv>
  <rv s="0">
    <fb>8374434</fb>
    <v>2</v>
  </rv>
  <rv s="0">
    <fb>45394</fb>
    <v>0</v>
  </rv>
  <rv s="0">
    <fb>147.52000000000001</fb>
    <v>1</v>
  </rv>
  <rv s="0">
    <fb>7100178</fb>
    <v>2</v>
  </rv>
  <rv s="0">
    <fb>45397</fb>
    <v>0</v>
  </rv>
  <rv s="0">
    <fb>147.59</fb>
    <v>1</v>
  </rv>
  <rv s="0">
    <fb>8502266</fb>
    <v>2</v>
  </rv>
  <rv s="0">
    <fb>45398</fb>
    <v>0</v>
  </rv>
  <rv s="0">
    <fb>144.44999999999999</fb>
    <v>1</v>
  </rv>
  <rv s="0">
    <fb>12774859</fb>
    <v>2</v>
  </rv>
  <rv s="0">
    <fb>45399</fb>
    <v>0</v>
  </rv>
  <rv s="0">
    <fb>144.77000000000001</fb>
    <v>1</v>
  </rv>
  <rv s="0">
    <fb>9378059</fb>
    <v>2</v>
  </rv>
  <rv s="0">
    <fb>45400</fb>
    <v>0</v>
  </rv>
  <rv s="0">
    <fb>145.74</fb>
    <v>1</v>
  </rv>
  <rv s="0">
    <fb>9887704</fb>
    <v>2</v>
  </rv>
  <rv s="0">
    <fb>45401</fb>
    <v>0</v>
  </rv>
  <rv s="0">
    <fb>147.91</fb>
    <v>1</v>
  </rv>
  <rv s="0">
    <fb>9750751</fb>
    <v>2</v>
  </rv>
  <rv s="0">
    <fb>45404</fb>
    <v>0</v>
  </rv>
  <rv s="0">
    <fb>149.12</fb>
    <v>1</v>
  </rv>
  <rv s="0">
    <fb>10118694</fb>
    <v>2</v>
  </rv>
  <rv s="0">
    <fb>45405</fb>
    <v>0</v>
  </rv>
  <rv s="0">
    <fb>149.56</fb>
    <v>1</v>
  </rv>
  <rv s="0">
    <fb>10110442</fb>
    <v>2</v>
  </rv>
  <rv s="0">
    <fb>45406</fb>
    <v>0</v>
  </rv>
  <rv s="0">
    <fb>148.53</fb>
    <v>1</v>
  </rv>
  <rv s="0">
    <fb>9756259</fb>
    <v>2</v>
  </rv>
  <rv s="0">
    <fb>45407</fb>
    <v>0</v>
  </rv>
  <rv s="0">
    <fb>146.82</fb>
    <v>1</v>
  </rv>
  <rv s="0">
    <fb>7642732</fb>
    <v>2</v>
  </rv>
  <rv s="0">
    <fb>45408</fb>
    <v>0</v>
  </rv>
  <rv s="0">
    <fb>146.13999999999999</fb>
    <v>1</v>
  </rv>
  <rv s="0">
    <fb>6182982</fb>
    <v>2</v>
  </rv>
  <rv s="0">
    <fb>45411</fb>
    <v>0</v>
  </rv>
  <rv s="0">
    <fb>6461588</fb>
    <v>2</v>
  </rv>
  <rv s="0">
    <fb>45412</fb>
    <v>0</v>
  </rv>
  <rv s="0">
    <fb>144.59</fb>
    <v>1</v>
  </rv>
  <rv s="0">
    <fb>8817719</fb>
    <v>2</v>
  </rv>
  <rv s="0">
    <fb>45413</fb>
    <v>0</v>
  </rv>
  <rv s="0">
    <fb>151.18</fb>
    <v>1</v>
  </rv>
  <rv s="0">
    <fb>14473711</fb>
    <v>2</v>
  </rv>
  <rv s="0">
    <fb>45414</fb>
    <v>0</v>
  </rv>
  <rv s="0">
    <fb>149.91999999999999</fb>
    <v>1</v>
  </rv>
  <rv s="0">
    <fb>8459796</fb>
    <v>2</v>
  </rv>
  <rv s="0">
    <fb>45415</fb>
    <v>0</v>
  </rv>
  <rv s="0">
    <fb>149.27000000000001</fb>
    <v>1</v>
  </rv>
  <rv s="0">
    <fb>6532718</fb>
    <v>2</v>
  </rv>
  <rv s="0">
    <fb>45418</fb>
    <v>0</v>
  </rv>
  <rv s="0">
    <fb>148.58000000000001</fb>
    <v>1</v>
  </rv>
  <rv s="0">
    <fb>5042757</fb>
    <v>2</v>
  </rv>
  <rv s="0">
    <fb>45419</fb>
    <v>0</v>
  </rv>
  <rv s="0">
    <fb>148.72</fb>
    <v>1</v>
  </rv>
  <rv s="0">
    <fb>7333730</fb>
    <v>2</v>
  </rv>
  <rv s="0">
    <fb>45420</fb>
    <v>0</v>
  </rv>
  <rv s="0">
    <fb>148.94999999999999</fb>
    <v>1</v>
  </rv>
  <rv s="0">
    <fb>7735148</fb>
    <v>2</v>
  </rv>
  <rv s="0">
    <fb>45421</fb>
    <v>0</v>
  </rv>
  <rv s="0">
    <fb>149.85</fb>
    <v>1</v>
  </rv>
  <rv s="0">
    <fb>6546153</fb>
    <v>2</v>
  </rv>
  <rv s="0">
    <fb>45422</fb>
    <v>0</v>
  </rv>
  <rv s="0">
    <fb>149.91</fb>
    <v>1</v>
  </rv>
  <rv s="0">
    <fb>5710566</fb>
    <v>2</v>
  </rv>
  <rv s="0">
    <fb>45425</fb>
    <v>0</v>
  </rv>
  <rv s="0">
    <fb>151.22</fb>
    <v>1</v>
  </rv>
  <rv s="0">
    <fb>5628467</fb>
    <v>2</v>
  </rv>
  <rv s="0">
    <fb>45426</fb>
    <v>0</v>
  </rv>
  <rv s="0">
    <fb>151.38</fb>
    <v>1</v>
  </rv>
  <rv s="0">
    <fb>8254171</fb>
    <v>2</v>
  </rv>
  <rv s="0">
    <fb>45427</fb>
    <v>0</v>
  </rv>
  <rv s="0">
    <fb>152.66999999999999</fb>
    <v>1</v>
  </rv>
  <rv s="0">
    <fb>5547955</fb>
    <v>2</v>
  </rv>
  <rv s="0">
    <fb>45428</fb>
    <v>0</v>
  </rv>
  <rv s="0">
    <fb>154.28</fb>
    <v>1</v>
  </rv>
  <rv s="0">
    <fb>7590959</fb>
    <v>2</v>
  </rv>
  <rv s="0">
    <fb>45429</fb>
    <v>0</v>
  </rv>
  <rv s="0">
    <fb>154.63999999999999</fb>
    <v>1</v>
  </rv>
  <rv s="0">
    <fb>6521794</fb>
    <v>2</v>
  </rv>
  <rv s="0">
    <fb>45432</fb>
    <v>0</v>
  </rv>
  <rv s="0">
    <fb>151.27000000000001</fb>
    <v>1</v>
  </rv>
  <rv s="0">
    <fb>7742280</fb>
    <v>2</v>
  </rv>
  <rv s="0">
    <fb>45433</fb>
    <v>0</v>
  </rv>
  <rv s="0">
    <fb>151.24</fb>
    <v>1</v>
  </rv>
  <rv s="0">
    <fb>5492354</fb>
    <v>2</v>
  </rv>
  <rv s="0">
    <fb>45434</fb>
    <v>0</v>
  </rv>
  <rv s="0">
    <fb>153.5</fb>
    <v>1</v>
  </rv>
  <rv s="0">
    <fb>6609788</fb>
    <v>2</v>
  </rv>
  <rv s="0">
    <fb>45435</fb>
    <v>0</v>
  </rv>
  <rv s="0">
    <fb>149.69999999999999</fb>
    <v>1</v>
  </rv>
  <rv s="0">
    <fb>8000422</fb>
    <v>2</v>
  </rv>
  <rv s="0">
    <fb>45436</fb>
    <v>0</v>
  </rv>
  <rv s="0">
    <fb>146.97</fb>
    <v>1</v>
  </rv>
  <rv s="0">
    <fb>9520576</fb>
    <v>2</v>
  </rv>
  <rv s="0">
    <fb>45440</fb>
    <v>0</v>
  </rv>
  <rv s="0">
    <fb>144.38</fb>
    <v>1</v>
  </rv>
  <rv s="0">
    <fb>10499829</fb>
    <v>2</v>
  </rv>
  <rv s="0">
    <fb>45441</fb>
    <v>0</v>
  </rv>
  <rv s="0">
    <fb>144.44</fb>
    <v>1</v>
  </rv>
  <rv s="0">
    <fb>8263810</fb>
    <v>2</v>
  </rv>
  <rv s="0">
    <fb>45442</fb>
    <v>0</v>
  </rv>
  <rv s="0">
    <fb>145.28</fb>
    <v>1</v>
  </rv>
  <rv s="0">
    <fb>8491111</fb>
    <v>2</v>
  </rv>
  <rv s="0">
    <fb>45443</fb>
    <v>0</v>
  </rv>
  <rv s="0">
    <fb>146.66999999999999</fb>
    <v>1</v>
  </rv>
  <rv s="0">
    <fb>14621203</fb>
    <v>2</v>
  </rv>
  <rv s="0">
    <fb>45446</fb>
    <v>0</v>
  </rv>
  <rv s="0">
    <fb>147.74</fb>
    <v>1</v>
  </rv>
  <rv s="0">
    <fb>7329241</fb>
    <v>2</v>
  </rv>
  <rv s="0">
    <fb>45447</fb>
    <v>0</v>
  </rv>
  <rv s="0">
    <fb>147.80000000000001</fb>
    <v>1</v>
  </rv>
  <rv s="0">
    <fb>8876441</fb>
    <v>2</v>
  </rv>
  <rv s="0">
    <fb>45448</fb>
    <v>0</v>
  </rv>
  <rv s="0">
    <fb>145.97</fb>
    <v>1</v>
  </rv>
  <rv s="0">
    <fb>5891299</fb>
    <v>2</v>
  </rv>
  <rv s="0">
    <fb>45449</fb>
    <v>0</v>
  </rv>
  <rv s="0">
    <fb>146.41999999999999</fb>
    <v>1</v>
  </rv>
  <rv s="0">
    <fb>5016301</fb>
    <v>2</v>
  </rv>
  <rv s="0">
    <fb>45450</fb>
    <v>0</v>
  </rv>
  <rv s="0">
    <fb>147.08000000000001</fb>
    <v>1</v>
  </rv>
  <rv s="0">
    <fb>5111626</fb>
    <v>2</v>
  </rv>
  <rv s="0">
    <fb>45453</fb>
    <v>0</v>
  </rv>
  <rv s="0">
    <fb>147.13</fb>
    <v>1</v>
  </rv>
  <rv s="0">
    <fb>5751309</fb>
    <v>2</v>
  </rv>
  <rv s="0">
    <fb>45454</fb>
    <v>0</v>
  </rv>
  <rv s="0">
    <fb>146.76</fb>
    <v>1</v>
  </rv>
  <rv s="0">
    <fb>5661236</fb>
    <v>2</v>
  </rv>
  <rv s="0">
    <fb>45455</fb>
    <v>0</v>
  </rv>
  <rv s="0">
    <fb>145.41</fb>
    <v>1</v>
  </rv>
  <rv s="0">
    <fb>6180493</fb>
    <v>2</v>
  </rv>
  <rv s="0">
    <fb>45456</fb>
    <v>0</v>
  </rv>
  <rv s="0">
    <fb>145.44999999999999</fb>
    <v>1</v>
  </rv>
  <rv s="0">
    <fb>6840374</fb>
    <v>2</v>
  </rv>
  <rv s="0">
    <fb>45457</fb>
    <v>0</v>
  </rv>
  <rv s="0">
    <fb>145.54</fb>
    <v>1</v>
  </rv>
  <rv s="0">
    <fb>4075342</fb>
    <v>2</v>
  </rv>
  <rv s="0">
    <fb>45460</fb>
    <v>0</v>
  </rv>
  <rv s="0">
    <fb>145.94999999999999</fb>
    <v>1</v>
  </rv>
  <rv s="0">
    <fb>6666583</fb>
    <v>2</v>
  </rv>
  <rv s="0">
    <fb>45461</fb>
    <v>0</v>
  </rv>
  <rv s="0">
    <fb>145.65</fb>
    <v>1</v>
  </rv>
  <rv s="0">
    <fb>6156572</fb>
    <v>2</v>
  </rv>
  <rv s="0">
    <fb>45463</fb>
    <v>0</v>
  </rv>
  <rv s="0">
    <fb>147.78</fb>
    <v>1</v>
  </rv>
  <rv s="0">
    <fb>8749717</fb>
    <v>2</v>
  </rv>
  <rv s="0">
    <fb>45464</fb>
    <v>0</v>
  </rv>
  <rv s="0">
    <fb>148.75</fb>
    <v>1</v>
  </rv>
  <rv s="0">
    <fb>15176869</fb>
    <v>2</v>
  </rv>
  <rv s="0">
    <fb>45467</fb>
    <v>0</v>
  </rv>
  <rv s="0">
    <fb>6914671</fb>
    <v>2</v>
  </rv>
  <rv s="0">
    <fb>45468</fb>
    <v>0</v>
  </rv>
  <rv s="0">
    <fb>147.19</fb>
    <v>1</v>
  </rv>
  <rv s="0">
    <fb>6620303</fb>
    <v>2</v>
  </rv>
  <rv s="0">
    <fb>45469</fb>
    <v>0</v>
  </rv>
  <rv s="0">
    <fb>5267809</fb>
    <v>2</v>
  </rv>
  <rv s="0">
    <fb>45470</fb>
    <v>0</v>
  </rv>
  <rv s="0">
    <fb>145.80000000000001</fb>
    <v>1</v>
  </rv>
  <rv s="0">
    <fb>5739246</fb>
    <v>2</v>
  </rv>
  <rv s="0">
    <fb>45471</fb>
    <v>0</v>
  </rv>
  <rv s="0">
    <fb>146.16</fb>
    <v>1</v>
  </rv>
  <rv s="0">
    <fb>10495735</fb>
    <v>2</v>
  </rv>
  <rv s="0">
    <fb>45474</fb>
    <v>0</v>
  </rv>
  <rv s="0">
    <fb>146.44</fb>
    <v>1</v>
  </rv>
  <rv s="0">
    <fb>5144443</fb>
    <v>2</v>
  </rv>
  <rv s="0">
    <fb>45475</fb>
    <v>0</v>
  </rv>
  <rv s="0">
    <fb>146.03</fb>
    <v>1</v>
  </rv>
  <rv s="0">
    <fb>5491962</fb>
    <v>2</v>
  </rv>
  <rv s="0">
    <fb>45476</fb>
    <v>0</v>
  </rv>
  <rv s="0">
    <fb>145.69</fb>
    <v>1</v>
  </rv>
  <rv s="0">
    <fb>3246157</fb>
    <v>2</v>
  </rv>
  <rv s="0">
    <fb>45478</fb>
    <v>0</v>
  </rv>
  <rv s="0">
    <fb>146.47999999999999</fb>
    <v>1</v>
  </rv>
  <rv s="0">
    <fb>4888535</fb>
    <v>2</v>
  </rv>
  <rv s="0">
    <fb>45481</fb>
    <v>0</v>
  </rv>
  <rv s="0">
    <fb>145.47999999999999</fb>
    <v>1</v>
  </rv>
  <rv s="0">
    <fb>5260229</fb>
    <v>2</v>
  </rv>
  <rv s="0">
    <fb>45482</fb>
    <v>0</v>
  </rv>
  <rv s="0">
    <fb>147.05000000000001</fb>
    <v>1</v>
  </rv>
  <rv s="0">
    <fb>5892187</fb>
    <v>2</v>
  </rv>
  <rv s="0">
    <fb>45483</fb>
    <v>0</v>
  </rv>
  <rv s="0">
    <fb>149.43</fb>
    <v>1</v>
  </rv>
  <rv s="0">
    <fb>6093187</fb>
    <v>2</v>
  </rv>
  <rv s="0">
    <fb>45484</fb>
    <v>0</v>
  </rv>
  <rv s="0">
    <fb>6352109</fb>
    <v>2</v>
  </rv>
  <rv s="0">
    <fb>45485</fb>
    <v>0</v>
  </rv>
  <rv s="0">
    <fb>149.88</fb>
    <v>1</v>
  </rv>
  <rv s="0">
    <fb>5336394</fb>
    <v>2</v>
  </rv>
  <rv s="0">
    <fb>45488</fb>
    <v>0</v>
  </rv>
  <rv s="0">
    <fb>149.24</fb>
    <v>1</v>
  </rv>
  <rv s="0">
    <fb>6711354</fb>
    <v>2</v>
  </rv>
  <rv s="0">
    <fb>45489</fb>
    <v>0</v>
  </rv>
  <rv s="0">
    <fb>151.01</fb>
    <v>1</v>
  </rv>
  <rv s="0">
    <fb>6469582</fb>
    <v>2</v>
  </rv>
  <rv s="0">
    <fb>45490</fb>
    <v>0</v>
  </rv>
  <rv s="0">
    <fb>156.58000000000001</fb>
    <v>1</v>
  </rv>
  <rv s="0">
    <fb>13801429</fb>
    <v>2</v>
  </rv>
  <rv s="0">
    <fb>45491</fb>
    <v>0</v>
  </rv>
  <rv s="0">
    <fb>155.41999999999999</fb>
    <v>1</v>
  </rv>
  <rv s="0">
    <fb>10166247</fb>
    <v>2</v>
  </rv>
  <rv s="0">
    <fb>45492</fb>
    <v>0</v>
  </rv>
  <rv s="0">
    <fb>154.69</fb>
    <v>1</v>
  </rv>
  <rv s="0">
    <fb>7398036</fb>
    <v>2</v>
  </rv>
  <rv s="0">
    <fb>45495</fb>
    <v>0</v>
  </rv>
  <rv s="0">
    <fb>154.24</fb>
    <v>1</v>
  </rv>
  <rv s="0">
    <fb>6840609</fb>
    <v>2</v>
  </rv>
  <rv s="0">
    <fb>45496</fb>
    <v>0</v>
  </rv>
  <rv s="0">
    <fb>152.35</fb>
    <v>1</v>
  </rv>
  <rv s="0">
    <fb>6261870</fb>
    <v>2</v>
  </rv>
  <rv s="0">
    <fb>45497</fb>
    <v>0</v>
  </rv>
  <rv s="0">
    <fb>156.28</fb>
    <v>1</v>
  </rv>
  <rv s="0">
    <fb>7168217</fb>
    <v>2</v>
  </rv>
  <rv s="0">
    <fb>45498</fb>
    <v>0</v>
  </rv>
  <rv s="0">
    <fb>159.63999999999999</fb>
    <v>1</v>
  </rv>
  <rv s="0">
    <fb>10019578</fb>
    <v>2</v>
  </rv>
  <rv s="0">
    <fb>45499</fb>
    <v>0</v>
  </rv>
  <rv s="0">
    <fb>160.63999999999999</fb>
    <v>1</v>
  </rv>
  <rv s="0">
    <fb>8356878</fb>
    <v>2</v>
  </rv>
  <rv s="0">
    <fb>45502</fb>
    <v>0</v>
  </rv>
  <rv s="0">
    <fb>158.56</fb>
    <v>1</v>
  </rv>
  <rv s="0">
    <fb>5625204</fb>
    <v>2</v>
  </rv>
  <rv s="0">
    <fb>45503</fb>
    <v>0</v>
  </rv>
  <rv s="0">
    <fb>161.33000000000001</fb>
    <v>1</v>
  </rv>
  <rv s="0">
    <fb>6545677</fb>
    <v>2</v>
  </rv>
  <rv s="0">
    <fb>45504</fb>
    <v>0</v>
  </rv>
  <rv s="0">
    <fb>8293239</fb>
    <v>2</v>
  </rv>
  <rv s="0">
    <fb>45505</fb>
    <v>0</v>
  </rv>
  <rv s="0">
    <fb>160.76</fb>
    <v>1</v>
  </rv>
  <rv s="0">
    <fb>7213419</fb>
    <v>2</v>
  </rv>
  <rv s="0">
    <fb>45506</fb>
    <v>0</v>
  </rv>
  <rv s="0">
    <fb>164.14</fb>
    <v>1</v>
  </rv>
  <rv s="0">
    <fb>11280357</fb>
    <v>2</v>
  </rv>
  <rv s="0">
    <fb>45509</fb>
    <v>0</v>
  </rv>
  <rv s="0">
    <fb>161.25</fb>
    <v>1</v>
  </rv>
  <rv s="0">
    <fb>12032209</fb>
    <v>2</v>
  </rv>
  <rv s="0">
    <fb>45510</fb>
    <v>0</v>
  </rv>
  <rv s="0">
    <fb>158.97</fb>
    <v>1</v>
  </rv>
  <rv s="0">
    <fb>7607144</fb>
    <v>2</v>
  </rv>
  <rv s="0">
    <fb>45511</fb>
    <v>0</v>
  </rv>
  <rv s="0">
    <fb>5993028</fb>
    <v>2</v>
  </rv>
  <rv s="0">
    <fb>45512</fb>
    <v>0</v>
  </rv>
  <rv s="0">
    <fb>160.22</fb>
    <v>1</v>
  </rv>
  <rv s="0">
    <fb>5094830</fb>
    <v>2</v>
  </rv>
  <rv s="0">
    <fb>45513</fb>
    <v>0</v>
  </rv>
  <rv s="0">
    <fb>160.62</fb>
    <v>1</v>
  </rv>
  <rv s="0">
    <fb>4579186</fb>
    <v>2</v>
  </rv>
  <rv s="0">
    <fb>45516</fb>
    <v>0</v>
  </rv>
  <rv s="0">
    <fb>159.88</fb>
    <v>1</v>
  </rv>
  <rv s="0">
    <fb>7605419</fb>
    <v>2</v>
  </rv>
  <rv s="0">
    <fb>45517</fb>
    <v>0</v>
  </rv>
  <rv s="0">
    <fb>158.38999999999999</fb>
    <v>1</v>
  </rv>
  <rv s="0">
    <fb>9711395</fb>
    <v>2</v>
  </rv>
  <rv s="0">
    <fb>45518</fb>
    <v>0</v>
  </rv>
  <rv s="0">
    <fb>158.47999999999999</fb>
    <v>1</v>
  </rv>
  <rv s="0">
    <fb>5141249</fb>
    <v>2</v>
  </rv>
  <rv s="0">
    <fb>45519</fb>
    <v>0</v>
  </rv>
  <rv s="0">
    <fb>159.09</fb>
    <v>1</v>
  </rv>
  <rv s="0">
    <fb>7237785</fb>
    <v>2</v>
  </rv>
  <rv s="0">
    <fb>45520</fb>
    <v>0</v>
  </rv>
  <rv s="0">
    <fb>159.38999999999999</fb>
    <v>1</v>
  </rv>
  <rv s="0">
    <fb>5012774</fb>
    <v>2</v>
  </rv>
  <rv s="0">
    <fb>45523</fb>
    <v>0</v>
  </rv>
  <rv s="0">
    <fb>159.63</fb>
    <v>1</v>
  </rv>
  <rv s="0">
    <fb>4408517</fb>
    <v>2</v>
  </rv>
  <rv s="0">
    <fb>45524</fb>
    <v>0</v>
  </rv>
  <rv s="0">
    <fb>160.16</fb>
    <v>1</v>
  </rv>
  <rv s="0">
    <fb>7275133</fb>
    <v>2</v>
  </rv>
  <rv s="0">
    <fb>45525</fb>
    <v>0</v>
  </rv>
  <rv s="0">
    <fb>161.43</fb>
    <v>1</v>
  </rv>
  <rv s="0">
    <fb>5019375</fb>
    <v>2</v>
  </rv>
  <rv s="0">
    <fb>45526</fb>
    <v>0</v>
  </rv>
  <rv s="0">
    <fb>162.35</fb>
    <v>1</v>
  </rv>
  <rv s="0">
    <fb>6552142</fb>
    <v>2</v>
  </rv>
  <rv s="0">
    <fb>45527</fb>
    <v>0</v>
  </rv>
  <rv s="0">
    <fb>164.13</fb>
    <v>1</v>
  </rv>
  <rv s="0">
    <fb>7093429</fb>
    <v>2</v>
  </rv>
  <rv s="0">
    <fb>45530</fb>
    <v>0</v>
  </rv>
  <rv s="0">
    <fb>164.61</fb>
    <v>1</v>
  </rv>
  <rv s="0">
    <fb>6870622</fb>
    <v>2</v>
  </rv>
  <rv s="0">
    <fb>45531</fb>
    <v>0</v>
  </rv>
  <rv s="0">
    <fb>162.94999999999999</fb>
    <v>1</v>
  </rv>
  <rv s="0">
    <fb>4388728</fb>
    <v>2</v>
  </rv>
  <rv s="0">
    <fb>45532</fb>
    <v>0</v>
  </rv>
  <rv s="0">
    <fb>163.92</fb>
    <v>1</v>
  </rv>
  <rv s="0">
    <fb>5187198</fb>
    <v>2</v>
  </rv>
  <rv s="0">
    <fb>45533</fb>
    <v>0</v>
  </rv>
  <rv s="0">
    <fb>164.23</fb>
    <v>1</v>
  </rv>
  <rv s="0">
    <fb>7390125</fb>
    <v>2</v>
  </rv>
  <rv s="0">
    <fb>45534</fb>
    <v>0</v>
  </rv>
  <rv s="0">
    <fb>165.86</fb>
    <v>1</v>
  </rv>
  <rv s="0">
    <fb>7971017</fb>
    <v>2</v>
  </rv>
  <rv s="0">
    <fb>45538</fb>
    <v>0</v>
  </rv>
  <rv s="0">
    <fb>167.16</fb>
    <v>1</v>
  </rv>
  <rv s="0">
    <fb>6956452</fb>
    <v>2</v>
  </rv>
  <rv s="0">
    <fb>45539</fb>
    <v>0</v>
  </rv>
  <rv s="0">
    <fb>167.36</fb>
    <v>1</v>
  </rv>
  <rv s="0">
    <fb>6939132</fb>
    <v>2</v>
  </rv>
  <rv s="0">
    <fb>45540</fb>
    <v>0</v>
  </rv>
  <rv s="0">
    <fb>164.99</fb>
    <v>1</v>
  </rv>
  <rv s="0">
    <fb>4600392</fb>
    <v>2</v>
  </rv>
  <rv s="0">
    <fb>45541</fb>
    <v>0</v>
  </rv>
  <rv s="0">
    <fb>164.38</fb>
    <v>1</v>
  </rv>
  <rv s="0">
    <fb>6016884</fb>
    <v>2</v>
  </rv>
  <rv s="0">
    <fb>45544</fb>
    <v>0</v>
  </rv>
  <rv s="0">
    <fb>166.61</fb>
    <v>1</v>
  </rv>
  <rv s="0">
    <fb>7538233</fb>
    <v>2</v>
  </rv>
  <rv s="0">
    <fb>45545</fb>
    <v>0</v>
  </rv>
  <rv s="0">
    <fb>167.38</fb>
    <v>1</v>
  </rv>
  <rv s="0">
    <fb>6559734</fb>
    <v>2</v>
  </rv>
  <rv s="0">
    <fb>45546</fb>
    <v>0</v>
  </rv>
  <rv s="0">
    <fb>164.82</fb>
    <v>1</v>
  </rv>
  <rv s="0">
    <fb>5920165</fb>
    <v>2</v>
  </rv>
  <rv s="0">
    <fb>45547</fb>
    <v>0</v>
  </rv>
  <rv s="0">
    <fb>164.64</fb>
    <v>1</v>
  </rv>
  <rv s="0">
    <fb>4541046</fb>
    <v>2</v>
  </rv>
  <rv s="0">
    <fb>45548</fb>
    <v>0</v>
  </rv>
  <rv s="0">
    <fb>165.52</fb>
    <v>1</v>
  </rv>
  <rv s="0">
    <fb>3693548</fb>
    <v>2</v>
  </rv>
  <rv s="0">
    <fb>45551</fb>
    <v>0</v>
  </rv>
  <rv s="0">
    <fb>166.99</fb>
    <v>1</v>
  </rv>
  <rv s="0">
    <fb>5187887</fb>
    <v>2</v>
  </rv>
  <rv s="0">
    <fb>45552</fb>
    <v>0</v>
  </rv>
  <rv s="0">
    <fb>167.07</fb>
    <v>1</v>
  </rv>
  <rv s="0">
    <fb>5066586</fb>
    <v>2</v>
  </rv>
  <rv s="0">
    <fb>45553</fb>
    <v>0</v>
  </rv>
  <rv s="0">
    <fb>166.15</fb>
    <v>1</v>
  </rv>
  <rv s="0">
    <fb>4722765</fb>
    <v>2</v>
  </rv>
  <rv s="0">
    <fb>45554</fb>
    <v>0</v>
  </rv>
  <rv s="0">
    <fb>4956119</fb>
    <v>2</v>
  </rv>
  <rv s="0">
    <fb>45555</fb>
    <v>0</v>
  </rv>
  <rv s="0">
    <fb>164.16</fb>
    <v>1</v>
  </rv>
  <rv s="0">
    <fb>11838967</fb>
    <v>2</v>
  </rv>
  <rv s="0">
    <fb>45558</fb>
    <v>0</v>
  </rv>
  <rv s="0">
    <fb>163.22</fb>
    <v>1</v>
  </rv>
  <rv s="0">
    <fb>4671645</fb>
    <v>2</v>
  </rv>
  <rv s="0">
    <fb>45559</fb>
    <v>0</v>
  </rv>
  <rv s="0">
    <fb>162.78</fb>
    <v>1</v>
  </rv>
  <rv s="0">
    <fb>6041561</fb>
    <v>2</v>
  </rv>
  <rv s="0">
    <fb>45560</fb>
    <v>0</v>
  </rv>
  <rv s="0">
    <fb>160.6</fb>
    <v>1</v>
  </rv>
  <rv s="0">
    <fb>5420011</fb>
    <v>2</v>
  </rv>
  <rv s="0">
    <fb>45561</fb>
    <v>0</v>
  </rv>
  <rv s="0">
    <fb>161.38999999999999</fb>
    <v>1</v>
  </rv>
  <rv s="0">
    <fb>6122231</fb>
    <v>2</v>
  </rv>
  <rv s="0">
    <fb>45562</fb>
    <v>0</v>
  </rv>
  <rv s="0">
    <fb>161.4</fb>
    <v>1</v>
  </rv>
  <rv s="0">
    <fb>7553905</fb>
    <v>2</v>
  </rv>
  <rv s="0">
    <fb>45565</fb>
    <v>0</v>
  </rv>
  <rv s="0">
    <fb>162.06</fb>
    <v>1</v>
  </rv>
  <rv s="0">
    <fb>6010407</fb>
    <v>2</v>
  </rv>
  <rv s="0">
    <fb>45566</fb>
    <v>0</v>
  </rv>
  <rv s="0">
    <fb>161.99</fb>
    <v>1</v>
  </rv>
  <rv s="0">
    <fb>4408019</fb>
    <v>2</v>
  </rv>
  <rv s="0">
    <fb>45567</fb>
    <v>0</v>
  </rv>
  <rv s="0">
    <fb>161.16999999999999</fb>
    <v>1</v>
  </rv>
  <rv s="0">
    <fb>4684472</fb>
    <v>2</v>
  </rv>
  <rv s="0">
    <fb>45568</fb>
    <v>0</v>
  </rv>
  <rv s="0">
    <fb>160.5</fb>
    <v>1</v>
  </rv>
  <rv s="0">
    <fb>4791223</fb>
    <v>2</v>
  </rv>
  <rv s="0">
    <fb>45569</fb>
    <v>0</v>
  </rv>
  <rv s="0">
    <fb>160.29</fb>
    <v>1</v>
  </rv>
  <rv s="0">
    <fb>5331694</fb>
    <v>2</v>
  </rv>
  <rv s="0">
    <fb>45572</fb>
    <v>0</v>
  </rv>
  <rv s="0">
    <fb>159.53</fb>
    <v>1</v>
  </rv>
  <rv s="0">
    <fb>4265971</fb>
    <v>2</v>
  </rv>
  <rv s="0">
    <fb>45573</fb>
    <v>0</v>
  </rv>
  <rv s="0">
    <fb>159.69</fb>
    <v>1</v>
  </rv>
  <rv s="0">
    <fb>4766250</fb>
    <v>2</v>
  </rv>
  <rv s="0">
    <fb>45574</fb>
    <v>0</v>
  </rv>
  <rv s="0">
    <fb>160.65</fb>
    <v>1</v>
  </rv>
  <rv s="0">
    <fb>6047269</fb>
    <v>2</v>
  </rv>
  <rv s="0">
    <fb>45575</fb>
    <v>0</v>
  </rv>
  <rv s="0">
    <fb>160.51</fb>
    <v>1</v>
  </rv>
  <rv s="0">
    <fb>4793889</fb>
    <v>2</v>
  </rv>
  <rv s="0">
    <fb>45576</fb>
    <v>0</v>
  </rv>
  <rv s="0">
    <fb>161.46</fb>
    <v>1</v>
  </rv>
  <rv s="0">
    <fb>5253459</fb>
    <v>2</v>
  </rv>
  <rv s="0">
    <fb>45579</fb>
    <v>0</v>
  </rv>
  <rv s="0">
    <fb>161.6</fb>
    <v>1</v>
  </rv>
  <rv s="0">
    <fb>5963961</fb>
    <v>2</v>
  </rv>
  <rv s="0">
    <fb>45580</fb>
    <v>0</v>
  </rv>
  <rv s="0">
    <fb>164.1</fb>
    <v>1</v>
  </rv>
  <rv s="0">
    <fb>10547966</fb>
    <v>2</v>
  </rv>
  <rv s="0">
    <fb>45581</fb>
    <v>0</v>
  </rv>
  <rv s="0">
    <fb>164.28</fb>
    <v>1</v>
  </rv>
  <rv s="0">
    <fb>5982291</fb>
    <v>2</v>
  </rv>
  <rv s="0">
    <fb>45582</fb>
    <v>0</v>
  </rv>
  <rv s="0">
    <fb>164.47</fb>
    <v>1</v>
  </rv>
  <rv s="0">
    <fb>4798238</fb>
    <v>2</v>
  </rv>
  <rv s="0">
    <fb>45583</fb>
    <v>0</v>
  </rv>
  <rv s="0">
    <fb>165.12</fb>
    <v>1</v>
  </rv>
  <rv s="0">
    <fb>5908012</fb>
    <v>2</v>
  </rv>
  <rv s="0">
    <fb>45586</fb>
    <v>0</v>
  </rv>
  <rv s="0">
    <fb>162.83000000000001</fb>
    <v>1</v>
  </rv>
  <rv s="0">
    <fb>6082736</fb>
    <v>2</v>
  </rv>
  <rv s="0">
    <fb>45587</fb>
    <v>0</v>
  </rv>
  <rv s="0">
    <fb>163.44999999999999</fb>
    <v>1</v>
  </rv>
  <rv s="0">
    <fb>5680612</fb>
    <v>2</v>
  </rv>
  <rv s="0">
    <fb>45588</fb>
    <v>0</v>
  </rv>
  <rv s="0">
    <fb>7442026</fb>
    <v>2</v>
  </rv>
  <rv s="0">
    <fb>45589</fb>
    <v>0</v>
  </rv>
  <rv s="0">
    <fb>163.66999999999999</fb>
    <v>1</v>
  </rv>
  <rv s="0">
    <fb>5386525</fb>
    <v>2</v>
  </rv>
  <rv s="0">
    <fb>45590</fb>
    <v>0</v>
  </rv>
  <rv s="0">
    <fb>160.88</fb>
    <v>1</v>
  </rv>
  <rv s="0">
    <fb>6400449</fb>
    <v>2</v>
  </rv>
  <rv s="0">
    <fb>45593</fb>
    <v>0</v>
  </rv>
  <rv s="0">
    <fb>4842653</fb>
    <v>2</v>
  </rv>
  <rv s="0">
    <fb>45594</fb>
    <v>0</v>
  </rv>
  <rv s="0">
    <fb>160.09</fb>
    <v>1</v>
  </rv>
  <rv s="0">
    <fb>5216879</fb>
    <v>2</v>
  </rv>
  <rv s="0">
    <fb>45595</fb>
    <v>0</v>
  </rv>
  <rv s="0">
    <fb>160.61000000000001</fb>
    <v>1</v>
  </rv>
  <rv s="0">
    <fb>5820530</fb>
    <v>2</v>
  </rv>
  <rv s="0">
    <fb>45596</fb>
    <v>0</v>
  </rv>
  <rv s="0">
    <fb>159.86000000000001</fb>
    <v>1</v>
  </rv>
  <rv s="0">
    <fb>8613860</fb>
    <v>2</v>
  </rv>
  <rv s="0">
    <fb>45597</fb>
    <v>0</v>
  </rv>
  <rv s="0">
    <fb>160.13</fb>
    <v>1</v>
  </rv>
  <rv s="0">
    <fb>5256652</fb>
    <v>2</v>
  </rv>
  <rv s="0">
    <fb>45600</fb>
    <v>0</v>
  </rv>
  <rv s="0">
    <fb>158.24</fb>
    <v>1</v>
  </rv>
  <rv s="0">
    <fb>4644011</fb>
    <v>2</v>
  </rv>
  <rv s="0">
    <fb>45601</fb>
    <v>0</v>
  </rv>
  <rv s="0">
    <fb>158.35</fb>
    <v>1</v>
  </rv>
  <rv s="0">
    <fb>6547074</fb>
    <v>2</v>
  </rv>
  <rv s="0">
    <fb>45602</fb>
    <v>0</v>
  </rv>
  <rv s="0">
    <fb>157.88</fb>
    <v>1</v>
  </rv>
  <rv s="0">
    <fb>8926601</fb>
    <v>2</v>
  </rv>
  <rv s="0">
    <fb>45603</fb>
    <v>0</v>
  </rv>
  <rv s="0">
    <fb>156.72999999999999</fb>
    <v>1</v>
  </rv>
  <rv s="0">
    <fb>7522812</fb>
    <v>2</v>
  </rv>
  <rv s="0">
    <fb>45604</fb>
    <v>0</v>
  </rv>
  <rv s="0">
    <fb>155.47</fb>
    <v>1</v>
  </rv>
  <rv s="0">
    <fb>8926134</fb>
    <v>2</v>
  </rv>
  <rv s="0">
    <fb>45607</fb>
    <v>0</v>
  </rv>
  <rv s="0">
    <fb>155.04</fb>
    <v>1</v>
  </rv>
  <rv s="0">
    <fb>7146759</fb>
    <v>2</v>
  </rv>
  <rv s="0">
    <fb>45608</fb>
    <v>0</v>
  </rv>
  <rv s="0">
    <fb>152.63999999999999</fb>
    <v>1</v>
  </rv>
  <rv s="0">
    <fb>7181408</fb>
    <v>2</v>
  </rv>
  <rv s="0">
    <fb>45609</fb>
    <v>0</v>
  </rv>
  <rv s="0">
    <fb>153.24</fb>
    <v>1</v>
  </rv>
  <rv s="0">
    <fb>7162233</fb>
    <v>2</v>
  </rv>
  <rv s="0">
    <fb>45610</fb>
    <v>0</v>
  </rv>
  <rv s="0">
    <fb>151.87</fb>
    <v>1</v>
  </rv>
  <rv s="0">
    <fb>7716385</fb>
    <v>2</v>
  </rv>
  <rv s="0">
    <fb>45611</fb>
    <v>0</v>
  </rv>
  <rv s="0">
    <fb>154</fb>
    <v>1</v>
  </rv>
  <rv s="0">
    <fb>11328515</fb>
    <v>2</v>
  </rv>
  <rv s="0">
    <fb>45614</fb>
    <v>0</v>
  </rv>
  <rv s="0">
    <fb>154.77000000000001</fb>
    <v>1</v>
  </rv>
  <rv s="0">
    <fb>7514177</fb>
    <v>2</v>
  </rv>
  <rv s="0">
    <fb>45615</fb>
    <v>0</v>
  </rv>
  <rv s="0">
    <fb>153</fb>
    <v>1</v>
  </rv>
  <rv s="0">
    <fb>8233678</fb>
    <v>2</v>
  </rv>
  <rv s="0">
    <fb>45616</fb>
    <v>0</v>
  </rv>
  <rv s="0">
    <fb>153.11000000000001</fb>
    <v>1</v>
  </rv>
  <rv s="0">
    <fb>9061274</fb>
    <v>2</v>
  </rv>
  <rv s="0">
    <fb>45617</fb>
    <v>0</v>
  </rv>
  <rv s="0">
    <fb>155.5</fb>
    <v>1</v>
  </rv>
  <rv s="0">
    <fb>10141056</fb>
    <v>2</v>
  </rv>
  <rv s="0">
    <fb>45618</fb>
    <v>0</v>
  </rv>
  <rv s="0">
    <fb>155.16999999999999</fb>
    <v>1</v>
  </rv>
  <rv s="0">
    <fb>8265961</fb>
    <v>2</v>
  </rv>
  <rv s="0">
    <fb>45621</fb>
    <v>0</v>
  </rv>
  <rv s="0">
    <fb>155.78</fb>
    <v>1</v>
  </rv>
  <rv s="0">
    <fb>12256242</fb>
    <v>2</v>
  </rv>
  <rv s="0">
    <fb>45622</fb>
    <v>0</v>
  </rv>
  <rv s="0">
    <fb>154.52000000000001</fb>
    <v>1</v>
  </rv>
  <rv s="0">
    <fb>5683499</fb>
    <v>2</v>
  </rv>
  <rv s="0">
    <fb>45623</fb>
    <v>0</v>
  </rv>
  <rv s="0">
    <fb>155.4</fb>
    <v>1</v>
  </rv>
  <rv s="0">
    <fb>4140444</fb>
    <v>2</v>
  </rv>
  <rv s="0">
    <fb>45625</fb>
    <v>0</v>
  </rv>
  <rv s="0">
    <fb>155.01</fb>
    <v>1</v>
  </rv>
  <rv s="0">
    <fb>5687821</fb>
    <v>2</v>
  </rv>
  <rv s="0">
    <fb>45628</fb>
    <v>0</v>
  </rv>
  <rv s="0">
    <fb>154.80000000000001</fb>
    <v>1</v>
  </rv>
  <rv s="0">
    <fb>6946494</fb>
    <v>2</v>
  </rv>
  <rv s="0">
    <fb>45629</fb>
    <v>0</v>
  </rv>
  <rv s="0">
    <fb>152.36000000000001</fb>
    <v>1</v>
  </rv>
  <rv s="0">
    <fb>8674415</fb>
    <v>2</v>
  </rv>
  <rv s="0">
    <fb>45630</fb>
    <v>0</v>
  </rv>
  <rv s="0">
    <fb>150.47</fb>
    <v>1</v>
  </rv>
  <rv s="0">
    <fb>10333110</fb>
    <v>2</v>
  </rv>
  <rv s="0">
    <fb>45631</fb>
    <v>0</v>
  </rv>
  <rv s="0">
    <fb>149.52000000000001</fb>
    <v>1</v>
  </rv>
  <rv s="0">
    <fb>7898098</fb>
    <v>2</v>
  </rv>
  <rv s="0">
    <fb>45632</fb>
    <v>0</v>
  </rv>
  <rv s="0">
    <fb>149.31</fb>
    <v>1</v>
  </rv>
  <rv s="0">
    <fb>8389611</fb>
    <v>2</v>
  </rv>
  <rv s="0">
    <fb>45635</fb>
    <v>0</v>
  </rv>
  <rv s="0">
    <fb>149.6</fb>
    <v>1</v>
  </rv>
  <rv s="0">
    <fb>8410303</fb>
    <v>2</v>
  </rv>
  <rv s="0">
    <fb>45636</fb>
    <v>0</v>
  </rv>
  <rv s="0">
    <fb>149.22999999999999</fb>
    <v>1</v>
  </rv>
  <rv s="0">
    <fb>9398671</fb>
    <v>2</v>
  </rv>
  <rv s="0">
    <fb>45637</fb>
    <v>0</v>
  </rv>
  <rv s="0">
    <fb>146.63999999999999</fb>
    <v>1</v>
  </rv>
  <rv s="0">
    <fb>13446656</fb>
    <v>2</v>
  </rv>
  <rv s="0">
    <fb>45638</fb>
    <v>0</v>
  </rv>
  <rv s="0">
    <fb>146.24</fb>
    <v>1</v>
  </rv>
  <rv s="0">
    <fb>6176269</fb>
    <v>2</v>
  </rv>
  <rv s="0">
    <fb>45639</fb>
    <v>0</v>
  </rv>
  <rv s="0">
    <fb>146.62</fb>
    <v>1</v>
  </rv>
  <rv s="0">
    <fb>8324900</fb>
    <v>2</v>
  </rv>
  <rv s="0">
    <fb>45642</fb>
    <v>0</v>
  </rv>
  <rv s="0">
    <fb>143.85</fb>
    <v>1</v>
  </rv>
  <rv s="0">
    <fb>8732378</fb>
    <v>2</v>
  </rv>
  <rv s="0">
    <fb>45643</fb>
    <v>0</v>
  </rv>
  <rv s="0">
    <fb>146.41</fb>
    <v>1</v>
  </rv>
  <rv s="0">
    <fb>10342958</fb>
    <v>2</v>
  </rv>
  <rv s="0">
    <fb>45644</fb>
    <v>0</v>
  </rv>
  <rv s="0">
    <fb>144.75</fb>
    <v>1</v>
  </rv>
  <rv s="0">
    <fb>9336094</fb>
    <v>2</v>
  </rv>
  <rv s="0">
    <fb>45645</fb>
    <v>0</v>
  </rv>
  <rv s="0">
    <fb>143.58000000000001</fb>
    <v>1</v>
  </rv>
  <rv s="0">
    <fb>9516653</fb>
    <v>2</v>
  </rv>
  <rv s="0">
    <fb>45646</fb>
    <v>0</v>
  </rv>
  <rv s="0">
    <fb>144.47</fb>
    <v>1</v>
  </rv>
  <rv s="0">
    <fb>17702755</fb>
    <v>2</v>
  </rv>
  <rv s="0">
    <fb>45649</fb>
    <v>0</v>
  </rv>
  <rv s="0">
    <fb>145.27000000000001</fb>
    <v>1</v>
  </rv>
  <rv s="0">
    <fb>8720824</fb>
    <v>2</v>
  </rv>
  <rv s="0">
    <fb>45650</fb>
    <v>0</v>
  </rv>
  <rv s="0">
    <fb>145.85</fb>
    <v>1</v>
  </rv>
  <rv s="0">
    <fb>3164071</fb>
    <v>2</v>
  </rv>
  <rv s="0">
    <fb>45652</fb>
    <v>0</v>
  </rv>
  <rv s="0">
    <fb>145.58000000000001</fb>
    <v>1</v>
  </rv>
  <rv s="0">
    <fb>4656981</fb>
    <v>2</v>
  </rv>
  <rv s="0">
    <fb>45653</fb>
    <v>0</v>
  </rv>
  <rv s="0">
    <fb>145.05000000000001</fb>
    <v>1</v>
  </rv>
  <rv s="0">
    <fb>5588306</fb>
    <v>2</v>
  </rv>
  <rv s="0">
    <fb>45656</fb>
    <v>0</v>
  </rv>
  <rv s="0">
    <fb>143.34</fb>
    <v>1</v>
  </rv>
  <rv s="0">
    <fb>6268692</fb>
    <v>2</v>
  </rv>
  <rv s="0">
    <fb>45657</fb>
    <v>0</v>
  </rv>
  <rv s="0">
    <fb>144.62</fb>
    <v>1</v>
  </rv>
  <rv s="0">
    <fb>5811401</fb>
    <v>2</v>
  </rv>
  <rv s="0">
    <fb>45659</fb>
    <v>0</v>
  </rv>
  <rv s="0">
    <fb>144.02000000000001</fb>
    <v>1</v>
  </rv>
  <rv s="0">
    <fb>6051330</fb>
    <v>2</v>
  </rv>
  <rv s="0">
    <fb>45660</fb>
    <v>0</v>
  </rv>
  <rv s="0">
    <fb>144.19</fb>
    <v>1</v>
  </rv>
  <rv s="0">
    <fb>5879816</fb>
    <v>2</v>
  </rv>
  <rv s="0">
    <fb>45663</fb>
    <v>0</v>
  </rv>
  <rv s="0">
    <fb>143.66</fb>
    <v>1</v>
  </rv>
  <rv s="0">
    <fb>7910493</fb>
    <v>2</v>
  </rv>
  <rv s="0">
    <fb>45664</fb>
    <v>0</v>
  </rv>
  <rv s="0">
    <fb>146.22999999999999</fb>
    <v>1</v>
  </rv>
  <rv s="0">
    <fb>8422010</fb>
    <v>2</v>
  </rv>
  <rv s="0">
    <fb>45665</fb>
    <v>0</v>
  </rv>
  <rv s="0">
    <fb>142.27000000000001</fb>
    <v>1</v>
  </rv>
  <rv s="0">
    <fb>11175552</fb>
    <v>2</v>
  </rv>
  <rv s="0">
    <fb>45667</fb>
    <v>0</v>
  </rv>
  <rv s="0">
    <fb>142.06</fb>
    <v>1</v>
  </rv>
  <rv s="0">
    <fb>8821541</fb>
    <v>2</v>
  </rv>
  <rv s="0">
    <fb>45670</fb>
    <v>0</v>
  </rv>
  <rv s="0">
    <fb>10376377</fb>
    <v>2</v>
  </rv>
  <rv s="0">
    <fb>45671</fb>
    <v>0</v>
  </rv>
  <rv s="0">
    <fb>8681741</fb>
    <v>2</v>
  </rv>
  <rv s="0">
    <fb>45672</fb>
    <v>0</v>
  </rv>
  <rv s="0">
    <fb>144.97</fb>
    <v>1</v>
  </rv>
  <rv s="0">
    <fb>7434562</fb>
    <v>2</v>
  </rv>
  <rv s="0">
    <fb>45673</fb>
    <v>0</v>
  </rv>
  <rv s="0">
    <fb>147.77000000000001</fb>
    <v>1</v>
  </rv>
  <rv s="0">
    <fb>8964016</fb>
    <v>2</v>
  </rv>
  <rv s="0">
    <fb>45674</fb>
    <v>0</v>
  </rv>
  <rv s="0">
    <fb>147.03</fb>
    <v>1</v>
  </rv>
  <rv s="0">
    <fb>10773054</fb>
    <v>2</v>
  </rv>
  <rv s="0">
    <fb>45678</fb>
    <v>0</v>
  </rv>
  <rv s="0">
    <fb>148.15</fb>
    <v>1</v>
  </rv>
  <rv s="0">
    <fb>11111747</fb>
    <v>2</v>
  </rv>
  <rv s="0">
    <fb>45679</fb>
    <v>0</v>
  </rv>
  <rv s="0">
    <fb>16834747</fb>
    <v>2</v>
  </rv>
  <rv s="0">
    <fb>45680</fb>
    <v>0</v>
  </rv>
  <rv s="0">
    <fb>10506361</fb>
    <v>2</v>
  </rv>
  <rv s="0">
    <fb>45681</fb>
    <v>0</v>
  </rv>
  <rv s="0">
    <fb>9887682</fb>
    <v>2</v>
  </rv>
  <rv s="0">
    <fb>45684</fb>
    <v>0</v>
  </rv>
  <rv s="0">
    <fb>152.88999999999999</fb>
    <v>1</v>
  </rv>
  <rv s="0">
    <fb>15152314</fb>
    <v>2</v>
  </rv>
  <rv s="0">
    <fb>45685</fb>
    <v>0</v>
  </rv>
  <rv s="0">
    <fb>150.38</fb>
    <v>1</v>
  </rv>
  <rv s="0">
    <fb>10320613</fb>
    <v>2</v>
  </rv>
  <rv s="0">
    <fb>45686</fb>
    <v>0</v>
  </rv>
  <rv s="0">
    <fb>151.15</fb>
    <v>1</v>
  </rv>
  <rv s="0">
    <fb>7156421</fb>
    <v>2</v>
  </rv>
  <rv s="0">
    <fb>45687</fb>
    <v>0</v>
  </rv>
  <rv s="0">
    <fb>152.87</fb>
    <v>1</v>
  </rv>
  <rv s="0">
    <fb>8910983</fb>
    <v>2</v>
  </rv>
  <rv s="0">
    <fb>45688</fb>
    <v>0</v>
  </rv>
  <rv s="0">
    <fb>152.15</fb>
    <v>1</v>
  </rv>
  <rv s="0">
    <fb>8458715</fb>
    <v>2</v>
  </rv>
  <rv s="0">
    <fb>45691</fb>
    <v>0</v>
  </rv>
  <rv s="0">
    <fb>6687487</fb>
    <v>2</v>
  </rv>
  <rv s="0">
    <fb>45692</fb>
    <v>0</v>
  </rv>
  <rv s="0">
    <fb>153.49</fb>
    <v>1</v>
  </rv>
  <rv s="0">
    <fb>9645289</fb>
    <v>2</v>
  </rv>
  <rv s="0">
    <fb>45693</fb>
    <v>0</v>
  </rv>
  <rv s="0">
    <fb>8946957</fb>
    <v>2</v>
  </rv>
  <rv s="0">
    <fb>45694</fb>
    <v>0</v>
  </rv>
  <rv s="0">
    <fb>153.51</fb>
    <v>1</v>
  </rv>
  <rv s="0">
    <fb>7418468</fb>
    <v>2</v>
  </rv>
  <rv s="0">
    <fb>45695</fb>
    <v>0</v>
  </rv>
  <rv s="0">
    <fb>153.12</fb>
    <v>1</v>
  </rv>
  <rv s="0">
    <fb>6204916</fb>
    <v>2</v>
  </rv>
  <rv s="0">
    <fb>45698</fb>
    <v>0</v>
  </rv>
  <rv s="0">
    <fb>6936561</fb>
    <v>2</v>
  </rv>
  <rv s="0">
    <fb>45699</fb>
    <v>0</v>
  </rv>
  <rv s="0">
    <fb>156.13</fb>
    <v>1</v>
  </rv>
  <rv s="0">
    <fb>7554811</fb>
    <v>2</v>
  </rv>
  <rv s="0">
    <fb>45700</fb>
    <v>0</v>
  </rv>
  <rv s="0">
    <fb>155.26</fb>
    <v>1</v>
  </rv>
  <rv s="0">
    <fb>7746014</fb>
    <v>2</v>
  </rv>
  <rv s="0">
    <fb>45701</fb>
    <v>0</v>
  </rv>
  <rv s="0">
    <fb>157.25</fb>
    <v>1</v>
  </rv>
  <rv s="0">
    <fb>10705077</fb>
    <v>2</v>
  </rv>
  <rv s="0">
    <fb>45702</fb>
    <v>0</v>
  </rv>
  <rv s="0">
    <fb>156.15</fb>
    <v>1</v>
  </rv>
  <rv s="0">
    <fb>6411840</fb>
    <v>2</v>
  </rv>
  <rv s="0">
    <fb>45706</fb>
    <v>0</v>
  </rv>
  <rv s="0">
    <fb>154.99</fb>
    <v>1</v>
  </rv>
  <rv s="0">
    <fb>9670657</fb>
    <v>2</v>
  </rv>
  <rv s="0">
    <fb>45707</fb>
    <v>0</v>
  </rv>
  <rv s="0">
    <fb>157.88999999999999</fb>
    <v>1</v>
  </rv>
  <rv s="0">
    <fb>7974736</fb>
    <v>2</v>
  </rv>
  <rv s="0">
    <fb>45708</fb>
    <v>0</v>
  </rv>
  <rv s="0">
    <fb>159.68</fb>
    <v>1</v>
  </rv>
  <rv s="0">
    <fb>7224030</fb>
    <v>2</v>
  </rv>
  <rv s="0">
    <fb>45709</fb>
    <v>0</v>
  </rv>
  <rv s="0">
    <fb>162.30000000000001</fb>
    <v>1</v>
  </rv>
  <rv s="0">
    <fb>12546930</fb>
    <v>2</v>
  </rv>
  <rv s="0">
    <fb>45712</fb>
    <v>0</v>
  </rv>
  <rv s="0">
    <fb>163.74</fb>
    <v>1</v>
  </rv>
  <rv s="0">
    <fb>10201917</fb>
    <v>2</v>
  </rv>
  <rv s="0">
    <fb>45713</fb>
    <v>0</v>
  </rv>
  <rv s="0">
    <fb>166.09</fb>
    <v>1</v>
  </rv>
  <rv s="0">
    <fb>12303697</fb>
    <v>2</v>
  </rv>
  <rv s="0">
    <fb>45714</fb>
    <v>0</v>
  </rv>
  <rv s="0">
    <fb>163.08000000000001</fb>
    <v>1</v>
  </rv>
  <rv s="0">
    <fb>11396410</fb>
    <v>2</v>
  </rv>
  <rv s="0">
    <fb>45715</fb>
    <v>0</v>
  </rv>
  <rv s="0">
    <fb>163.72999999999999</fb>
    <v>1</v>
  </rv>
  <rv s="0">
    <fb>8364573</fb>
    <v>2</v>
  </rv>
  <rv s="0">
    <fb>45716</fb>
    <v>0</v>
  </rv>
  <rv s="0">
    <fb>165.02</fb>
    <v>1</v>
  </rv>
  <rv s="0">
    <fb>12037415</fb>
    <v>2</v>
  </rv>
  <rv s="0">
    <fb>45719</fb>
    <v>0</v>
  </rv>
  <rv s="0">
    <fb>167.28</fb>
    <v>1</v>
  </rv>
  <rv s="0">
    <fb>9191464</fb>
    <v>2</v>
  </rv>
  <rv s="0">
    <fb>45720</fb>
    <v>0</v>
  </rv>
  <rv s="0">
    <fb>165.42</fb>
    <v>1</v>
  </rv>
  <rv s="0">
    <fb>11999962</fb>
    <v>2</v>
  </rv>
  <rv s="0">
    <fb>45721</fb>
    <v>0</v>
  </rv>
  <rv s="0">
    <fb>8745050</fb>
    <v>2</v>
  </rv>
  <rv s="0">
    <fb>45722</fb>
    <v>0</v>
  </rv>
  <rv s="0">
    <fb>165.83</fb>
    <v>1</v>
  </rv>
  <rv s="0">
    <fb>8037888</fb>
    <v>2</v>
  </rv>
  <rv s="0">
    <fb>45723</fb>
    <v>0</v>
  </rv>
  <rv s="0">
    <fb>166.69</fb>
    <v>1</v>
  </rv>
  <rv s="0">
    <fb>9637593</fb>
    <v>2</v>
  </rv>
  <rv s="0">
    <fb>45726</fb>
    <v>0</v>
  </rv>
  <rv s="0">
    <fb>167.7</fb>
    <v>1</v>
  </rv>
  <rv s="0">
    <fb>17558982</fb>
    <v>2</v>
  </rv>
  <rv s="0">
    <fb>45727</fb>
    <v>0</v>
  </rv>
  <rv s="0">
    <fb>9890648</fb>
    <v>2</v>
  </rv>
  <rv s="0">
    <fb>45728</fb>
    <v>0</v>
  </rv>
  <rv s="0">
    <fb>162.85</fb>
    <v>1</v>
  </rv>
  <rv s="0">
    <fb>8010692</fb>
    <v>2</v>
  </rv>
  <rv s="0">
    <fb>45729</fb>
    <v>0</v>
  </rv>
  <rv s="0">
    <fb>162.99</fb>
    <v>1</v>
  </rv>
  <rv s="0">
    <fb>5286734</fb>
    <v>2</v>
  </rv>
  <rv s="0">
    <fb>45730</fb>
    <v>0</v>
  </rv>
  <rv s="0">
    <fb>162.81</fb>
    <v>1</v>
  </rv>
  <rv s="0">
    <fb>6235797</fb>
    <v>2</v>
  </rv>
  <rv s="0">
    <fb>45733</fb>
    <v>0</v>
  </rv>
  <rv s="0">
    <fb>162.84</fb>
    <v>1</v>
  </rv>
  <rv s="0">
    <fb>6669815</fb>
    <v>2</v>
  </rv>
  <rv s="0">
    <fb>45734</fb>
    <v>0</v>
  </rv>
  <rv s="0">
    <fb>164.25</fb>
    <v>1</v>
  </rv>
  <rv s="0">
    <fb>7348974</fb>
    <v>2</v>
  </rv>
  <rv s="0">
    <fb>45735</fb>
    <v>0</v>
  </rv>
  <rv s="0">
    <fb>5936637</fb>
    <v>2</v>
  </rv>
  <rv s="0">
    <fb>45736</fb>
    <v>0</v>
  </rv>
  <rv s="0">
    <fb>163.02000000000001</fb>
    <v>1</v>
  </rv>
  <rv s="0">
    <fb>7485930</fb>
    <v>2</v>
  </rv>
  <rv s="0">
    <fb>45737</fb>
    <v>0</v>
  </rv>
  <rv s="0">
    <fb>163.63</fb>
    <v>1</v>
  </rv>
  <rv s="0">
    <fb>17047106</fb>
    <v>2</v>
  </rv>
  <rv s="0">
    <fb>45740</fb>
    <v>0</v>
  </rv>
  <rv s="0">
    <fb>163.29</fb>
    <v>1</v>
  </rv>
  <rv s="0">
    <fb>8046565</fb>
    <v>2</v>
  </rv>
  <rv s="0">
    <fb>45741</fb>
    <v>0</v>
  </rv>
  <rv s="0">
    <fb>161.02000000000001</fb>
    <v>1</v>
  </rv>
  <rv s="0">
    <fb>7456197</fb>
    <v>2</v>
  </rv>
  <rv s="0">
    <fb>45742</fb>
    <v>0</v>
  </rv>
  <rv s="0">
    <fb>161.72</fb>
    <v>1</v>
  </rv>
  <rv s="0">
    <fb>7223773</fb>
    <v>2</v>
  </rv>
  <rv s="0">
    <fb>45743</fb>
    <v>0</v>
  </rv>
  <rv s="0">
    <fb>163.13</fb>
    <v>1</v>
  </rv>
  <rv s="0">
    <fb>6752466</fb>
    <v>2</v>
  </rv>
  <rv s="0">
    <fb>45744</fb>
    <v>0</v>
  </rv>
  <rv s="0">
    <fb>163.71</fb>
    <v>1</v>
  </rv>
  <rv s="0">
    <fb>5760545</fb>
    <v>2</v>
  </rv>
  <rv s="0">
    <fb>45747</fb>
    <v>0</v>
  </rv>
  <rv s="0">
    <fb>165.84</fb>
    <v>1</v>
  </rv>
  <rv s="0">
    <fb>12481400</fb>
    <v>2</v>
  </rv>
  <rv s="0">
    <fb>45748</fb>
    <v>0</v>
  </rv>
  <rv s="0">
    <fb>153.25</fb>
    <v>1</v>
  </rv>
  <rv s="0">
    <fb>23303065</fb>
    <v>2</v>
  </rv>
  <rv s="0">
    <fb>45749</fb>
    <v>0</v>
  </rv>
  <rv s="0">
    <fb>155.36000000000001</fb>
    <v>1</v>
  </rv>
  <rv s="0">
    <fb>10356920</fb>
    <v>2</v>
  </rv>
  <rv s="0">
    <fb>45750</fb>
    <v>0</v>
  </rv>
  <rv s="0">
    <fb>159.82</fb>
    <v>1</v>
  </rv>
  <rv s="0">
    <fb>13249313</fb>
    <v>2</v>
  </rv>
  <rv s="0">
    <fb>45751</fb>
    <v>0</v>
  </rv>
  <rv s="0">
    <fb>16601728</fb>
    <v>2</v>
  </rv>
  <rv s="0">
    <fb>45754</fb>
    <v>0</v>
  </rv>
  <rv s="0">
    <fb>150.62</fb>
    <v>1</v>
  </rv>
  <rv s="0">
    <fb>18083040</fb>
    <v>2</v>
  </rv>
  <rv s="0">
    <fb>45755</fb>
    <v>0</v>
  </rv>
  <rv s="0">
    <fb>150</fb>
    <v>1</v>
  </rv>
  <rv s="0">
    <fb>12018391</fb>
    <v>2</v>
  </rv>
  <rv s="0">
    <fb>45756</fb>
    <v>0</v>
  </rv>
  <rv s="0">
    <fb>150.97</fb>
    <v>1</v>
  </rv>
  <rv s="0">
    <fb>18773742</fb>
    <v>2</v>
  </rv>
  <rv s="0">
    <fb>45757</fb>
    <v>0</v>
  </rv>
  <rv s="0">
    <fb>148.69</fb>
    <v>1</v>
  </rv>
  <rv s="0">
    <fb>13830474</fb>
    <v>2</v>
  </rv>
  <rv s="0">
    <fb>45758</fb>
    <v>0</v>
  </rv>
  <rv s="0">
    <fb>151.72999999999999</fb>
    <v>1</v>
  </rv>
  <rv s="0">
    <fb>9943851</fb>
    <v>2</v>
  </rv>
  <rv s="0">
    <fb>45761</fb>
    <v>0</v>
  </rv>
  <rv s="0">
    <fb>154.36000000000001</fb>
    <v>1</v>
  </rv>
  <rv s="0">
    <fb>10685338</fb>
    <v>2</v>
  </rv>
  <rv s="0">
    <fb>45762</fb>
    <v>0</v>
  </rv>
  <rv s="0">
    <fb>153.62</fb>
    <v>1</v>
  </rv>
  <rv s="0">
    <fb>10847653</fb>
    <v>2</v>
  </rv>
  <rv s="0">
    <fb>45763</fb>
    <v>0</v>
  </rv>
  <rv s="0">
    <fb>153.91</fb>
    <v>1</v>
  </rv>
  <rv s="0">
    <fb>7987296</fb>
    <v>2</v>
  </rv>
  <rv s="0">
    <fb>45764</fb>
    <v>0</v>
  </rv>
  <rv s="0">
    <fb>157.47</fb>
    <v>1</v>
  </rv>
  <rv s="0">
    <fb>10981067</fb>
    <v>2</v>
  </rv>
  <rv s="0">
    <fb>45768</fb>
    <v>0</v>
  </rv>
  <rv s="0">
    <fb>156.91999999999999</fb>
    <v>1</v>
  </rv>
  <rv s="0">
    <fb>6285438</fb>
    <v>2</v>
  </rv>
  <rv s="0">
    <fb>45769</fb>
    <v>0</v>
  </rv>
  <rv s="0">
    <fb>157.75</fb>
    <v>1</v>
  </rv>
  <rv s="0">
    <fb>7136321</fb>
    <v>2</v>
  </rv>
  <rv s="0">
    <fb>45770</fb>
    <v>0</v>
  </rv>
  <rv s="0">
    <fb>155.38</fb>
    <v>1</v>
  </rv>
  <rv s="0">
    <fb>9099438</fb>
    <v>2</v>
  </rv>
  <rv s="0">
    <fb>45771</fb>
    <v>0</v>
  </rv>
  <rv s="0">
    <fb>154.93</fb>
    <v>1</v>
  </rv>
  <rv s="0">
    <fb>8310425</fb>
    <v>2</v>
  </rv>
  <rv s="0">
    <fb>45772</fb>
    <v>0</v>
  </rv>
  <rv s="0">
    <fb>154.58000000000001</fb>
    <v>1</v>
  </rv>
  <rv s="0">
    <fb>8643927</fb>
    <v>2</v>
  </rv>
  <rv s="0">
    <fb>45775</fb>
    <v>0</v>
  </rv>
  <rv s="0">
    <fb>155.35</fb>
    <v>1</v>
  </rv>
  <rv s="0">
    <fb>5815179</fb>
    <v>2</v>
  </rv>
  <rv s="0">
    <fb>45776</fb>
    <v>0</v>
  </rv>
  <rv s="0">
    <fb>155.91</fb>
    <v>1</v>
  </rv>
  <rv s="0">
    <fb>5246725</fb>
    <v>2</v>
  </rv>
  <rv s="0">
    <fb>45777</fb>
    <v>0</v>
  </rv>
  <rv s="0">
    <fb>156.31</fb>
    <v>1</v>
  </rv>
  <rv s="0">
    <fb>9598156</fb>
    <v>2</v>
  </rv>
  <rv s="0">
    <fb>45778</fb>
    <v>0</v>
  </rv>
  <rv s="0">
    <fb>154.46</fb>
    <v>1</v>
  </rv>
  <rv s="0">
    <fb>7325849</fb>
    <v>2</v>
  </rv>
  <rv s="0">
    <fb>45779</fb>
    <v>0</v>
  </rv>
  <rv s="0">
    <fb>156.12</fb>
    <v>1</v>
  </rv>
  <rv s="0">
    <fb>5974539</fb>
    <v>2</v>
  </rv>
  <rv s="0">
    <fb>45782</fb>
    <v>0</v>
  </rv>
  <rv s="0">
    <fb>155</fb>
    <v>1</v>
  </rv>
  <rv s="0">
    <fb>5464496</fb>
    <v>2</v>
  </rv>
  <rv s="0">
    <fb>45783</fb>
    <v>0</v>
  </rv>
  <rv s="0">
    <fb>154.47</fb>
    <v>1</v>
  </rv>
  <rv s="0">
    <fb>8644189</fb>
    <v>2</v>
  </rv>
  <rv s="0">
    <fb>45784</fb>
    <v>0</v>
  </rv>
  <rv s="0">
    <fb>157.30000000000001</fb>
    <v>1</v>
  </rv>
  <rv s="0">
    <fb>7854106</fb>
    <v>2</v>
  </rv>
  <rv s="0">
    <fb>45785</fb>
    <v>0</v>
  </rv>
  <rv s="0">
    <fb>155.66</fb>
    <v>1</v>
  </rv>
  <rv s="0">
    <fb>7606095</fb>
    <v>2</v>
  </rv>
  <rv s="0">
    <fb>45786</fb>
    <v>0</v>
  </rv>
  <rv s="0">
    <fb>154.22</fb>
    <v>1</v>
  </rv>
  <rv s="0">
    <fb>6520449</fb>
    <v>2</v>
  </rv>
  <rv s="0">
    <fb>45789</fb>
    <v>0</v>
  </rv>
  <rv s="0">
    <fb>154.13999999999999</fb>
    <v>1</v>
  </rv>
  <rv s="0">
    <fb>9023782</fb>
    <v>2</v>
  </rv>
  <rv s="0">
    <fb>45790</fb>
    <v>0</v>
  </rv>
  <rv s="0">
    <fb>148.44</fb>
    <v>1</v>
  </rv>
  <rv s="0">
    <fb>10549609</fb>
    <v>2</v>
  </rv>
  <rv s="0">
    <fb>45791</fb>
    <v>0</v>
  </rv>
  <rv s="0">
    <fb>146.36000000000001</fb>
    <v>1</v>
  </rv>
  <rv s="0">
    <fb>10215952</fb>
    <v>2</v>
  </rv>
  <rv s="0">
    <fb>45792</fb>
    <v>0</v>
  </rv>
  <rv s="0">
    <fb>149.61000000000001</fb>
    <v>1</v>
  </rv>
  <rv s="0">
    <fb>7945768</fb>
    <v>2</v>
  </rv>
  <rv s="0">
    <fb>45793</fb>
    <v>0</v>
  </rv>
  <rv s="0">
    <fb>151.33000000000001</fb>
    <v>1</v>
  </rv>
  <rv s="0">
    <fb>8051150</fb>
    <v>2</v>
  </rv>
  <rv s="0">
    <fb>45796</fb>
    <v>0</v>
  </rv>
  <rv s="0">
    <fb>152.49</fb>
    <v>1</v>
  </rv>
  <rv s="0">
    <fb>12639948</fb>
    <v>2</v>
  </rv>
  <rv s="0">
    <fb>45797</fb>
    <v>0</v>
  </rv>
  <rv s="0">
    <fb>153.66</fb>
    <v>1</v>
  </rv>
  <rv s="0">
    <fb>7351451</fb>
    <v>2</v>
  </rv>
  <rv s="0">
    <fb>45798</fb>
    <v>0</v>
  </rv>
  <rv s="0">
    <fb>153.18</fb>
    <v>1</v>
  </rv>
  <rv s="0">
    <fb>7032225</fb>
    <v>2</v>
  </rv>
  <rv s="0">
    <fb>45799</fb>
    <v>0</v>
  </rv>
  <rv s="0">
    <fb>152.61000000000001</fb>
    <v>1</v>
  </rv>
  <rv s="0">
    <fb>7535335</fb>
    <v>2</v>
  </rv>
  <rv s="0">
    <fb>45800</fb>
    <v>0</v>
  </rv>
  <rv s="0">
    <fb>152.94</fb>
    <v>1</v>
  </rv>
  <rv s="0">
    <fb>6727539</fb>
    <v>2</v>
  </rv>
  <rv s="0">
    <fb>45804</fb>
    <v>0</v>
  </rv>
  <rv s="0">
    <fb>6990694</fb>
    <v>2</v>
  </rv>
  <rv s="0">
    <fb>45805</fb>
    <v>0</v>
  </rv>
  <rv s="0">
    <fb>152.43</fb>
    <v>1</v>
  </rv>
  <rv s="0">
    <fb>8459310</fb>
    <v>2</v>
  </rv>
  <rv s="0">
    <fb>45806</fb>
    <v>0</v>
  </rv>
  <rv s="0">
    <fb>153.58000000000001</fb>
    <v>1</v>
  </rv>
  <rv s="0">
    <fb>6810982</fb>
    <v>2</v>
  </rv>
  <rv s="0">
    <fb>45807</fb>
    <v>0</v>
  </rv>
  <rv s="0">
    <fb>155.21</fb>
    <v>1</v>
  </rv>
  <rv s="0">
    <fb>15529716</fb>
    <v>2</v>
  </rv>
  <rv s="0">
    <fb>45810</fb>
    <v>0</v>
  </rv>
  <rv s="0">
    <fb>6669669</fb>
    <v>2</v>
  </rv>
  <rv s="0">
    <fb>45811</fb>
    <v>0</v>
  </rv>
  <rv s="0">
    <fb>154.41999999999999</fb>
    <v>1</v>
  </rv>
  <rv s="0">
    <fb>8209757</fb>
    <v>2</v>
  </rv>
  <rv s="0">
    <fb>45812</fb>
    <v>0</v>
  </rv>
  <rv s="0">
    <fb>153.22</fb>
    <v>1</v>
  </rv>
  <rv s="0">
    <fb>6983861</fb>
    <v>2</v>
  </rv>
  <rv s="0">
    <fb>45813</fb>
    <v>0</v>
  </rv>
  <rv s="0">
    <fb>5296258</fb>
    <v>2</v>
  </rv>
  <rv s="0">
    <fb>45814</fb>
    <v>0</v>
  </rv>
  <rv s="0">
    <fb>155.03</fb>
    <v>1</v>
  </rv>
  <rv s="0">
    <fb>5391841</fb>
    <v>2</v>
  </rv>
  <rv s="0">
    <fb>45817</fb>
    <v>0</v>
  </rv>
  <rv s="0">
    <fb>5319232</fb>
    <v>2</v>
  </rv>
  <rv s="0">
    <fb>45818</fb>
    <v>0</v>
  </rv>
  <rv s="0">
    <fb>156.44999999999999</fb>
    <v>1</v>
  </rv>
  <rv s="0">
    <fb>6791881</fb>
    <v>2</v>
  </rv>
  <rv s="0">
    <fb>45819</fb>
    <v>0</v>
  </rv>
  <rv s="0">
    <fb>6016039</fb>
    <v>2</v>
  </rv>
  <rv s="0">
    <fb>45820</fb>
    <v>0</v>
  </rv>
  <rv s="0">
    <fb>156.66</fb>
    <v>1</v>
  </rv>
  <rv s="0">
    <fb>7075511</fb>
    <v>2</v>
  </rv>
  <rv s="0">
    <fb>45821</fb>
    <v>0</v>
  </rv>
  <rv s="0">
    <fb>157.1</fb>
    <v>1</v>
  </rv>
  <rv s="0">
    <fb>6587849</fb>
    <v>2</v>
  </rv>
  <rv s="0">
    <fb>45824</fb>
    <v>0</v>
  </rv>
  <rv s="0">
    <fb>7023995</fb>
    <v>2</v>
  </rv>
  <rv s="0">
    <fb>45825</fb>
    <v>0</v>
  </rv>
  <rv s="0">
    <fb>152.38</fb>
    <v>1</v>
  </rv>
  <rv s="0">
    <fb>6407098</fb>
    <v>2</v>
  </rv>
  <rv s="0">
    <fb>45826</fb>
    <v>0</v>
  </rv>
  <rv s="0">
    <fb>150.72999999999999</fb>
    <v>1</v>
  </rv>
  <rv s="0">
    <fb>8325237</fb>
    <v>2</v>
  </rv>
  <rv s="0">
    <fb>45828</fb>
    <v>0</v>
  </rv>
  <rv s="0">
    <fb>149.79</fb>
    <v>1</v>
  </rv>
  <rv s="0">
    <fb>22605471</fb>
    <v>2</v>
  </rv>
  <rv s="0">
    <fb>45831</fb>
    <v>0</v>
  </rv>
  <rv s="0">
    <fb>151.32</fb>
    <v>1</v>
  </rv>
  <rv s="0">
    <fb>7397853</fb>
    <v>2</v>
  </rv>
  <rv s="0">
    <fb>45832</fb>
    <v>0</v>
  </rv>
  <rv s="0">
    <fb>152.19</fb>
    <v>1</v>
  </rv>
  <rv s="0">
    <fb>9544217</fb>
    <v>2</v>
  </rv>
  <rv s="0">
    <fb>45833</fb>
    <v>0</v>
  </rv>
  <rv s="0">
    <fb>152.28</fb>
    <v>1</v>
  </rv>
  <rv s="0">
    <fb>7153708</fb>
    <v>2</v>
  </rv>
  <rv s="0">
    <fb>45834</fb>
    <v>0</v>
  </rv>
  <rv s="0">
    <fb>152.01</fb>
    <v>1</v>
  </rv>
  <rv s="0">
    <fb>7156903</fb>
    <v>2</v>
  </rv>
  <rv s="0">
    <fb>45835</fb>
    <v>0</v>
  </rv>
  <rv s="0">
    <fb>152.41</fb>
    <v>1</v>
  </rv>
  <rv s="0">
    <fb>10010787</fb>
    <v>2</v>
  </rv>
  <rv s="0">
    <fb>45838</fb>
    <v>0</v>
  </rv>
  <rv s="0">
    <fb>152.75</fb>
    <v>1</v>
  </rv>
  <rv s="0">
    <fb>9039552</fb>
    <v>2</v>
  </rv>
  <rv s="0">
    <fb>45839</fb>
    <v>0</v>
  </rv>
  <rv s="0">
    <fb>155.91999999999999</fb>
    <v>1</v>
  </rv>
  <rv s="0">
    <fb>10896676</fb>
    <v>2</v>
  </rv>
  <rv s="0">
    <fb>45840</fb>
    <v>0</v>
  </rv>
  <rv s="0">
    <fb>155.56</fb>
    <v>1</v>
  </rv>
  <rv s="0">
    <fb>5544030</fb>
    <v>2</v>
  </rv>
  <rv s="0">
    <fb>45841</fb>
    <v>0</v>
  </rv>
  <rv s="0">
    <fb>156.01</fb>
    <v>1</v>
  </rv>
  <rv s="0">
    <fb>3482521</fb>
    <v>2</v>
  </rv>
  <rv s="0">
    <fb>45845</fb>
    <v>0</v>
  </rv>
  <rv s="0">
    <fb>155.27000000000001</fb>
    <v>1</v>
  </rv>
  <rv s="0">
    <fb>6270887</fb>
    <v>2</v>
  </rv>
  <rv s="0">
    <fb>45846</fb>
    <v>0</v>
  </rv>
  <rv s="0">
    <fb>155.79</fb>
    <v>1</v>
  </rv>
  <rv s="0">
    <fb>6438221</fb>
    <v>2</v>
  </rv>
  <rv s="0">
    <fb>45847</fb>
    <v>0</v>
  </rv>
  <rv s="0">
    <fb>6147685</fb>
    <v>2</v>
  </rv>
  <rv s="0">
    <fb>45848</fb>
    <v>0</v>
  </rv>
  <rv s="0">
    <fb>157.69</fb>
    <v>1</v>
  </rv>
  <rv s="0">
    <fb>6733128</fb>
    <v>2</v>
  </rv>
  <rv s="0">
    <fb>45849</fb>
    <v>0</v>
  </rv>
  <rv s="0">
    <fb>156.9</fb>
    <v>1</v>
  </rv>
  <rv s="0">
    <fb>7872172</fb>
    <v>2</v>
  </rv>
  <rv s="0">
    <fb>45852</fb>
    <v>0</v>
  </rv>
  <rv s="0">
    <fb>156.82</fb>
    <v>1</v>
  </rv>
  <rv s="0">
    <fb>10185632</fb>
    <v>2</v>
  </rv>
  <rv s="0">
    <fb>45853</fb>
    <v>0</v>
  </rv>
  <rv s="0">
    <fb>6873200</fb>
    <v>2</v>
  </rv>
  <rv s="0">
    <fb>45854</fb>
    <v>0</v>
  </rv>
  <rv s="0">
    <fb>164.78</fb>
    <v>1</v>
  </rv>
  <rv s="0">
    <fb>22134769</fb>
    <v>2</v>
  </rv>
  <rv s="0">
    <fb>45855</fb>
    <v>0</v>
  </rv>
  <rv s="0">
    <fb>162.97999999999999</fb>
    <v>1</v>
  </rv>
  <rv s="0">
    <fb>11295747</fb>
    <v>2</v>
  </rv>
  <rv s="0">
    <fb>45856</fb>
    <v>0</v>
  </rv>
  <rv s="0">
    <fb>163.69999999999999</fb>
    <v>1</v>
  </rv>
  <rv s="0">
    <fb>9793046</fb>
    <v>2</v>
  </rv>
  <rv s="0">
    <fb>45859</fb>
    <v>0</v>
  </rv>
  <rv s="0">
    <fb>164.36</fb>
    <v>1</v>
  </rv>
  <rv s="0">
    <fb>8254003</fb>
    <v>2</v>
  </rv>
  <rv s="0">
    <fb>45860</fb>
    <v>0</v>
  </rv>
  <rv s="0">
    <fb>167.93</fb>
    <v>1</v>
  </rv>
  <rv s="0">
    <fb>9287991</fb>
    <v>2</v>
  </rv>
  <rv s="0">
    <fb>45861</fb>
    <v>0</v>
  </rv>
  <rv s="0">
    <fb>169.1</fb>
    <v>1</v>
  </rv>
  <rv s="0">
    <fb>10617636</fb>
    <v>2</v>
  </rv>
  <rv s="0">
    <fb>45862</fb>
    <v>0</v>
  </rv>
  <rv s="0">
    <fb>169.56</fb>
    <v>1</v>
  </rv>
  <rv s="0">
    <fb>6636918</fb>
    <v>2</v>
  </rv>
  <rv s="0">
    <fb>45863</fb>
    <v>0</v>
  </rv>
  <rv s="0">
    <fb>168.3</fb>
    <v>1</v>
  </rv>
  <rv s="0">
    <fb>6255183</fb>
    <v>2</v>
  </rv>
  <rv s="0">
    <fb>45866</fb>
    <v>0</v>
  </rv>
  <rv s="0">
    <fb>166.22</fb>
    <v>1</v>
  </rv>
  <rv s="0">
    <fb>8014640</fb>
    <v>2</v>
  </rv>
  <rv s="0">
    <fb>45867</fb>
    <v>0</v>
  </rv>
  <rv s="0">
    <fb>168.11</fb>
    <v>1</v>
  </rv>
  <rv s="0">
    <fb>7663408</fb>
    <v>2</v>
  </rv>
  <rv s="0">
    <fb>45868</fb>
    <v>0</v>
  </rv>
  <rv s="0">
    <fb>167.26</fb>
    <v>1</v>
  </rv>
  <rv s="0">
    <fb>6189161</fb>
    <v>2</v>
  </rv>
  <rv s="0">
    <fb>45869</fb>
    <v>0</v>
  </rv>
  <rv s="0">
    <fb>164.74</fb>
    <v>1</v>
  </rv>
  <rv s="0">
    <fb>11036179</fb>
    <v>2</v>
  </rv>
  <rv s="0">
    <fb>45870</fb>
    <v>0</v>
  </rv>
  <rv s="0">
    <fb>167.33</fb>
    <v>1</v>
  </rv>
  <rv s="0">
    <fb>8928229</fb>
    <v>2</v>
  </rv>
  <rv s="0">
    <fb>45873</fb>
    <v>0</v>
  </rv>
  <rv s="0">
    <fb>171.04</fb>
    <v>1</v>
  </rv>
  <rv s="0">
    <fb>12679095</fb>
    <v>2</v>
  </rv>
  <rv s="0">
    <fb>45874</fb>
    <v>0</v>
  </rv>
  <rv s="0">
    <fb>170.74</fb>
    <v>1</v>
  </rv>
  <rv s="0">
    <fb>7934442</fb>
    <v>2</v>
  </rv>
  <rv s="0">
    <fb>45875</fb>
    <v>0</v>
  </rv>
  <rv s="0">
    <fb>170.59</fb>
    <v>1</v>
  </rv>
  <rv s="0">
    <fb>8957240</fb>
    <v>2</v>
  </rv>
  <rv s="0">
    <fb>45876</fb>
    <v>0</v>
  </rv>
  <rv s="0">
    <fb>171.53</fb>
    <v>1</v>
  </rv>
  <rv s="0">
    <fb>9315942</fb>
    <v>2</v>
  </rv>
  <rv s="0">
    <fb>45877</fb>
    <v>0</v>
  </rv>
  <rv s="0">
    <fb>173.33</fb>
    <v>1</v>
  </rv>
  <rv s="0">
    <fb>7686765</fb>
    <v>2</v>
  </rv>
  <rv s="0">
    <fb>45880</fb>
    <v>0</v>
  </rv>
  <rv s="0">
    <fb>173.82</fb>
    <v>1</v>
  </rv>
  <rv s="0">
    <fb>7256778</fb>
    <v>2</v>
  </rv>
  <rv s="0">
    <fb>45881</fb>
    <v>0</v>
  </rv>
  <rv s="0">
    <fb>172.78</fb>
    <v>1</v>
  </rv>
  <rv s="0">
    <fb>7917437</fb>
    <v>2</v>
  </rv>
  <rv s="0">
    <fb>45882</fb>
    <v>0</v>
  </rv>
  <rv s="0">
    <fb>174.42</fb>
    <v>1</v>
  </rv>
  <rv s="0">
    <fb>5878666</fb>
    <v>2</v>
  </rv>
  <rv s="0">
    <fb>45883</fb>
    <v>0</v>
  </rv>
  <rv s="0">
    <fb>174.72</fb>
    <v>1</v>
  </rv>
  <rv s="0">
    <fb>8241942</fb>
    <v>2</v>
  </rv>
  <rv s="0">
    <fb>45884</fb>
    <v>0</v>
  </rv>
  <rv s="0">
    <fb>176.64</fb>
    <v>1</v>
  </rv>
  <rv s="0">
    <fb>9477559</fb>
    <v>2</v>
  </rv>
  <rv s="0">
    <fb>45887</fb>
    <v>0</v>
  </rv>
  <rv s="0">
    <fb>176.25</fb>
    <v>1</v>
  </rv>
  <rv s="0">
    <fb>9284138</fb>
    <v>2</v>
  </rv>
  <rv s="0">
    <fb>45888</fb>
    <v>0</v>
  </rv>
  <rv s="0">
    <fb>177.8</fb>
    <v>1</v>
  </rv>
  <rv s="0">
    <fb>9274182</fb>
    <v>2</v>
  </rv>
  <rv s="0">
    <fb>45889</fb>
    <v>0</v>
  </rv>
  <rv s="0">
    <fb>178.84</fb>
    <v>1</v>
  </rv>
  <rv s="0">
    <fb>9030396</fb>
    <v>2</v>
  </rv>
  <rv s="0">
    <fb>45890</fb>
    <v>0</v>
  </rv>
  <rv s="0">
    <fb>178.93</fb>
    <v>1</v>
  </rv>
  <rv s="0">
    <fb>8859552</fb>
    <v>2</v>
  </rv>
  <rv s="0">
    <fb>45891</fb>
    <v>0</v>
  </rv>
  <rv s="0">
    <fb>179.29</fb>
    <v>1</v>
  </rv>
  <rv s="0">
    <fb>9524308</fb>
    <v>2</v>
  </rv>
  <rv s="0">
    <fb>45894</fb>
    <v>0</v>
  </rv>
  <rv s="0">
    <fb>178.41</fb>
    <v>1</v>
  </rv>
  <rv s="0">
    <fb>6229149</fb>
    <v>2</v>
  </rv>
  <rv s="0">
    <fb>45895</fb>
    <v>0</v>
  </rv>
  <rv s="0">
    <fb>176.49</fb>
    <v>1</v>
  </rv>
  <rv s="0">
    <fb>9145045</fb>
    <v>2</v>
  </rv>
  <rv s="0">
    <fb>45896</fb>
    <v>0</v>
  </rv>
  <rv s="0">
    <fb>176.79</fb>
    <v>1</v>
  </rv>
  <rv s="0">
    <fb>5951099</fb>
    <v>2</v>
  </rv>
  <rv s="0">
    <fb>45897</fb>
    <v>0</v>
  </rv>
  <rv s="0">
    <fb>175.45</fb>
    <v>1</v>
  </rv>
  <rv s="0">
    <fb>6424695</fb>
    <v>2</v>
  </rv>
  <rv s="0">
    <fb>45898</fb>
    <v>0</v>
  </rv>
  <rv s="0">
    <fb>177.17</fb>
    <v>1</v>
  </rv>
  <rv s="0">
    <fb>6942311</fb>
    <v>2</v>
  </rv>
  <rv s="0">
    <fb>45902</fb>
    <v>0</v>
  </rv>
  <rv s="0">
    <fb>178.06</fb>
    <v>1</v>
  </rv>
  <rv s="0">
    <fb>9049003</fb>
    <v>2</v>
  </rv>
  <rv s="0">
    <fb>45903</fb>
    <v>0</v>
  </rv>
  <rv s="0">
    <fb>178</fb>
    <v>1</v>
  </rv>
  <rv s="0">
    <fb>7111689</fb>
    <v>2</v>
  </rv>
  <rv s="0">
    <fb>45904</fb>
    <v>0</v>
  </rv>
  <rv s="0">
    <fb>178.76</fb>
    <v>1</v>
  </rv>
  <rv s="0">
    <fb>7854833</fb>
    <v>2</v>
  </rv>
  <rv s="0">
    <fb>45905</fb>
    <v>0</v>
  </rv>
  <rv s="0">
    <fb>178.43</fb>
    <v>1</v>
  </rv>
  <rv s="0">
    <fb>9733803</fb>
    <v>2</v>
  </rv>
  <rv s="0">
    <fb>45908</fb>
    <v>0</v>
  </rv>
  <rv s="0">
    <fb>178.13</fb>
    <v>1</v>
  </rv>
  <rv s="0">
    <fb>8382514</fb>
    <v>2</v>
  </rv>
  <rv s="0">
    <fb>45909</fb>
    <v>0</v>
  </rv>
  <rv s="0">
    <fb>176.96</fb>
    <v>1</v>
  </rv>
  <rv s="0">
    <fb>6005703</fb>
    <v>2</v>
  </rv>
  <rv s="0">
    <fb>45910</fb>
    <v>0</v>
  </rv>
  <rv s="0">
    <fb>175.79</fb>
    <v>1</v>
  </rv>
  <rv s="0">
    <fb>6891590</fb>
    <v>2</v>
  </rv>
  <rv s="0">
    <fb>45911</fb>
    <v>0</v>
  </rv>
  <rv s="0">
    <fb>178.5</fb>
    <v>1</v>
  </rv>
  <rv s="0">
    <fb>5792527</fb>
    <v>2</v>
  </rv>
  <rv s="0">
    <fb>45912</fb>
    <v>0</v>
  </rv>
  <rv s="0">
    <fb>7220473</fb>
    <v>2</v>
  </rv>
  <rv s="0">
    <fb>45915</fb>
    <v>0</v>
  </rv>
  <rv s="0">
    <fb>177.4</fb>
    <v>1</v>
  </rv>
  <rv s="0">
    <fb>4768547</fb>
    <v>2</v>
  </rv>
  <rv s="0">
    <fb>45916</fb>
    <v>0</v>
  </rv>
  <rv s="0">
    <fb>176.46</fb>
    <v>1</v>
  </rv>
  <rv s="0">
    <fb>7959652</fb>
    <v>2</v>
  </rv>
  <rv s="0">
    <fb>45917</fb>
    <v>0</v>
  </rv>
  <rv s="0">
    <fb>177.2</fb>
    <v>1</v>
  </rv>
  <rv s="0">
    <fb>6715188</fb>
    <v>2</v>
  </rv>
  <rv s="0">
    <fb>45918</fb>
    <v>0</v>
  </rv>
  <rv s="0">
    <fb>174.16</fb>
    <v>1</v>
  </rv>
  <rv s="0">
    <fb>8200854</fb>
    <v>2</v>
  </rv>
  <rv s="0">
    <fb>45919</fb>
    <v>0</v>
  </rv>
  <rv s="0">
    <fb>176.19</fb>
    <v>1</v>
  </rv>
  <rv s="0">
    <fb>25620954</fb>
    <v>2</v>
  </rv>
  <rv s="0">
    <fb>45922</fb>
    <v>0</v>
  </rv>
  <rv s="0">
    <fb>174.21</fb>
    <v>1</v>
  </rv>
  <rv s="0">
    <fb>7193868</fb>
    <v>2</v>
  </rv>
  <rv s="0">
    <fb>45923</fb>
    <v>0</v>
  </rv>
  <rv s="0">
    <fb>176.58</fb>
    <v>1</v>
  </rv>
  <rv s="0">
    <fb>8350743</fb>
    <v>2</v>
  </rv>
  <rv s="0">
    <fb>45924</fb>
    <v>0</v>
  </rv>
  <rv s="0">
    <fb>176.69</fb>
    <v>1</v>
  </rv>
  <rv s="0">
    <fb>6676770</fb>
    <v>2</v>
  </rv>
  <rv s="0">
    <fb>45925</fb>
    <v>0</v>
  </rv>
  <rv s="0">
    <fb>177.73</fb>
    <v>1</v>
  </rv>
  <rv s="0">
    <fb>8474975</fb>
    <v>2</v>
  </rv>
  <rv s="0">
    <fb>45926</fb>
    <v>0</v>
  </rv>
  <rv s="0">
    <fb>179.71</fb>
    <v>1</v>
  </rv>
  <rv s="0">
    <fb>8634403</fb>
    <v>2</v>
  </rv>
  <rv s="0">
    <fb>45929</fb>
    <v>0</v>
  </rv>
  <rv s="0">
    <fb>181.62</fb>
    <v>1</v>
  </rv>
  <rv s="0">
    <fb>8597083</fb>
    <v>2</v>
  </rv>
  <rv s="0">
    <fb>45930</fb>
    <v>0</v>
  </rv>
  <rv s="0">
    <fb>185.42</fb>
    <v>1</v>
  </rv>
  <rv s="0">
    <fb>11569019</fb>
    <v>2</v>
  </rv>
  <rv s="0">
    <fb>45931</fb>
    <v>0</v>
  </rv>
  <rv s="0">
    <fb>186.05</fb>
    <v>1</v>
  </rv>
  <rv s="0">
    <fb>13063788</fb>
    <v>2</v>
  </rv>
  <rv s="0">
    <fb>45932</fb>
    <v>0</v>
  </rv>
  <rv s="0">
    <fb>185.98</fb>
    <v>1</v>
  </rv>
  <rv s="0">
    <fb>7728069</fb>
    <v>2</v>
  </rv>
  <rv s="0">
    <fb>45933</fb>
    <v>0</v>
  </rv>
  <rv s="0">
    <fb>188.64</fb>
    <v>1</v>
  </rv>
  <rv s="0">
    <fb>8675087</fb>
    <v>2</v>
  </rv>
  <rv s="0">
    <fb>45936</fb>
    <v>0</v>
  </rv>
  <rv s="0">
    <fb>188.16</fb>
    <v>1</v>
  </rv>
  <rv s="0">
    <fb>5806089</fb>
    <v>2</v>
  </rv>
  <rv s="0">
    <fb>45937</fb>
    <v>0</v>
  </rv>
  <rv s="0">
    <fb>188.89</fb>
    <v>1</v>
  </rv>
  <rv s="0">
    <fb>8776784</fb>
    <v>2</v>
  </rv>
  <rv s="0">
    <fb>45938</fb>
    <v>0</v>
  </rv>
  <rv s="0">
    <fb>189.69</fb>
    <v>1</v>
  </rv>
  <rv s="0">
    <fb>5751163</fb>
    <v>2</v>
  </rv>
  <rv s="0">
    <fb>45939</fb>
    <v>0</v>
  </rv>
  <rv s="0">
    <fb>191.08</fb>
    <v>1</v>
  </rv>
  <rv s="0">
    <fb>7484764</fb>
    <v>2</v>
  </rv>
  <rv s="0">
    <fb>45940</fb>
    <v>0</v>
  </rv>
  <rv s="0">
    <fb>190.72</fb>
    <v>1</v>
  </rv>
  <rv s="0">
    <fb>9598019</fb>
    <v>2</v>
  </rv>
  <rv s="0">
    <fb>45943</fb>
    <v>0</v>
  </rv>
  <rv s="0">
    <fb>190.9</fb>
    <v>1</v>
  </rv>
  <rv s="0">
    <fb>7979476</fb>
    <v>2</v>
  </rv>
  <rv s="0">
    <fb>45944</fb>
    <v>0</v>
  </rv>
  <rv s="0">
    <fb>190.85</fb>
    <v>1</v>
  </rv>
  <rv s="0">
    <fb>13613340</fb>
    <v>2</v>
  </rv>
  <rv s="0">
    <fb>45945</fb>
    <v>0</v>
  </rv>
  <rv s="0">
    <fb>191.17</fb>
    <v>1</v>
  </rv>
  <rv s="0">
    <fb>9472995</fb>
    <v>2</v>
  </rv>
  <rv s="0">
    <fb>45946</fb>
    <v>0</v>
  </rv>
  <rv s="0">
    <fb>192.12</fb>
    <v>1</v>
  </rv>
  <rv s="0">
    <fb>10611760</fb>
    <v>2</v>
  </rv>
  <rv s="0">
    <fb>45947</fb>
    <v>0</v>
  </rv>
  <rv s="0">
    <fb>193.22</fb>
    <v>1</v>
  </rv>
  <rv s="0">
    <fb>7764449</fb>
    <v>2</v>
  </rv>
  <rv s="0">
    <fb>45950</fb>
    <v>0</v>
  </rv>
  <rv s="0">
    <fb>193.72</fb>
    <v>1</v>
  </rv>
  <rv s="0">
    <fb>8034740</fb>
    <v>2</v>
  </rv>
  <rv s="0">
    <fb>45951</fb>
    <v>0</v>
  </rv>
  <rv s="0">
    <fb>191.88</fb>
    <v>1</v>
  </rv>
  <rv s="0">
    <fb>6716360</fb>
    <v>2</v>
  </rv>
  <rv s="0">
    <fb>45952</fb>
    <v>0</v>
  </rv>
  <rv s="0">
    <fb>192.94</fb>
    <v>1</v>
  </rv>
  <rv s="0">
    <fb>6343472</fb>
    <v>2</v>
  </rv>
  <rv s="0">
    <fb>45953</fb>
    <v>0</v>
  </rv>
  <rv s="0">
    <fb>192.47</fb>
    <v>1</v>
  </rv>
  <rv s="0">
    <fb>8882491</fb>
    <v>2</v>
  </rv>
  <rv s="0">
    <fb>45954</fb>
    <v>0</v>
  </rv>
  <rv s="0">
    <fb>190.4</fb>
    <v>1</v>
  </rv>
  <rv s="0">
    <fb>6903379</fb>
    <v>2</v>
  </rv>
  <rv s="0">
    <fb>45957</fb>
    <v>0</v>
  </rv>
  <rv s="0">
    <fb>190.3</fb>
    <v>1</v>
  </rv>
  <rv s="0">
    <fb>7125956</fb>
    <v>2</v>
  </rv>
  <rv s="0">
    <fb>45958</fb>
    <v>0</v>
  </rv>
  <rv s="0">
    <fb>186.93</fb>
    <v>1</v>
  </rv>
  <rv s="0">
    <fb>8329457</fb>
    <v>2</v>
  </rv>
  <rv s="0">
    <fb>45959</fb>
    <v>0</v>
  </rv>
  <rv s="0">
    <fb>186.6</fb>
    <v>1</v>
  </rv>
  <rv s="0">
    <fb>10551079</fb>
    <v>2</v>
  </rv>
  <rv s="0">
    <fb>45960</fb>
    <v>0</v>
  </rv>
  <rv s="0">
    <fb>189.05</fb>
    <v>1</v>
  </rv>
  <rv s="0">
    <fb>7072517</fb>
    <v>2</v>
  </rv>
  <rv s="0">
    <fb>45961</fb>
    <v>0</v>
  </rv>
  <rv s="0">
    <fb>188.87</fb>
    <v>1</v>
  </rv>
  <rv s="0">
    <fb>8791666</fb>
    <v>2</v>
  </rv>
  <rv s="0">
    <fb>45964</fb>
    <v>0</v>
  </rv>
  <rv s="0">
    <fb>186.26</fb>
    <v>1</v>
  </rv>
  <rv s="0">
    <fb>7542636</fb>
    <v>2</v>
  </rv>
  <rv s="0">
    <fb>45965</fb>
    <v>0</v>
  </rv>
  <rv s="0">
    <fb>186.86</fb>
    <v>1</v>
  </rv>
  <rv s="0">
    <fb>7209395</fb>
    <v>2</v>
  </rv>
  <rv s="0">
    <fb>45966</fb>
    <v>0</v>
  </rv>
  <rv s="0">
    <fb>186</fb>
    <v>1</v>
  </rv>
  <rv s="0">
    <fb>5049443</fb>
    <v>2</v>
  </rv>
  <rv s="0">
    <fb>45967</fb>
    <v>0</v>
  </rv>
  <rv s="0">
    <fb>186.97</fb>
    <v>1</v>
  </rv>
  <rv s="0">
    <fb>6767417</fb>
    <v>2</v>
  </rv>
  <rv s="0">
    <fb>45968</fb>
    <v>0</v>
  </rv>
  <rv s="0">
    <fb>186.57</fb>
    <v>1</v>
  </rv>
  <rv s="0">
    <fb>6959209</fb>
    <v>2</v>
  </rv>
  <rv s="0">
    <fb>45971</fb>
    <v>0</v>
  </rv>
  <rv s="0">
    <fb>188.41</fb>
    <v>1</v>
  </rv>
  <rv s="0">
    <fb>5324077</fb>
    <v>2</v>
  </rv>
  <rv s="0">
    <fb>45972</fb>
    <v>0</v>
  </rv>
  <rv s="0">
    <fb>193.83</fb>
    <v>1</v>
  </rv>
  <rv s="0">
    <fb>7465592</fb>
    <v>2</v>
  </rv>
  <rv s="0">
    <fb>45973</fb>
    <v>0</v>
  </rv>
  <rv s="0">
    <fb>194.39</fb>
    <v>1</v>
  </rv>
  <rv s="0">
    <fb>8803005</fb>
    <v>2</v>
  </rv>
  <rv s="0">
    <fb>45974</fb>
    <v>0</v>
  </rv>
  <rv s="0">
    <fb>195.25</fb>
    <v>1</v>
  </rv>
  <rv s="0">
    <fb>8631614</fb>
    <v>2</v>
  </rv>
  <rv s="0">
    <fb>45975</fb>
    <v>0</v>
  </rv>
  <rv s="0">
    <fb>195.93</fb>
    <v>1</v>
  </rv>
  <rv s="0">
    <fb>8824847</fb>
    <v>2</v>
  </rv>
  <rv s="0">
    <fb>45978</fb>
    <v>0</v>
  </rv>
  <rv s="0">
    <fb>199.58</fb>
    <v>1</v>
  </rv>
  <rv s="0">
    <fb>13256995</fb>
    <v>2</v>
  </rv>
  <rv s="0">
    <fb>45979</fb>
    <v>0</v>
  </rv>
  <rv s="0">
    <fb>200</fb>
    <v>1</v>
  </rv>
  <rv s="0">
    <fb>12468619</fb>
    <v>2</v>
  </rv>
  <rv s="0">
    <fb>45980</fb>
    <v>0</v>
  </rv>
  <rv s="0">
    <fb>202.51</fb>
    <v>1</v>
  </rv>
  <rv s="0">
    <fb>14690837</fb>
    <v>2</v>
  </rv>
  <rv s="0">
    <fb>45981</fb>
    <v>0</v>
  </rv>
  <rv s="0">
    <fb>203.07</fb>
    <v>1</v>
  </rv>
  <rv s="0">
    <fb>10612550</fb>
    <v>2</v>
  </rv>
  <rv s="0">
    <fb>45982</fb>
    <v>0</v>
  </rv>
  <rv s="0">
    <fb>203.9</fb>
    <v>1</v>
  </rv>
  <rv s="0">
    <fb>13189055</fb>
    <v>2</v>
  </rv>
  <rv s="0">
    <fb>45985</fb>
    <v>0</v>
  </rv>
  <rv s="0">
    <fb>206.05</fb>
    <v>1</v>
  </rv>
  <rv s="0">
    <fb>14803873</fb>
    <v>2</v>
  </rv>
  <rv s="0">
    <fb>45986</fb>
    <v>0</v>
  </rv>
  <rv s="0">
    <fb>206.67</fb>
    <v>1</v>
  </rv>
  <rv s="0">
    <fb>10275724</fb>
    <v>2</v>
  </rv>
  <rv s="0">
    <fb>45987</fb>
    <v>0</v>
  </rv>
  <rv s="0">
    <fb>207.56</fb>
    <v>1</v>
  </rv>
  <rv s="0">
    <fb>6728994</fb>
    <v>2</v>
  </rv>
  <rv s="0">
    <fb>45989</fb>
    <v>0</v>
  </rv>
  <rv s="0">
    <fb>206.92</fb>
    <v>1</v>
  </rv>
  <rv s="0">
    <fb>5638279</fb>
    <v>2</v>
  </rv>
  <rv s="0">
    <fb>45992</fb>
    <v>0</v>
  </rv>
  <rv s="0">
    <fb>205.34</fb>
    <v>1</v>
  </rv>
  <rv s="0">
    <fb>8473726</fb>
    <v>2</v>
  </rv>
  <rv s="0">
    <fb>45993</fb>
    <v>0</v>
  </rv>
  <rv s="0">
    <fb>205.42</fb>
    <v>1</v>
  </rv>
  <rv s="0">
    <fb>8393565</fb>
    <v>2</v>
  </rv>
  <rv s="0">
    <fb>45994</fb>
    <v>0</v>
  </rv>
  <rv s="0">
    <fb>205.33</fb>
    <v>1</v>
  </rv>
  <rv s="0">
    <fb>8363292</fb>
    <v>2</v>
  </rv>
  <rv s="0">
    <fb>45995</fb>
    <v>0</v>
  </rv>
  <rv s="0">
    <fb>202.48</fb>
    <v>1</v>
  </rv>
  <rv s="0">
    <fb>9049943</fb>
    <v>2</v>
  </rv>
  <rv s="0">
    <fb>45996</fb>
    <v>0</v>
  </rv>
  <rv s="0">
    <fb>201.93</fb>
    <v>1</v>
  </rv>
  <rv s="0">
    <fb>7785552</fb>
    <v>2</v>
  </rv>
  <rv s="0">
    <fb>45999</fb>
    <v>0</v>
  </rv>
  <rv s="0">
    <fb>201.62</fb>
    <v>1</v>
  </rv>
  <rv s="0">
    <fb>7785708</fb>
    <v>2</v>
  </rv>
  <rv s="0">
    <fb>46000</fb>
    <v>0</v>
  </rv>
  <rv s="0">
    <fb>199.96</fb>
    <v>1</v>
  </rv>
  <rv s="0">
    <fb>7509402</fb>
    <v>2</v>
  </rv>
  <rv s="0">
    <fb>46001</fb>
    <v>0</v>
  </rv>
  <rv s="0">
    <fb>206.54</fb>
    <v>1</v>
  </rv>
  <rv s="0">
    <fb>11599785</fb>
    <v>2</v>
  </rv>
  <rv s="0">
    <fb>46002</fb>
    <v>0</v>
  </rv>
  <rv s="0">
    <fb>210.01</fb>
    <v>1</v>
  </rv>
  <rv s="0">
    <fb>9008960</fb>
    <v>2</v>
  </rv>
  <rv s="0">
    <fb>46003</fb>
    <v>0</v>
  </rv>
  <rv s="0">
    <fb>211.58</fb>
    <v>1</v>
  </rv>
  <rv s="0">
    <fb>6922683</fb>
    <v>2</v>
  </rv>
  <rv s="0">
    <fb>46006</fb>
    <v>0</v>
  </rv>
  <rv s="0">
    <fb>214.17</fb>
    <v>1</v>
  </rv>
  <rv s="0">
    <fb>8466964</fb>
    <v>2</v>
  </rv>
  <rv s="0">
    <fb>46007</fb>
    <v>0</v>
  </rv>
  <rv s="0">
    <fb>209.3</fb>
    <v>1</v>
  </rv>
  <rv s="0">
    <fb>9949810</fb>
    <v>2</v>
  </rv>
  <rv s="0">
    <fb>46008</fb>
    <v>0</v>
  </rv>
  <rv s="0">
    <fb>210.33</fb>
    <v>1</v>
  </rv>
  <rv s="0">
    <fb>8457560</fb>
    <v>2</v>
  </rv>
  <rv s="0">
    <fb>46009</fb>
    <v>0</v>
  </rv>
  <rv s="0">
    <fb>208.31</fb>
    <v>1</v>
  </rv>
  <rv s="0">
    <fb>7499852</fb>
    <v>2</v>
  </rv>
  <rv s="0">
    <fb>46010</fb>
    <v>0</v>
  </rv>
  <rv s="0">
    <fb>206.37</fb>
    <v>1</v>
  </rv>
  <rv s="0">
    <fb>24803920</fb>
    <v>2</v>
  </rv>
  <rv s="0">
    <fb>46013</fb>
    <v>0</v>
  </rv>
  <rv s="0">
    <fb>207.32</fb>
    <v>1</v>
  </rv>
  <rv s="0">
    <fb>8187755</fb>
    <v>2</v>
  </rv>
  <rv s="0">
    <fb>46014</fb>
    <v>0</v>
  </rv>
  <rv s="0">
    <fb>205.78</fb>
    <v>1</v>
  </rv>
  <rv s="0">
    <fb>7047346</fb>
    <v>2</v>
  </rv>
  <rv s="0">
    <fb>46015</fb>
    <v>0</v>
  </rv>
  <rv s="0">
    <fb>207.78</fb>
    <v>1</v>
  </rv>
  <rv s="0">
    <fb>2376541</fb>
    <v>2</v>
  </rv>
  <rv s="0">
    <fb>46017</fb>
    <v>0</v>
  </rv>
  <rv s="0">
    <fb>207.63</fb>
    <v>1</v>
  </rv>
  <rv s="0">
    <fb>2316730</fb>
    <v>2</v>
  </rv>
  <rv s="0">
    <fb>46020</fb>
    <v>0</v>
  </rv>
  <rv s="0">
    <fb>4348854</fb>
    <v>2</v>
  </rv>
  <rv s="0">
    <fb>46021</fb>
    <v>0</v>
  </rv>
  <rv s="0">
    <fb>206.91</fb>
    <v>1</v>
  </rv>
  <rv s="0">
    <fb>3937395</fb>
    <v>2</v>
  </rv>
  <rv s="0">
    <fb>46022</fb>
    <v>0</v>
  </rv>
  <rv s="0">
    <fb>206.95</fb>
    <v>1</v>
  </rv>
  <rv s="0">
    <fb>4084013</fb>
    <v>2</v>
  </rv>
  <rv s="0">
    <fb>46024</fb>
    <v>0</v>
  </rv>
  <rv s="0">
    <fb>207.35</fb>
    <v>1</v>
  </rv>
  <rv s="0">
    <fb>6325672</fb>
    <v>2</v>
  </rv>
  <rv s="0">
    <fb>46027</fb>
    <v>0</v>
  </rv>
  <rv s="0">
    <fb>204.31</fb>
    <v>1</v>
  </rv>
  <rv s="0">
    <fb>9476975</fb>
    <v>2</v>
  </rv>
  <rv s="0">
    <fb>46028</fb>
    <v>0</v>
  </rv>
  <rv s="0">
    <fb>204.79</fb>
    <v>1</v>
  </rv>
  <rv s="0">
    <fb>8107853</fb>
    <v>2</v>
  </rv>
  <rv s="0">
    <fb>46029</fb>
    <v>0</v>
  </rv>
  <rv s="0">
    <fb>207.49</fb>
    <v>1</v>
  </rv>
  <rv s="0">
    <fb>7545920</fb>
    <v>2</v>
  </rv>
  <rv s="0">
    <fb>46030</fb>
    <v>0</v>
  </rv>
  <rv s="0">
    <fb>205.75</fb>
    <v>1</v>
  </rv>
  <rv s="0">
    <fb>6557776</fb>
    <v>2</v>
  </rv>
  <rv s="0">
    <fb>46031</fb>
    <v>0</v>
  </rv>
  <rv s="0">
    <fb>204.39</fb>
    <v>1</v>
  </rv>
  <rv s="0">
    <fb>6154326</fb>
    <v>2</v>
  </rv>
  <rv s="0">
    <fb>46034</fb>
    <v>0</v>
  </rv>
  <rv s="0">
    <fb>209.72</fb>
    <v>1</v>
  </rv>
  <rv s="0">
    <fb>11794339</fb>
    <v>2</v>
  </rv>
  <rv s="0">
    <fb>46035</fb>
    <v>0</v>
  </rv>
  <rv s="0">
    <fb>213.65</fb>
    <v>1</v>
  </rv>
  <rv s="0">
    <fb>11379590</fb>
    <v>2</v>
  </rv>
  <rv s="0">
    <fb>46036</fb>
    <v>0</v>
  </rv>
  <rv s="0">
    <fb>218.55</fb>
    <v>1</v>
  </rv>
  <rv s="0">
    <fb>11858784</fb>
    <v>2</v>
  </rv>
  <rv s="0">
    <fb>46037</fb>
    <v>0</v>
  </rv>
  <rv s="0">
    <fb>219.57</fb>
    <v>1</v>
  </rv>
  <rv s="0">
    <fb>8492116</fb>
    <v>2</v>
  </rv>
  <rv s="0">
    <fb>46038</fb>
    <v>0</v>
  </rv>
  <rv s="0">
    <fb>218.66</fb>
    <v>1</v>
  </rv>
  <rv s="0">
    <fb>10021515</fb>
    <v>2</v>
  </rv>
  <rv s="1">
    <v>3</v>
    <v>JNJ</v>
    <v>Daily</v>
    <v>45292</v>
    <v>46042</v>
    <v>0</v>
    <v>1</v>
    <v>639041184000000000,639045280373597821,0</v>
    <v>0</v>
    <v>a1w8ec</v>
    <v>XNYS:JNJ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9179C-92F4-437D-B937-36B1AA833219}" name="Weekly" displayName="Weekly" ref="A1:F120" tableType="queryTable" totalsRowShown="0">
  <autoFilter ref="A1:F120" xr:uid="{6439179C-92F4-437D-B937-36B1AA833219}"/>
  <tableColumns count="6">
    <tableColumn id="1" xr3:uid="{64C1996F-BC6A-44DD-85FF-146B95C935D9}" uniqueName="1" name="Date" queryTableFieldId="1" dataDxfId="2"/>
    <tableColumn id="2" xr3:uid="{58289259-A056-406D-8560-4500AEBE8FA6}" uniqueName="2" name="Average Close" queryTableFieldId="2"/>
    <tableColumn id="3" xr3:uid="{FFD1412F-1D33-4ABD-B803-0292A99613A1}" uniqueName="3" name="Forecast" queryTableFieldId="3"/>
    <tableColumn id="4" xr3:uid="{CAB45D72-7C8D-4001-8E31-26CFB2958ED9}" uniqueName="4" name="PI" queryTableFieldId="5"/>
    <tableColumn id="5" xr3:uid="{79BDE564-02B5-431B-BD0E-AFFE3083E290}" uniqueName="5" name="Upper" queryTableFieldId="6" dataDxfId="1">
      <calculatedColumnFormula>Weekly[[#This Row],[Forecast]]+Weekly[[#This Row],[PI]]</calculatedColumnFormula>
    </tableColumn>
    <tableColumn id="6" xr3:uid="{9564E283-D1FA-465A-9966-C8BACA549041}" uniqueName="6" name="Lower" queryTableFieldId="7" dataDxfId="0">
      <calculatedColumnFormula>Weekly[[#This Row],[Forecast]]-Weekly[[#This Row],[PI]]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25</v>
      </c>
      <c r="B1" t="s">
        <v>26</v>
      </c>
    </row>
    <row r="2" spans="1:2" x14ac:dyDescent="0.25">
      <c r="A2" s="13" t="s">
        <v>27</v>
      </c>
      <c r="B2" s="13" t="s">
        <v>28</v>
      </c>
    </row>
    <row r="3" spans="1:2" x14ac:dyDescent="0.25">
      <c r="A3" s="14" t="s">
        <v>1</v>
      </c>
      <c r="B3" s="14" t="s">
        <v>29</v>
      </c>
    </row>
    <row r="4" spans="1:2" x14ac:dyDescent="0.25">
      <c r="A4" s="15" t="s">
        <v>30</v>
      </c>
      <c r="B4" s="15" t="s">
        <v>31</v>
      </c>
    </row>
    <row r="5" spans="1:2" x14ac:dyDescent="0.25">
      <c r="A5" s="16" t="s">
        <v>15</v>
      </c>
      <c r="B5" s="16" t="s">
        <v>32</v>
      </c>
    </row>
    <row r="6" spans="1:2" x14ac:dyDescent="0.25">
      <c r="A6" s="9" t="s">
        <v>20</v>
      </c>
      <c r="B6" s="9" t="s">
        <v>33</v>
      </c>
    </row>
    <row r="7" spans="1:2" x14ac:dyDescent="0.25">
      <c r="A7" s="17" t="s">
        <v>23</v>
      </c>
      <c r="B7" s="17" t="s">
        <v>34</v>
      </c>
    </row>
    <row r="8" spans="1:2" x14ac:dyDescent="0.25">
      <c r="A8" t="s">
        <v>35</v>
      </c>
      <c r="B8" t="s">
        <v>36</v>
      </c>
    </row>
    <row r="9" spans="1:2" x14ac:dyDescent="0.25">
      <c r="A9" t="s">
        <v>37</v>
      </c>
      <c r="B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A514"/>
  <sheetViews>
    <sheetView zoomScale="70" zoomScaleNormal="70" workbookViewId="0">
      <selection activeCell="C1" sqref="C1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1.140625" bestFit="1" customWidth="1"/>
    <col min="4" max="4" width="14.85546875" bestFit="1" customWidth="1"/>
    <col min="7" max="7" width="14.85546875" bestFit="1" customWidth="1"/>
    <col min="8" max="8" width="13.5703125" bestFit="1" customWidth="1"/>
    <col min="9" max="9" width="11.7109375" bestFit="1" customWidth="1"/>
    <col min="13" max="13" width="10.5703125" bestFit="1" customWidth="1"/>
    <col min="14" max="14" width="10" bestFit="1" customWidth="1"/>
    <col min="16" max="17" width="11.42578125" bestFit="1" customWidth="1"/>
    <col min="22" max="22" width="9.7109375" bestFit="1" customWidth="1"/>
    <col min="23" max="23" width="10.140625" bestFit="1" customWidth="1"/>
    <col min="24" max="24" width="8.5703125" bestFit="1" customWidth="1"/>
    <col min="25" max="25" width="8.85546875" bestFit="1" customWidth="1"/>
    <col min="26" max="26" width="13" bestFit="1" customWidth="1"/>
    <col min="27" max="27" width="12.85546875" bestFit="1" customWidth="1"/>
  </cols>
  <sheetData>
    <row r="1" spans="1:27" s="8" customFormat="1" x14ac:dyDescent="0.25">
      <c r="A1" s="4" t="str" cm="1">
        <f t="array" aca="1" ref="A1:C514" ca="1">_xlfn.STOCKHISTORY("JNJ","2024-01-01",TODAY(),0,1,0,1,5)</f>
        <v>Date</v>
      </c>
      <c r="B1" s="4" t="str">
        <f ca="1"/>
        <v>Close</v>
      </c>
      <c r="C1" s="4" t="str">
        <f ca="1"/>
        <v>Volume</v>
      </c>
      <c r="D1" s="5" t="s">
        <v>0</v>
      </c>
      <c r="E1" s="5" t="s">
        <v>1</v>
      </c>
      <c r="F1" s="6" t="s">
        <v>2</v>
      </c>
      <c r="G1" s="6" t="s">
        <v>3</v>
      </c>
      <c r="H1" s="6" t="s">
        <v>4</v>
      </c>
      <c r="I1" s="7" t="s">
        <v>7</v>
      </c>
      <c r="J1" s="7" t="s">
        <v>8</v>
      </c>
      <c r="K1" s="7" t="s">
        <v>6</v>
      </c>
      <c r="L1" s="7" t="s">
        <v>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1" t="s">
        <v>23</v>
      </c>
    </row>
    <row r="2" spans="1:27" x14ac:dyDescent="0.25">
      <c r="A2" vm="1">
        <f ca="1"/>
        <v>45293</v>
      </c>
      <c r="B2" vm="2">
        <f ca="1"/>
        <v>159.97</v>
      </c>
      <c r="C2" vm="3">
        <f ca="1"/>
        <v>9622108</v>
      </c>
      <c r="D2">
        <f ca="1">B2*C2</f>
        <v>1539248616.76</v>
      </c>
      <c r="E2">
        <f ca="1">SUM($D$2:D2)/SUM($C$2:C2)</f>
        <v>159.97</v>
      </c>
      <c r="F2">
        <f ca="1">_xlfn.STDEV.P($B$2:B2)</f>
        <v>0</v>
      </c>
      <c r="G2">
        <f ca="1">E2 + F2</f>
        <v>159.97</v>
      </c>
      <c r="H2">
        <f ca="1">E2 - F2</f>
        <v>159.97</v>
      </c>
    </row>
    <row r="3" spans="1:27" x14ac:dyDescent="0.25">
      <c r="A3" vm="4">
        <f ca="1"/>
        <v>45294</v>
      </c>
      <c r="B3" vm="5">
        <f ca="1"/>
        <v>160.97</v>
      </c>
      <c r="C3" vm="6">
        <f ca="1"/>
        <v>8231987</v>
      </c>
      <c r="D3">
        <f t="shared" ref="D3:D66" ca="1" si="0">B3*C3</f>
        <v>1325102947.3900001</v>
      </c>
      <c r="E3">
        <f ca="1">SUM($D$2:D3)/SUM($C$2:C3)</f>
        <v>160.43106996742205</v>
      </c>
      <c r="F3">
        <f ca="1">_xlfn.STDEV.P($B$2:B3)</f>
        <v>0.5</v>
      </c>
      <c r="G3">
        <f t="shared" ref="G3:G66" ca="1" si="1">E3 + F3</f>
        <v>160.93106996742205</v>
      </c>
      <c r="H3">
        <f t="shared" ref="H3:H66" ca="1" si="2">E3 - F3</f>
        <v>159.93106996742205</v>
      </c>
      <c r="M3">
        <f ca="1">B3-B2</f>
        <v>1</v>
      </c>
      <c r="N3">
        <f ca="1">MAX(M3,0)</f>
        <v>1</v>
      </c>
      <c r="O3">
        <f ca="1">MAX(-M3,0)</f>
        <v>0</v>
      </c>
    </row>
    <row r="4" spans="1:27" x14ac:dyDescent="0.25">
      <c r="A4" vm="7">
        <f ca="1"/>
        <v>45295</v>
      </c>
      <c r="B4" vm="8">
        <f ca="1"/>
        <v>160.63</v>
      </c>
      <c r="C4" vm="9">
        <f ca="1"/>
        <v>6766641</v>
      </c>
      <c r="D4">
        <f t="shared" ca="1" si="0"/>
        <v>1086925543.8299999</v>
      </c>
      <c r="E4">
        <f ca="1">SUM($D$2:D4)/SUM($C$2:C4)</f>
        <v>160.48574291117862</v>
      </c>
      <c r="F4">
        <f ca="1">_xlfn.STDEV.P($B$2:B4)</f>
        <v>0.41515726605174008</v>
      </c>
      <c r="G4">
        <f t="shared" ca="1" si="1"/>
        <v>160.90090017723037</v>
      </c>
      <c r="H4">
        <f t="shared" ca="1" si="2"/>
        <v>160.07058564512687</v>
      </c>
      <c r="M4">
        <f t="shared" ref="M4:M67" ca="1" si="3">B4-B3</f>
        <v>-0.34000000000000341</v>
      </c>
      <c r="N4">
        <f t="shared" ref="N4:N67" ca="1" si="4">MAX(M4,0)</f>
        <v>0</v>
      </c>
      <c r="O4">
        <f t="shared" ref="O4:O67" ca="1" si="5">MAX(-M4,0)</f>
        <v>0.34000000000000341</v>
      </c>
    </row>
    <row r="5" spans="1:27" x14ac:dyDescent="0.25">
      <c r="A5" vm="10">
        <f ca="1"/>
        <v>45296</v>
      </c>
      <c r="B5" vm="11">
        <f ca="1"/>
        <v>161.13</v>
      </c>
      <c r="C5" vm="12">
        <f ca="1"/>
        <v>5602564</v>
      </c>
      <c r="D5">
        <f t="shared" ca="1" si="0"/>
        <v>902741137.31999993</v>
      </c>
      <c r="E5">
        <f ca="1">SUM($D$2:D5)/SUM($C$2:C5)</f>
        <v>160.6051703586306</v>
      </c>
      <c r="F5">
        <f ca="1">_xlfn.STDEV.P($B$2:B5)</f>
        <v>0.44528081027594185</v>
      </c>
      <c r="G5">
        <f t="shared" ca="1" si="1"/>
        <v>161.05045116890653</v>
      </c>
      <c r="H5">
        <f t="shared" ca="1" si="2"/>
        <v>160.15988954835467</v>
      </c>
      <c r="M5">
        <f t="shared" ca="1" si="3"/>
        <v>0.5</v>
      </c>
      <c r="N5">
        <f t="shared" ca="1" si="4"/>
        <v>0.5</v>
      </c>
      <c r="O5">
        <f t="shared" ca="1" si="5"/>
        <v>0</v>
      </c>
    </row>
    <row r="6" spans="1:27" x14ac:dyDescent="0.25">
      <c r="A6" vm="13">
        <f ca="1"/>
        <v>45299</v>
      </c>
      <c r="B6" vm="14">
        <f ca="1"/>
        <v>161.53</v>
      </c>
      <c r="C6" vm="15">
        <f ca="1"/>
        <v>6569810</v>
      </c>
      <c r="D6">
        <f t="shared" ca="1" si="0"/>
        <v>1061221409.3</v>
      </c>
      <c r="E6">
        <f ca="1">SUM($D$2:D6)/SUM($C$2:C6)</f>
        <v>160.77030875074166</v>
      </c>
      <c r="F6">
        <f ca="1">_xlfn.STDEV.P($B$2:B6)</f>
        <v>0.52496095092873385</v>
      </c>
      <c r="G6">
        <f t="shared" ca="1" si="1"/>
        <v>161.29526970167041</v>
      </c>
      <c r="H6">
        <f t="shared" ca="1" si="2"/>
        <v>160.24534779981292</v>
      </c>
      <c r="M6">
        <f t="shared" ca="1" si="3"/>
        <v>0.40000000000000568</v>
      </c>
      <c r="N6">
        <f t="shared" ca="1" si="4"/>
        <v>0.40000000000000568</v>
      </c>
      <c r="O6">
        <f t="shared" ca="1" si="5"/>
        <v>0</v>
      </c>
    </row>
    <row r="7" spans="1:27" x14ac:dyDescent="0.25">
      <c r="A7" vm="16">
        <f ca="1"/>
        <v>45300</v>
      </c>
      <c r="B7" vm="17">
        <f ca="1"/>
        <v>161.63</v>
      </c>
      <c r="C7" vm="18">
        <f ca="1"/>
        <v>6357014</v>
      </c>
      <c r="D7">
        <f t="shared" ca="1" si="0"/>
        <v>1027484172.8199999</v>
      </c>
      <c r="E7">
        <f ca="1">SUM($D$2:D7)/SUM($C$2:C7)</f>
        <v>160.89696120965957</v>
      </c>
      <c r="F7">
        <f ca="1">_xlfn.STDEV.P($B$2:B7)</f>
        <v>0.56126840479597828</v>
      </c>
      <c r="G7">
        <f t="shared" ca="1" si="1"/>
        <v>161.45822961445555</v>
      </c>
      <c r="H7">
        <f t="shared" ca="1" si="2"/>
        <v>160.33569280486358</v>
      </c>
      <c r="M7">
        <f t="shared" ca="1" si="3"/>
        <v>9.9999999999994316E-2</v>
      </c>
      <c r="N7">
        <f t="shared" ca="1" si="4"/>
        <v>9.9999999999994316E-2</v>
      </c>
      <c r="O7">
        <f t="shared" ca="1" si="5"/>
        <v>0</v>
      </c>
    </row>
    <row r="8" spans="1:27" x14ac:dyDescent="0.25">
      <c r="A8" vm="19">
        <f ca="1"/>
        <v>45301</v>
      </c>
      <c r="B8" vm="20">
        <f ca="1"/>
        <v>161.87</v>
      </c>
      <c r="C8" vm="21">
        <f ca="1"/>
        <v>4945088</v>
      </c>
      <c r="D8">
        <f t="shared" ca="1" si="0"/>
        <v>800461394.56000006</v>
      </c>
      <c r="E8">
        <f ca="1">SUM($D$2:D8)/SUM($C$2:C8)</f>
        <v>160.99700780984188</v>
      </c>
      <c r="F8">
        <f ca="1">_xlfn.STDEV.P($B$2:B8)</f>
        <v>0.60641468939184306</v>
      </c>
      <c r="G8">
        <f t="shared" ca="1" si="1"/>
        <v>161.60342249923372</v>
      </c>
      <c r="H8">
        <f t="shared" ca="1" si="2"/>
        <v>160.39059312045003</v>
      </c>
      <c r="M8">
        <f t="shared" ca="1" si="3"/>
        <v>0.24000000000000909</v>
      </c>
      <c r="N8">
        <f t="shared" ca="1" si="4"/>
        <v>0.24000000000000909</v>
      </c>
      <c r="O8">
        <f t="shared" ca="1" si="5"/>
        <v>0</v>
      </c>
    </row>
    <row r="9" spans="1:27" x14ac:dyDescent="0.25">
      <c r="A9" vm="22">
        <f ca="1"/>
        <v>45302</v>
      </c>
      <c r="B9" vm="23">
        <f ca="1"/>
        <v>161.15</v>
      </c>
      <c r="C9" vm="24">
        <f ca="1"/>
        <v>4946015</v>
      </c>
      <c r="D9">
        <f t="shared" ca="1" si="0"/>
        <v>797050317.25</v>
      </c>
      <c r="E9">
        <f ca="1">SUM($D$2:D9)/SUM($C$2:C9)</f>
        <v>161.01127410250146</v>
      </c>
      <c r="F9">
        <f ca="1">_xlfn.STDEV.P($B$2:B9)</f>
        <v>0.56745043836444553</v>
      </c>
      <c r="G9">
        <f t="shared" ca="1" si="1"/>
        <v>161.57872454086589</v>
      </c>
      <c r="H9">
        <f t="shared" ca="1" si="2"/>
        <v>160.44382366413703</v>
      </c>
      <c r="M9">
        <f t="shared" ca="1" si="3"/>
        <v>-0.71999999999999886</v>
      </c>
      <c r="N9">
        <f t="shared" ca="1" si="4"/>
        <v>0</v>
      </c>
      <c r="O9">
        <f t="shared" ca="1" si="5"/>
        <v>0.71999999999999886</v>
      </c>
    </row>
    <row r="10" spans="1:27" x14ac:dyDescent="0.25">
      <c r="A10" vm="25">
        <f ca="1"/>
        <v>45303</v>
      </c>
      <c r="B10" vm="26">
        <f ca="1"/>
        <v>162.38999999999999</v>
      </c>
      <c r="C10" vm="27">
        <f ca="1"/>
        <v>4496942</v>
      </c>
      <c r="D10">
        <f t="shared" ca="1" si="0"/>
        <v>730258411.38</v>
      </c>
      <c r="E10">
        <f ca="1">SUM($D$2:D10)/SUM($C$2:C10)</f>
        <v>161.1190295368975</v>
      </c>
      <c r="F10">
        <f ca="1">_xlfn.STDEV.P($B$2:B10)</f>
        <v>0.66935753239418871</v>
      </c>
      <c r="G10">
        <f t="shared" ca="1" si="1"/>
        <v>161.7883870692917</v>
      </c>
      <c r="H10">
        <f t="shared" ca="1" si="2"/>
        <v>160.4496720045033</v>
      </c>
      <c r="M10">
        <f t="shared" ca="1" si="3"/>
        <v>1.2399999999999807</v>
      </c>
      <c r="N10">
        <f t="shared" ca="1" si="4"/>
        <v>1.2399999999999807</v>
      </c>
      <c r="O10">
        <f t="shared" ca="1" si="5"/>
        <v>0</v>
      </c>
    </row>
    <row r="11" spans="1:27" x14ac:dyDescent="0.25">
      <c r="A11" vm="28">
        <f ca="1"/>
        <v>45307</v>
      </c>
      <c r="B11" vm="29">
        <f ca="1"/>
        <v>160.52000000000001</v>
      </c>
      <c r="C11" vm="30">
        <f ca="1"/>
        <v>6923174</v>
      </c>
      <c r="D11">
        <f t="shared" ca="1" si="0"/>
        <v>1111307890.48</v>
      </c>
      <c r="E11">
        <f ca="1">SUM($D$2:D11)/SUM($C$2:C11)</f>
        <v>161.0546935252342</v>
      </c>
      <c r="F11">
        <f ca="1">_xlfn.STDEV.P($B$2:B11)</f>
        <v>0.67192931175831028</v>
      </c>
      <c r="G11">
        <f t="shared" ca="1" si="1"/>
        <v>161.7266228369925</v>
      </c>
      <c r="H11">
        <f t="shared" ca="1" si="2"/>
        <v>160.38276421347589</v>
      </c>
      <c r="M11">
        <f t="shared" ca="1" si="3"/>
        <v>-1.8699999999999761</v>
      </c>
      <c r="N11">
        <f t="shared" ca="1" si="4"/>
        <v>0</v>
      </c>
      <c r="O11">
        <f t="shared" ca="1" si="5"/>
        <v>1.8699999999999761</v>
      </c>
    </row>
    <row r="12" spans="1:27" x14ac:dyDescent="0.25">
      <c r="A12" vm="31">
        <f ca="1"/>
        <v>45308</v>
      </c>
      <c r="B12" vm="32">
        <f ca="1"/>
        <v>160.43</v>
      </c>
      <c r="C12" vm="33">
        <f ca="1"/>
        <v>5072104</v>
      </c>
      <c r="D12">
        <f t="shared" ca="1" si="0"/>
        <v>813717644.72000003</v>
      </c>
      <c r="E12">
        <f ca="1">SUM($D$2:D12)/SUM($C$2:C12)</f>
        <v>161.00912537544701</v>
      </c>
      <c r="F12">
        <f ca="1">_xlfn.STDEV.P($B$2:B12)</f>
        <v>0.67587592386680395</v>
      </c>
      <c r="G12">
        <f t="shared" ca="1" si="1"/>
        <v>161.68500129931383</v>
      </c>
      <c r="H12">
        <f t="shared" ca="1" si="2"/>
        <v>160.3332494515802</v>
      </c>
      <c r="M12">
        <f t="shared" ca="1" si="3"/>
        <v>-9.0000000000003411E-2</v>
      </c>
      <c r="N12">
        <f t="shared" ca="1" si="4"/>
        <v>0</v>
      </c>
      <c r="O12">
        <f t="shared" ca="1" si="5"/>
        <v>9.0000000000003411E-2</v>
      </c>
    </row>
    <row r="13" spans="1:27" x14ac:dyDescent="0.25">
      <c r="A13" vm="34">
        <f ca="1"/>
        <v>45309</v>
      </c>
      <c r="B13" vm="35">
        <f ca="1"/>
        <v>161.21</v>
      </c>
      <c r="C13" vm="36">
        <f ca="1"/>
        <v>5368502</v>
      </c>
      <c r="D13">
        <f t="shared" ca="1" si="0"/>
        <v>865456207.42000008</v>
      </c>
      <c r="E13">
        <f ca="1">SUM($D$2:D13)/SUM($C$2:C13)</f>
        <v>161.02352280886575</v>
      </c>
      <c r="F13">
        <f ca="1">_xlfn.STDEV.P($B$2:B13)</f>
        <v>0.64768122731959621</v>
      </c>
      <c r="G13">
        <f t="shared" ca="1" si="1"/>
        <v>161.67120403618534</v>
      </c>
      <c r="H13">
        <f t="shared" ca="1" si="2"/>
        <v>160.37584158154615</v>
      </c>
      <c r="M13">
        <f t="shared" ca="1" si="3"/>
        <v>0.78000000000000114</v>
      </c>
      <c r="N13">
        <f t="shared" ca="1" si="4"/>
        <v>0.78000000000000114</v>
      </c>
      <c r="O13">
        <f t="shared" ca="1" si="5"/>
        <v>0</v>
      </c>
      <c r="V13" s="9">
        <f ca="1">AVERAGE(B2:B13)</f>
        <v>161.11916666666667</v>
      </c>
    </row>
    <row r="14" spans="1:27" x14ac:dyDescent="0.25">
      <c r="A14" vm="37">
        <f ca="1"/>
        <v>45310</v>
      </c>
      <c r="B14" vm="38">
        <f ca="1"/>
        <v>161.68</v>
      </c>
      <c r="C14" vm="39">
        <f ca="1"/>
        <v>7071320</v>
      </c>
      <c r="D14">
        <f t="shared" ca="1" si="0"/>
        <v>1143291017.6000001</v>
      </c>
      <c r="E14">
        <f ca="1">SUM($D$2:D14)/SUM($C$2:C14)</f>
        <v>161.08015298047954</v>
      </c>
      <c r="F14">
        <f ca="1">_xlfn.STDEV.P($B$2:B14)</f>
        <v>0.63996579050582736</v>
      </c>
      <c r="G14">
        <f t="shared" ca="1" si="1"/>
        <v>161.72011877098538</v>
      </c>
      <c r="H14">
        <f t="shared" ca="1" si="2"/>
        <v>160.4401871899737</v>
      </c>
      <c r="M14">
        <f t="shared" ca="1" si="3"/>
        <v>0.46999999999999886</v>
      </c>
      <c r="N14">
        <f t="shared" ca="1" si="4"/>
        <v>0.46999999999999886</v>
      </c>
      <c r="O14">
        <f t="shared" ca="1" si="5"/>
        <v>0</v>
      </c>
      <c r="V14">
        <f ca="1">B14*(2/(12+1)) + V13*(1-(2/(12+1)))</f>
        <v>161.20544871794871</v>
      </c>
    </row>
    <row r="15" spans="1:27" x14ac:dyDescent="0.25">
      <c r="A15" vm="40">
        <f ca="1"/>
        <v>45313</v>
      </c>
      <c r="B15" vm="41">
        <f ca="1"/>
        <v>162.47</v>
      </c>
      <c r="C15" vm="42">
        <f ca="1"/>
        <v>6824156</v>
      </c>
      <c r="D15">
        <f t="shared" ca="1" si="0"/>
        <v>1108720625.3199999</v>
      </c>
      <c r="E15">
        <f ca="1">SUM($D$2:D15)/SUM($C$2:C15)</f>
        <v>161.18696388042784</v>
      </c>
      <c r="F15">
        <f ca="1">_xlfn.STDEV.P($B$2:B15)</f>
        <v>0.70265531364668077</v>
      </c>
      <c r="G15">
        <f t="shared" ca="1" si="1"/>
        <v>161.88961919407453</v>
      </c>
      <c r="H15">
        <f t="shared" ca="1" si="2"/>
        <v>160.48430856678115</v>
      </c>
      <c r="M15">
        <f t="shared" ca="1" si="3"/>
        <v>0.78999999999999204</v>
      </c>
      <c r="N15">
        <f t="shared" ca="1" si="4"/>
        <v>0.78999999999999204</v>
      </c>
      <c r="O15">
        <f t="shared" ca="1" si="5"/>
        <v>0</v>
      </c>
      <c r="P15" s="2">
        <f ca="1">AVERAGE(N3:N16)</f>
        <v>0.39428571428571296</v>
      </c>
      <c r="Q15" s="2">
        <f ca="1">AVERAGE(O3:O16)</f>
        <v>0.4057142857142842</v>
      </c>
      <c r="R15">
        <f ca="1">IF(Q15=0,NA(),P15/Q15)</f>
        <v>0.97183098591549333</v>
      </c>
      <c r="S15">
        <f ca="1">100-(100/(1+R15))</f>
        <v>49.285714285714299</v>
      </c>
      <c r="T15">
        <f>70</f>
        <v>70</v>
      </c>
      <c r="U15">
        <f>30</f>
        <v>30</v>
      </c>
      <c r="V15">
        <f t="shared" ref="V15:V78" ca="1" si="6">B15*(2/(12+1)) + V14*(1-(2/(12+1)))</f>
        <v>161.39999506903351</v>
      </c>
    </row>
    <row r="16" spans="1:27" x14ac:dyDescent="0.25">
      <c r="A16" vm="43">
        <f ca="1"/>
        <v>45314</v>
      </c>
      <c r="B16" vm="44">
        <f ca="1"/>
        <v>159.81</v>
      </c>
      <c r="C16" vm="45">
        <f ca="1"/>
        <v>9149777</v>
      </c>
      <c r="D16">
        <f t="shared" ca="1" si="0"/>
        <v>1462225862.3700001</v>
      </c>
      <c r="E16">
        <f ca="1">SUM($D$2:D16)/SUM($C$2:C16)</f>
        <v>161.0583342495072</v>
      </c>
      <c r="F16">
        <f ca="1">_xlfn.STDEV.P($B$2:B16)</f>
        <v>0.76867389415509124</v>
      </c>
      <c r="G16">
        <f t="shared" ca="1" si="1"/>
        <v>161.82700814366228</v>
      </c>
      <c r="H16">
        <f t="shared" ca="1" si="2"/>
        <v>160.28966035535211</v>
      </c>
      <c r="M16">
        <f t="shared" ca="1" si="3"/>
        <v>-2.6599999999999966</v>
      </c>
      <c r="N16">
        <f t="shared" ca="1" si="4"/>
        <v>0</v>
      </c>
      <c r="O16">
        <f t="shared" ca="1" si="5"/>
        <v>2.6599999999999966</v>
      </c>
      <c r="P16">
        <f ca="1">(P15*13+N16)/14</f>
        <v>0.36612244897959062</v>
      </c>
      <c r="Q16">
        <f ca="1">(Q15*13+O16)/14</f>
        <v>0.56673469387754938</v>
      </c>
      <c r="R16">
        <f t="shared" ref="R16:R79" ca="1" si="7">IF(Q16=0,NA(),P16/Q16)</f>
        <v>0.64602088584803719</v>
      </c>
      <c r="S16">
        <f t="shared" ref="S16:S79" ca="1" si="8">100-(100/(1+R16))</f>
        <v>39.247429446510601</v>
      </c>
      <c r="T16">
        <f>70</f>
        <v>70</v>
      </c>
      <c r="U16">
        <f>30</f>
        <v>30</v>
      </c>
      <c r="V16">
        <f t="shared" ca="1" si="6"/>
        <v>161.15538044302835</v>
      </c>
    </row>
    <row r="17" spans="1:24" x14ac:dyDescent="0.25">
      <c r="A17" vm="46">
        <f ca="1"/>
        <v>45315</v>
      </c>
      <c r="B17" vm="47">
        <f ca="1"/>
        <v>158.96</v>
      </c>
      <c r="C17" vm="48">
        <f ca="1"/>
        <v>7247926</v>
      </c>
      <c r="D17">
        <f t="shared" ca="1" si="0"/>
        <v>1152130316.96</v>
      </c>
      <c r="E17">
        <f ca="1">SUM($D$2:D17)/SUM($C$2:C17)</f>
        <v>160.91375938513045</v>
      </c>
      <c r="F17">
        <f ca="1">_xlfn.STDEV.P($B$2:B17)</f>
        <v>0.91506979754278595</v>
      </c>
      <c r="G17">
        <f t="shared" ca="1" si="1"/>
        <v>161.82882918267325</v>
      </c>
      <c r="H17">
        <f t="shared" ca="1" si="2"/>
        <v>159.99868958758765</v>
      </c>
      <c r="M17">
        <f t="shared" ca="1" si="3"/>
        <v>-0.84999999999999432</v>
      </c>
      <c r="N17">
        <f t="shared" ca="1" si="4"/>
        <v>0</v>
      </c>
      <c r="O17">
        <f t="shared" ca="1" si="5"/>
        <v>0.84999999999999432</v>
      </c>
      <c r="P17">
        <f t="shared" ref="P17:P80" ca="1" si="9">(P16*13+N17)/14</f>
        <v>0.33997084548104844</v>
      </c>
      <c r="Q17">
        <f t="shared" ref="Q17:Q80" ca="1" si="10">(Q16*13+O17)/14</f>
        <v>0.5869679300291526</v>
      </c>
      <c r="R17">
        <f t="shared" ca="1" si="7"/>
        <v>0.57919833109819696</v>
      </c>
      <c r="S17">
        <f t="shared" ca="1" si="8"/>
        <v>36.676731458765801</v>
      </c>
      <c r="T17">
        <f>70</f>
        <v>70</v>
      </c>
      <c r="U17">
        <f>30</f>
        <v>30</v>
      </c>
      <c r="V17">
        <f t="shared" ca="1" si="6"/>
        <v>160.81762960563938</v>
      </c>
    </row>
    <row r="18" spans="1:24" x14ac:dyDescent="0.25">
      <c r="A18" vm="49">
        <f ca="1"/>
        <v>45316</v>
      </c>
      <c r="B18" vm="50">
        <f ca="1"/>
        <v>159.56</v>
      </c>
      <c r="C18" vm="51">
        <f ca="1"/>
        <v>5478898</v>
      </c>
      <c r="D18">
        <f t="shared" ca="1" si="0"/>
        <v>874212964.88</v>
      </c>
      <c r="E18">
        <f ca="1">SUM($D$2:D18)/SUM($C$2:C18)</f>
        <v>160.84674176721467</v>
      </c>
      <c r="F18">
        <f ca="1">_xlfn.STDEV.P($B$2:B18)</f>
        <v>0.95205696087335046</v>
      </c>
      <c r="G18">
        <f t="shared" ca="1" si="1"/>
        <v>161.79879872808803</v>
      </c>
      <c r="H18">
        <f t="shared" ca="1" si="2"/>
        <v>159.8946848063413</v>
      </c>
      <c r="M18">
        <f t="shared" ca="1" si="3"/>
        <v>0.59999999999999432</v>
      </c>
      <c r="N18">
        <f t="shared" ca="1" si="4"/>
        <v>0.59999999999999432</v>
      </c>
      <c r="O18">
        <f t="shared" ca="1" si="5"/>
        <v>0</v>
      </c>
      <c r="P18">
        <f t="shared" ca="1" si="9"/>
        <v>0.358544356518116</v>
      </c>
      <c r="Q18">
        <f t="shared" ca="1" si="10"/>
        <v>0.54504164931278454</v>
      </c>
      <c r="R18">
        <f t="shared" ca="1" si="7"/>
        <v>0.65782928143232078</v>
      </c>
      <c r="S18">
        <f t="shared" ca="1" si="8"/>
        <v>39.680158192402878</v>
      </c>
      <c r="T18">
        <f>70</f>
        <v>70</v>
      </c>
      <c r="U18">
        <f>30</f>
        <v>30</v>
      </c>
      <c r="V18">
        <f t="shared" ca="1" si="6"/>
        <v>160.62414812784871</v>
      </c>
    </row>
    <row r="19" spans="1:24" x14ac:dyDescent="0.25">
      <c r="A19" vm="52">
        <f ca="1"/>
        <v>45317</v>
      </c>
      <c r="B19" vm="53">
        <f ca="1"/>
        <v>159.5</v>
      </c>
      <c r="C19" vm="54">
        <f ca="1"/>
        <v>5591930</v>
      </c>
      <c r="D19">
        <f t="shared" ca="1" si="0"/>
        <v>891912835</v>
      </c>
      <c r="E19">
        <f ca="1">SUM($D$2:D19)/SUM($C$2:C19)</f>
        <v>160.78196884529123</v>
      </c>
      <c r="F19">
        <f ca="1">_xlfn.STDEV.P($B$2:B19)</f>
        <v>0.98195462040931702</v>
      </c>
      <c r="G19">
        <f t="shared" ca="1" si="1"/>
        <v>161.76392346570054</v>
      </c>
      <c r="H19">
        <f t="shared" ca="1" si="2"/>
        <v>159.80001422488192</v>
      </c>
      <c r="M19">
        <f t="shared" ca="1" si="3"/>
        <v>-6.0000000000002274E-2</v>
      </c>
      <c r="N19">
        <f t="shared" ca="1" si="4"/>
        <v>0</v>
      </c>
      <c r="O19">
        <f t="shared" ca="1" si="5"/>
        <v>6.0000000000002274E-2</v>
      </c>
      <c r="P19">
        <f t="shared" ca="1" si="9"/>
        <v>0.33293404533825061</v>
      </c>
      <c r="Q19">
        <f t="shared" ca="1" si="10"/>
        <v>0.51039581721901439</v>
      </c>
      <c r="R19">
        <f t="shared" ca="1" si="7"/>
        <v>0.65230559128071042</v>
      </c>
      <c r="S19">
        <f t="shared" ca="1" si="8"/>
        <v>39.478507772590966</v>
      </c>
      <c r="T19">
        <f>70</f>
        <v>70</v>
      </c>
      <c r="U19">
        <f>30</f>
        <v>30</v>
      </c>
      <c r="V19">
        <f t="shared" ca="1" si="6"/>
        <v>160.45120226202584</v>
      </c>
    </row>
    <row r="20" spans="1:24" x14ac:dyDescent="0.25">
      <c r="A20" vm="55">
        <f ca="1"/>
        <v>45320</v>
      </c>
      <c r="B20" vm="56">
        <f ca="1"/>
        <v>159.36000000000001</v>
      </c>
      <c r="C20" vm="57">
        <f ca="1"/>
        <v>6483190</v>
      </c>
      <c r="D20">
        <f t="shared" ca="1" si="0"/>
        <v>1033161158.4000001</v>
      </c>
      <c r="E20">
        <f ca="1">SUM($D$2:D20)/SUM($C$2:C20)</f>
        <v>160.70686531505484</v>
      </c>
      <c r="F20">
        <f ca="1">_xlfn.STDEV.P($B$2:B20)</f>
        <v>1.0124688018858843</v>
      </c>
      <c r="G20">
        <f t="shared" ca="1" si="1"/>
        <v>161.71933411694073</v>
      </c>
      <c r="H20">
        <f t="shared" ca="1" si="2"/>
        <v>159.69439651316895</v>
      </c>
      <c r="M20">
        <f t="shared" ca="1" si="3"/>
        <v>-0.13999999999998636</v>
      </c>
      <c r="N20">
        <f t="shared" ca="1" si="4"/>
        <v>0</v>
      </c>
      <c r="O20">
        <f t="shared" ca="1" si="5"/>
        <v>0.13999999999998636</v>
      </c>
      <c r="P20">
        <f t="shared" ca="1" si="9"/>
        <v>0.30915304209980415</v>
      </c>
      <c r="Q20">
        <f t="shared" ca="1" si="10"/>
        <v>0.48393897313194095</v>
      </c>
      <c r="R20">
        <f t="shared" ca="1" si="7"/>
        <v>0.63882650347219871</v>
      </c>
      <c r="S20">
        <f t="shared" ca="1" si="8"/>
        <v>38.980728107503168</v>
      </c>
      <c r="T20">
        <f>70</f>
        <v>70</v>
      </c>
      <c r="U20">
        <f>30</f>
        <v>30</v>
      </c>
      <c r="V20">
        <f t="shared" ca="1" si="6"/>
        <v>160.28332499094495</v>
      </c>
    </row>
    <row r="21" spans="1:24" x14ac:dyDescent="0.25">
      <c r="A21" vm="58">
        <f ca="1"/>
        <v>45321</v>
      </c>
      <c r="B21" vm="59">
        <f ca="1"/>
        <v>158.77000000000001</v>
      </c>
      <c r="C21" vm="60">
        <f ca="1"/>
        <v>7200538</v>
      </c>
      <c r="D21">
        <f t="shared" ca="1" si="0"/>
        <v>1143229418.26</v>
      </c>
      <c r="E21">
        <f ca="1">SUM($D$2:D21)/SUM($C$2:C21)</f>
        <v>160.5995432202821</v>
      </c>
      <c r="F21">
        <f ca="1">_xlfn.STDEV.P($B$2:B21)</f>
        <v>1.0794632925671872</v>
      </c>
      <c r="G21">
        <f t="shared" ca="1" si="1"/>
        <v>161.6790065128493</v>
      </c>
      <c r="H21">
        <f t="shared" ca="1" si="2"/>
        <v>159.5200799277149</v>
      </c>
      <c r="I21">
        <f ca="1">AVERAGE(B2:B21)</f>
        <v>160.67699999999999</v>
      </c>
      <c r="J21">
        <f ca="1">_xlfn.STDEV.S(B2:B21)</f>
        <v>1.1075059700444971</v>
      </c>
      <c r="K21">
        <f ca="1">I21 + 2*J21</f>
        <v>162.89201194008899</v>
      </c>
      <c r="L21">
        <f ca="1">I21-2*J21</f>
        <v>158.46198805991099</v>
      </c>
      <c r="M21">
        <f t="shared" ca="1" si="3"/>
        <v>-0.59000000000000341</v>
      </c>
      <c r="N21">
        <f t="shared" ca="1" si="4"/>
        <v>0</v>
      </c>
      <c r="O21">
        <f t="shared" ca="1" si="5"/>
        <v>0.59000000000000341</v>
      </c>
      <c r="P21">
        <f t="shared" ca="1" si="9"/>
        <v>0.28707068194981816</v>
      </c>
      <c r="Q21">
        <f t="shared" ca="1" si="10"/>
        <v>0.49151476076537398</v>
      </c>
      <c r="R21">
        <f t="shared" ca="1" si="7"/>
        <v>0.58405302315397234</v>
      </c>
      <c r="S21">
        <f t="shared" ca="1" si="8"/>
        <v>36.87080006899501</v>
      </c>
      <c r="T21">
        <f>70</f>
        <v>70</v>
      </c>
      <c r="U21">
        <f>30</f>
        <v>30</v>
      </c>
      <c r="V21">
        <f t="shared" ca="1" si="6"/>
        <v>160.05050576156881</v>
      </c>
    </row>
    <row r="22" spans="1:24" x14ac:dyDescent="0.25">
      <c r="A22" vm="61">
        <f ca="1"/>
        <v>45322</v>
      </c>
      <c r="B22" vm="62">
        <f ca="1"/>
        <v>158.9</v>
      </c>
      <c r="C22" vm="63">
        <f ca="1"/>
        <v>8257029</v>
      </c>
      <c r="D22">
        <f t="shared" ca="1" si="0"/>
        <v>1312041908.1000001</v>
      </c>
      <c r="E22">
        <f ca="1">SUM($D$2:D22)/SUM($C$2:C22)</f>
        <v>160.49800562234628</v>
      </c>
      <c r="F22">
        <f ca="1">_xlfn.STDEV.P($B$2:B22)</f>
        <v>1.1193574039297811</v>
      </c>
      <c r="G22">
        <f t="shared" ca="1" si="1"/>
        <v>161.61736302627605</v>
      </c>
      <c r="H22">
        <f t="shared" ca="1" si="2"/>
        <v>159.37864821841652</v>
      </c>
      <c r="I22">
        <f t="shared" ref="I22:I85" ca="1" si="11">AVERAGE(B3:B22)</f>
        <v>160.62350000000001</v>
      </c>
      <c r="J22">
        <f t="shared" ref="J22:J85" ca="1" si="12">_xlfn.STDEV.S(B3:B22)</f>
        <v>1.1676664763535827</v>
      </c>
      <c r="K22">
        <f t="shared" ref="K22:K85" ca="1" si="13">I22 + 2*J22</f>
        <v>162.95883295270718</v>
      </c>
      <c r="L22">
        <f t="shared" ref="L22:L85" ca="1" si="14">I22-2*J22</f>
        <v>158.28816704729283</v>
      </c>
      <c r="M22">
        <f t="shared" ca="1" si="3"/>
        <v>0.12999999999999545</v>
      </c>
      <c r="N22">
        <f t="shared" ca="1" si="4"/>
        <v>0.12999999999999545</v>
      </c>
      <c r="O22">
        <f t="shared" ca="1" si="5"/>
        <v>0</v>
      </c>
      <c r="P22">
        <f t="shared" ca="1" si="9"/>
        <v>0.27585134752483081</v>
      </c>
      <c r="Q22">
        <f t="shared" ca="1" si="10"/>
        <v>0.45640656356784726</v>
      </c>
      <c r="R22">
        <f t="shared" ca="1" si="7"/>
        <v>0.60439829210261575</v>
      </c>
      <c r="S22">
        <f t="shared" ca="1" si="8"/>
        <v>37.671337290600839</v>
      </c>
      <c r="T22">
        <f>70</f>
        <v>70</v>
      </c>
      <c r="U22">
        <f>30</f>
        <v>30</v>
      </c>
      <c r="V22">
        <f t="shared" ca="1" si="6"/>
        <v>159.87350487517364</v>
      </c>
    </row>
    <row r="23" spans="1:24" x14ac:dyDescent="0.25">
      <c r="A23" vm="64">
        <f ca="1"/>
        <v>45323</v>
      </c>
      <c r="B23" vm="65">
        <f ca="1"/>
        <v>158.36000000000001</v>
      </c>
      <c r="C23" vm="66">
        <f ca="1"/>
        <v>8012122</v>
      </c>
      <c r="D23">
        <f t="shared" ca="1" si="0"/>
        <v>1268799639.9200001</v>
      </c>
      <c r="E23">
        <f ca="1">SUM($D$2:D23)/SUM($C$2:C23)</f>
        <v>160.38085271326366</v>
      </c>
      <c r="F23">
        <f ca="1">_xlfn.STDEV.P($B$2:B23)</f>
        <v>1.1883751668518128</v>
      </c>
      <c r="G23">
        <f t="shared" ca="1" si="1"/>
        <v>161.56922788011548</v>
      </c>
      <c r="H23">
        <f t="shared" ca="1" si="2"/>
        <v>159.19247754641185</v>
      </c>
      <c r="I23">
        <f t="shared" ca="1" si="11"/>
        <v>160.49300000000002</v>
      </c>
      <c r="J23">
        <f t="shared" ca="1" si="12"/>
        <v>1.2684059619106636</v>
      </c>
      <c r="K23">
        <f t="shared" ca="1" si="13"/>
        <v>163.02981192382134</v>
      </c>
      <c r="L23">
        <f t="shared" ca="1" si="14"/>
        <v>157.95618807617871</v>
      </c>
      <c r="M23">
        <f t="shared" ca="1" si="3"/>
        <v>-0.53999999999999204</v>
      </c>
      <c r="N23">
        <f t="shared" ca="1" si="4"/>
        <v>0</v>
      </c>
      <c r="O23">
        <f t="shared" ca="1" si="5"/>
        <v>0.53999999999999204</v>
      </c>
      <c r="P23">
        <f t="shared" ca="1" si="9"/>
        <v>0.25614767984448578</v>
      </c>
      <c r="Q23">
        <f t="shared" ca="1" si="10"/>
        <v>0.46237752331300047</v>
      </c>
      <c r="R23">
        <f t="shared" ca="1" si="7"/>
        <v>0.55397952307272935</v>
      </c>
      <c r="S23">
        <f t="shared" ca="1" si="8"/>
        <v>35.649087703377802</v>
      </c>
      <c r="T23">
        <f>70</f>
        <v>70</v>
      </c>
      <c r="U23">
        <f>30</f>
        <v>30</v>
      </c>
      <c r="V23">
        <f t="shared" ca="1" si="6"/>
        <v>159.64065797130078</v>
      </c>
    </row>
    <row r="24" spans="1:24" x14ac:dyDescent="0.25">
      <c r="A24" vm="67">
        <f ca="1"/>
        <v>45324</v>
      </c>
      <c r="B24" vm="68">
        <f ca="1"/>
        <v>156.61000000000001</v>
      </c>
      <c r="C24" vm="69">
        <f ca="1"/>
        <v>8295916</v>
      </c>
      <c r="D24">
        <f t="shared" ca="1" si="0"/>
        <v>1299223404.7600002</v>
      </c>
      <c r="E24">
        <f ca="1">SUM($D$2:D24)/SUM($C$2:C24)</f>
        <v>160.17839516694431</v>
      </c>
      <c r="F24">
        <f ca="1">_xlfn.STDEV.P($B$2:B24)</f>
        <v>1.4061323968888306</v>
      </c>
      <c r="G24">
        <f t="shared" ca="1" si="1"/>
        <v>161.58452756383315</v>
      </c>
      <c r="H24">
        <f t="shared" ca="1" si="2"/>
        <v>158.77226277005548</v>
      </c>
      <c r="I24">
        <f t="shared" ca="1" si="11"/>
        <v>160.29200000000003</v>
      </c>
      <c r="J24">
        <f t="shared" ca="1" si="12"/>
        <v>1.5358714310226507</v>
      </c>
      <c r="K24">
        <f t="shared" ca="1" si="13"/>
        <v>163.36374286204534</v>
      </c>
      <c r="L24">
        <f t="shared" ca="1" si="14"/>
        <v>157.22025713795472</v>
      </c>
      <c r="M24">
        <f t="shared" ca="1" si="3"/>
        <v>-1.75</v>
      </c>
      <c r="N24">
        <f t="shared" ca="1" si="4"/>
        <v>0</v>
      </c>
      <c r="O24">
        <f t="shared" ca="1" si="5"/>
        <v>1.75</v>
      </c>
      <c r="P24">
        <f t="shared" ca="1" si="9"/>
        <v>0.23785141699845108</v>
      </c>
      <c r="Q24">
        <f t="shared" ca="1" si="10"/>
        <v>0.55435055736207184</v>
      </c>
      <c r="R24">
        <f t="shared" ca="1" si="7"/>
        <v>0.42906318725517106</v>
      </c>
      <c r="S24">
        <f t="shared" ca="1" si="8"/>
        <v>30.024087883705192</v>
      </c>
      <c r="T24">
        <f>70</f>
        <v>70</v>
      </c>
      <c r="U24">
        <f>30</f>
        <v>30</v>
      </c>
      <c r="V24">
        <f t="shared" ca="1" si="6"/>
        <v>159.17440289879298</v>
      </c>
    </row>
    <row r="25" spans="1:24" x14ac:dyDescent="0.25">
      <c r="A25" vm="70">
        <f ca="1"/>
        <v>45327</v>
      </c>
      <c r="B25" vm="71">
        <f ca="1"/>
        <v>155.80000000000001</v>
      </c>
      <c r="C25" vm="72">
        <f ca="1"/>
        <v>9121808</v>
      </c>
      <c r="D25">
        <f t="shared" ca="1" si="0"/>
        <v>1421177686.4000001</v>
      </c>
      <c r="E25">
        <f ca="1">SUM($D$2:D25)/SUM($C$2:C25)</f>
        <v>159.93432452463148</v>
      </c>
      <c r="F25">
        <f ca="1">_xlfn.STDEV.P($B$2:B25)</f>
        <v>1.6466349840912888</v>
      </c>
      <c r="G25">
        <f t="shared" ca="1" si="1"/>
        <v>161.58095950872277</v>
      </c>
      <c r="H25">
        <f t="shared" ca="1" si="2"/>
        <v>158.28768954054019</v>
      </c>
      <c r="I25">
        <f t="shared" ca="1" si="11"/>
        <v>160.02550000000002</v>
      </c>
      <c r="J25">
        <f t="shared" ca="1" si="12"/>
        <v>1.8191162544951338</v>
      </c>
      <c r="K25">
        <f t="shared" ca="1" si="13"/>
        <v>163.66373250899028</v>
      </c>
      <c r="L25">
        <f t="shared" ca="1" si="14"/>
        <v>156.38726749100977</v>
      </c>
      <c r="M25">
        <f t="shared" ca="1" si="3"/>
        <v>-0.81000000000000227</v>
      </c>
      <c r="N25">
        <f t="shared" ca="1" si="4"/>
        <v>0</v>
      </c>
      <c r="O25">
        <f t="shared" ca="1" si="5"/>
        <v>0.81000000000000227</v>
      </c>
      <c r="P25">
        <f t="shared" ca="1" si="9"/>
        <v>0.22086203006999031</v>
      </c>
      <c r="Q25">
        <f t="shared" ca="1" si="10"/>
        <v>0.57261123183620977</v>
      </c>
      <c r="R25">
        <f t="shared" ca="1" si="7"/>
        <v>0.38571026516847279</v>
      </c>
      <c r="S25">
        <f t="shared" ca="1" si="8"/>
        <v>27.834842164612141</v>
      </c>
      <c r="T25">
        <f>70</f>
        <v>70</v>
      </c>
      <c r="U25">
        <f>30</f>
        <v>30</v>
      </c>
      <c r="V25">
        <f t="shared" ca="1" si="6"/>
        <v>158.65526399128635</v>
      </c>
    </row>
    <row r="26" spans="1:24" x14ac:dyDescent="0.25">
      <c r="A26" vm="73">
        <f ca="1"/>
        <v>45328</v>
      </c>
      <c r="B26" vm="74">
        <f ca="1"/>
        <v>158.06</v>
      </c>
      <c r="C26" vm="75">
        <f ca="1"/>
        <v>9230611</v>
      </c>
      <c r="D26">
        <f t="shared" ca="1" si="0"/>
        <v>1458990374.6600001</v>
      </c>
      <c r="E26">
        <f ca="1">SUM($D$2:D26)/SUM($C$2:C26)</f>
        <v>159.83424097160847</v>
      </c>
      <c r="F26">
        <f ca="1">_xlfn.STDEV.P($B$2:B26)</f>
        <v>1.6637570014878935</v>
      </c>
      <c r="G26">
        <f t="shared" ca="1" si="1"/>
        <v>161.49799797309635</v>
      </c>
      <c r="H26">
        <f t="shared" ca="1" si="2"/>
        <v>158.17048397012059</v>
      </c>
      <c r="I26">
        <f t="shared" ca="1" si="11"/>
        <v>159.85200000000003</v>
      </c>
      <c r="J26">
        <f t="shared" ca="1" si="12"/>
        <v>1.8334913488521769</v>
      </c>
      <c r="K26">
        <f t="shared" ca="1" si="13"/>
        <v>163.51898269770439</v>
      </c>
      <c r="L26">
        <f t="shared" ca="1" si="14"/>
        <v>156.18501730229568</v>
      </c>
      <c r="M26">
        <f t="shared" ca="1" si="3"/>
        <v>2.2599999999999909</v>
      </c>
      <c r="N26">
        <f t="shared" ca="1" si="4"/>
        <v>2.2599999999999909</v>
      </c>
      <c r="O26">
        <f t="shared" ca="1" si="5"/>
        <v>0</v>
      </c>
      <c r="P26">
        <f t="shared" ca="1" si="9"/>
        <v>0.36651474220784752</v>
      </c>
      <c r="Q26">
        <f t="shared" ca="1" si="10"/>
        <v>0.53171042956219483</v>
      </c>
      <c r="R26">
        <f t="shared" ca="1" si="7"/>
        <v>0.68931268192281314</v>
      </c>
      <c r="S26">
        <f t="shared" ca="1" si="8"/>
        <v>40.804327659354463</v>
      </c>
      <c r="T26">
        <f>70</f>
        <v>70</v>
      </c>
      <c r="U26">
        <f>30</f>
        <v>30</v>
      </c>
      <c r="V26">
        <f t="shared" ca="1" si="6"/>
        <v>158.56368491570382</v>
      </c>
    </row>
    <row r="27" spans="1:24" x14ac:dyDescent="0.25">
      <c r="A27" vm="76">
        <f ca="1"/>
        <v>45329</v>
      </c>
      <c r="B27" vm="77">
        <f ca="1"/>
        <v>157.97999999999999</v>
      </c>
      <c r="C27" vm="78">
        <f ca="1"/>
        <v>8690294</v>
      </c>
      <c r="D27">
        <f t="shared" ca="1" si="0"/>
        <v>1372892646.1199999</v>
      </c>
      <c r="E27">
        <f ca="1">SUM($D$2:D27)/SUM($C$2:C27)</f>
        <v>159.74548725785243</v>
      </c>
      <c r="F27">
        <f ca="1">_xlfn.STDEV.P($B$2:B27)</f>
        <v>1.679348149461743</v>
      </c>
      <c r="G27">
        <f t="shared" ca="1" si="1"/>
        <v>161.42483540731416</v>
      </c>
      <c r="H27">
        <f t="shared" ca="1" si="2"/>
        <v>158.0661391083907</v>
      </c>
      <c r="I27">
        <f t="shared" ca="1" si="11"/>
        <v>159.66950000000003</v>
      </c>
      <c r="J27">
        <f t="shared" ca="1" si="12"/>
        <v>1.8288491491991092</v>
      </c>
      <c r="K27">
        <f t="shared" ca="1" si="13"/>
        <v>163.32719829839826</v>
      </c>
      <c r="L27">
        <f t="shared" ca="1" si="14"/>
        <v>156.0118017016018</v>
      </c>
      <c r="M27">
        <f t="shared" ca="1" si="3"/>
        <v>-8.0000000000012506E-2</v>
      </c>
      <c r="N27">
        <f t="shared" ca="1" si="4"/>
        <v>0</v>
      </c>
      <c r="O27">
        <f t="shared" ca="1" si="5"/>
        <v>8.0000000000012506E-2</v>
      </c>
      <c r="P27">
        <f t="shared" ca="1" si="9"/>
        <v>0.34033511776442982</v>
      </c>
      <c r="Q27">
        <f t="shared" ca="1" si="10"/>
        <v>0.49944539887918182</v>
      </c>
      <c r="R27">
        <f t="shared" ca="1" si="7"/>
        <v>0.68142607485860229</v>
      </c>
      <c r="S27">
        <f t="shared" ca="1" si="8"/>
        <v>40.526674651212723</v>
      </c>
      <c r="T27">
        <f>70</f>
        <v>70</v>
      </c>
      <c r="U27">
        <f>30</f>
        <v>30</v>
      </c>
      <c r="V27">
        <f t="shared" ca="1" si="6"/>
        <v>158.47388723636476</v>
      </c>
      <c r="W27" s="9">
        <f ca="1">AVERAGE(B2:B27)</f>
        <v>159.97115384615384</v>
      </c>
      <c r="X27">
        <f ca="1">V28-W28</f>
        <v>-1.5517962700845089</v>
      </c>
    </row>
    <row r="28" spans="1:24" x14ac:dyDescent="0.25">
      <c r="A28" vm="79">
        <f ca="1"/>
        <v>45330</v>
      </c>
      <c r="B28" vm="80">
        <f ca="1"/>
        <v>156.4</v>
      </c>
      <c r="C28" vm="81">
        <f ca="1"/>
        <v>9754960</v>
      </c>
      <c r="D28">
        <f t="shared" ca="1" si="0"/>
        <v>1525675744</v>
      </c>
      <c r="E28">
        <f ca="1">SUM($D$2:D28)/SUM($C$2:C28)</f>
        <v>159.57490192053604</v>
      </c>
      <c r="F28">
        <f ca="1">_xlfn.STDEV.P($B$2:B28)</f>
        <v>1.7806185636277614</v>
      </c>
      <c r="G28">
        <f t="shared" ca="1" si="1"/>
        <v>161.3555204841638</v>
      </c>
      <c r="H28">
        <f t="shared" ca="1" si="2"/>
        <v>157.79428335690827</v>
      </c>
      <c r="I28">
        <f t="shared" ca="1" si="11"/>
        <v>159.39600000000002</v>
      </c>
      <c r="J28">
        <f t="shared" ca="1" si="12"/>
        <v>1.8904257387382877</v>
      </c>
      <c r="K28">
        <f t="shared" ca="1" si="13"/>
        <v>163.17685147747659</v>
      </c>
      <c r="L28">
        <f t="shared" ca="1" si="14"/>
        <v>155.61514852252344</v>
      </c>
      <c r="M28">
        <f t="shared" ca="1" si="3"/>
        <v>-1.5799999999999841</v>
      </c>
      <c r="N28">
        <f t="shared" ca="1" si="4"/>
        <v>0</v>
      </c>
      <c r="O28">
        <f t="shared" ca="1" si="5"/>
        <v>1.5799999999999841</v>
      </c>
      <c r="P28">
        <f t="shared" ca="1" si="9"/>
        <v>0.31602546649554197</v>
      </c>
      <c r="Q28">
        <f t="shared" ca="1" si="10"/>
        <v>0.5766278703878106</v>
      </c>
      <c r="R28">
        <f t="shared" ca="1" si="7"/>
        <v>0.54805791173950591</v>
      </c>
      <c r="S28">
        <f t="shared" ca="1" si="8"/>
        <v>35.402933416339039</v>
      </c>
      <c r="T28">
        <f>70</f>
        <v>70</v>
      </c>
      <c r="U28">
        <f>30</f>
        <v>30</v>
      </c>
      <c r="V28">
        <f t="shared" ca="1" si="6"/>
        <v>158.15482766153943</v>
      </c>
      <c r="W28">
        <f ca="1">B28*(2/(26+1)) + W27*(1-(2/(26+1)))</f>
        <v>159.70662393162394</v>
      </c>
      <c r="X28">
        <f t="shared" ref="X28:X91" ca="1" si="15">V29-W29</f>
        <v>-1.5481167017110238</v>
      </c>
    </row>
    <row r="29" spans="1:24" x14ac:dyDescent="0.25">
      <c r="A29" vm="82">
        <f ca="1"/>
        <v>45331</v>
      </c>
      <c r="B29" vm="83">
        <f ca="1"/>
        <v>156.76</v>
      </c>
      <c r="C29" vm="84">
        <f ca="1"/>
        <v>6529202</v>
      </c>
      <c r="D29">
        <f t="shared" ca="1" si="0"/>
        <v>1023517705.52</v>
      </c>
      <c r="E29">
        <f ca="1">SUM($D$2:D29)/SUM($C$2:C29)</f>
        <v>159.48200406268398</v>
      </c>
      <c r="F29">
        <f ca="1">_xlfn.STDEV.P($B$2:B29)</f>
        <v>1.8395192292819205</v>
      </c>
      <c r="G29">
        <f t="shared" ca="1" si="1"/>
        <v>161.32152329196592</v>
      </c>
      <c r="H29">
        <f t="shared" ca="1" si="2"/>
        <v>157.64248483340205</v>
      </c>
      <c r="I29">
        <f t="shared" ca="1" si="11"/>
        <v>159.17650000000003</v>
      </c>
      <c r="J29">
        <f t="shared" ca="1" si="12"/>
        <v>1.9304874623020107</v>
      </c>
      <c r="K29">
        <f t="shared" ca="1" si="13"/>
        <v>163.03747492460406</v>
      </c>
      <c r="L29">
        <f t="shared" ca="1" si="14"/>
        <v>155.31552507539601</v>
      </c>
      <c r="M29">
        <f t="shared" ca="1" si="3"/>
        <v>0.35999999999998522</v>
      </c>
      <c r="N29">
        <f t="shared" ca="1" si="4"/>
        <v>0.35999999999998522</v>
      </c>
      <c r="O29">
        <f t="shared" ca="1" si="5"/>
        <v>0</v>
      </c>
      <c r="P29">
        <f t="shared" ca="1" si="9"/>
        <v>0.31916650460300222</v>
      </c>
      <c r="Q29">
        <f t="shared" ca="1" si="10"/>
        <v>0.53544016536010985</v>
      </c>
      <c r="R29">
        <f t="shared" ca="1" si="7"/>
        <v>0.59608248549741694</v>
      </c>
      <c r="S29">
        <f t="shared" ca="1" si="8"/>
        <v>37.346596489444508</v>
      </c>
      <c r="T29">
        <f>70</f>
        <v>70</v>
      </c>
      <c r="U29">
        <f>30</f>
        <v>30</v>
      </c>
      <c r="V29">
        <f t="shared" ca="1" si="6"/>
        <v>157.94023879053336</v>
      </c>
      <c r="W29">
        <f t="shared" ref="W29:W92" ca="1" si="16">B29*(2/(26+1)) + W28*(1-(2/(26+1)))</f>
        <v>159.48835549224438</v>
      </c>
      <c r="X29">
        <f t="shared" ca="1" si="15"/>
        <v>-1.4406399264701406</v>
      </c>
    </row>
    <row r="30" spans="1:24" x14ac:dyDescent="0.25">
      <c r="A30" vm="85">
        <f ca="1"/>
        <v>45334</v>
      </c>
      <c r="B30" vm="86">
        <f ca="1"/>
        <v>157.85</v>
      </c>
      <c r="C30" vm="87">
        <f ca="1"/>
        <v>6701508</v>
      </c>
      <c r="D30">
        <f t="shared" ca="1" si="0"/>
        <v>1057833037.8</v>
      </c>
      <c r="E30">
        <f ca="1">SUM($D$2:D30)/SUM($C$2:C30)</f>
        <v>159.42853422447317</v>
      </c>
      <c r="F30">
        <f ca="1">_xlfn.STDEV.P($B$2:B30)</f>
        <v>1.8397517022148966</v>
      </c>
      <c r="G30">
        <f t="shared" ca="1" si="1"/>
        <v>161.26828592668807</v>
      </c>
      <c r="H30">
        <f t="shared" ca="1" si="2"/>
        <v>157.58878252225827</v>
      </c>
      <c r="I30">
        <f t="shared" ca="1" si="11"/>
        <v>158.9495</v>
      </c>
      <c r="J30">
        <f t="shared" ca="1" si="12"/>
        <v>1.7948947337554808</v>
      </c>
      <c r="K30">
        <f t="shared" ca="1" si="13"/>
        <v>162.53928946751097</v>
      </c>
      <c r="L30">
        <f t="shared" ca="1" si="14"/>
        <v>155.35971053248903</v>
      </c>
      <c r="M30">
        <f t="shared" ca="1" si="3"/>
        <v>1.0900000000000034</v>
      </c>
      <c r="N30">
        <f t="shared" ca="1" si="4"/>
        <v>1.0900000000000034</v>
      </c>
      <c r="O30">
        <f t="shared" ca="1" si="5"/>
        <v>0</v>
      </c>
      <c r="P30">
        <f t="shared" ca="1" si="9"/>
        <v>0.37422603998850235</v>
      </c>
      <c r="Q30">
        <f t="shared" ca="1" si="10"/>
        <v>0.49719443926295914</v>
      </c>
      <c r="R30">
        <f t="shared" ca="1" si="7"/>
        <v>0.75267543326360387</v>
      </c>
      <c r="S30">
        <f t="shared" ca="1" si="8"/>
        <v>42.944370587888585</v>
      </c>
      <c r="T30">
        <f>70</f>
        <v>70</v>
      </c>
      <c r="U30">
        <f>30</f>
        <v>30</v>
      </c>
      <c r="V30">
        <f t="shared" ca="1" si="6"/>
        <v>157.92635589968208</v>
      </c>
      <c r="W30">
        <f t="shared" ca="1" si="16"/>
        <v>159.36699582615222</v>
      </c>
      <c r="X30">
        <f t="shared" ca="1" si="15"/>
        <v>-1.4501023968487061</v>
      </c>
    </row>
    <row r="31" spans="1:24" x14ac:dyDescent="0.25">
      <c r="A31" vm="88">
        <f ca="1"/>
        <v>45335</v>
      </c>
      <c r="B31" vm="89">
        <f ca="1"/>
        <v>156.47</v>
      </c>
      <c r="C31" vm="90">
        <f ca="1"/>
        <v>8621022</v>
      </c>
      <c r="D31">
        <f t="shared" ca="1" si="0"/>
        <v>1348931312.3399999</v>
      </c>
      <c r="E31">
        <f ca="1">SUM($D$2:D31)/SUM($C$2:C31)</f>
        <v>159.30888189119378</v>
      </c>
      <c r="F31">
        <f ca="1">_xlfn.STDEV.P($B$2:B31)</f>
        <v>1.897527660463008</v>
      </c>
      <c r="G31">
        <f t="shared" ca="1" si="1"/>
        <v>161.20640955165678</v>
      </c>
      <c r="H31">
        <f t="shared" ca="1" si="2"/>
        <v>157.41135423073078</v>
      </c>
      <c r="I31">
        <f t="shared" ca="1" si="11"/>
        <v>158.74700000000001</v>
      </c>
      <c r="J31">
        <f t="shared" ca="1" si="12"/>
        <v>1.8363668364176964</v>
      </c>
      <c r="K31">
        <f t="shared" ca="1" si="13"/>
        <v>162.41973367283541</v>
      </c>
      <c r="L31">
        <f t="shared" ca="1" si="14"/>
        <v>155.07426632716462</v>
      </c>
      <c r="M31">
        <f t="shared" ca="1" si="3"/>
        <v>-1.3799999999999955</v>
      </c>
      <c r="N31">
        <f t="shared" ca="1" si="4"/>
        <v>0</v>
      </c>
      <c r="O31">
        <f t="shared" ca="1" si="5"/>
        <v>1.3799999999999955</v>
      </c>
      <c r="P31">
        <f t="shared" ca="1" si="9"/>
        <v>0.34749560856075218</v>
      </c>
      <c r="Q31">
        <f t="shared" ca="1" si="10"/>
        <v>0.56025197931560455</v>
      </c>
      <c r="R31">
        <f t="shared" ca="1" si="7"/>
        <v>0.62024878338716027</v>
      </c>
      <c r="S31">
        <f t="shared" ca="1" si="8"/>
        <v>38.281083111848943</v>
      </c>
      <c r="T31">
        <f>70</f>
        <v>70</v>
      </c>
      <c r="U31">
        <f>30</f>
        <v>30</v>
      </c>
      <c r="V31">
        <f t="shared" ca="1" si="6"/>
        <v>157.70230114588483</v>
      </c>
      <c r="W31">
        <f t="shared" ca="1" si="16"/>
        <v>159.15240354273354</v>
      </c>
      <c r="X31">
        <f t="shared" ca="1" si="15"/>
        <v>-1.4992242480358868</v>
      </c>
    </row>
    <row r="32" spans="1:24" x14ac:dyDescent="0.25">
      <c r="A32" vm="91">
        <f ca="1"/>
        <v>45336</v>
      </c>
      <c r="B32" vm="92">
        <f ca="1"/>
        <v>155.74</v>
      </c>
      <c r="C32" vm="93">
        <f ca="1"/>
        <v>9098805</v>
      </c>
      <c r="D32">
        <f t="shared" ca="1" si="0"/>
        <v>1417047890.7</v>
      </c>
      <c r="E32">
        <f ca="1">SUM($D$2:D32)/SUM($C$2:C32)</f>
        <v>159.16278215307321</v>
      </c>
      <c r="F32">
        <f ca="1">_xlfn.STDEV.P($B$2:B32)</f>
        <v>1.984803295217838</v>
      </c>
      <c r="G32">
        <f t="shared" ca="1" si="1"/>
        <v>161.14758544829104</v>
      </c>
      <c r="H32">
        <f t="shared" ca="1" si="2"/>
        <v>157.17797885785538</v>
      </c>
      <c r="I32">
        <f t="shared" ca="1" si="11"/>
        <v>158.51249999999999</v>
      </c>
      <c r="J32">
        <f t="shared" ca="1" si="12"/>
        <v>1.9081870012079389</v>
      </c>
      <c r="K32">
        <f t="shared" ca="1" si="13"/>
        <v>162.32887400241586</v>
      </c>
      <c r="L32">
        <f t="shared" ca="1" si="14"/>
        <v>154.69612599758412</v>
      </c>
      <c r="M32">
        <f t="shared" ca="1" si="3"/>
        <v>-0.72999999999998977</v>
      </c>
      <c r="N32">
        <f t="shared" ca="1" si="4"/>
        <v>0</v>
      </c>
      <c r="O32">
        <f t="shared" ca="1" si="5"/>
        <v>0.72999999999998977</v>
      </c>
      <c r="P32">
        <f t="shared" ca="1" si="9"/>
        <v>0.32267449366355561</v>
      </c>
      <c r="Q32">
        <f t="shared" ca="1" si="10"/>
        <v>0.57237683793591765</v>
      </c>
      <c r="R32">
        <f t="shared" ca="1" si="7"/>
        <v>0.56374484828416782</v>
      </c>
      <c r="S32">
        <f t="shared" ca="1" si="8"/>
        <v>36.050948394985383</v>
      </c>
      <c r="T32">
        <f>70</f>
        <v>70</v>
      </c>
      <c r="U32">
        <f>30</f>
        <v>30</v>
      </c>
      <c r="V32">
        <f t="shared" ca="1" si="6"/>
        <v>157.40040866190256</v>
      </c>
      <c r="W32">
        <f t="shared" ca="1" si="16"/>
        <v>158.89963290993845</v>
      </c>
      <c r="X32">
        <f t="shared" ca="1" si="15"/>
        <v>-1.3467217183616356</v>
      </c>
    </row>
    <row r="33" spans="1:26" x14ac:dyDescent="0.25">
      <c r="A33" vm="94">
        <f ca="1"/>
        <v>45337</v>
      </c>
      <c r="B33" vm="95">
        <f ca="1"/>
        <v>157.91999999999999</v>
      </c>
      <c r="C33" vm="96">
        <f ca="1"/>
        <v>7462529</v>
      </c>
      <c r="D33">
        <f t="shared" ca="1" si="0"/>
        <v>1178482579.6799998</v>
      </c>
      <c r="E33">
        <f ca="1">SUM($D$2:D33)/SUM($C$2:C33)</f>
        <v>159.12241093498159</v>
      </c>
      <c r="F33">
        <f ca="1">_xlfn.STDEV.P($B$2:B33)</f>
        <v>1.9712372928807287</v>
      </c>
      <c r="G33">
        <f t="shared" ca="1" si="1"/>
        <v>161.0936482278623</v>
      </c>
      <c r="H33">
        <f t="shared" ca="1" si="2"/>
        <v>157.15117364210087</v>
      </c>
      <c r="I33">
        <f t="shared" ca="1" si="11"/>
        <v>158.34800000000001</v>
      </c>
      <c r="J33">
        <f t="shared" ca="1" si="12"/>
        <v>1.8022751702982769</v>
      </c>
      <c r="K33">
        <f t="shared" ca="1" si="13"/>
        <v>161.95255034059656</v>
      </c>
      <c r="L33">
        <f t="shared" ca="1" si="14"/>
        <v>154.74344965940347</v>
      </c>
      <c r="M33">
        <f t="shared" ca="1" si="3"/>
        <v>2.1799999999999784</v>
      </c>
      <c r="N33">
        <f t="shared" ca="1" si="4"/>
        <v>2.1799999999999784</v>
      </c>
      <c r="O33">
        <f t="shared" ca="1" si="5"/>
        <v>0</v>
      </c>
      <c r="P33">
        <f t="shared" ca="1" si="9"/>
        <v>0.45534060125901438</v>
      </c>
      <c r="Q33">
        <f t="shared" ca="1" si="10"/>
        <v>0.53149277808335216</v>
      </c>
      <c r="R33">
        <f t="shared" ca="1" si="7"/>
        <v>0.85672020399043858</v>
      </c>
      <c r="S33">
        <f t="shared" ca="1" si="8"/>
        <v>46.141588923801592</v>
      </c>
      <c r="T33">
        <f>70</f>
        <v>70</v>
      </c>
      <c r="U33">
        <f>30</f>
        <v>30</v>
      </c>
      <c r="V33">
        <f t="shared" ca="1" si="6"/>
        <v>157.48034579084063</v>
      </c>
      <c r="W33">
        <f t="shared" ca="1" si="16"/>
        <v>158.82706750920227</v>
      </c>
      <c r="X33">
        <f t="shared" ca="1" si="15"/>
        <v>-1.3211801726811245</v>
      </c>
    </row>
    <row r="34" spans="1:26" x14ac:dyDescent="0.25">
      <c r="A34" vm="97">
        <f ca="1"/>
        <v>45338</v>
      </c>
      <c r="B34" vm="98">
        <f ca="1"/>
        <v>156.55000000000001</v>
      </c>
      <c r="C34" vm="99">
        <f ca="1"/>
        <v>8540961</v>
      </c>
      <c r="D34">
        <f t="shared" ca="1" si="0"/>
        <v>1337087444.5500002</v>
      </c>
      <c r="E34">
        <f ca="1">SUM($D$2:D34)/SUM($C$2:C34)</f>
        <v>159.03019962541856</v>
      </c>
      <c r="F34">
        <f ca="1">_xlfn.STDEV.P($B$2:B34)</f>
        <v>2.0011402167578853</v>
      </c>
      <c r="G34">
        <f t="shared" ca="1" si="1"/>
        <v>161.03133984217644</v>
      </c>
      <c r="H34">
        <f t="shared" ca="1" si="2"/>
        <v>157.02905940866069</v>
      </c>
      <c r="I34">
        <f t="shared" ca="1" si="11"/>
        <v>158.0915</v>
      </c>
      <c r="J34">
        <f t="shared" ca="1" si="12"/>
        <v>1.662756984491023</v>
      </c>
      <c r="K34">
        <f t="shared" ca="1" si="13"/>
        <v>161.41701396898205</v>
      </c>
      <c r="L34">
        <f t="shared" ca="1" si="14"/>
        <v>154.76598603101795</v>
      </c>
      <c r="M34">
        <f t="shared" ca="1" si="3"/>
        <v>-1.3699999999999761</v>
      </c>
      <c r="N34">
        <f t="shared" ca="1" si="4"/>
        <v>0</v>
      </c>
      <c r="O34">
        <f t="shared" ca="1" si="5"/>
        <v>1.3699999999999761</v>
      </c>
      <c r="P34">
        <f t="shared" ca="1" si="9"/>
        <v>0.4228162725976562</v>
      </c>
      <c r="Q34">
        <f t="shared" ca="1" si="10"/>
        <v>0.59138615107739667</v>
      </c>
      <c r="R34">
        <f t="shared" ca="1" si="7"/>
        <v>0.71495802163673061</v>
      </c>
      <c r="S34">
        <f t="shared" ca="1" si="8"/>
        <v>41.689534823387994</v>
      </c>
      <c r="T34">
        <f>70</f>
        <v>70</v>
      </c>
      <c r="U34">
        <f>30</f>
        <v>30</v>
      </c>
      <c r="V34">
        <f t="shared" ca="1" si="6"/>
        <v>157.33721566917282</v>
      </c>
      <c r="W34">
        <f t="shared" ca="1" si="16"/>
        <v>158.65839584185395</v>
      </c>
      <c r="X34">
        <f t="shared" ca="1" si="15"/>
        <v>-1.1816113813624156</v>
      </c>
    </row>
    <row r="35" spans="1:26" x14ac:dyDescent="0.25">
      <c r="A35" vm="100">
        <f ca="1"/>
        <v>45342</v>
      </c>
      <c r="B35" vm="101">
        <f ca="1"/>
        <v>157.86000000000001</v>
      </c>
      <c r="C35" vm="102">
        <f ca="1"/>
        <v>9501742</v>
      </c>
      <c r="D35">
        <f t="shared" ca="1" si="0"/>
        <v>1499944992.1200001</v>
      </c>
      <c r="E35">
        <f ca="1">SUM($D$2:D35)/SUM($C$2:C35)</f>
        <v>158.9853232641932</v>
      </c>
      <c r="F35">
        <f ca="1">_xlfn.STDEV.P($B$2:B35)</f>
        <v>1.9864730268758202</v>
      </c>
      <c r="G35">
        <f t="shared" ca="1" si="1"/>
        <v>160.97179629106901</v>
      </c>
      <c r="H35">
        <f t="shared" ca="1" si="2"/>
        <v>156.99885023731738</v>
      </c>
      <c r="I35">
        <f t="shared" ca="1" si="11"/>
        <v>157.86099999999999</v>
      </c>
      <c r="J35">
        <f t="shared" ca="1" si="12"/>
        <v>1.3048528854363535</v>
      </c>
      <c r="K35">
        <f t="shared" ca="1" si="13"/>
        <v>160.47070577087268</v>
      </c>
      <c r="L35">
        <f t="shared" ca="1" si="14"/>
        <v>155.2512942291273</v>
      </c>
      <c r="M35">
        <f t="shared" ca="1" si="3"/>
        <v>1.3100000000000023</v>
      </c>
      <c r="N35">
        <f t="shared" ca="1" si="4"/>
        <v>1.3100000000000023</v>
      </c>
      <c r="O35">
        <f t="shared" ca="1" si="5"/>
        <v>0</v>
      </c>
      <c r="P35">
        <f t="shared" ca="1" si="9"/>
        <v>0.48618653884068092</v>
      </c>
      <c r="Q35">
        <f t="shared" ca="1" si="10"/>
        <v>0.54914428314329689</v>
      </c>
      <c r="R35">
        <f t="shared" ca="1" si="7"/>
        <v>0.88535300059531452</v>
      </c>
      <c r="S35">
        <f t="shared" ca="1" si="8"/>
        <v>46.959534915517551</v>
      </c>
      <c r="T35">
        <f>70</f>
        <v>70</v>
      </c>
      <c r="U35">
        <f>30</f>
        <v>30</v>
      </c>
      <c r="V35">
        <f t="shared" ca="1" si="6"/>
        <v>157.41764402776161</v>
      </c>
      <c r="W35">
        <f t="shared" ca="1" si="16"/>
        <v>158.59925540912403</v>
      </c>
      <c r="X35">
        <f t="shared" ca="1" si="15"/>
        <v>-0.99338385105443194</v>
      </c>
    </row>
    <row r="36" spans="1:26" x14ac:dyDescent="0.25">
      <c r="A36" vm="103">
        <f ca="1"/>
        <v>45343</v>
      </c>
      <c r="B36" vm="104">
        <f ca="1"/>
        <v>158.68</v>
      </c>
      <c r="C36" vm="105">
        <f ca="1"/>
        <v>7473300</v>
      </c>
      <c r="D36">
        <f t="shared" ca="1" si="0"/>
        <v>1185863244</v>
      </c>
      <c r="E36">
        <f ca="1">SUM($D$2:D36)/SUM($C$2:C36)</f>
        <v>158.97638360346846</v>
      </c>
      <c r="F36">
        <f ca="1">_xlfn.STDEV.P($B$2:B36)</f>
        <v>1.9602624980406278</v>
      </c>
      <c r="G36">
        <f t="shared" ca="1" si="1"/>
        <v>160.9366461015091</v>
      </c>
      <c r="H36">
        <f t="shared" ca="1" si="2"/>
        <v>157.01612110542783</v>
      </c>
      <c r="I36">
        <f t="shared" ca="1" si="11"/>
        <v>157.80450000000002</v>
      </c>
      <c r="J36">
        <f t="shared" ca="1" si="12"/>
        <v>1.2388129929811629</v>
      </c>
      <c r="K36">
        <f t="shared" ca="1" si="13"/>
        <v>160.28212598596235</v>
      </c>
      <c r="L36">
        <f t="shared" ca="1" si="14"/>
        <v>155.32687401403768</v>
      </c>
      <c r="M36">
        <f t="shared" ca="1" si="3"/>
        <v>0.81999999999999318</v>
      </c>
      <c r="N36">
        <f t="shared" ca="1" si="4"/>
        <v>0.81999999999999318</v>
      </c>
      <c r="O36">
        <f t="shared" ca="1" si="5"/>
        <v>0</v>
      </c>
      <c r="P36">
        <f t="shared" ca="1" si="9"/>
        <v>0.51003035749491754</v>
      </c>
      <c r="Q36">
        <f t="shared" ca="1" si="10"/>
        <v>0.50991969149020433</v>
      </c>
      <c r="R36">
        <f t="shared" ca="1" si="7"/>
        <v>1.0002170263407357</v>
      </c>
      <c r="S36">
        <f t="shared" ca="1" si="8"/>
        <v>50.00542506982687</v>
      </c>
      <c r="T36">
        <f>70</f>
        <v>70</v>
      </c>
      <c r="U36">
        <f>30</f>
        <v>30</v>
      </c>
      <c r="V36">
        <f t="shared" ca="1" si="6"/>
        <v>157.61185263887523</v>
      </c>
      <c r="W36">
        <f t="shared" ca="1" si="16"/>
        <v>158.60523648992967</v>
      </c>
      <c r="X36">
        <f t="shared" ca="1" si="15"/>
        <v>-0.69339494439088867</v>
      </c>
      <c r="Y36" s="9">
        <f ca="1">AVERAGE(X28:X36)</f>
        <v>-1.2749305934351394</v>
      </c>
    </row>
    <row r="37" spans="1:26" x14ac:dyDescent="0.25">
      <c r="A37" vm="106">
        <f ca="1"/>
        <v>45344</v>
      </c>
      <c r="B37" vm="107">
        <f ca="1"/>
        <v>160.44999999999999</v>
      </c>
      <c r="C37" vm="108">
        <f ca="1"/>
        <v>8065010</v>
      </c>
      <c r="D37">
        <f t="shared" ca="1" si="0"/>
        <v>1294030854.5</v>
      </c>
      <c r="E37">
        <f ca="1">SUM($D$2:D37)/SUM($C$2:C37)</f>
        <v>159.02152009208072</v>
      </c>
      <c r="F37">
        <f ca="1">_xlfn.STDEV.P($B$2:B37)</f>
        <v>1.9430079415975383</v>
      </c>
      <c r="G37">
        <f t="shared" ca="1" si="1"/>
        <v>160.96452803367825</v>
      </c>
      <c r="H37">
        <f t="shared" ca="1" si="2"/>
        <v>157.07851215048319</v>
      </c>
      <c r="I37">
        <f t="shared" ca="1" si="11"/>
        <v>157.87899999999999</v>
      </c>
      <c r="J37">
        <f t="shared" ca="1" si="12"/>
        <v>1.3516263108605577</v>
      </c>
      <c r="K37">
        <f t="shared" ca="1" si="13"/>
        <v>160.5822526217211</v>
      </c>
      <c r="L37">
        <f t="shared" ca="1" si="14"/>
        <v>155.17574737827888</v>
      </c>
      <c r="M37">
        <f t="shared" ca="1" si="3"/>
        <v>1.7699999999999818</v>
      </c>
      <c r="N37">
        <f t="shared" ca="1" si="4"/>
        <v>1.7699999999999818</v>
      </c>
      <c r="O37">
        <f t="shared" ca="1" si="5"/>
        <v>0</v>
      </c>
      <c r="P37">
        <f t="shared" ca="1" si="9"/>
        <v>0.60002818910242206</v>
      </c>
      <c r="Q37">
        <f t="shared" ca="1" si="10"/>
        <v>0.47349685638376116</v>
      </c>
      <c r="R37">
        <f t="shared" ca="1" si="7"/>
        <v>1.2672273976326243</v>
      </c>
      <c r="S37">
        <f t="shared" ca="1" si="8"/>
        <v>55.893264123211807</v>
      </c>
      <c r="T37">
        <f>70</f>
        <v>70</v>
      </c>
      <c r="U37">
        <f>30</f>
        <v>30</v>
      </c>
      <c r="V37">
        <f t="shared" ca="1" si="6"/>
        <v>158.04849069443287</v>
      </c>
      <c r="W37">
        <f t="shared" ca="1" si="16"/>
        <v>158.74188563882376</v>
      </c>
      <c r="X37">
        <f t="shared" ca="1" si="15"/>
        <v>-0.33957577313722709</v>
      </c>
      <c r="Y37">
        <f ca="1">X37*(2/(9+1)) + Y36*(1-(2/(9+1)))</f>
        <v>-1.0878596293755569</v>
      </c>
      <c r="Z37">
        <f ca="1">X37-Y37</f>
        <v>0.74828385623832983</v>
      </c>
    </row>
    <row r="38" spans="1:26" x14ac:dyDescent="0.25">
      <c r="A38" vm="109">
        <f ca="1"/>
        <v>45345</v>
      </c>
      <c r="B38" vm="110">
        <f ca="1"/>
        <v>161.84</v>
      </c>
      <c r="C38" vm="111">
        <f ca="1"/>
        <v>6725963</v>
      </c>
      <c r="D38">
        <f t="shared" ca="1" si="0"/>
        <v>1088529851.9200001</v>
      </c>
      <c r="E38">
        <f ca="1">SUM($D$2:D38)/SUM($C$2:C38)</f>
        <v>159.09172273051792</v>
      </c>
      <c r="F38">
        <f ca="1">_xlfn.STDEV.P($B$2:B38)</f>
        <v>1.9611588157661803</v>
      </c>
      <c r="G38">
        <f t="shared" ca="1" si="1"/>
        <v>161.05288154628408</v>
      </c>
      <c r="H38">
        <f t="shared" ca="1" si="2"/>
        <v>157.13056391475175</v>
      </c>
      <c r="I38">
        <f t="shared" ca="1" si="11"/>
        <v>157.99299999999999</v>
      </c>
      <c r="J38">
        <f t="shared" ca="1" si="12"/>
        <v>1.5780537646767681</v>
      </c>
      <c r="K38">
        <f t="shared" ca="1" si="13"/>
        <v>161.14910752935353</v>
      </c>
      <c r="L38">
        <f t="shared" ca="1" si="14"/>
        <v>154.83689247064646</v>
      </c>
      <c r="M38">
        <f t="shared" ca="1" si="3"/>
        <v>1.3900000000000148</v>
      </c>
      <c r="N38">
        <f t="shared" ca="1" si="4"/>
        <v>1.3900000000000148</v>
      </c>
      <c r="O38">
        <f t="shared" ca="1" si="5"/>
        <v>0</v>
      </c>
      <c r="P38">
        <f t="shared" ca="1" si="9"/>
        <v>0.65645474702367868</v>
      </c>
      <c r="Q38">
        <f t="shared" ca="1" si="10"/>
        <v>0.43967565235634964</v>
      </c>
      <c r="R38">
        <f t="shared" ca="1" si="7"/>
        <v>1.4930432092510624</v>
      </c>
      <c r="S38">
        <f t="shared" ca="1" si="8"/>
        <v>59.888380743292011</v>
      </c>
      <c r="T38">
        <f>70</f>
        <v>70</v>
      </c>
      <c r="U38">
        <f>30</f>
        <v>30</v>
      </c>
      <c r="V38">
        <f t="shared" ca="1" si="6"/>
        <v>158.63179981836626</v>
      </c>
      <c r="W38">
        <f t="shared" ca="1" si="16"/>
        <v>158.97137559150349</v>
      </c>
      <c r="X38">
        <f t="shared" ca="1" si="15"/>
        <v>-0.14225789511067433</v>
      </c>
      <c r="Y38">
        <f t="shared" ref="Y38:Y101" ca="1" si="17">X38*(2/(9+1)) + Y37*(1-(2/(9+1)))</f>
        <v>-0.89873928252258051</v>
      </c>
      <c r="Z38">
        <f t="shared" ref="Z38:Z101" ca="1" si="18">X38-Y38</f>
        <v>0.75648138741190618</v>
      </c>
    </row>
    <row r="39" spans="1:26" x14ac:dyDescent="0.25">
      <c r="A39" vm="112">
        <f ca="1"/>
        <v>45348</v>
      </c>
      <c r="B39" vm="113">
        <f ca="1"/>
        <v>160.79</v>
      </c>
      <c r="C39" vm="114">
        <f ca="1"/>
        <v>5465417</v>
      </c>
      <c r="D39">
        <f t="shared" ca="1" si="0"/>
        <v>878784399.42999995</v>
      </c>
      <c r="E39">
        <f ca="1">SUM($D$2:D39)/SUM($C$2:C39)</f>
        <v>159.12541370976709</v>
      </c>
      <c r="F39">
        <f ca="1">_xlfn.STDEV.P($B$2:B39)</f>
        <v>1.9489539775603195</v>
      </c>
      <c r="G39">
        <f t="shared" ca="1" si="1"/>
        <v>161.0743676873274</v>
      </c>
      <c r="H39">
        <f t="shared" ca="1" si="2"/>
        <v>157.17645973220678</v>
      </c>
      <c r="I39">
        <f t="shared" ca="1" si="11"/>
        <v>158.0575</v>
      </c>
      <c r="J39">
        <f t="shared" ca="1" si="12"/>
        <v>1.666761356959245</v>
      </c>
      <c r="K39">
        <f t="shared" ca="1" si="13"/>
        <v>161.39102271391849</v>
      </c>
      <c r="L39">
        <f t="shared" ca="1" si="14"/>
        <v>154.72397728608152</v>
      </c>
      <c r="M39">
        <f t="shared" ca="1" si="3"/>
        <v>-1.0500000000000114</v>
      </c>
      <c r="N39">
        <f t="shared" ca="1" si="4"/>
        <v>0</v>
      </c>
      <c r="O39">
        <f t="shared" ca="1" si="5"/>
        <v>1.0500000000000114</v>
      </c>
      <c r="P39">
        <f t="shared" ca="1" si="9"/>
        <v>0.60956512223627313</v>
      </c>
      <c r="Q39">
        <f t="shared" ca="1" si="10"/>
        <v>0.48327024861661122</v>
      </c>
      <c r="R39">
        <f t="shared" ca="1" si="7"/>
        <v>1.2613338478443237</v>
      </c>
      <c r="S39">
        <f t="shared" ca="1" si="8"/>
        <v>55.778311948354002</v>
      </c>
      <c r="T39">
        <f>70</f>
        <v>70</v>
      </c>
      <c r="U39">
        <f>30</f>
        <v>30</v>
      </c>
      <c r="V39">
        <f t="shared" ca="1" si="6"/>
        <v>158.9638306155407</v>
      </c>
      <c r="W39">
        <f t="shared" ca="1" si="16"/>
        <v>159.10608851065138</v>
      </c>
      <c r="X39">
        <f t="shared" ca="1" si="15"/>
        <v>2.9113751720473147E-2</v>
      </c>
      <c r="Y39">
        <f t="shared" ca="1" si="17"/>
        <v>-0.7131686756739698</v>
      </c>
      <c r="Z39">
        <f t="shared" ca="1" si="18"/>
        <v>0.74228242739444295</v>
      </c>
    </row>
    <row r="40" spans="1:26" x14ac:dyDescent="0.25">
      <c r="A40" vm="115">
        <f ca="1"/>
        <v>45349</v>
      </c>
      <c r="B40" vm="116">
        <f ca="1"/>
        <v>160.97999999999999</v>
      </c>
      <c r="C40" vm="117">
        <f ca="1"/>
        <v>5078650</v>
      </c>
      <c r="D40">
        <f t="shared" ca="1" si="0"/>
        <v>817561077</v>
      </c>
      <c r="E40">
        <f ca="1">SUM($D$2:D40)/SUM($C$2:C40)</f>
        <v>159.15898314111683</v>
      </c>
      <c r="F40">
        <f ca="1">_xlfn.STDEV.P($B$2:B40)</f>
        <v>1.940291701501734</v>
      </c>
      <c r="G40">
        <f t="shared" ca="1" si="1"/>
        <v>161.09927484261857</v>
      </c>
      <c r="H40">
        <f t="shared" ca="1" si="2"/>
        <v>157.2186914396151</v>
      </c>
      <c r="I40">
        <f t="shared" ca="1" si="11"/>
        <v>158.13849999999999</v>
      </c>
      <c r="J40">
        <f t="shared" ca="1" si="12"/>
        <v>1.7695829868554929</v>
      </c>
      <c r="K40">
        <f t="shared" ca="1" si="13"/>
        <v>161.67766597371099</v>
      </c>
      <c r="L40">
        <f t="shared" ca="1" si="14"/>
        <v>154.599334026289</v>
      </c>
      <c r="M40">
        <f t="shared" ca="1" si="3"/>
        <v>0.18999999999999773</v>
      </c>
      <c r="N40">
        <f t="shared" ca="1" si="4"/>
        <v>0.18999999999999773</v>
      </c>
      <c r="O40">
        <f t="shared" ca="1" si="5"/>
        <v>0</v>
      </c>
      <c r="P40">
        <f t="shared" ca="1" si="9"/>
        <v>0.57959618493368203</v>
      </c>
      <c r="Q40">
        <f t="shared" ca="1" si="10"/>
        <v>0.44875094514399611</v>
      </c>
      <c r="R40">
        <f t="shared" ca="1" si="7"/>
        <v>1.2915765219117255</v>
      </c>
      <c r="S40">
        <f t="shared" ca="1" si="8"/>
        <v>56.361919820780862</v>
      </c>
      <c r="T40">
        <f>70</f>
        <v>70</v>
      </c>
      <c r="U40">
        <f>30</f>
        <v>30</v>
      </c>
      <c r="V40">
        <f t="shared" ca="1" si="6"/>
        <v>159.27401052084213</v>
      </c>
      <c r="W40">
        <f t="shared" ca="1" si="16"/>
        <v>159.24489676912165</v>
      </c>
      <c r="X40">
        <f t="shared" ca="1" si="15"/>
        <v>0.20851759181073248</v>
      </c>
      <c r="Y40">
        <f t="shared" ca="1" si="17"/>
        <v>-0.52883142217702939</v>
      </c>
      <c r="Z40">
        <f t="shared" ca="1" si="18"/>
        <v>0.73734901398776187</v>
      </c>
    </row>
    <row r="41" spans="1:26" x14ac:dyDescent="0.25">
      <c r="A41" vm="118">
        <f ca="1"/>
        <v>45350</v>
      </c>
      <c r="B41" vm="119">
        <f ca="1"/>
        <v>161.55000000000001</v>
      </c>
      <c r="C41" vm="120">
        <f ca="1"/>
        <v>6071076</v>
      </c>
      <c r="D41">
        <f t="shared" ca="1" si="0"/>
        <v>980782327.80000007</v>
      </c>
      <c r="E41">
        <f ca="1">SUM($D$2:D41)/SUM($C$2:C41)</f>
        <v>159.2096238742393</v>
      </c>
      <c r="F41">
        <f ca="1">_xlfn.STDEV.P($B$2:B41)</f>
        <v>1.9444214917296074</v>
      </c>
      <c r="G41">
        <f t="shared" ca="1" si="1"/>
        <v>161.1540453659689</v>
      </c>
      <c r="H41">
        <f t="shared" ca="1" si="2"/>
        <v>157.2652023825097</v>
      </c>
      <c r="I41">
        <f t="shared" ca="1" si="11"/>
        <v>158.2775</v>
      </c>
      <c r="J41">
        <f t="shared" ca="1" si="12"/>
        <v>1.9242247242652488</v>
      </c>
      <c r="K41">
        <f t="shared" ca="1" si="13"/>
        <v>162.12594944853049</v>
      </c>
      <c r="L41">
        <f t="shared" ca="1" si="14"/>
        <v>154.42905055146952</v>
      </c>
      <c r="M41">
        <f t="shared" ca="1" si="3"/>
        <v>0.5700000000000216</v>
      </c>
      <c r="N41">
        <f t="shared" ca="1" si="4"/>
        <v>0.5700000000000216</v>
      </c>
      <c r="O41">
        <f t="shared" ca="1" si="5"/>
        <v>0</v>
      </c>
      <c r="P41">
        <f t="shared" ca="1" si="9"/>
        <v>0.5789107431527063</v>
      </c>
      <c r="Q41">
        <f t="shared" ca="1" si="10"/>
        <v>0.41669730620513923</v>
      </c>
      <c r="R41">
        <f t="shared" ca="1" si="7"/>
        <v>1.389283622744875</v>
      </c>
      <c r="S41">
        <f t="shared" ca="1" si="8"/>
        <v>58.146450656570764</v>
      </c>
      <c r="T41">
        <f>70</f>
        <v>70</v>
      </c>
      <c r="U41">
        <f>30</f>
        <v>30</v>
      </c>
      <c r="V41">
        <f t="shared" ca="1" si="6"/>
        <v>159.62416274840487</v>
      </c>
      <c r="W41">
        <f t="shared" ca="1" si="16"/>
        <v>159.41564515659414</v>
      </c>
      <c r="X41">
        <f t="shared" ca="1" si="15"/>
        <v>0.3331386335702291</v>
      </c>
      <c r="Y41">
        <f t="shared" ca="1" si="17"/>
        <v>-0.3564374110275777</v>
      </c>
      <c r="Z41">
        <f t="shared" ca="1" si="18"/>
        <v>0.68957604459780675</v>
      </c>
    </row>
    <row r="42" spans="1:26" x14ac:dyDescent="0.25">
      <c r="A42" vm="121">
        <f ca="1"/>
        <v>45351</v>
      </c>
      <c r="B42" vm="122">
        <f ca="1"/>
        <v>161.38</v>
      </c>
      <c r="C42" vm="123">
        <f ca="1"/>
        <v>9849270</v>
      </c>
      <c r="D42">
        <f t="shared" ca="1" si="0"/>
        <v>1589475192.5999999</v>
      </c>
      <c r="E42">
        <f ca="1">SUM($D$2:D42)/SUM($C$2:C42)</f>
        <v>159.28172116084909</v>
      </c>
      <c r="F42">
        <f ca="1">_xlfn.STDEV.P($B$2:B42)</f>
        <v>1.9428615507426019</v>
      </c>
      <c r="G42">
        <f t="shared" ca="1" si="1"/>
        <v>161.22458271159169</v>
      </c>
      <c r="H42">
        <f t="shared" ca="1" si="2"/>
        <v>157.33885961010648</v>
      </c>
      <c r="I42">
        <f t="shared" ca="1" si="11"/>
        <v>158.4015</v>
      </c>
      <c r="J42">
        <f t="shared" ca="1" si="12"/>
        <v>2.0427104671567058</v>
      </c>
      <c r="K42">
        <f t="shared" ca="1" si="13"/>
        <v>162.48692093431342</v>
      </c>
      <c r="L42">
        <f t="shared" ca="1" si="14"/>
        <v>154.31607906568658</v>
      </c>
      <c r="M42">
        <f t="shared" ca="1" si="3"/>
        <v>-0.17000000000001592</v>
      </c>
      <c r="N42">
        <f t="shared" ca="1" si="4"/>
        <v>0</v>
      </c>
      <c r="O42">
        <f t="shared" ca="1" si="5"/>
        <v>0.17000000000001592</v>
      </c>
      <c r="P42">
        <f t="shared" ca="1" si="9"/>
        <v>0.53755997578465586</v>
      </c>
      <c r="Q42">
        <f t="shared" ca="1" si="10"/>
        <v>0.3990760700476304</v>
      </c>
      <c r="R42">
        <f t="shared" ca="1" si="7"/>
        <v>1.3470112996765182</v>
      </c>
      <c r="S42">
        <f t="shared" ca="1" si="8"/>
        <v>57.392620984064841</v>
      </c>
      <c r="T42">
        <f>70</f>
        <v>70</v>
      </c>
      <c r="U42">
        <f>30</f>
        <v>30</v>
      </c>
      <c r="V42">
        <f t="shared" ca="1" si="6"/>
        <v>159.89429155634258</v>
      </c>
      <c r="W42">
        <f t="shared" ca="1" si="16"/>
        <v>159.56115292277235</v>
      </c>
      <c r="X42">
        <f t="shared" ca="1" si="15"/>
        <v>0.48601108926703773</v>
      </c>
      <c r="Y42">
        <f t="shared" ca="1" si="17"/>
        <v>-0.18794771096865465</v>
      </c>
      <c r="Z42">
        <f t="shared" ca="1" si="18"/>
        <v>0.67395880023569243</v>
      </c>
    </row>
    <row r="43" spans="1:26" x14ac:dyDescent="0.25">
      <c r="A43" vm="124">
        <f ca="1"/>
        <v>45352</v>
      </c>
      <c r="B43" vm="125">
        <f ca="1"/>
        <v>162.12</v>
      </c>
      <c r="C43" vm="126">
        <f ca="1"/>
        <v>5670135</v>
      </c>
      <c r="D43">
        <f t="shared" ca="1" si="0"/>
        <v>919242286.20000005</v>
      </c>
      <c r="E43">
        <f ca="1">SUM($D$2:D43)/SUM($C$2:C43)</f>
        <v>159.33498119070009</v>
      </c>
      <c r="F43">
        <f ca="1">_xlfn.STDEV.P($B$2:B43)</f>
        <v>1.9599783798381805</v>
      </c>
      <c r="G43">
        <f t="shared" ca="1" si="1"/>
        <v>161.29495957053828</v>
      </c>
      <c r="H43">
        <f t="shared" ca="1" si="2"/>
        <v>157.3750028108619</v>
      </c>
      <c r="I43">
        <f t="shared" ca="1" si="11"/>
        <v>158.58950000000002</v>
      </c>
      <c r="J43">
        <f t="shared" ca="1" si="12"/>
        <v>2.2052484643399421</v>
      </c>
      <c r="K43">
        <f t="shared" ca="1" si="13"/>
        <v>162.99999692867991</v>
      </c>
      <c r="L43">
        <f t="shared" ca="1" si="14"/>
        <v>154.17900307132012</v>
      </c>
      <c r="M43">
        <f t="shared" ca="1" si="3"/>
        <v>0.74000000000000909</v>
      </c>
      <c r="N43">
        <f t="shared" ca="1" si="4"/>
        <v>0.74000000000000909</v>
      </c>
      <c r="O43">
        <f t="shared" ca="1" si="5"/>
        <v>0</v>
      </c>
      <c r="P43">
        <f t="shared" ca="1" si="9"/>
        <v>0.55201997751432397</v>
      </c>
      <c r="Q43">
        <f t="shared" ca="1" si="10"/>
        <v>0.37057063647279964</v>
      </c>
      <c r="R43">
        <f t="shared" ca="1" si="7"/>
        <v>1.4896484588434005</v>
      </c>
      <c r="S43">
        <f t="shared" ca="1" si="8"/>
        <v>59.833686701914395</v>
      </c>
      <c r="T43">
        <f>70</f>
        <v>70</v>
      </c>
      <c r="U43">
        <f>30</f>
        <v>30</v>
      </c>
      <c r="V43">
        <f t="shared" ca="1" si="6"/>
        <v>160.23670823998219</v>
      </c>
      <c r="W43">
        <f t="shared" ca="1" si="16"/>
        <v>159.75069715071515</v>
      </c>
      <c r="X43">
        <f t="shared" ca="1" si="15"/>
        <v>0.41836402647376758</v>
      </c>
      <c r="Y43">
        <f t="shared" ca="1" si="17"/>
        <v>-6.6685363480170207E-2</v>
      </c>
      <c r="Z43">
        <f t="shared" ca="1" si="18"/>
        <v>0.48504938995393776</v>
      </c>
    </row>
    <row r="44" spans="1:26" x14ac:dyDescent="0.25">
      <c r="A44" vm="127">
        <f ca="1"/>
        <v>45355</v>
      </c>
      <c r="B44" vm="128">
        <f ca="1"/>
        <v>159.84</v>
      </c>
      <c r="C44" vm="129">
        <f ca="1"/>
        <v>8533083</v>
      </c>
      <c r="D44">
        <f t="shared" ca="1" si="0"/>
        <v>1363927986.72</v>
      </c>
      <c r="E44">
        <f ca="1">SUM($D$2:D44)/SUM($C$2:C44)</f>
        <v>159.34885105253124</v>
      </c>
      <c r="F44">
        <f ca="1">_xlfn.STDEV.P($B$2:B44)</f>
        <v>1.9374336674560786</v>
      </c>
      <c r="G44">
        <f t="shared" ca="1" si="1"/>
        <v>161.28628471998732</v>
      </c>
      <c r="H44">
        <f t="shared" ca="1" si="2"/>
        <v>157.41141738507517</v>
      </c>
      <c r="I44">
        <f t="shared" ca="1" si="11"/>
        <v>158.75100000000003</v>
      </c>
      <c r="J44">
        <f t="shared" ca="1" si="12"/>
        <v>2.170653309368789</v>
      </c>
      <c r="K44">
        <f t="shared" ca="1" si="13"/>
        <v>163.09230661873761</v>
      </c>
      <c r="L44">
        <f t="shared" ca="1" si="14"/>
        <v>154.40969338126246</v>
      </c>
      <c r="M44">
        <f t="shared" ca="1" si="3"/>
        <v>-2.2800000000000011</v>
      </c>
      <c r="N44">
        <f t="shared" ca="1" si="4"/>
        <v>0</v>
      </c>
      <c r="O44">
        <f t="shared" ca="1" si="5"/>
        <v>2.2800000000000011</v>
      </c>
      <c r="P44">
        <f t="shared" ca="1" si="9"/>
        <v>0.51258997912044368</v>
      </c>
      <c r="Q44">
        <f t="shared" ca="1" si="10"/>
        <v>0.50695844815331403</v>
      </c>
      <c r="R44">
        <f t="shared" ca="1" si="7"/>
        <v>1.0111084665570591</v>
      </c>
      <c r="S44">
        <f t="shared" ca="1" si="8"/>
        <v>50.276177708507092</v>
      </c>
      <c r="T44">
        <f>70</f>
        <v>70</v>
      </c>
      <c r="U44">
        <f>30</f>
        <v>30</v>
      </c>
      <c r="V44">
        <f t="shared" ca="1" si="6"/>
        <v>160.17567620306187</v>
      </c>
      <c r="W44">
        <f t="shared" ca="1" si="16"/>
        <v>159.7573121765881</v>
      </c>
      <c r="X44">
        <f t="shared" ca="1" si="15"/>
        <v>0.37096688010896628</v>
      </c>
      <c r="Y44">
        <f t="shared" ca="1" si="17"/>
        <v>2.0845085237657088E-2</v>
      </c>
      <c r="Z44">
        <f t="shared" ca="1" si="18"/>
        <v>0.35012179487130918</v>
      </c>
    </row>
    <row r="45" spans="1:26" x14ac:dyDescent="0.25">
      <c r="A45" vm="130">
        <f ca="1"/>
        <v>45356</v>
      </c>
      <c r="B45" vm="2">
        <f ca="1"/>
        <v>159.97</v>
      </c>
      <c r="C45" vm="131">
        <f ca="1"/>
        <v>8298182</v>
      </c>
      <c r="D45">
        <f t="shared" ca="1" si="0"/>
        <v>1327460174.54</v>
      </c>
      <c r="E45">
        <f ca="1">SUM($D$2:D45)/SUM($C$2:C45)</f>
        <v>159.36500915542561</v>
      </c>
      <c r="F45">
        <f ca="1">_xlfn.STDEV.P($B$2:B45)</f>
        <v>1.9161217934339976</v>
      </c>
      <c r="G45">
        <f t="shared" ca="1" si="1"/>
        <v>161.28113094885961</v>
      </c>
      <c r="H45">
        <f t="shared" ca="1" si="2"/>
        <v>157.44888736199161</v>
      </c>
      <c r="I45">
        <f t="shared" ca="1" si="11"/>
        <v>158.95950000000002</v>
      </c>
      <c r="J45">
        <f t="shared" ca="1" si="12"/>
        <v>2.0702287567472228</v>
      </c>
      <c r="K45">
        <f t="shared" ca="1" si="13"/>
        <v>163.09995751349447</v>
      </c>
      <c r="L45">
        <f t="shared" ca="1" si="14"/>
        <v>154.81904248650557</v>
      </c>
      <c r="M45">
        <f t="shared" ca="1" si="3"/>
        <v>0.12999999999999545</v>
      </c>
      <c r="N45">
        <f t="shared" ca="1" si="4"/>
        <v>0.12999999999999545</v>
      </c>
      <c r="O45">
        <f t="shared" ca="1" si="5"/>
        <v>0</v>
      </c>
      <c r="P45">
        <f t="shared" ca="1" si="9"/>
        <v>0.48526212346898312</v>
      </c>
      <c r="Q45">
        <f t="shared" ca="1" si="10"/>
        <v>0.47074713042807736</v>
      </c>
      <c r="R45">
        <f t="shared" ca="1" si="7"/>
        <v>1.0308339490624328</v>
      </c>
      <c r="S45">
        <f t="shared" ca="1" si="8"/>
        <v>50.7591450073175</v>
      </c>
      <c r="T45">
        <f>70</f>
        <v>70</v>
      </c>
      <c r="U45">
        <f>30</f>
        <v>30</v>
      </c>
      <c r="V45">
        <f t="shared" ca="1" si="6"/>
        <v>160.14403371028311</v>
      </c>
      <c r="W45">
        <f t="shared" ca="1" si="16"/>
        <v>159.77306683017414</v>
      </c>
      <c r="X45">
        <f t="shared" ca="1" si="15"/>
        <v>0.27934841067659022</v>
      </c>
      <c r="Y45">
        <f t="shared" ca="1" si="17"/>
        <v>7.254575032544372E-2</v>
      </c>
      <c r="Z45">
        <f t="shared" ca="1" si="18"/>
        <v>0.2068026603511465</v>
      </c>
    </row>
    <row r="46" spans="1:26" x14ac:dyDescent="0.25">
      <c r="A46" vm="132">
        <f ca="1"/>
        <v>45357</v>
      </c>
      <c r="B46" vm="133">
        <f ca="1"/>
        <v>159.34</v>
      </c>
      <c r="C46" vm="134">
        <f ca="1"/>
        <v>5773683</v>
      </c>
      <c r="D46">
        <f t="shared" ca="1" si="0"/>
        <v>919978649.22000003</v>
      </c>
      <c r="E46">
        <f ca="1">SUM($D$2:D46)/SUM($C$2:C46)</f>
        <v>159.36456455135746</v>
      </c>
      <c r="F46">
        <f ca="1">_xlfn.STDEV.P($B$2:B46)</f>
        <v>1.8950995152865981</v>
      </c>
      <c r="G46">
        <f t="shared" ca="1" si="1"/>
        <v>161.25966406664406</v>
      </c>
      <c r="H46">
        <f t="shared" ca="1" si="2"/>
        <v>157.46946503607086</v>
      </c>
      <c r="I46">
        <f t="shared" ca="1" si="11"/>
        <v>159.02350000000004</v>
      </c>
      <c r="J46">
        <f t="shared" ca="1" si="12"/>
        <v>2.0607210669543488</v>
      </c>
      <c r="K46">
        <f t="shared" ca="1" si="13"/>
        <v>163.14494213390873</v>
      </c>
      <c r="L46">
        <f t="shared" ca="1" si="14"/>
        <v>154.90205786609135</v>
      </c>
      <c r="M46">
        <f t="shared" ca="1" si="3"/>
        <v>-0.62999999999999545</v>
      </c>
      <c r="N46">
        <f t="shared" ca="1" si="4"/>
        <v>0</v>
      </c>
      <c r="O46">
        <f t="shared" ca="1" si="5"/>
        <v>0.62999999999999545</v>
      </c>
      <c r="P46">
        <f t="shared" ca="1" si="9"/>
        <v>0.45060054322119864</v>
      </c>
      <c r="Q46">
        <f t="shared" ca="1" si="10"/>
        <v>0.48212233539750005</v>
      </c>
      <c r="R46">
        <f t="shared" ca="1" si="7"/>
        <v>0.93461868521334457</v>
      </c>
      <c r="S46">
        <f t="shared" ca="1" si="8"/>
        <v>48.310227351612568</v>
      </c>
      <c r="T46">
        <f>70</f>
        <v>70</v>
      </c>
      <c r="U46">
        <f>30</f>
        <v>30</v>
      </c>
      <c r="V46">
        <f t="shared" ca="1" si="6"/>
        <v>160.02033621639339</v>
      </c>
      <c r="W46">
        <f t="shared" ca="1" si="16"/>
        <v>159.7409878057168</v>
      </c>
      <c r="X46">
        <f t="shared" ca="1" si="15"/>
        <v>0.16689122339280971</v>
      </c>
      <c r="Y46">
        <f t="shared" ca="1" si="17"/>
        <v>9.1414844938916925E-2</v>
      </c>
      <c r="Z46">
        <f t="shared" ca="1" si="18"/>
        <v>7.5476378453892781E-2</v>
      </c>
    </row>
    <row r="47" spans="1:26" x14ac:dyDescent="0.25">
      <c r="A47" vm="135">
        <f ca="1"/>
        <v>45358</v>
      </c>
      <c r="B47" vm="136">
        <f ca="1"/>
        <v>158.87</v>
      </c>
      <c r="C47" vm="137">
        <f ca="1"/>
        <v>5188726</v>
      </c>
      <c r="D47">
        <f t="shared" ca="1" si="0"/>
        <v>824332899.62</v>
      </c>
      <c r="E47">
        <f ca="1">SUM($D$2:D47)/SUM($C$2:C47)</f>
        <v>159.35678738262303</v>
      </c>
      <c r="F47">
        <f ca="1">_xlfn.STDEV.P($B$2:B47)</f>
        <v>1.8773605053155633</v>
      </c>
      <c r="G47">
        <f t="shared" ca="1" si="1"/>
        <v>161.23414788793858</v>
      </c>
      <c r="H47">
        <f t="shared" ca="1" si="2"/>
        <v>157.47942687730747</v>
      </c>
      <c r="I47">
        <f t="shared" ca="1" si="11"/>
        <v>159.06800000000001</v>
      </c>
      <c r="J47">
        <f t="shared" ca="1" si="12"/>
        <v>2.0465622008884208</v>
      </c>
      <c r="K47">
        <f t="shared" ca="1" si="13"/>
        <v>163.16112440177685</v>
      </c>
      <c r="L47">
        <f t="shared" ca="1" si="14"/>
        <v>154.97487559822318</v>
      </c>
      <c r="M47">
        <f t="shared" ca="1" si="3"/>
        <v>-0.46999999999999886</v>
      </c>
      <c r="N47">
        <f t="shared" ca="1" si="4"/>
        <v>0</v>
      </c>
      <c r="O47">
        <f t="shared" ca="1" si="5"/>
        <v>0.46999999999999886</v>
      </c>
      <c r="P47">
        <f t="shared" ca="1" si="9"/>
        <v>0.41841479013397015</v>
      </c>
      <c r="Q47">
        <f t="shared" ca="1" si="10"/>
        <v>0.48125645429767855</v>
      </c>
      <c r="R47">
        <f t="shared" ca="1" si="7"/>
        <v>0.86942166987574976</v>
      </c>
      <c r="S47">
        <f t="shared" ca="1" si="8"/>
        <v>46.507520688659582</v>
      </c>
      <c r="T47">
        <f>70</f>
        <v>70</v>
      </c>
      <c r="U47">
        <f>30</f>
        <v>30</v>
      </c>
      <c r="V47">
        <f t="shared" ca="1" si="6"/>
        <v>159.84336141387135</v>
      </c>
      <c r="W47">
        <f t="shared" ca="1" si="16"/>
        <v>159.67647019047854</v>
      </c>
      <c r="X47">
        <f t="shared" ca="1" si="15"/>
        <v>0.12873369804634649</v>
      </c>
      <c r="Y47">
        <f t="shared" ca="1" si="17"/>
        <v>9.8878615560402838E-2</v>
      </c>
      <c r="Z47">
        <f t="shared" ca="1" si="18"/>
        <v>2.9855082485943651E-2</v>
      </c>
    </row>
    <row r="48" spans="1:26" x14ac:dyDescent="0.25">
      <c r="A48" vm="138">
        <f ca="1"/>
        <v>45359</v>
      </c>
      <c r="B48" vm="139">
        <f ca="1"/>
        <v>159.52000000000001</v>
      </c>
      <c r="C48" vm="140">
        <f ca="1"/>
        <v>5283951</v>
      </c>
      <c r="D48">
        <f t="shared" ca="1" si="0"/>
        <v>842895863.5200001</v>
      </c>
      <c r="E48">
        <f ca="1">SUM($D$2:D48)/SUM($C$2:C48)</f>
        <v>159.35935985470005</v>
      </c>
      <c r="F48">
        <f ca="1">_xlfn.STDEV.P($B$2:B48)</f>
        <v>1.8573003768655534</v>
      </c>
      <c r="G48">
        <f t="shared" ca="1" si="1"/>
        <v>161.21666023156561</v>
      </c>
      <c r="H48">
        <f t="shared" ca="1" si="2"/>
        <v>157.50205947783448</v>
      </c>
      <c r="I48">
        <f t="shared" ca="1" si="11"/>
        <v>159.22399999999999</v>
      </c>
      <c r="J48">
        <f t="shared" ca="1" si="12"/>
        <v>1.9490791347926861</v>
      </c>
      <c r="K48">
        <f t="shared" ca="1" si="13"/>
        <v>163.12215826958536</v>
      </c>
      <c r="L48">
        <f t="shared" ca="1" si="14"/>
        <v>155.32584173041462</v>
      </c>
      <c r="M48">
        <f t="shared" ca="1" si="3"/>
        <v>0.65000000000000568</v>
      </c>
      <c r="N48">
        <f t="shared" ca="1" si="4"/>
        <v>0.65000000000000568</v>
      </c>
      <c r="O48">
        <f t="shared" ca="1" si="5"/>
        <v>0</v>
      </c>
      <c r="P48">
        <f t="shared" ca="1" si="9"/>
        <v>0.43495659083868699</v>
      </c>
      <c r="Q48">
        <f t="shared" ca="1" si="10"/>
        <v>0.44688099327641584</v>
      </c>
      <c r="R48">
        <f t="shared" ca="1" si="7"/>
        <v>0.97331638038507251</v>
      </c>
      <c r="S48">
        <f t="shared" ca="1" si="8"/>
        <v>49.323888964786264</v>
      </c>
      <c r="T48">
        <f>70</f>
        <v>70</v>
      </c>
      <c r="U48">
        <f>30</f>
        <v>30</v>
      </c>
      <c r="V48">
        <f t="shared" ca="1" si="6"/>
        <v>159.793613504045</v>
      </c>
      <c r="W48">
        <f t="shared" ca="1" si="16"/>
        <v>159.66487980599865</v>
      </c>
      <c r="X48">
        <f t="shared" ca="1" si="15"/>
        <v>0.23378140670027392</v>
      </c>
      <c r="Y48">
        <f t="shared" ca="1" si="17"/>
        <v>0.12585917378837708</v>
      </c>
      <c r="Z48">
        <f t="shared" ca="1" si="18"/>
        <v>0.10792223291189684</v>
      </c>
    </row>
    <row r="49" spans="1:26" x14ac:dyDescent="0.25">
      <c r="A49" vm="141">
        <f ca="1"/>
        <v>45362</v>
      </c>
      <c r="B49" vm="142">
        <f ca="1"/>
        <v>161.22999999999999</v>
      </c>
      <c r="C49" vm="143">
        <f ca="1"/>
        <v>4620826</v>
      </c>
      <c r="D49">
        <f t="shared" ca="1" si="0"/>
        <v>745015775.9799999</v>
      </c>
      <c r="E49">
        <f ca="1">SUM($D$2:D49)/SUM($C$2:C49)</f>
        <v>159.38479316143525</v>
      </c>
      <c r="F49">
        <f ca="1">_xlfn.STDEV.P($B$2:B49)</f>
        <v>1.8529496005618218</v>
      </c>
      <c r="G49">
        <f t="shared" ca="1" si="1"/>
        <v>161.23774276199708</v>
      </c>
      <c r="H49">
        <f t="shared" ca="1" si="2"/>
        <v>157.53184356087343</v>
      </c>
      <c r="I49">
        <f t="shared" ca="1" si="11"/>
        <v>159.44749999999999</v>
      </c>
      <c r="J49">
        <f t="shared" ca="1" si="12"/>
        <v>1.9075056045996139</v>
      </c>
      <c r="K49">
        <f t="shared" ca="1" si="13"/>
        <v>163.26251120919923</v>
      </c>
      <c r="L49">
        <f t="shared" ca="1" si="14"/>
        <v>155.63248879080075</v>
      </c>
      <c r="M49">
        <f t="shared" ca="1" si="3"/>
        <v>1.7099999999999795</v>
      </c>
      <c r="N49">
        <f t="shared" ca="1" si="4"/>
        <v>1.7099999999999795</v>
      </c>
      <c r="O49">
        <f t="shared" ca="1" si="5"/>
        <v>0</v>
      </c>
      <c r="P49">
        <f t="shared" ca="1" si="9"/>
        <v>0.5260311200644936</v>
      </c>
      <c r="Q49">
        <f t="shared" ca="1" si="10"/>
        <v>0.41496092232810039</v>
      </c>
      <c r="R49">
        <f t="shared" ca="1" si="7"/>
        <v>1.2676642347747928</v>
      </c>
      <c r="S49">
        <f t="shared" ca="1" si="8"/>
        <v>55.901760734021877</v>
      </c>
      <c r="T49">
        <f>70</f>
        <v>70</v>
      </c>
      <c r="U49">
        <f>30</f>
        <v>30</v>
      </c>
      <c r="V49">
        <f t="shared" ca="1" si="6"/>
        <v>160.0145960418842</v>
      </c>
      <c r="W49">
        <f t="shared" ca="1" si="16"/>
        <v>159.78081463518393</v>
      </c>
      <c r="X49">
        <f t="shared" ca="1" si="15"/>
        <v>0.43387540742116926</v>
      </c>
      <c r="Y49">
        <f t="shared" ca="1" si="17"/>
        <v>0.1874624205149355</v>
      </c>
      <c r="Z49">
        <f t="shared" ca="1" si="18"/>
        <v>0.24641298690623376</v>
      </c>
    </row>
    <row r="50" spans="1:26" x14ac:dyDescent="0.25">
      <c r="A50" vm="144">
        <f ca="1"/>
        <v>45363</v>
      </c>
      <c r="B50" vm="145">
        <f ca="1"/>
        <v>162.74</v>
      </c>
      <c r="C50" vm="146">
        <f ca="1"/>
        <v>8018736</v>
      </c>
      <c r="D50">
        <f t="shared" ca="1" si="0"/>
        <v>1304969096.6400001</v>
      </c>
      <c r="E50">
        <f ca="1">SUM($D$2:D50)/SUM($C$2:C50)</f>
        <v>159.46213072889739</v>
      </c>
      <c r="F50">
        <f ca="1">_xlfn.STDEV.P($B$2:B50)</f>
        <v>1.8865312745607665</v>
      </c>
      <c r="G50">
        <f t="shared" ca="1" si="1"/>
        <v>161.34866200345814</v>
      </c>
      <c r="H50">
        <f t="shared" ca="1" si="2"/>
        <v>157.57559945433664</v>
      </c>
      <c r="I50">
        <f t="shared" ca="1" si="11"/>
        <v>159.69200000000001</v>
      </c>
      <c r="J50">
        <f t="shared" ca="1" si="12"/>
        <v>2.0029704257217036</v>
      </c>
      <c r="K50">
        <f t="shared" ca="1" si="13"/>
        <v>163.69794085144341</v>
      </c>
      <c r="L50">
        <f t="shared" ca="1" si="14"/>
        <v>155.68605914855661</v>
      </c>
      <c r="M50">
        <f t="shared" ca="1" si="3"/>
        <v>1.5100000000000193</v>
      </c>
      <c r="N50">
        <f t="shared" ca="1" si="4"/>
        <v>1.5100000000000193</v>
      </c>
      <c r="O50">
        <f t="shared" ca="1" si="5"/>
        <v>0</v>
      </c>
      <c r="P50">
        <f t="shared" ca="1" si="9"/>
        <v>0.59631461148845966</v>
      </c>
      <c r="Q50">
        <f t="shared" ca="1" si="10"/>
        <v>0.38532085644752179</v>
      </c>
      <c r="R50">
        <f t="shared" ca="1" si="7"/>
        <v>1.5475793783554872</v>
      </c>
      <c r="S50">
        <f t="shared" ca="1" si="8"/>
        <v>60.747052339326132</v>
      </c>
      <c r="T50">
        <f>70</f>
        <v>70</v>
      </c>
      <c r="U50">
        <f>30</f>
        <v>30</v>
      </c>
      <c r="V50">
        <f t="shared" ca="1" si="6"/>
        <v>160.4338889585174</v>
      </c>
      <c r="W50">
        <f t="shared" ca="1" si="16"/>
        <v>160.00001355109623</v>
      </c>
      <c r="X50">
        <f t="shared" ca="1" si="15"/>
        <v>0.45487355149114705</v>
      </c>
      <c r="Y50">
        <f t="shared" ca="1" si="17"/>
        <v>0.24094464671017785</v>
      </c>
      <c r="Z50">
        <f t="shared" ca="1" si="18"/>
        <v>0.21392890478096921</v>
      </c>
    </row>
    <row r="51" spans="1:26" x14ac:dyDescent="0.25">
      <c r="A51" vm="147">
        <f ca="1"/>
        <v>45364</v>
      </c>
      <c r="B51" vm="148">
        <f ca="1"/>
        <v>161.1</v>
      </c>
      <c r="C51" vm="149">
        <f ca="1"/>
        <v>6260000</v>
      </c>
      <c r="D51">
        <f t="shared" ca="1" si="0"/>
        <v>1008486000</v>
      </c>
      <c r="E51">
        <f ca="1">SUM($D$2:D51)/SUM($C$2:C51)</f>
        <v>159.49108238646554</v>
      </c>
      <c r="F51">
        <f ca="1">_xlfn.STDEV.P($B$2:B51)</f>
        <v>1.8781884889435332</v>
      </c>
      <c r="G51">
        <f t="shared" ca="1" si="1"/>
        <v>161.36927087540906</v>
      </c>
      <c r="H51">
        <f t="shared" ca="1" si="2"/>
        <v>157.61289389752201</v>
      </c>
      <c r="I51">
        <f t="shared" ca="1" si="11"/>
        <v>159.92349999999999</v>
      </c>
      <c r="J51">
        <f t="shared" ca="1" si="12"/>
        <v>1.8744157686287748</v>
      </c>
      <c r="K51">
        <f t="shared" ca="1" si="13"/>
        <v>163.67233153725755</v>
      </c>
      <c r="L51">
        <f t="shared" ca="1" si="14"/>
        <v>156.17466846274243</v>
      </c>
      <c r="M51">
        <f t="shared" ca="1" si="3"/>
        <v>-1.6400000000000148</v>
      </c>
      <c r="N51">
        <f t="shared" ca="1" si="4"/>
        <v>0</v>
      </c>
      <c r="O51">
        <f t="shared" ca="1" si="5"/>
        <v>1.6400000000000148</v>
      </c>
      <c r="P51">
        <f t="shared" ca="1" si="9"/>
        <v>0.55372071066785533</v>
      </c>
      <c r="Q51">
        <f t="shared" ca="1" si="10"/>
        <v>0.47494079527269983</v>
      </c>
      <c r="R51">
        <f t="shared" ca="1" si="7"/>
        <v>1.1658731281441552</v>
      </c>
      <c r="S51">
        <f t="shared" ca="1" si="8"/>
        <v>53.829243873723222</v>
      </c>
      <c r="T51">
        <f>70</f>
        <v>70</v>
      </c>
      <c r="U51">
        <f>30</f>
        <v>30</v>
      </c>
      <c r="V51">
        <f t="shared" ca="1" si="6"/>
        <v>160.53636758028395</v>
      </c>
      <c r="W51">
        <f t="shared" ca="1" si="16"/>
        <v>160.0814940287928</v>
      </c>
      <c r="X51">
        <f t="shared" ca="1" si="15"/>
        <v>0.31537211392216591</v>
      </c>
      <c r="Y51">
        <f t="shared" ca="1" si="17"/>
        <v>0.25583014015257549</v>
      </c>
      <c r="Z51">
        <f t="shared" ca="1" si="18"/>
        <v>5.9541973769590417E-2</v>
      </c>
    </row>
    <row r="52" spans="1:26" x14ac:dyDescent="0.25">
      <c r="A52" vm="150">
        <f ca="1"/>
        <v>45365</v>
      </c>
      <c r="B52" vm="151">
        <f ca="1"/>
        <v>159.21</v>
      </c>
      <c r="C52" vm="152">
        <f ca="1"/>
        <v>6988264</v>
      </c>
      <c r="D52">
        <f t="shared" ca="1" si="0"/>
        <v>1112601511.4400001</v>
      </c>
      <c r="E52">
        <f ca="1">SUM($D$2:D52)/SUM($C$2:C52)</f>
        <v>159.48564316924544</v>
      </c>
      <c r="F52">
        <f ca="1">_xlfn.STDEV.P($B$2:B52)</f>
        <v>1.8609445787303076</v>
      </c>
      <c r="G52">
        <f t="shared" ca="1" si="1"/>
        <v>161.34658774797575</v>
      </c>
      <c r="H52">
        <f t="shared" ca="1" si="2"/>
        <v>157.62469859051512</v>
      </c>
      <c r="I52">
        <f t="shared" ca="1" si="11"/>
        <v>160.09700000000001</v>
      </c>
      <c r="J52">
        <f t="shared" ca="1" si="12"/>
        <v>1.6085400376215606</v>
      </c>
      <c r="K52">
        <f t="shared" ca="1" si="13"/>
        <v>163.31408007524314</v>
      </c>
      <c r="L52">
        <f t="shared" ca="1" si="14"/>
        <v>156.87991992475688</v>
      </c>
      <c r="M52">
        <f t="shared" ca="1" si="3"/>
        <v>-1.8899999999999864</v>
      </c>
      <c r="N52">
        <f t="shared" ca="1" si="4"/>
        <v>0</v>
      </c>
      <c r="O52">
        <f t="shared" ca="1" si="5"/>
        <v>1.8899999999999864</v>
      </c>
      <c r="P52">
        <f t="shared" ca="1" si="9"/>
        <v>0.51416923133443704</v>
      </c>
      <c r="Q52">
        <f t="shared" ca="1" si="10"/>
        <v>0.57601645275322022</v>
      </c>
      <c r="R52">
        <f t="shared" ca="1" si="7"/>
        <v>0.89262941861613787</v>
      </c>
      <c r="S52">
        <f t="shared" ca="1" si="8"/>
        <v>47.16345470677588</v>
      </c>
      <c r="T52">
        <f>70</f>
        <v>70</v>
      </c>
      <c r="U52">
        <f>30</f>
        <v>30</v>
      </c>
      <c r="V52">
        <f t="shared" ca="1" si="6"/>
        <v>160.33231102947104</v>
      </c>
      <c r="W52">
        <f t="shared" ca="1" si="16"/>
        <v>160.01693891554888</v>
      </c>
      <c r="X52">
        <f t="shared" ca="1" si="15"/>
        <v>0.12031688945731389</v>
      </c>
      <c r="Y52">
        <f t="shared" ca="1" si="17"/>
        <v>0.22872749001352319</v>
      </c>
      <c r="Z52">
        <f t="shared" ca="1" si="18"/>
        <v>-0.1084106005562093</v>
      </c>
    </row>
    <row r="53" spans="1:26" x14ac:dyDescent="0.25">
      <c r="A53" vm="153">
        <f ca="1"/>
        <v>45366</v>
      </c>
      <c r="B53" vm="154">
        <f ca="1"/>
        <v>158.18</v>
      </c>
      <c r="C53" vm="155">
        <f ca="1"/>
        <v>13165500</v>
      </c>
      <c r="D53">
        <f t="shared" ca="1" si="0"/>
        <v>2082518790</v>
      </c>
      <c r="E53">
        <f ca="1">SUM($D$2:D53)/SUM($C$2:C53)</f>
        <v>159.43971867391804</v>
      </c>
      <c r="F53">
        <f ca="1">_xlfn.STDEV.P($B$2:B53)</f>
        <v>1.8546609584261087</v>
      </c>
      <c r="G53">
        <f t="shared" ca="1" si="1"/>
        <v>161.29437963234415</v>
      </c>
      <c r="H53">
        <f t="shared" ca="1" si="2"/>
        <v>157.58505771549193</v>
      </c>
      <c r="I53">
        <f t="shared" ca="1" si="11"/>
        <v>160.10999999999999</v>
      </c>
      <c r="J53">
        <f t="shared" ca="1" si="12"/>
        <v>1.5909745441081042</v>
      </c>
      <c r="K53">
        <f t="shared" ca="1" si="13"/>
        <v>163.2919490882162</v>
      </c>
      <c r="L53">
        <f t="shared" ca="1" si="14"/>
        <v>156.92805091178377</v>
      </c>
      <c r="M53">
        <f t="shared" ca="1" si="3"/>
        <v>-1.0300000000000011</v>
      </c>
      <c r="N53">
        <f t="shared" ca="1" si="4"/>
        <v>0</v>
      </c>
      <c r="O53">
        <f t="shared" ca="1" si="5"/>
        <v>1.0300000000000011</v>
      </c>
      <c r="P53">
        <f t="shared" ca="1" si="9"/>
        <v>0.47744285766769151</v>
      </c>
      <c r="Q53">
        <f t="shared" ca="1" si="10"/>
        <v>0.60844384898513315</v>
      </c>
      <c r="R53">
        <f t="shared" ca="1" si="7"/>
        <v>0.7846950190458043</v>
      </c>
      <c r="S53">
        <f t="shared" ca="1" si="8"/>
        <v>43.968017542030523</v>
      </c>
      <c r="T53">
        <f>70</f>
        <v>70</v>
      </c>
      <c r="U53">
        <f>30</f>
        <v>30</v>
      </c>
      <c r="V53">
        <f t="shared" ca="1" si="6"/>
        <v>160.00118625570627</v>
      </c>
      <c r="W53">
        <f t="shared" ca="1" si="16"/>
        <v>159.88086936624896</v>
      </c>
      <c r="X53">
        <f t="shared" ca="1" si="15"/>
        <v>-0.1471516412710514</v>
      </c>
      <c r="Y53">
        <f t="shared" ca="1" si="17"/>
        <v>0.15355166375660828</v>
      </c>
      <c r="Z53">
        <f t="shared" ca="1" si="18"/>
        <v>-0.30070330502765968</v>
      </c>
    </row>
    <row r="54" spans="1:26" x14ac:dyDescent="0.25">
      <c r="A54" vm="156">
        <f ca="1"/>
        <v>45369</v>
      </c>
      <c r="B54" vm="83">
        <f ca="1"/>
        <v>156.76</v>
      </c>
      <c r="C54" vm="157">
        <f ca="1"/>
        <v>6602255</v>
      </c>
      <c r="D54">
        <f t="shared" ca="1" si="0"/>
        <v>1034969493.8</v>
      </c>
      <c r="E54">
        <f ca="1">SUM($D$2:D54)/SUM($C$2:C54)</f>
        <v>159.39327032580874</v>
      </c>
      <c r="F54">
        <f ca="1">_xlfn.STDEV.P($B$2:B54)</f>
        <v>1.8791246077795982</v>
      </c>
      <c r="G54">
        <f t="shared" ca="1" si="1"/>
        <v>161.27239493358834</v>
      </c>
      <c r="H54">
        <f t="shared" ca="1" si="2"/>
        <v>157.51414571802914</v>
      </c>
      <c r="I54">
        <f t="shared" ca="1" si="11"/>
        <v>160.12049999999999</v>
      </c>
      <c r="J54">
        <f t="shared" ca="1" si="12"/>
        <v>1.566751500129453</v>
      </c>
      <c r="K54">
        <f t="shared" ca="1" si="13"/>
        <v>163.2540030002589</v>
      </c>
      <c r="L54">
        <f t="shared" ca="1" si="14"/>
        <v>156.98699699974108</v>
      </c>
      <c r="M54">
        <f t="shared" ca="1" si="3"/>
        <v>-1.4200000000000159</v>
      </c>
      <c r="N54">
        <f t="shared" ca="1" si="4"/>
        <v>0</v>
      </c>
      <c r="O54">
        <f t="shared" ca="1" si="5"/>
        <v>1.4200000000000159</v>
      </c>
      <c r="P54">
        <f t="shared" ca="1" si="9"/>
        <v>0.44333979640571358</v>
      </c>
      <c r="Q54">
        <f t="shared" ca="1" si="10"/>
        <v>0.66641214548619609</v>
      </c>
      <c r="R54">
        <f t="shared" ca="1" si="7"/>
        <v>0.66526368015436599</v>
      </c>
      <c r="S54">
        <f t="shared" ca="1" si="8"/>
        <v>39.949449932919791</v>
      </c>
      <c r="T54">
        <f>70</f>
        <v>70</v>
      </c>
      <c r="U54">
        <f>30</f>
        <v>30</v>
      </c>
      <c r="V54">
        <f t="shared" ca="1" si="6"/>
        <v>159.50254221636686</v>
      </c>
      <c r="W54">
        <f t="shared" ca="1" si="16"/>
        <v>159.64969385763791</v>
      </c>
      <c r="X54">
        <f t="shared" ca="1" si="15"/>
        <v>-0.39890446003238367</v>
      </c>
      <c r="Y54">
        <f t="shared" ca="1" si="17"/>
        <v>4.3060438998809888E-2</v>
      </c>
      <c r="Z54">
        <f t="shared" ca="1" si="18"/>
        <v>-0.44196489903119357</v>
      </c>
    </row>
    <row r="55" spans="1:26" x14ac:dyDescent="0.25">
      <c r="A55" vm="158">
        <f ca="1"/>
        <v>45370</v>
      </c>
      <c r="B55" vm="159">
        <f ca="1"/>
        <v>156.21</v>
      </c>
      <c r="C55" vm="160">
        <f ca="1"/>
        <v>7840624</v>
      </c>
      <c r="D55">
        <f t="shared" ca="1" si="0"/>
        <v>1224783875.04</v>
      </c>
      <c r="E55">
        <f ca="1">SUM($D$2:D55)/SUM($C$2:C55)</f>
        <v>159.32906604653053</v>
      </c>
      <c r="F55">
        <f ca="1">_xlfn.STDEV.P($B$2:B55)</f>
        <v>1.9172570928138779</v>
      </c>
      <c r="G55">
        <f t="shared" ca="1" si="1"/>
        <v>161.24632313934441</v>
      </c>
      <c r="H55">
        <f t="shared" ca="1" si="2"/>
        <v>157.41180895371664</v>
      </c>
      <c r="I55">
        <f t="shared" ca="1" si="11"/>
        <v>160.03800000000001</v>
      </c>
      <c r="J55">
        <f t="shared" ca="1" si="12"/>
        <v>1.7272661697180978</v>
      </c>
      <c r="K55">
        <f t="shared" ca="1" si="13"/>
        <v>163.4925323394362</v>
      </c>
      <c r="L55">
        <f t="shared" ca="1" si="14"/>
        <v>156.58346766056383</v>
      </c>
      <c r="M55">
        <f t="shared" ca="1" si="3"/>
        <v>-0.54999999999998295</v>
      </c>
      <c r="N55">
        <f t="shared" ca="1" si="4"/>
        <v>0</v>
      </c>
      <c r="O55">
        <f t="shared" ca="1" si="5"/>
        <v>0.54999999999998295</v>
      </c>
      <c r="P55">
        <f t="shared" ca="1" si="9"/>
        <v>0.41167266809101977</v>
      </c>
      <c r="Q55">
        <f t="shared" ca="1" si="10"/>
        <v>0.65809699223718088</v>
      </c>
      <c r="R55">
        <f t="shared" ca="1" si="7"/>
        <v>0.62555014374332718</v>
      </c>
      <c r="S55">
        <f t="shared" ca="1" si="8"/>
        <v>38.482365256528247</v>
      </c>
      <c r="T55">
        <f>70</f>
        <v>70</v>
      </c>
      <c r="U55">
        <f>30</f>
        <v>30</v>
      </c>
      <c r="V55">
        <f t="shared" ca="1" si="6"/>
        <v>158.99599726000272</v>
      </c>
      <c r="W55">
        <f t="shared" ca="1" si="16"/>
        <v>159.39490172003511</v>
      </c>
      <c r="X55">
        <f t="shared" ca="1" si="15"/>
        <v>-0.62749821307866682</v>
      </c>
      <c r="Y55">
        <f t="shared" ca="1" si="17"/>
        <v>-9.105129141668547E-2</v>
      </c>
      <c r="Z55">
        <f t="shared" ca="1" si="18"/>
        <v>-0.53644692166198138</v>
      </c>
    </row>
    <row r="56" spans="1:26" x14ac:dyDescent="0.25">
      <c r="A56" vm="161">
        <f ca="1"/>
        <v>45371</v>
      </c>
      <c r="B56" vm="162">
        <f ca="1"/>
        <v>155.76</v>
      </c>
      <c r="C56" vm="163">
        <f ca="1"/>
        <v>5982304</v>
      </c>
      <c r="D56">
        <f t="shared" ca="1" si="0"/>
        <v>931803671.03999996</v>
      </c>
      <c r="E56">
        <f ca="1">SUM($D$2:D56)/SUM($C$2:C56)</f>
        <v>159.27497436684413</v>
      </c>
      <c r="F56">
        <f ca="1">_xlfn.STDEV.P($B$2:B56)</f>
        <v>1.9659875318034468</v>
      </c>
      <c r="G56">
        <f t="shared" ca="1" si="1"/>
        <v>161.24096189864758</v>
      </c>
      <c r="H56">
        <f t="shared" ca="1" si="2"/>
        <v>157.30898683504068</v>
      </c>
      <c r="I56">
        <f t="shared" ca="1" si="11"/>
        <v>159.892</v>
      </c>
      <c r="J56">
        <f t="shared" ca="1" si="12"/>
        <v>1.9563166248953945</v>
      </c>
      <c r="K56">
        <f t="shared" ca="1" si="13"/>
        <v>163.80463324979078</v>
      </c>
      <c r="L56">
        <f t="shared" ca="1" si="14"/>
        <v>155.97936675020921</v>
      </c>
      <c r="M56">
        <f t="shared" ca="1" si="3"/>
        <v>-0.45000000000001705</v>
      </c>
      <c r="N56">
        <f t="shared" ca="1" si="4"/>
        <v>0</v>
      </c>
      <c r="O56">
        <f t="shared" ca="1" si="5"/>
        <v>0.45000000000001705</v>
      </c>
      <c r="P56">
        <f t="shared" ca="1" si="9"/>
        <v>0.38226747751308976</v>
      </c>
      <c r="Q56">
        <f t="shared" ca="1" si="10"/>
        <v>0.64323292136309773</v>
      </c>
      <c r="R56">
        <f t="shared" ca="1" si="7"/>
        <v>0.59429090896500314</v>
      </c>
      <c r="S56">
        <f t="shared" ca="1" si="8"/>
        <v>37.27619003678636</v>
      </c>
      <c r="T56">
        <f>70</f>
        <v>70</v>
      </c>
      <c r="U56">
        <f>30</f>
        <v>30</v>
      </c>
      <c r="V56">
        <f t="shared" ca="1" si="6"/>
        <v>158.4981515276946</v>
      </c>
      <c r="W56">
        <f t="shared" ca="1" si="16"/>
        <v>159.12564974077327</v>
      </c>
      <c r="X56">
        <f t="shared" ca="1" si="15"/>
        <v>-0.80024262685475378</v>
      </c>
      <c r="Y56">
        <f t="shared" ca="1" si="17"/>
        <v>-0.23288955850429915</v>
      </c>
      <c r="Z56">
        <f t="shared" ca="1" si="18"/>
        <v>-0.56735306835045463</v>
      </c>
    </row>
    <row r="57" spans="1:26" x14ac:dyDescent="0.25">
      <c r="A57" vm="164">
        <f ca="1"/>
        <v>45372</v>
      </c>
      <c r="B57" vm="165">
        <f ca="1"/>
        <v>155.75</v>
      </c>
      <c r="C57" vm="166">
        <f ca="1"/>
        <v>5915777</v>
      </c>
      <c r="D57">
        <f t="shared" ca="1" si="0"/>
        <v>921382267.75</v>
      </c>
      <c r="E57">
        <f ca="1">SUM($D$2:D57)/SUM($C$2:C57)</f>
        <v>159.22292510007614</v>
      </c>
      <c r="F57">
        <f ca="1">_xlfn.STDEV.P($B$2:B57)</f>
        <v>2.0099515094034128</v>
      </c>
      <c r="G57">
        <f t="shared" ca="1" si="1"/>
        <v>161.23287660947955</v>
      </c>
      <c r="H57">
        <f t="shared" ca="1" si="2"/>
        <v>157.21297359067273</v>
      </c>
      <c r="I57">
        <f t="shared" ca="1" si="11"/>
        <v>159.65700000000001</v>
      </c>
      <c r="J57">
        <f t="shared" ca="1" si="12"/>
        <v>2.1576866266785291</v>
      </c>
      <c r="K57">
        <f t="shared" ca="1" si="13"/>
        <v>163.97237325335706</v>
      </c>
      <c r="L57">
        <f t="shared" ca="1" si="14"/>
        <v>155.34162674664296</v>
      </c>
      <c r="M57">
        <f t="shared" ca="1" si="3"/>
        <v>-9.9999999999909051E-3</v>
      </c>
      <c r="N57">
        <f t="shared" ca="1" si="4"/>
        <v>0</v>
      </c>
      <c r="O57">
        <f t="shared" ca="1" si="5"/>
        <v>9.9999999999909051E-3</v>
      </c>
      <c r="P57">
        <f t="shared" ca="1" si="9"/>
        <v>0.35496265769072621</v>
      </c>
      <c r="Q57">
        <f t="shared" ca="1" si="10"/>
        <v>0.59800199840859014</v>
      </c>
      <c r="R57">
        <f t="shared" ca="1" si="7"/>
        <v>0.59358105597532607</v>
      </c>
      <c r="S57">
        <f t="shared" ca="1" si="8"/>
        <v>37.248250018386052</v>
      </c>
      <c r="T57">
        <f>70</f>
        <v>70</v>
      </c>
      <c r="U57">
        <f>30</f>
        <v>30</v>
      </c>
      <c r="V57">
        <f t="shared" ca="1" si="6"/>
        <v>158.07535898497235</v>
      </c>
      <c r="W57">
        <f t="shared" ca="1" si="16"/>
        <v>158.87560161182711</v>
      </c>
      <c r="X57">
        <f t="shared" ca="1" si="15"/>
        <v>-0.96794559916531853</v>
      </c>
      <c r="Y57">
        <f t="shared" ca="1" si="17"/>
        <v>-0.37990076663650307</v>
      </c>
      <c r="Z57">
        <f t="shared" ca="1" si="18"/>
        <v>-0.58804483252881545</v>
      </c>
    </row>
    <row r="58" spans="1:26" x14ac:dyDescent="0.25">
      <c r="A58" vm="167">
        <f ca="1"/>
        <v>45373</v>
      </c>
      <c r="B58" vm="168">
        <f ca="1"/>
        <v>155.22999999999999</v>
      </c>
      <c r="C58" vm="169">
        <f ca="1"/>
        <v>7248622</v>
      </c>
      <c r="D58">
        <f t="shared" ca="1" si="0"/>
        <v>1125203593.0599999</v>
      </c>
      <c r="E58">
        <f ca="1">SUM($D$2:D58)/SUM($C$2:C58)</f>
        <v>159.15196631514229</v>
      </c>
      <c r="F58">
        <f ca="1">_xlfn.STDEV.P($B$2:B58)</f>
        <v>2.0665111191575334</v>
      </c>
      <c r="G58">
        <f t="shared" ca="1" si="1"/>
        <v>161.21847743429981</v>
      </c>
      <c r="H58">
        <f t="shared" ca="1" si="2"/>
        <v>157.08545519598476</v>
      </c>
      <c r="I58">
        <f t="shared" ca="1" si="11"/>
        <v>159.32650000000001</v>
      </c>
      <c r="J58">
        <f t="shared" ca="1" si="12"/>
        <v>2.306796080691734</v>
      </c>
      <c r="K58">
        <f t="shared" ca="1" si="13"/>
        <v>163.94009216138349</v>
      </c>
      <c r="L58">
        <f t="shared" ca="1" si="14"/>
        <v>154.71290783861653</v>
      </c>
      <c r="M58">
        <f t="shared" ca="1" si="3"/>
        <v>-0.52000000000001023</v>
      </c>
      <c r="N58">
        <f t="shared" ca="1" si="4"/>
        <v>0</v>
      </c>
      <c r="O58">
        <f t="shared" ca="1" si="5"/>
        <v>0.52000000000001023</v>
      </c>
      <c r="P58">
        <f t="shared" ca="1" si="9"/>
        <v>0.32960818214138859</v>
      </c>
      <c r="Q58">
        <f t="shared" ca="1" si="10"/>
        <v>0.59243042709369154</v>
      </c>
      <c r="R58">
        <f t="shared" ca="1" si="7"/>
        <v>0.55636605931663563</v>
      </c>
      <c r="S58">
        <f t="shared" ca="1" si="8"/>
        <v>35.747763579534961</v>
      </c>
      <c r="T58">
        <f>70</f>
        <v>70</v>
      </c>
      <c r="U58">
        <f>30</f>
        <v>30</v>
      </c>
      <c r="V58">
        <f t="shared" ca="1" si="6"/>
        <v>157.63761144882275</v>
      </c>
      <c r="W58">
        <f t="shared" ca="1" si="16"/>
        <v>158.60555704798807</v>
      </c>
      <c r="X58">
        <f t="shared" ca="1" si="15"/>
        <v>-1.0891038185064303</v>
      </c>
      <c r="Y58">
        <f t="shared" ca="1" si="17"/>
        <v>-0.52174137701048862</v>
      </c>
      <c r="Z58">
        <f t="shared" ca="1" si="18"/>
        <v>-0.56736244149594173</v>
      </c>
    </row>
    <row r="59" spans="1:26" x14ac:dyDescent="0.25">
      <c r="A59" vm="170">
        <f ca="1"/>
        <v>45376</v>
      </c>
      <c r="B59" vm="171">
        <f ca="1"/>
        <v>155.22</v>
      </c>
      <c r="C59" vm="172">
        <f ca="1"/>
        <v>7498100</v>
      </c>
      <c r="D59">
        <f t="shared" ca="1" si="0"/>
        <v>1163855082</v>
      </c>
      <c r="E59">
        <f ca="1">SUM($D$2:D59)/SUM($C$2:C59)</f>
        <v>159.08099064027124</v>
      </c>
      <c r="F59">
        <f ca="1">_xlfn.STDEV.P($B$2:B59)</f>
        <v>2.1176070671501428</v>
      </c>
      <c r="G59">
        <f t="shared" ca="1" si="1"/>
        <v>161.19859770742138</v>
      </c>
      <c r="H59">
        <f t="shared" ca="1" si="2"/>
        <v>156.96338357312109</v>
      </c>
      <c r="I59">
        <f t="shared" ca="1" si="11"/>
        <v>159.048</v>
      </c>
      <c r="J59">
        <f t="shared" ca="1" si="12"/>
        <v>2.4524436792717603</v>
      </c>
      <c r="K59">
        <f t="shared" ca="1" si="13"/>
        <v>163.95288735854353</v>
      </c>
      <c r="L59">
        <f t="shared" ca="1" si="14"/>
        <v>154.14311264145647</v>
      </c>
      <c r="M59">
        <f t="shared" ca="1" si="3"/>
        <v>-9.9999999999909051E-3</v>
      </c>
      <c r="N59">
        <f t="shared" ca="1" si="4"/>
        <v>0</v>
      </c>
      <c r="O59">
        <f t="shared" ca="1" si="5"/>
        <v>9.9999999999909051E-3</v>
      </c>
      <c r="P59">
        <f t="shared" ca="1" si="9"/>
        <v>0.30606474055986083</v>
      </c>
      <c r="Q59">
        <f t="shared" ca="1" si="10"/>
        <v>0.55082825372985578</v>
      </c>
      <c r="R59">
        <f t="shared" ca="1" si="7"/>
        <v>0.55564459246123743</v>
      </c>
      <c r="S59">
        <f t="shared" ca="1" si="8"/>
        <v>35.717965090093841</v>
      </c>
      <c r="T59">
        <f>70</f>
        <v>70</v>
      </c>
      <c r="U59">
        <f>30</f>
        <v>30</v>
      </c>
      <c r="V59">
        <f t="shared" ca="1" si="6"/>
        <v>157.26567122592695</v>
      </c>
      <c r="W59">
        <f t="shared" ca="1" si="16"/>
        <v>158.35477504443338</v>
      </c>
      <c r="X59">
        <f t="shared" ca="1" si="15"/>
        <v>-1.1277422659274805</v>
      </c>
      <c r="Y59">
        <f t="shared" ca="1" si="17"/>
        <v>-0.64294155479388704</v>
      </c>
      <c r="Z59">
        <f t="shared" ca="1" si="18"/>
        <v>-0.48480071113359346</v>
      </c>
    </row>
    <row r="60" spans="1:26" x14ac:dyDescent="0.25">
      <c r="A60" vm="173">
        <f ca="1"/>
        <v>45377</v>
      </c>
      <c r="B60" vm="174">
        <f ca="1"/>
        <v>155.77000000000001</v>
      </c>
      <c r="C60" vm="175">
        <f ca="1"/>
        <v>6864099</v>
      </c>
      <c r="D60">
        <f t="shared" ca="1" si="0"/>
        <v>1069220701.23</v>
      </c>
      <c r="E60">
        <f ca="1">SUM($D$2:D60)/SUM($C$2:C60)</f>
        <v>159.02716712052214</v>
      </c>
      <c r="F60">
        <f ca="1">_xlfn.STDEV.P($B$2:B60)</f>
        <v>2.1475758131029949</v>
      </c>
      <c r="G60">
        <f t="shared" ca="1" si="1"/>
        <v>161.17474293362514</v>
      </c>
      <c r="H60">
        <f t="shared" ca="1" si="2"/>
        <v>156.87959130741913</v>
      </c>
      <c r="I60">
        <f t="shared" ca="1" si="11"/>
        <v>158.78750000000002</v>
      </c>
      <c r="J60">
        <f t="shared" ca="1" si="12"/>
        <v>2.5123963712590811</v>
      </c>
      <c r="K60">
        <f t="shared" ca="1" si="13"/>
        <v>163.8122927425182</v>
      </c>
      <c r="L60">
        <f t="shared" ca="1" si="14"/>
        <v>153.76270725748185</v>
      </c>
      <c r="M60">
        <f t="shared" ca="1" si="3"/>
        <v>0.55000000000001137</v>
      </c>
      <c r="N60">
        <f t="shared" ca="1" si="4"/>
        <v>0.55000000000001137</v>
      </c>
      <c r="O60">
        <f t="shared" ca="1" si="5"/>
        <v>0</v>
      </c>
      <c r="P60">
        <f t="shared" ca="1" si="9"/>
        <v>0.32348868766272876</v>
      </c>
      <c r="Q60">
        <f t="shared" ca="1" si="10"/>
        <v>0.5114833784634375</v>
      </c>
      <c r="R60">
        <f t="shared" ca="1" si="7"/>
        <v>0.63245200388433109</v>
      </c>
      <c r="S60">
        <f t="shared" ca="1" si="8"/>
        <v>38.742456279231845</v>
      </c>
      <c r="T60">
        <f>70</f>
        <v>70</v>
      </c>
      <c r="U60">
        <f>30</f>
        <v>30</v>
      </c>
      <c r="V60">
        <f t="shared" ca="1" si="6"/>
        <v>157.03556796039973</v>
      </c>
      <c r="W60">
        <f t="shared" ca="1" si="16"/>
        <v>158.16331022632721</v>
      </c>
      <c r="X60">
        <f t="shared" ca="1" si="15"/>
        <v>-0.9704619353778412</v>
      </c>
      <c r="Y60">
        <f t="shared" ca="1" si="17"/>
        <v>-0.70844563091067791</v>
      </c>
      <c r="Z60">
        <f t="shared" ca="1" si="18"/>
        <v>-0.26201630446716329</v>
      </c>
    </row>
    <row r="61" spans="1:26" x14ac:dyDescent="0.25">
      <c r="A61" vm="176">
        <f ca="1"/>
        <v>45378</v>
      </c>
      <c r="B61" vm="177">
        <f ca="1"/>
        <v>157.96</v>
      </c>
      <c r="C61" vm="178">
        <f ca="1"/>
        <v>8461600</v>
      </c>
      <c r="D61">
        <f t="shared" ca="1" si="0"/>
        <v>1336594336</v>
      </c>
      <c r="E61">
        <f ca="1">SUM($D$2:D61)/SUM($C$2:C61)</f>
        <v>159.00620193957005</v>
      </c>
      <c r="F61">
        <f ca="1">_xlfn.STDEV.P($B$2:B61)</f>
        <v>2.1355917407906708</v>
      </c>
      <c r="G61">
        <f t="shared" ca="1" si="1"/>
        <v>161.14179368036071</v>
      </c>
      <c r="H61">
        <f t="shared" ca="1" si="2"/>
        <v>156.87061019877939</v>
      </c>
      <c r="I61">
        <f t="shared" ca="1" si="11"/>
        <v>158.608</v>
      </c>
      <c r="J61">
        <f t="shared" ca="1" si="12"/>
        <v>2.4315851446719847</v>
      </c>
      <c r="K61">
        <f t="shared" ca="1" si="13"/>
        <v>163.47117028934397</v>
      </c>
      <c r="L61">
        <f t="shared" ca="1" si="14"/>
        <v>153.74482971065603</v>
      </c>
      <c r="M61">
        <f t="shared" ca="1" si="3"/>
        <v>2.1899999999999977</v>
      </c>
      <c r="N61">
        <f t="shared" ca="1" si="4"/>
        <v>2.1899999999999977</v>
      </c>
      <c r="O61">
        <f t="shared" ca="1" si="5"/>
        <v>0</v>
      </c>
      <c r="P61">
        <f t="shared" ca="1" si="9"/>
        <v>0.45681092425824799</v>
      </c>
      <c r="Q61">
        <f t="shared" ca="1" si="10"/>
        <v>0.47494885143033477</v>
      </c>
      <c r="R61">
        <f t="shared" ca="1" si="7"/>
        <v>0.96181077790279224</v>
      </c>
      <c r="S61">
        <f t="shared" ca="1" si="8"/>
        <v>49.026684364074278</v>
      </c>
      <c r="T61">
        <f>70</f>
        <v>70</v>
      </c>
      <c r="U61">
        <f>30</f>
        <v>30</v>
      </c>
      <c r="V61">
        <f t="shared" ca="1" si="6"/>
        <v>157.17778827418439</v>
      </c>
      <c r="W61">
        <f t="shared" ca="1" si="16"/>
        <v>158.14825020956224</v>
      </c>
      <c r="X61">
        <f t="shared" ca="1" si="15"/>
        <v>-0.81782963155256994</v>
      </c>
      <c r="Y61">
        <f t="shared" ca="1" si="17"/>
        <v>-0.73032243103905636</v>
      </c>
      <c r="Z61">
        <f t="shared" ca="1" si="18"/>
        <v>-8.7507200513513572E-2</v>
      </c>
    </row>
    <row r="62" spans="1:26" x14ac:dyDescent="0.25">
      <c r="A62" vm="179">
        <f ca="1"/>
        <v>45379</v>
      </c>
      <c r="B62" vm="180">
        <f ca="1"/>
        <v>158.19</v>
      </c>
      <c r="C62" vm="181">
        <f ca="1"/>
        <v>6181503</v>
      </c>
      <c r="D62">
        <f t="shared" ca="1" si="0"/>
        <v>977851959.56999993</v>
      </c>
      <c r="E62">
        <f ca="1">SUM($D$2:D62)/SUM($C$2:C62)</f>
        <v>158.99465367378909</v>
      </c>
      <c r="F62">
        <f ca="1">_xlfn.STDEV.P($B$2:B62)</f>
        <v>2.1217987253014061</v>
      </c>
      <c r="G62">
        <f t="shared" ca="1" si="1"/>
        <v>161.11645239909049</v>
      </c>
      <c r="H62">
        <f t="shared" ca="1" si="2"/>
        <v>156.87285494848769</v>
      </c>
      <c r="I62">
        <f t="shared" ca="1" si="11"/>
        <v>158.44850000000002</v>
      </c>
      <c r="J62">
        <f t="shared" ca="1" si="12"/>
        <v>2.3432035538418017</v>
      </c>
      <c r="K62">
        <f t="shared" ca="1" si="13"/>
        <v>163.13490710768363</v>
      </c>
      <c r="L62">
        <f t="shared" ca="1" si="14"/>
        <v>153.76209289231642</v>
      </c>
      <c r="M62">
        <f t="shared" ca="1" si="3"/>
        <v>0.22999999999998977</v>
      </c>
      <c r="N62">
        <f t="shared" ca="1" si="4"/>
        <v>0.22999999999998977</v>
      </c>
      <c r="O62">
        <f t="shared" ca="1" si="5"/>
        <v>0</v>
      </c>
      <c r="P62">
        <f t="shared" ca="1" si="9"/>
        <v>0.44061014395408671</v>
      </c>
      <c r="Q62">
        <f t="shared" ca="1" si="10"/>
        <v>0.44102393347102514</v>
      </c>
      <c r="R62">
        <f t="shared" ca="1" si="7"/>
        <v>0.99906175269518427</v>
      </c>
      <c r="S62">
        <f t="shared" ca="1" si="8"/>
        <v>49.976532808364951</v>
      </c>
      <c r="T62">
        <f>70</f>
        <v>70</v>
      </c>
      <c r="U62">
        <f>30</f>
        <v>30</v>
      </c>
      <c r="V62">
        <f t="shared" ca="1" si="6"/>
        <v>157.33351315507912</v>
      </c>
      <c r="W62">
        <f t="shared" ca="1" si="16"/>
        <v>158.15134278663169</v>
      </c>
      <c r="X62">
        <f t="shared" ca="1" si="15"/>
        <v>-0.72163247463475955</v>
      </c>
      <c r="Y62">
        <f t="shared" ca="1" si="17"/>
        <v>-0.72858443975819709</v>
      </c>
      <c r="Z62">
        <f t="shared" ca="1" si="18"/>
        <v>6.9519651234375424E-3</v>
      </c>
    </row>
    <row r="63" spans="1:26" x14ac:dyDescent="0.25">
      <c r="A63" vm="182">
        <f ca="1"/>
        <v>45383</v>
      </c>
      <c r="B63" vm="183">
        <f ca="1"/>
        <v>157.78</v>
      </c>
      <c r="C63" vm="184">
        <f ca="1"/>
        <v>4364699</v>
      </c>
      <c r="D63">
        <f t="shared" ca="1" si="0"/>
        <v>688662208.22000003</v>
      </c>
      <c r="E63">
        <f ca="1">SUM($D$2:D63)/SUM($C$2:C63)</f>
        <v>158.98263892707402</v>
      </c>
      <c r="F63">
        <f ca="1">_xlfn.STDEV.P($B$2:B63)</f>
        <v>2.1119013630673424</v>
      </c>
      <c r="G63">
        <f t="shared" ca="1" si="1"/>
        <v>161.09454029014137</v>
      </c>
      <c r="H63">
        <f t="shared" ca="1" si="2"/>
        <v>156.87073756400667</v>
      </c>
      <c r="I63">
        <f t="shared" ca="1" si="11"/>
        <v>158.23150000000001</v>
      </c>
      <c r="J63">
        <f t="shared" ca="1" si="12"/>
        <v>2.1806162214528175</v>
      </c>
      <c r="K63">
        <f t="shared" ca="1" si="13"/>
        <v>162.59273244290566</v>
      </c>
      <c r="L63">
        <f t="shared" ca="1" si="14"/>
        <v>153.87026755709437</v>
      </c>
      <c r="M63">
        <f t="shared" ca="1" si="3"/>
        <v>-0.40999999999999659</v>
      </c>
      <c r="N63">
        <f t="shared" ca="1" si="4"/>
        <v>0</v>
      </c>
      <c r="O63">
        <f t="shared" ca="1" si="5"/>
        <v>0.40999999999999659</v>
      </c>
      <c r="P63">
        <f t="shared" ca="1" si="9"/>
        <v>0.40913799081450908</v>
      </c>
      <c r="Q63">
        <f t="shared" ca="1" si="10"/>
        <v>0.43880793822309455</v>
      </c>
      <c r="R63">
        <f t="shared" ca="1" si="7"/>
        <v>0.9323851169859626</v>
      </c>
      <c r="S63">
        <f t="shared" ca="1" si="8"/>
        <v>48.250481169108269</v>
      </c>
      <c r="T63">
        <f>70</f>
        <v>70</v>
      </c>
      <c r="U63">
        <f>30</f>
        <v>30</v>
      </c>
      <c r="V63">
        <f t="shared" ca="1" si="6"/>
        <v>157.40220343891312</v>
      </c>
      <c r="W63">
        <f t="shared" ca="1" si="16"/>
        <v>158.12383591354788</v>
      </c>
      <c r="X63">
        <f t="shared" ca="1" si="15"/>
        <v>-0.6420292038343689</v>
      </c>
      <c r="Y63">
        <f t="shared" ca="1" si="17"/>
        <v>-0.71127339257343147</v>
      </c>
      <c r="Z63">
        <f t="shared" ca="1" si="18"/>
        <v>6.9244188739062573E-2</v>
      </c>
    </row>
    <row r="64" spans="1:26" x14ac:dyDescent="0.25">
      <c r="A64" vm="185">
        <f ca="1"/>
        <v>45384</v>
      </c>
      <c r="B64" vm="186">
        <f ca="1"/>
        <v>157.72999999999999</v>
      </c>
      <c r="C64" vm="187">
        <f ca="1"/>
        <v>6102497</v>
      </c>
      <c r="D64">
        <f t="shared" ca="1" si="0"/>
        <v>962546851.80999994</v>
      </c>
      <c r="E64">
        <f ca="1">SUM($D$2:D64)/SUM($C$2:C64)</f>
        <v>158.96555151531251</v>
      </c>
      <c r="F64">
        <f ca="1">_xlfn.STDEV.P($B$2:B64)</f>
        <v>2.1025633852789425</v>
      </c>
      <c r="G64">
        <f t="shared" ca="1" si="1"/>
        <v>161.06811490059147</v>
      </c>
      <c r="H64">
        <f t="shared" ca="1" si="2"/>
        <v>156.86298813003356</v>
      </c>
      <c r="I64">
        <f t="shared" ca="1" si="11"/>
        <v>158.12600000000003</v>
      </c>
      <c r="J64">
        <f t="shared" ca="1" si="12"/>
        <v>2.1495198974360972</v>
      </c>
      <c r="K64">
        <f t="shared" ca="1" si="13"/>
        <v>162.42503979487222</v>
      </c>
      <c r="L64">
        <f t="shared" ca="1" si="14"/>
        <v>153.82696020512785</v>
      </c>
      <c r="M64">
        <f t="shared" ca="1" si="3"/>
        <v>-5.0000000000011369E-2</v>
      </c>
      <c r="N64">
        <f t="shared" ca="1" si="4"/>
        <v>0</v>
      </c>
      <c r="O64">
        <f t="shared" ca="1" si="5"/>
        <v>5.0000000000011369E-2</v>
      </c>
      <c r="P64">
        <f t="shared" ca="1" si="9"/>
        <v>0.37991384861347272</v>
      </c>
      <c r="Q64">
        <f t="shared" ca="1" si="10"/>
        <v>0.41103594263573145</v>
      </c>
      <c r="R64">
        <f t="shared" ca="1" si="7"/>
        <v>0.92428376500923237</v>
      </c>
      <c r="S64">
        <f t="shared" ca="1" si="8"/>
        <v>48.032612539595888</v>
      </c>
      <c r="T64">
        <f>70</f>
        <v>70</v>
      </c>
      <c r="U64">
        <f>30</f>
        <v>30</v>
      </c>
      <c r="V64">
        <f t="shared" ca="1" si="6"/>
        <v>157.45263367908035</v>
      </c>
      <c r="W64">
        <f t="shared" ca="1" si="16"/>
        <v>158.09466288291472</v>
      </c>
      <c r="X64">
        <f t="shared" ca="1" si="15"/>
        <v>-0.84915451356246763</v>
      </c>
      <c r="Y64">
        <f t="shared" ca="1" si="17"/>
        <v>-0.73884961677123873</v>
      </c>
      <c r="Z64">
        <f t="shared" ca="1" si="18"/>
        <v>-0.1103048967912289</v>
      </c>
    </row>
    <row r="65" spans="1:26" x14ac:dyDescent="0.25">
      <c r="A65" vm="188">
        <f ca="1"/>
        <v>45385</v>
      </c>
      <c r="B65" vm="189">
        <f ca="1"/>
        <v>154.26</v>
      </c>
      <c r="C65" vm="190">
        <f ca="1"/>
        <v>8098242</v>
      </c>
      <c r="D65">
        <f t="shared" ca="1" si="0"/>
        <v>1249234810.9199998</v>
      </c>
      <c r="E65">
        <f ca="1">SUM($D$2:D65)/SUM($C$2:C65)</f>
        <v>158.88188480860822</v>
      </c>
      <c r="F65">
        <f ca="1">_xlfn.STDEV.P($B$2:B65)</f>
        <v>2.1716155364350147</v>
      </c>
      <c r="G65">
        <f t="shared" ca="1" si="1"/>
        <v>161.05350034504323</v>
      </c>
      <c r="H65">
        <f t="shared" ca="1" si="2"/>
        <v>156.71026927217321</v>
      </c>
      <c r="I65">
        <f t="shared" ca="1" si="11"/>
        <v>157.84050000000002</v>
      </c>
      <c r="J65">
        <f t="shared" ca="1" si="12"/>
        <v>2.2676639382505765</v>
      </c>
      <c r="K65">
        <f t="shared" ca="1" si="13"/>
        <v>162.37582787650118</v>
      </c>
      <c r="L65">
        <f t="shared" ca="1" si="14"/>
        <v>153.30517212349886</v>
      </c>
      <c r="M65">
        <f t="shared" ca="1" si="3"/>
        <v>-3.4699999999999989</v>
      </c>
      <c r="N65">
        <f t="shared" ca="1" si="4"/>
        <v>0</v>
      </c>
      <c r="O65">
        <f t="shared" ca="1" si="5"/>
        <v>3.4699999999999989</v>
      </c>
      <c r="P65">
        <f t="shared" ca="1" si="9"/>
        <v>0.35277714514108183</v>
      </c>
      <c r="Q65">
        <f t="shared" ca="1" si="10"/>
        <v>0.62953337530460762</v>
      </c>
      <c r="R65">
        <f t="shared" ca="1" si="7"/>
        <v>0.56037878050609502</v>
      </c>
      <c r="S65">
        <f t="shared" ca="1" si="8"/>
        <v>35.912996735596536</v>
      </c>
      <c r="T65">
        <f>70</f>
        <v>70</v>
      </c>
      <c r="U65">
        <f>30</f>
        <v>30</v>
      </c>
      <c r="V65">
        <f t="shared" ca="1" si="6"/>
        <v>156.96145926691415</v>
      </c>
      <c r="W65">
        <f t="shared" ca="1" si="16"/>
        <v>157.81061378047661</v>
      </c>
      <c r="X65">
        <f t="shared" ca="1" si="15"/>
        <v>-1.1421540637646785</v>
      </c>
      <c r="Y65">
        <f t="shared" ca="1" si="17"/>
        <v>-0.81951050616992671</v>
      </c>
      <c r="Z65">
        <f t="shared" ca="1" si="18"/>
        <v>-0.32264355759475183</v>
      </c>
    </row>
    <row r="66" spans="1:26" x14ac:dyDescent="0.25">
      <c r="A66" vm="191">
        <f ca="1"/>
        <v>45386</v>
      </c>
      <c r="B66" vm="192">
        <f ca="1"/>
        <v>152.5</v>
      </c>
      <c r="C66" vm="193">
        <f ca="1"/>
        <v>6947423</v>
      </c>
      <c r="D66">
        <f t="shared" ca="1" si="0"/>
        <v>1059482007.5</v>
      </c>
      <c r="E66">
        <f ca="1">SUM($D$2:D66)/SUM($C$2:C66)</f>
        <v>158.78600006422937</v>
      </c>
      <c r="F66">
        <f ca="1">_xlfn.STDEV.P($B$2:B66)</f>
        <v>2.3007121819946748</v>
      </c>
      <c r="G66">
        <f t="shared" ca="1" si="1"/>
        <v>161.08671224622404</v>
      </c>
      <c r="H66">
        <f t="shared" ca="1" si="2"/>
        <v>156.4852878822347</v>
      </c>
      <c r="I66">
        <f t="shared" ca="1" si="11"/>
        <v>157.49850000000001</v>
      </c>
      <c r="J66">
        <f t="shared" ca="1" si="12"/>
        <v>2.5302054732456241</v>
      </c>
      <c r="K66">
        <f t="shared" ca="1" si="13"/>
        <v>162.55891094649127</v>
      </c>
      <c r="L66">
        <f t="shared" ca="1" si="14"/>
        <v>152.43808905350875</v>
      </c>
      <c r="M66">
        <f t="shared" ca="1" si="3"/>
        <v>-1.7599999999999909</v>
      </c>
      <c r="N66">
        <f t="shared" ca="1" si="4"/>
        <v>0</v>
      </c>
      <c r="O66">
        <f t="shared" ca="1" si="5"/>
        <v>1.7599999999999909</v>
      </c>
      <c r="P66">
        <f t="shared" ca="1" si="9"/>
        <v>0.32757877763100451</v>
      </c>
      <c r="Q66">
        <f t="shared" ca="1" si="10"/>
        <v>0.7102809913542778</v>
      </c>
      <c r="R66">
        <f t="shared" ca="1" si="7"/>
        <v>0.46119603596094688</v>
      </c>
      <c r="S66">
        <f t="shared" ca="1" si="8"/>
        <v>31.562913162274214</v>
      </c>
      <c r="T66">
        <f>70</f>
        <v>70</v>
      </c>
      <c r="U66">
        <f>30</f>
        <v>30</v>
      </c>
      <c r="V66">
        <f t="shared" ca="1" si="6"/>
        <v>156.27508091815812</v>
      </c>
      <c r="W66">
        <f t="shared" ca="1" si="16"/>
        <v>157.4172349819228</v>
      </c>
      <c r="X66">
        <f t="shared" ca="1" si="15"/>
        <v>-1.3674710439656508</v>
      </c>
      <c r="Y66">
        <f t="shared" ca="1" si="17"/>
        <v>-0.92910261372907166</v>
      </c>
      <c r="Z66">
        <f t="shared" ca="1" si="18"/>
        <v>-0.43836843023657912</v>
      </c>
    </row>
    <row r="67" spans="1:26" x14ac:dyDescent="0.25">
      <c r="A67" vm="194">
        <f ca="1"/>
        <v>45387</v>
      </c>
      <c r="B67" vm="195">
        <f ca="1"/>
        <v>152.38999999999999</v>
      </c>
      <c r="C67" vm="196">
        <f ca="1"/>
        <v>6783020</v>
      </c>
      <c r="D67">
        <f t="shared" ref="D67:D130" ca="1" si="19">B67*C67</f>
        <v>1033664417.8</v>
      </c>
      <c r="E67">
        <f ca="1">SUM($D$2:D67)/SUM($C$2:C67)</f>
        <v>158.69353365661624</v>
      </c>
      <c r="F67">
        <f ca="1">_xlfn.STDEV.P($B$2:B67)</f>
        <v>2.4197313900513842</v>
      </c>
      <c r="G67">
        <f t="shared" ref="G67:G130" ca="1" si="20">E67 + F67</f>
        <v>161.11326504666764</v>
      </c>
      <c r="H67">
        <f t="shared" ref="H67:H130" ca="1" si="21">E67 - F67</f>
        <v>156.27380226656484</v>
      </c>
      <c r="I67">
        <f t="shared" ca="1" si="11"/>
        <v>157.17450000000002</v>
      </c>
      <c r="J67">
        <f t="shared" ca="1" si="12"/>
        <v>2.7506276317271783</v>
      </c>
      <c r="K67">
        <f t="shared" ca="1" si="13"/>
        <v>162.67575526345439</v>
      </c>
      <c r="L67">
        <f t="shared" ca="1" si="14"/>
        <v>151.67324473654566</v>
      </c>
      <c r="M67">
        <f t="shared" ca="1" si="3"/>
        <v>-0.11000000000001364</v>
      </c>
      <c r="N67">
        <f t="shared" ca="1" si="4"/>
        <v>0</v>
      </c>
      <c r="O67">
        <f t="shared" ca="1" si="5"/>
        <v>0.11000000000001364</v>
      </c>
      <c r="P67">
        <f t="shared" ca="1" si="9"/>
        <v>0.30418029351450421</v>
      </c>
      <c r="Q67">
        <f t="shared" ca="1" si="10"/>
        <v>0.66740377768611603</v>
      </c>
      <c r="R67">
        <f t="shared" ca="1" si="7"/>
        <v>0.45576651449156469</v>
      </c>
      <c r="S67">
        <f t="shared" ca="1" si="8"/>
        <v>31.307665752343794</v>
      </c>
      <c r="T67">
        <f>70</f>
        <v>70</v>
      </c>
      <c r="U67">
        <f>30</f>
        <v>30</v>
      </c>
      <c r="V67">
        <f t="shared" ca="1" si="6"/>
        <v>155.67737616151842</v>
      </c>
      <c r="W67">
        <f t="shared" ca="1" si="16"/>
        <v>157.04484720548407</v>
      </c>
      <c r="X67">
        <f t="shared" ca="1" si="15"/>
        <v>-1.5922353897759365</v>
      </c>
      <c r="Y67">
        <f t="shared" ca="1" si="17"/>
        <v>-1.0617291689384447</v>
      </c>
      <c r="Z67">
        <f t="shared" ca="1" si="18"/>
        <v>-0.53050622083749177</v>
      </c>
    </row>
    <row r="68" spans="1:26" x14ac:dyDescent="0.25">
      <c r="A68" vm="197">
        <f ca="1"/>
        <v>45390</v>
      </c>
      <c r="B68" vm="198">
        <f ca="1"/>
        <v>151.59</v>
      </c>
      <c r="C68" vm="199">
        <f ca="1"/>
        <v>5935415</v>
      </c>
      <c r="D68">
        <f t="shared" ca="1" si="19"/>
        <v>899749559.85000002</v>
      </c>
      <c r="E68">
        <f ca="1">SUM($D$2:D68)/SUM($C$2:C68)</f>
        <v>158.60479385952914</v>
      </c>
      <c r="F68">
        <f ca="1">_xlfn.STDEV.P($B$2:B68)</f>
        <v>2.5578603447663317</v>
      </c>
      <c r="G68">
        <f t="shared" ca="1" si="20"/>
        <v>161.16265420429548</v>
      </c>
      <c r="H68">
        <f t="shared" ca="1" si="21"/>
        <v>156.0469335147628</v>
      </c>
      <c r="I68">
        <f t="shared" ca="1" si="11"/>
        <v>156.77799999999999</v>
      </c>
      <c r="J68">
        <f t="shared" ca="1" si="12"/>
        <v>2.9584323729406372</v>
      </c>
      <c r="K68">
        <f t="shared" ca="1" si="13"/>
        <v>162.69486474588126</v>
      </c>
      <c r="L68">
        <f t="shared" ca="1" si="14"/>
        <v>150.86113525411872</v>
      </c>
      <c r="M68">
        <f t="shared" ref="M68:M131" ca="1" si="22">B68-B67</f>
        <v>-0.79999999999998295</v>
      </c>
      <c r="N68">
        <f t="shared" ref="N68:N131" ca="1" si="23">MAX(M68,0)</f>
        <v>0</v>
      </c>
      <c r="O68">
        <f t="shared" ref="O68:O131" ca="1" si="24">MAX(-M68,0)</f>
        <v>0.79999999999998295</v>
      </c>
      <c r="P68">
        <f t="shared" ca="1" si="9"/>
        <v>0.28245312969203962</v>
      </c>
      <c r="Q68">
        <f t="shared" ca="1" si="10"/>
        <v>0.67687493642282082</v>
      </c>
      <c r="R68">
        <f t="shared" ca="1" si="7"/>
        <v>0.41728998149164842</v>
      </c>
      <c r="S68">
        <f t="shared" ca="1" si="8"/>
        <v>29.442808948135323</v>
      </c>
      <c r="T68">
        <f>70</f>
        <v>70</v>
      </c>
      <c r="U68">
        <f>30</f>
        <v>30</v>
      </c>
      <c r="V68">
        <f t="shared" ca="1" si="6"/>
        <v>155.04854905974636</v>
      </c>
      <c r="W68">
        <f t="shared" ca="1" si="16"/>
        <v>156.6407844495223</v>
      </c>
      <c r="X68">
        <f t="shared" ca="1" si="15"/>
        <v>-1.6943472232195802</v>
      </c>
      <c r="Y68">
        <f t="shared" ca="1" si="17"/>
        <v>-1.1882527797946718</v>
      </c>
      <c r="Z68">
        <f t="shared" ca="1" si="18"/>
        <v>-0.50609444342490839</v>
      </c>
    </row>
    <row r="69" spans="1:26" x14ac:dyDescent="0.25">
      <c r="A69" vm="200">
        <f ca="1"/>
        <v>45391</v>
      </c>
      <c r="B69" vm="201">
        <f ca="1"/>
        <v>152.29</v>
      </c>
      <c r="C69" vm="202">
        <f ca="1"/>
        <v>6135556</v>
      </c>
      <c r="D69">
        <f t="shared" ca="1" si="19"/>
        <v>934383823.24000001</v>
      </c>
      <c r="E69">
        <f ca="1">SUM($D$2:D69)/SUM($C$2:C69)</f>
        <v>158.52428686658317</v>
      </c>
      <c r="F69">
        <f ca="1">_xlfn.STDEV.P($B$2:B69)</f>
        <v>2.6550980048248531</v>
      </c>
      <c r="G69">
        <f t="shared" ca="1" si="20"/>
        <v>161.17938487140802</v>
      </c>
      <c r="H69">
        <f t="shared" ca="1" si="21"/>
        <v>155.86918886175832</v>
      </c>
      <c r="I69">
        <f t="shared" ca="1" si="11"/>
        <v>156.33100000000002</v>
      </c>
      <c r="J69">
        <f t="shared" ca="1" si="12"/>
        <v>2.9255658921777341</v>
      </c>
      <c r="K69">
        <f t="shared" ca="1" si="13"/>
        <v>162.18213178435548</v>
      </c>
      <c r="L69">
        <f t="shared" ca="1" si="14"/>
        <v>150.47986821564456</v>
      </c>
      <c r="M69">
        <f t="shared" ca="1" si="22"/>
        <v>0.69999999999998863</v>
      </c>
      <c r="N69">
        <f t="shared" ca="1" si="23"/>
        <v>0.69999999999998863</v>
      </c>
      <c r="O69">
        <f t="shared" ca="1" si="24"/>
        <v>0</v>
      </c>
      <c r="P69">
        <f t="shared" ca="1" si="9"/>
        <v>0.31227790614260742</v>
      </c>
      <c r="Q69">
        <f t="shared" ca="1" si="10"/>
        <v>0.62852672667833354</v>
      </c>
      <c r="R69">
        <f t="shared" ca="1" si="7"/>
        <v>0.49684109344553701</v>
      </c>
      <c r="S69">
        <f t="shared" ca="1" si="8"/>
        <v>33.192641197595151</v>
      </c>
      <c r="T69">
        <f>70</f>
        <v>70</v>
      </c>
      <c r="U69">
        <f>30</f>
        <v>30</v>
      </c>
      <c r="V69">
        <f t="shared" ca="1" si="6"/>
        <v>154.62415689670846</v>
      </c>
      <c r="W69">
        <f t="shared" ca="1" si="16"/>
        <v>156.31850411992804</v>
      </c>
      <c r="X69">
        <f t="shared" ca="1" si="15"/>
        <v>-1.9217642183880344</v>
      </c>
      <c r="Y69">
        <f t="shared" ca="1" si="17"/>
        <v>-1.3349550675133444</v>
      </c>
      <c r="Z69">
        <f t="shared" ca="1" si="18"/>
        <v>-0.58680915087468999</v>
      </c>
    </row>
    <row r="70" spans="1:26" x14ac:dyDescent="0.25">
      <c r="A70" vm="203">
        <f ca="1"/>
        <v>45392</v>
      </c>
      <c r="B70" vm="204">
        <f ca="1"/>
        <v>150.19999999999999</v>
      </c>
      <c r="C70" vm="205">
        <f ca="1"/>
        <v>6809519</v>
      </c>
      <c r="D70">
        <f t="shared" ca="1" si="19"/>
        <v>1022789753.8</v>
      </c>
      <c r="E70">
        <f ca="1">SUM($D$2:D70)/SUM($C$2:C70)</f>
        <v>158.40814680436117</v>
      </c>
      <c r="F70">
        <f ca="1">_xlfn.STDEV.P($B$2:B70)</f>
        <v>2.822484504398163</v>
      </c>
      <c r="G70">
        <f t="shared" ca="1" si="20"/>
        <v>161.23063130875934</v>
      </c>
      <c r="H70">
        <f t="shared" ca="1" si="21"/>
        <v>155.58566229996299</v>
      </c>
      <c r="I70">
        <f t="shared" ca="1" si="11"/>
        <v>155.70399999999998</v>
      </c>
      <c r="J70">
        <f t="shared" ca="1" si="12"/>
        <v>2.8216370761445737</v>
      </c>
      <c r="K70">
        <f t="shared" ca="1" si="13"/>
        <v>161.34727415228912</v>
      </c>
      <c r="L70">
        <f t="shared" ca="1" si="14"/>
        <v>150.06072584771084</v>
      </c>
      <c r="M70">
        <f t="shared" ca="1" si="22"/>
        <v>-2.0900000000000034</v>
      </c>
      <c r="N70">
        <f t="shared" ca="1" si="23"/>
        <v>0</v>
      </c>
      <c r="O70">
        <f t="shared" ca="1" si="24"/>
        <v>2.0900000000000034</v>
      </c>
      <c r="P70">
        <f t="shared" ca="1" si="9"/>
        <v>0.28997234141813549</v>
      </c>
      <c r="Q70">
        <f t="shared" ca="1" si="10"/>
        <v>0.7329176747727385</v>
      </c>
      <c r="R70">
        <f t="shared" ca="1" si="7"/>
        <v>0.395641081391644</v>
      </c>
      <c r="S70">
        <f t="shared" ca="1" si="8"/>
        <v>28.348340176196018</v>
      </c>
      <c r="T70">
        <f>70</f>
        <v>70</v>
      </c>
      <c r="U70">
        <f>30</f>
        <v>30</v>
      </c>
      <c r="V70">
        <f t="shared" ca="1" si="6"/>
        <v>153.94351737413791</v>
      </c>
      <c r="W70">
        <f t="shared" ca="1" si="16"/>
        <v>155.86528159252595</v>
      </c>
      <c r="X70">
        <f t="shared" ca="1" si="15"/>
        <v>-2.1905181123987916</v>
      </c>
      <c r="Y70">
        <f t="shared" ca="1" si="17"/>
        <v>-1.5060676764904339</v>
      </c>
      <c r="Z70">
        <f t="shared" ca="1" si="18"/>
        <v>-0.68445043590835764</v>
      </c>
    </row>
    <row r="71" spans="1:26" x14ac:dyDescent="0.25">
      <c r="A71" vm="206">
        <f ca="1"/>
        <v>45393</v>
      </c>
      <c r="B71" vm="207">
        <f ca="1"/>
        <v>148.79</v>
      </c>
      <c r="C71" vm="208">
        <f ca="1"/>
        <v>8374434</v>
      </c>
      <c r="D71">
        <f t="shared" ca="1" si="19"/>
        <v>1246032034.8599999</v>
      </c>
      <c r="E71">
        <f ca="1">SUM($D$2:D71)/SUM($C$2:C71)</f>
        <v>158.24589971958841</v>
      </c>
      <c r="F71">
        <f ca="1">_xlfn.STDEV.P($B$2:B71)</f>
        <v>3.0309987611010216</v>
      </c>
      <c r="G71">
        <f t="shared" ca="1" si="20"/>
        <v>161.27689848068943</v>
      </c>
      <c r="H71">
        <f t="shared" ca="1" si="21"/>
        <v>155.21490095848739</v>
      </c>
      <c r="I71">
        <f t="shared" ca="1" si="11"/>
        <v>155.08850000000001</v>
      </c>
      <c r="J71">
        <f t="shared" ca="1" si="12"/>
        <v>2.9234159453409472</v>
      </c>
      <c r="K71">
        <f t="shared" ca="1" si="13"/>
        <v>160.93533189068191</v>
      </c>
      <c r="L71">
        <f t="shared" ca="1" si="14"/>
        <v>149.24166810931811</v>
      </c>
      <c r="M71">
        <f t="shared" ca="1" si="22"/>
        <v>-1.4099999999999966</v>
      </c>
      <c r="N71">
        <f t="shared" ca="1" si="23"/>
        <v>0</v>
      </c>
      <c r="O71">
        <f t="shared" ca="1" si="24"/>
        <v>1.4099999999999966</v>
      </c>
      <c r="P71">
        <f t="shared" ca="1" si="9"/>
        <v>0.26926003131684012</v>
      </c>
      <c r="Q71">
        <f t="shared" ca="1" si="10"/>
        <v>0.78128069800325695</v>
      </c>
      <c r="R71">
        <f t="shared" ca="1" si="7"/>
        <v>0.34463929802054016</v>
      </c>
      <c r="S71">
        <f t="shared" ca="1" si="8"/>
        <v>25.630613245343028</v>
      </c>
      <c r="T71">
        <f>70</f>
        <v>70</v>
      </c>
      <c r="U71">
        <f>30</f>
        <v>30</v>
      </c>
      <c r="V71">
        <f t="shared" ca="1" si="6"/>
        <v>153.15066854734746</v>
      </c>
      <c r="W71">
        <f t="shared" ca="1" si="16"/>
        <v>155.34118665974626</v>
      </c>
      <c r="X71">
        <f t="shared" ca="1" si="15"/>
        <v>-2.4774276520094816</v>
      </c>
      <c r="Y71">
        <f t="shared" ca="1" si="17"/>
        <v>-1.7003396715942436</v>
      </c>
      <c r="Z71">
        <f t="shared" ca="1" si="18"/>
        <v>-0.77708798041523797</v>
      </c>
    </row>
    <row r="72" spans="1:26" x14ac:dyDescent="0.25">
      <c r="A72" vm="209">
        <f ca="1"/>
        <v>45394</v>
      </c>
      <c r="B72" vm="210">
        <f ca="1"/>
        <v>147.52000000000001</v>
      </c>
      <c r="C72" vm="211">
        <f ca="1"/>
        <v>7100178</v>
      </c>
      <c r="D72">
        <f t="shared" ca="1" si="19"/>
        <v>1047418258.5600001</v>
      </c>
      <c r="E72">
        <f ca="1">SUM($D$2:D72)/SUM($C$2:C72)</f>
        <v>158.09466006103327</v>
      </c>
      <c r="F72">
        <f ca="1">_xlfn.STDEV.P($B$2:B72)</f>
        <v>3.270608418732635</v>
      </c>
      <c r="G72">
        <f t="shared" ca="1" si="20"/>
        <v>161.36526847976589</v>
      </c>
      <c r="H72">
        <f t="shared" ca="1" si="21"/>
        <v>154.82405164230065</v>
      </c>
      <c r="I72">
        <f t="shared" ca="1" si="11"/>
        <v>154.50399999999999</v>
      </c>
      <c r="J72">
        <f t="shared" ca="1" si="12"/>
        <v>3.210537584104471</v>
      </c>
      <c r="K72">
        <f t="shared" ca="1" si="13"/>
        <v>160.92507516820893</v>
      </c>
      <c r="L72">
        <f t="shared" ca="1" si="14"/>
        <v>148.08292483179105</v>
      </c>
      <c r="M72">
        <f t="shared" ca="1" si="22"/>
        <v>-1.2699999999999818</v>
      </c>
      <c r="N72">
        <f t="shared" ca="1" si="23"/>
        <v>0</v>
      </c>
      <c r="O72">
        <f t="shared" ca="1" si="24"/>
        <v>1.2699999999999818</v>
      </c>
      <c r="P72">
        <f t="shared" ca="1" si="9"/>
        <v>0.25002717193706581</v>
      </c>
      <c r="Q72">
        <f t="shared" ca="1" si="10"/>
        <v>0.81618921957445156</v>
      </c>
      <c r="R72">
        <f t="shared" ca="1" si="7"/>
        <v>0.30633481298298221</v>
      </c>
      <c r="S72">
        <f t="shared" ca="1" si="8"/>
        <v>23.449946364322514</v>
      </c>
      <c r="T72">
        <f>70</f>
        <v>70</v>
      </c>
      <c r="U72">
        <f>30</f>
        <v>30</v>
      </c>
      <c r="V72">
        <f t="shared" ca="1" si="6"/>
        <v>152.28441184775556</v>
      </c>
      <c r="W72">
        <f t="shared" ca="1" si="16"/>
        <v>154.76183949976505</v>
      </c>
      <c r="X72">
        <f t="shared" ca="1" si="15"/>
        <v>-2.668397489003496</v>
      </c>
      <c r="Y72">
        <f t="shared" ca="1" si="17"/>
        <v>-1.8939512350760941</v>
      </c>
      <c r="Z72">
        <f t="shared" ca="1" si="18"/>
        <v>-0.77444625392740196</v>
      </c>
    </row>
    <row r="73" spans="1:26" x14ac:dyDescent="0.25">
      <c r="A73" vm="212">
        <f ca="1"/>
        <v>45397</v>
      </c>
      <c r="B73" vm="213">
        <f ca="1"/>
        <v>147.59</v>
      </c>
      <c r="C73" vm="214">
        <f ca="1"/>
        <v>8502266</v>
      </c>
      <c r="D73">
        <f t="shared" ca="1" si="19"/>
        <v>1254849438.9400001</v>
      </c>
      <c r="E73">
        <f ca="1">SUM($D$2:D73)/SUM($C$2:C73)</f>
        <v>157.92023550350353</v>
      </c>
      <c r="F73">
        <f ca="1">_xlfn.STDEV.P($B$2:B73)</f>
        <v>3.4784315147015819</v>
      </c>
      <c r="G73">
        <f t="shared" ca="1" si="20"/>
        <v>161.39866701820512</v>
      </c>
      <c r="H73">
        <f t="shared" ca="1" si="21"/>
        <v>154.44180398880195</v>
      </c>
      <c r="I73">
        <f t="shared" ca="1" si="11"/>
        <v>153.97450000000001</v>
      </c>
      <c r="J73">
        <f t="shared" ca="1" si="12"/>
        <v>3.4376131177560425</v>
      </c>
      <c r="K73">
        <f t="shared" ca="1" si="13"/>
        <v>160.84972623551209</v>
      </c>
      <c r="L73">
        <f t="shared" ca="1" si="14"/>
        <v>147.09927376448792</v>
      </c>
      <c r="M73">
        <f t="shared" ca="1" si="22"/>
        <v>6.9999999999993179E-2</v>
      </c>
      <c r="N73">
        <f t="shared" ca="1" si="23"/>
        <v>6.9999999999993179E-2</v>
      </c>
      <c r="O73">
        <f t="shared" ca="1" si="24"/>
        <v>0</v>
      </c>
      <c r="P73">
        <f t="shared" ca="1" si="9"/>
        <v>0.23716808822727489</v>
      </c>
      <c r="Q73">
        <f t="shared" ca="1" si="10"/>
        <v>0.75788998960484777</v>
      </c>
      <c r="R73">
        <f t="shared" ca="1" si="7"/>
        <v>0.3129320765285879</v>
      </c>
      <c r="S73">
        <f t="shared" ca="1" si="8"/>
        <v>23.834597548715919</v>
      </c>
      <c r="T73">
        <f>70</f>
        <v>70</v>
      </c>
      <c r="U73">
        <f>30</f>
        <v>30</v>
      </c>
      <c r="V73">
        <f t="shared" ca="1" si="6"/>
        <v>151.56219464040856</v>
      </c>
      <c r="W73">
        <f t="shared" ca="1" si="16"/>
        <v>154.23059212941206</v>
      </c>
      <c r="X73">
        <f t="shared" ca="1" si="15"/>
        <v>-3.0380929739532121</v>
      </c>
      <c r="Y73">
        <f t="shared" ca="1" si="17"/>
        <v>-2.1227795828515177</v>
      </c>
      <c r="Z73">
        <f t="shared" ca="1" si="18"/>
        <v>-0.91531339110169441</v>
      </c>
    </row>
    <row r="74" spans="1:26" x14ac:dyDescent="0.25">
      <c r="A74" vm="215">
        <f ca="1"/>
        <v>45398</v>
      </c>
      <c r="B74" vm="216">
        <f ca="1"/>
        <v>144.44999999999999</v>
      </c>
      <c r="C74" vm="217">
        <f ca="1"/>
        <v>12774859</v>
      </c>
      <c r="D74">
        <f t="shared" ca="1" si="19"/>
        <v>1845328382.55</v>
      </c>
      <c r="E74">
        <f ca="1">SUM($D$2:D74)/SUM($C$2:C74)</f>
        <v>157.59235157097595</v>
      </c>
      <c r="F74">
        <f ca="1">_xlfn.STDEV.P($B$2:B74)</f>
        <v>3.8007110079411186</v>
      </c>
      <c r="G74">
        <f t="shared" ca="1" si="20"/>
        <v>161.39306257891707</v>
      </c>
      <c r="H74">
        <f t="shared" ca="1" si="21"/>
        <v>153.79164056303483</v>
      </c>
      <c r="I74">
        <f t="shared" ca="1" si="11"/>
        <v>153.35899999999998</v>
      </c>
      <c r="J74">
        <f t="shared" ca="1" si="12"/>
        <v>3.9729796586971173</v>
      </c>
      <c r="K74">
        <f t="shared" ca="1" si="13"/>
        <v>161.30495931739421</v>
      </c>
      <c r="L74">
        <f t="shared" ca="1" si="14"/>
        <v>145.41304068260575</v>
      </c>
      <c r="M74">
        <f t="shared" ca="1" si="22"/>
        <v>-3.1400000000000148</v>
      </c>
      <c r="N74">
        <f t="shared" ca="1" si="23"/>
        <v>0</v>
      </c>
      <c r="O74">
        <f t="shared" ca="1" si="24"/>
        <v>3.1400000000000148</v>
      </c>
      <c r="P74">
        <f t="shared" ca="1" si="9"/>
        <v>0.22022751049675526</v>
      </c>
      <c r="Q74">
        <f t="shared" ca="1" si="10"/>
        <v>0.92804070463307398</v>
      </c>
      <c r="R74">
        <f t="shared" ca="1" si="7"/>
        <v>0.23730371889649837</v>
      </c>
      <c r="S74">
        <f t="shared" ca="1" si="8"/>
        <v>19.179100108754227</v>
      </c>
      <c r="T74">
        <f>70</f>
        <v>70</v>
      </c>
      <c r="U74">
        <f>30</f>
        <v>30</v>
      </c>
      <c r="V74">
        <f t="shared" ca="1" si="6"/>
        <v>150.46801084957647</v>
      </c>
      <c r="W74">
        <f t="shared" ca="1" si="16"/>
        <v>153.50610382352968</v>
      </c>
      <c r="X74">
        <f t="shared" ca="1" si="15"/>
        <v>-3.2675912259912536</v>
      </c>
      <c r="Y74">
        <f t="shared" ca="1" si="17"/>
        <v>-2.3517419114794649</v>
      </c>
      <c r="Z74">
        <f t="shared" ca="1" si="18"/>
        <v>-0.91584931451178875</v>
      </c>
    </row>
    <row r="75" spans="1:26" x14ac:dyDescent="0.25">
      <c r="A75" vm="218">
        <f ca="1"/>
        <v>45399</v>
      </c>
      <c r="B75" vm="219">
        <f ca="1"/>
        <v>144.77000000000001</v>
      </c>
      <c r="C75" vm="220">
        <f ca="1"/>
        <v>9378059</v>
      </c>
      <c r="D75">
        <f t="shared" ca="1" si="19"/>
        <v>1357661601.4300001</v>
      </c>
      <c r="E75">
        <f ca="1">SUM($D$2:D75)/SUM($C$2:C75)</f>
        <v>157.36725050199277</v>
      </c>
      <c r="F75">
        <f ca="1">_xlfn.STDEV.P($B$2:B75)</f>
        <v>4.067872467696164</v>
      </c>
      <c r="G75">
        <f t="shared" ca="1" si="20"/>
        <v>161.43512296968893</v>
      </c>
      <c r="H75">
        <f t="shared" ca="1" si="21"/>
        <v>153.29937803429661</v>
      </c>
      <c r="I75">
        <f t="shared" ca="1" si="11"/>
        <v>152.78699999999998</v>
      </c>
      <c r="J75">
        <f t="shared" ca="1" si="12"/>
        <v>4.3468428954696225</v>
      </c>
      <c r="K75">
        <f t="shared" ca="1" si="13"/>
        <v>161.48068579093922</v>
      </c>
      <c r="L75">
        <f t="shared" ca="1" si="14"/>
        <v>144.09331420906074</v>
      </c>
      <c r="M75">
        <f t="shared" ca="1" si="22"/>
        <v>0.3200000000000216</v>
      </c>
      <c r="N75">
        <f t="shared" ca="1" si="23"/>
        <v>0.3200000000000216</v>
      </c>
      <c r="O75">
        <f t="shared" ca="1" si="24"/>
        <v>0</v>
      </c>
      <c r="P75">
        <f t="shared" ca="1" si="9"/>
        <v>0.22735411688984572</v>
      </c>
      <c r="Q75">
        <f t="shared" ca="1" si="10"/>
        <v>0.86175208287356864</v>
      </c>
      <c r="R75">
        <f t="shared" ca="1" si="7"/>
        <v>0.26382775441832246</v>
      </c>
      <c r="S75">
        <f t="shared" ca="1" si="8"/>
        <v>20.875293606742275</v>
      </c>
      <c r="T75">
        <f>70</f>
        <v>70</v>
      </c>
      <c r="U75">
        <f>30</f>
        <v>30</v>
      </c>
      <c r="V75">
        <f t="shared" ca="1" si="6"/>
        <v>149.59139379579548</v>
      </c>
      <c r="W75">
        <f t="shared" ca="1" si="16"/>
        <v>152.85898502178674</v>
      </c>
      <c r="X75">
        <f t="shared" ca="1" si="15"/>
        <v>-3.3327811245852672</v>
      </c>
      <c r="Y75">
        <f t="shared" ca="1" si="17"/>
        <v>-2.5479497541006255</v>
      </c>
      <c r="Z75">
        <f t="shared" ca="1" si="18"/>
        <v>-0.78483137048464169</v>
      </c>
    </row>
    <row r="76" spans="1:26" x14ac:dyDescent="0.25">
      <c r="A76" vm="221">
        <f ca="1"/>
        <v>45400</v>
      </c>
      <c r="B76" vm="222">
        <f ca="1"/>
        <v>145.74</v>
      </c>
      <c r="C76" vm="223">
        <f ca="1"/>
        <v>9887704</v>
      </c>
      <c r="D76">
        <f t="shared" ca="1" si="19"/>
        <v>1441033980.96</v>
      </c>
      <c r="E76">
        <f ca="1">SUM($D$2:D76)/SUM($C$2:C76)</f>
        <v>157.15594813589652</v>
      </c>
      <c r="F76">
        <f ca="1">_xlfn.STDEV.P($B$2:B76)</f>
        <v>4.2679184288778949</v>
      </c>
      <c r="G76">
        <f t="shared" ca="1" si="20"/>
        <v>161.42386656477441</v>
      </c>
      <c r="H76">
        <f t="shared" ca="1" si="21"/>
        <v>152.88802970701863</v>
      </c>
      <c r="I76">
        <f t="shared" ca="1" si="11"/>
        <v>152.286</v>
      </c>
      <c r="J76">
        <f t="shared" ca="1" si="12"/>
        <v>4.5584350962052511</v>
      </c>
      <c r="K76">
        <f t="shared" ca="1" si="13"/>
        <v>161.40287019241049</v>
      </c>
      <c r="L76">
        <f t="shared" ca="1" si="14"/>
        <v>143.16912980758951</v>
      </c>
      <c r="M76">
        <f t="shared" ca="1" si="22"/>
        <v>0.96999999999999886</v>
      </c>
      <c r="N76">
        <f t="shared" ca="1" si="23"/>
        <v>0.96999999999999886</v>
      </c>
      <c r="O76">
        <f t="shared" ca="1" si="24"/>
        <v>0</v>
      </c>
      <c r="P76">
        <f t="shared" ca="1" si="9"/>
        <v>0.2804002513977138</v>
      </c>
      <c r="Q76">
        <f t="shared" ca="1" si="10"/>
        <v>0.80019836266831379</v>
      </c>
      <c r="R76">
        <f t="shared" ca="1" si="7"/>
        <v>0.35041342806888631</v>
      </c>
      <c r="S76">
        <f t="shared" ca="1" si="8"/>
        <v>25.948603648734689</v>
      </c>
      <c r="T76">
        <f>70</f>
        <v>70</v>
      </c>
      <c r="U76">
        <f>30</f>
        <v>30</v>
      </c>
      <c r="V76">
        <f t="shared" ca="1" si="6"/>
        <v>148.99887167336541</v>
      </c>
      <c r="W76">
        <f t="shared" ca="1" si="16"/>
        <v>152.33165279795068</v>
      </c>
      <c r="X76">
        <f t="shared" ca="1" si="15"/>
        <v>-3.1727700066793432</v>
      </c>
      <c r="Y76">
        <f t="shared" ca="1" si="17"/>
        <v>-2.6729138046163694</v>
      </c>
      <c r="Z76">
        <f t="shared" ca="1" si="18"/>
        <v>-0.49985620206297376</v>
      </c>
    </row>
    <row r="77" spans="1:26" x14ac:dyDescent="0.25">
      <c r="A77" vm="224">
        <f ca="1"/>
        <v>45401</v>
      </c>
      <c r="B77" vm="225">
        <f ca="1"/>
        <v>147.91</v>
      </c>
      <c r="C77" vm="226">
        <f ca="1"/>
        <v>9750751</v>
      </c>
      <c r="D77">
        <f t="shared" ca="1" si="19"/>
        <v>1442233580.4100001</v>
      </c>
      <c r="E77">
        <f ca="1">SUM($D$2:D77)/SUM($C$2:C77)</f>
        <v>156.99316583467507</v>
      </c>
      <c r="F77">
        <f ca="1">_xlfn.STDEV.P($B$2:B77)</f>
        <v>4.3800413672485865</v>
      </c>
      <c r="G77">
        <f t="shared" ca="1" si="20"/>
        <v>161.37320720192366</v>
      </c>
      <c r="H77">
        <f t="shared" ca="1" si="21"/>
        <v>152.61312446742647</v>
      </c>
      <c r="I77">
        <f t="shared" ca="1" si="11"/>
        <v>151.89400000000001</v>
      </c>
      <c r="J77">
        <f t="shared" ca="1" si="12"/>
        <v>4.5819099671827264</v>
      </c>
      <c r="K77">
        <f t="shared" ca="1" si="13"/>
        <v>161.05781993436545</v>
      </c>
      <c r="L77">
        <f t="shared" ca="1" si="14"/>
        <v>142.73018006563456</v>
      </c>
      <c r="M77">
        <f t="shared" ca="1" si="22"/>
        <v>2.1699999999999875</v>
      </c>
      <c r="N77">
        <f t="shared" ca="1" si="23"/>
        <v>2.1699999999999875</v>
      </c>
      <c r="O77">
        <f t="shared" ca="1" si="24"/>
        <v>0</v>
      </c>
      <c r="P77">
        <f t="shared" ca="1" si="9"/>
        <v>0.41537166201216191</v>
      </c>
      <c r="Q77">
        <f t="shared" ca="1" si="10"/>
        <v>0.7430413367634342</v>
      </c>
      <c r="R77">
        <f t="shared" ca="1" si="7"/>
        <v>0.55901555063067221</v>
      </c>
      <c r="S77">
        <f t="shared" ca="1" si="8"/>
        <v>35.85695796328217</v>
      </c>
      <c r="T77">
        <f>70</f>
        <v>70</v>
      </c>
      <c r="U77">
        <f>30</f>
        <v>30</v>
      </c>
      <c r="V77">
        <f t="shared" ca="1" si="6"/>
        <v>148.83135295438612</v>
      </c>
      <c r="W77">
        <f t="shared" ca="1" si="16"/>
        <v>152.00412296106546</v>
      </c>
      <c r="X77">
        <f t="shared" ca="1" si="15"/>
        <v>-2.9147240310359166</v>
      </c>
      <c r="Y77">
        <f t="shared" ca="1" si="17"/>
        <v>-2.7212758499002794</v>
      </c>
      <c r="Z77">
        <f t="shared" ca="1" si="18"/>
        <v>-0.19344818113563722</v>
      </c>
    </row>
    <row r="78" spans="1:26" x14ac:dyDescent="0.25">
      <c r="A78" vm="227">
        <f ca="1"/>
        <v>45404</v>
      </c>
      <c r="B78" vm="228">
        <f ca="1"/>
        <v>149.12</v>
      </c>
      <c r="C78" vm="229">
        <f ca="1"/>
        <v>10118694</v>
      </c>
      <c r="D78">
        <f t="shared" ca="1" si="19"/>
        <v>1508899649.28</v>
      </c>
      <c r="E78">
        <f ca="1">SUM($D$2:D78)/SUM($C$2:C78)</f>
        <v>156.85190280602757</v>
      </c>
      <c r="F78">
        <f ca="1">_xlfn.STDEV.P($B$2:B78)</f>
        <v>4.4521401517905632</v>
      </c>
      <c r="G78">
        <f t="shared" ca="1" si="20"/>
        <v>161.30404295781813</v>
      </c>
      <c r="H78">
        <f t="shared" ca="1" si="21"/>
        <v>152.39976265423701</v>
      </c>
      <c r="I78">
        <f t="shared" ca="1" si="11"/>
        <v>151.58849999999998</v>
      </c>
      <c r="J78">
        <f t="shared" ca="1" si="12"/>
        <v>4.5513656423678279</v>
      </c>
      <c r="K78">
        <f t="shared" ca="1" si="13"/>
        <v>160.69123128473564</v>
      </c>
      <c r="L78">
        <f t="shared" ca="1" si="14"/>
        <v>142.48576871526433</v>
      </c>
      <c r="M78">
        <f t="shared" ca="1" si="22"/>
        <v>1.210000000000008</v>
      </c>
      <c r="N78">
        <f t="shared" ca="1" si="23"/>
        <v>1.210000000000008</v>
      </c>
      <c r="O78">
        <f t="shared" ca="1" si="24"/>
        <v>0</v>
      </c>
      <c r="P78">
        <f t="shared" ca="1" si="9"/>
        <v>0.47213082901129377</v>
      </c>
      <c r="Q78">
        <f t="shared" ca="1" si="10"/>
        <v>0.68996695556604604</v>
      </c>
      <c r="R78">
        <f t="shared" ca="1" si="7"/>
        <v>0.68428034879432686</v>
      </c>
      <c r="S78">
        <f t="shared" ca="1" si="8"/>
        <v>40.627461413069462</v>
      </c>
      <c r="T78">
        <f>70</f>
        <v>70</v>
      </c>
      <c r="U78">
        <f>30</f>
        <v>30</v>
      </c>
      <c r="V78">
        <f t="shared" ca="1" si="6"/>
        <v>148.87576019217286</v>
      </c>
      <c r="W78">
        <f t="shared" ca="1" si="16"/>
        <v>151.79048422320878</v>
      </c>
      <c r="X78">
        <f t="shared" ca="1" si="15"/>
        <v>-2.6442353147222377</v>
      </c>
      <c r="Y78">
        <f t="shared" ca="1" si="17"/>
        <v>-2.7058677428646711</v>
      </c>
      <c r="Z78">
        <f t="shared" ca="1" si="18"/>
        <v>6.1632428142433415E-2</v>
      </c>
    </row>
    <row r="79" spans="1:26" x14ac:dyDescent="0.25">
      <c r="A79" vm="230">
        <f ca="1"/>
        <v>45405</v>
      </c>
      <c r="B79" vm="231">
        <f ca="1"/>
        <v>149.56</v>
      </c>
      <c r="C79" vm="232">
        <f ca="1"/>
        <v>10110442</v>
      </c>
      <c r="D79">
        <f t="shared" ca="1" si="19"/>
        <v>1512117705.52</v>
      </c>
      <c r="E79">
        <f ca="1">SUM($D$2:D79)/SUM($C$2:C79)</f>
        <v>156.72347805619714</v>
      </c>
      <c r="F79">
        <f ca="1">_xlfn.STDEV.P($B$2:B79)</f>
        <v>4.5089521608779721</v>
      </c>
      <c r="G79">
        <f t="shared" ca="1" si="20"/>
        <v>161.23243021707512</v>
      </c>
      <c r="H79">
        <f t="shared" ca="1" si="21"/>
        <v>152.21452589531916</v>
      </c>
      <c r="I79">
        <f t="shared" ca="1" si="11"/>
        <v>151.30549999999997</v>
      </c>
      <c r="J79">
        <f t="shared" ca="1" si="12"/>
        <v>4.4892203929905357</v>
      </c>
      <c r="K79">
        <f t="shared" ca="1" si="13"/>
        <v>160.28394078598103</v>
      </c>
      <c r="L79">
        <f t="shared" ca="1" si="14"/>
        <v>142.3270592140189</v>
      </c>
      <c r="M79">
        <f t="shared" ca="1" si="22"/>
        <v>0.43999999999999773</v>
      </c>
      <c r="N79">
        <f t="shared" ca="1" si="23"/>
        <v>0.43999999999999773</v>
      </c>
      <c r="O79">
        <f t="shared" ca="1" si="24"/>
        <v>0</v>
      </c>
      <c r="P79">
        <f t="shared" ca="1" si="9"/>
        <v>0.46983576979620117</v>
      </c>
      <c r="Q79">
        <f t="shared" ca="1" si="10"/>
        <v>0.64068360159704274</v>
      </c>
      <c r="R79">
        <f t="shared" ca="1" si="7"/>
        <v>0.73333509492834481</v>
      </c>
      <c r="S79">
        <f t="shared" ca="1" si="8"/>
        <v>42.307750940602773</v>
      </c>
      <c r="T79">
        <f>70</f>
        <v>70</v>
      </c>
      <c r="U79">
        <f>30</f>
        <v>30</v>
      </c>
      <c r="V79">
        <f t="shared" ref="V79:V142" ca="1" si="25">B79*(2/(12+1)) + V78*(1-(2/(12+1)))</f>
        <v>148.98102785491551</v>
      </c>
      <c r="W79">
        <f t="shared" ca="1" si="16"/>
        <v>151.62526316963775</v>
      </c>
      <c r="X79">
        <f t="shared" ca="1" si="15"/>
        <v>-2.4843454621719729</v>
      </c>
      <c r="Y79">
        <f t="shared" ca="1" si="17"/>
        <v>-2.6615632867261314</v>
      </c>
      <c r="Z79">
        <f t="shared" ca="1" si="18"/>
        <v>0.17721782455415847</v>
      </c>
    </row>
    <row r="80" spans="1:26" x14ac:dyDescent="0.25">
      <c r="A80" vm="233">
        <f ca="1"/>
        <v>45406</v>
      </c>
      <c r="B80" vm="234">
        <f ca="1"/>
        <v>148.53</v>
      </c>
      <c r="C80" vm="235">
        <f ca="1"/>
        <v>9756259</v>
      </c>
      <c r="D80">
        <f t="shared" ca="1" si="19"/>
        <v>1449097149.27</v>
      </c>
      <c r="E80">
        <f ca="1">SUM($D$2:D80)/SUM($C$2:C80)</f>
        <v>156.5865569133602</v>
      </c>
      <c r="F80">
        <f ca="1">_xlfn.STDEV.P($B$2:B80)</f>
        <v>4.5845838315847942</v>
      </c>
      <c r="G80">
        <f t="shared" ca="1" si="20"/>
        <v>161.17114074494498</v>
      </c>
      <c r="H80">
        <f t="shared" ca="1" si="21"/>
        <v>152.00197308177542</v>
      </c>
      <c r="I80">
        <f t="shared" ca="1" si="11"/>
        <v>150.9435</v>
      </c>
      <c r="J80">
        <f t="shared" ca="1" si="12"/>
        <v>4.4013135300127919</v>
      </c>
      <c r="K80">
        <f t="shared" ca="1" si="13"/>
        <v>159.74612706002557</v>
      </c>
      <c r="L80">
        <f t="shared" ca="1" si="14"/>
        <v>142.14087293997443</v>
      </c>
      <c r="M80">
        <f t="shared" ca="1" si="22"/>
        <v>-1.0300000000000011</v>
      </c>
      <c r="N80">
        <f t="shared" ca="1" si="23"/>
        <v>0</v>
      </c>
      <c r="O80">
        <f t="shared" ca="1" si="24"/>
        <v>1.0300000000000011</v>
      </c>
      <c r="P80">
        <f t="shared" ca="1" si="9"/>
        <v>0.4362760719536154</v>
      </c>
      <c r="Q80">
        <f t="shared" ca="1" si="10"/>
        <v>0.66849191576868261</v>
      </c>
      <c r="R80">
        <f t="shared" ref="R80:R143" ca="1" si="26">IF(Q80=0,NA(),P80/Q80)</f>
        <v>0.65262729684913567</v>
      </c>
      <c r="S80">
        <f t="shared" ref="S80:S143" ca="1" si="27">100-(100/(1+R80))</f>
        <v>39.490289074458659</v>
      </c>
      <c r="T80">
        <f>70</f>
        <v>70</v>
      </c>
      <c r="U80">
        <f>30</f>
        <v>30</v>
      </c>
      <c r="V80">
        <f t="shared" ca="1" si="25"/>
        <v>148.91163895415929</v>
      </c>
      <c r="W80">
        <f t="shared" ca="1" si="16"/>
        <v>151.39598441633126</v>
      </c>
      <c r="X80">
        <f t="shared" ca="1" si="15"/>
        <v>-2.4671742618870667</v>
      </c>
      <c r="Y80">
        <f t="shared" ca="1" si="17"/>
        <v>-2.6226854817583183</v>
      </c>
      <c r="Z80">
        <f t="shared" ca="1" si="18"/>
        <v>0.1555112198712516</v>
      </c>
    </row>
    <row r="81" spans="1:26" x14ac:dyDescent="0.25">
      <c r="A81" vm="236">
        <f ca="1"/>
        <v>45407</v>
      </c>
      <c r="B81" vm="237">
        <f ca="1"/>
        <v>146.82</v>
      </c>
      <c r="C81" vm="238">
        <f ca="1"/>
        <v>7642732</v>
      </c>
      <c r="D81">
        <f t="shared" ca="1" si="19"/>
        <v>1122105912.24</v>
      </c>
      <c r="E81">
        <f ca="1">SUM($D$2:D81)/SUM($C$2:C81)</f>
        <v>156.46035654379693</v>
      </c>
      <c r="F81">
        <f ca="1">_xlfn.STDEV.P($B$2:B81)</f>
        <v>4.6972542445028465</v>
      </c>
      <c r="G81">
        <f t="shared" ca="1" si="20"/>
        <v>161.15761078829979</v>
      </c>
      <c r="H81">
        <f t="shared" ca="1" si="21"/>
        <v>151.76310229929408</v>
      </c>
      <c r="I81">
        <f t="shared" ca="1" si="11"/>
        <v>150.38650000000001</v>
      </c>
      <c r="J81">
        <f t="shared" ca="1" si="12"/>
        <v>4.1651856280110078</v>
      </c>
      <c r="K81">
        <f t="shared" ca="1" si="13"/>
        <v>158.71687125602202</v>
      </c>
      <c r="L81">
        <f t="shared" ca="1" si="14"/>
        <v>142.05612874397801</v>
      </c>
      <c r="M81">
        <f t="shared" ca="1" si="22"/>
        <v>-1.710000000000008</v>
      </c>
      <c r="N81">
        <f t="shared" ca="1" si="23"/>
        <v>0</v>
      </c>
      <c r="O81">
        <f t="shared" ca="1" si="24"/>
        <v>1.710000000000008</v>
      </c>
      <c r="P81">
        <f t="shared" ref="P81:P144" ca="1" si="28">(P80*13+N81)/14</f>
        <v>0.40511349538550007</v>
      </c>
      <c r="Q81">
        <f t="shared" ref="Q81:Q144" ca="1" si="29">(Q80*13+O81)/14</f>
        <v>0.7428853503566345</v>
      </c>
      <c r="R81">
        <f t="shared" ca="1" si="26"/>
        <v>0.54532438308417119</v>
      </c>
      <c r="S81">
        <f t="shared" ca="1" si="27"/>
        <v>35.288667483250876</v>
      </c>
      <c r="T81">
        <f>70</f>
        <v>70</v>
      </c>
      <c r="U81">
        <f>30</f>
        <v>30</v>
      </c>
      <c r="V81">
        <f t="shared" ca="1" si="25"/>
        <v>148.58984834582708</v>
      </c>
      <c r="W81">
        <f t="shared" ca="1" si="16"/>
        <v>151.05702260771415</v>
      </c>
      <c r="X81">
        <f t="shared" ca="1" si="15"/>
        <v>-2.4798501105312312</v>
      </c>
      <c r="Y81">
        <f t="shared" ca="1" si="17"/>
        <v>-2.5941184075129011</v>
      </c>
      <c r="Z81">
        <f t="shared" ca="1" si="18"/>
        <v>0.11426829698166996</v>
      </c>
    </row>
    <row r="82" spans="1:26" x14ac:dyDescent="0.25">
      <c r="A82" vm="239">
        <f ca="1"/>
        <v>45408</v>
      </c>
      <c r="B82" vm="240">
        <f ca="1"/>
        <v>146.13999999999999</v>
      </c>
      <c r="C82" vm="241">
        <f ca="1"/>
        <v>6182982</v>
      </c>
      <c r="D82">
        <f t="shared" ca="1" si="19"/>
        <v>903580989.4799999</v>
      </c>
      <c r="E82">
        <f ca="1">SUM($D$2:D82)/SUM($C$2:C82)</f>
        <v>156.35358714639639</v>
      </c>
      <c r="F82">
        <f ca="1">_xlfn.STDEV.P($B$2:B82)</f>
        <v>4.8193872875253039</v>
      </c>
      <c r="G82">
        <f t="shared" ca="1" si="20"/>
        <v>161.17297443392169</v>
      </c>
      <c r="H82">
        <f t="shared" ca="1" si="21"/>
        <v>151.53419985887109</v>
      </c>
      <c r="I82">
        <f t="shared" ca="1" si="11"/>
        <v>149.78399999999999</v>
      </c>
      <c r="J82">
        <f t="shared" ca="1" si="12"/>
        <v>3.8354625055629126</v>
      </c>
      <c r="K82">
        <f t="shared" ca="1" si="13"/>
        <v>157.45492501112582</v>
      </c>
      <c r="L82">
        <f t="shared" ca="1" si="14"/>
        <v>142.11307498887416</v>
      </c>
      <c r="M82">
        <f t="shared" ca="1" si="22"/>
        <v>-0.68000000000000682</v>
      </c>
      <c r="N82">
        <f t="shared" ca="1" si="23"/>
        <v>0</v>
      </c>
      <c r="O82">
        <f t="shared" ca="1" si="24"/>
        <v>0.68000000000000682</v>
      </c>
      <c r="P82">
        <f t="shared" ca="1" si="28"/>
        <v>0.37617681714367862</v>
      </c>
      <c r="Q82">
        <f t="shared" ca="1" si="29"/>
        <v>0.73839353961687537</v>
      </c>
      <c r="R82">
        <f t="shared" ca="1" si="26"/>
        <v>0.50945301788374608</v>
      </c>
      <c r="S82">
        <f t="shared" ca="1" si="27"/>
        <v>33.750836352495398</v>
      </c>
      <c r="T82">
        <f>70</f>
        <v>70</v>
      </c>
      <c r="U82">
        <f>30</f>
        <v>30</v>
      </c>
      <c r="V82">
        <f t="shared" ca="1" si="25"/>
        <v>148.2129486003152</v>
      </c>
      <c r="W82">
        <f t="shared" ca="1" si="16"/>
        <v>150.69279871084643</v>
      </c>
      <c r="X82">
        <f t="shared" ca="1" si="15"/>
        <v>-2.4072759166138837</v>
      </c>
      <c r="Y82">
        <f t="shared" ca="1" si="17"/>
        <v>-2.5567499093330981</v>
      </c>
      <c r="Z82">
        <f t="shared" ca="1" si="18"/>
        <v>0.14947399271921435</v>
      </c>
    </row>
    <row r="83" spans="1:26" x14ac:dyDescent="0.25">
      <c r="A83" vm="242">
        <f ca="1"/>
        <v>45411</v>
      </c>
      <c r="B83" vm="237">
        <f ca="1"/>
        <v>146.82</v>
      </c>
      <c r="C83" vm="243">
        <f ca="1"/>
        <v>6461588</v>
      </c>
      <c r="D83">
        <f t="shared" ca="1" si="19"/>
        <v>948690350.15999997</v>
      </c>
      <c r="E83">
        <f ca="1">SUM($D$2:D83)/SUM($C$2:C83)</f>
        <v>156.25161549359993</v>
      </c>
      <c r="F83">
        <f ca="1">_xlfn.STDEV.P($B$2:B83)</f>
        <v>4.9148680873934243</v>
      </c>
      <c r="G83">
        <f t="shared" ca="1" si="20"/>
        <v>161.16648358099334</v>
      </c>
      <c r="H83">
        <f t="shared" ca="1" si="21"/>
        <v>151.33674740620651</v>
      </c>
      <c r="I83">
        <f t="shared" ca="1" si="11"/>
        <v>149.23600000000002</v>
      </c>
      <c r="J83">
        <f t="shared" ca="1" si="12"/>
        <v>3.389984319168823</v>
      </c>
      <c r="K83">
        <f t="shared" ca="1" si="13"/>
        <v>156.01596863833765</v>
      </c>
      <c r="L83">
        <f t="shared" ca="1" si="14"/>
        <v>142.45603136166238</v>
      </c>
      <c r="M83">
        <f t="shared" ca="1" si="22"/>
        <v>0.68000000000000682</v>
      </c>
      <c r="N83">
        <f t="shared" ca="1" si="23"/>
        <v>0.68000000000000682</v>
      </c>
      <c r="O83">
        <f t="shared" ca="1" si="24"/>
        <v>0</v>
      </c>
      <c r="P83">
        <f t="shared" ca="1" si="28"/>
        <v>0.39787847306198776</v>
      </c>
      <c r="Q83">
        <f t="shared" ca="1" si="29"/>
        <v>0.68565114392995574</v>
      </c>
      <c r="R83">
        <f t="shared" ca="1" si="26"/>
        <v>0.58029287427635934</v>
      </c>
      <c r="S83">
        <f t="shared" ca="1" si="27"/>
        <v>36.72059045017744</v>
      </c>
      <c r="T83">
        <f>70</f>
        <v>70</v>
      </c>
      <c r="U83">
        <f>30</f>
        <v>30</v>
      </c>
      <c r="V83">
        <f t="shared" ca="1" si="25"/>
        <v>147.99864881565134</v>
      </c>
      <c r="W83">
        <f t="shared" ca="1" si="16"/>
        <v>150.40592473226522</v>
      </c>
      <c r="X83">
        <f t="shared" ca="1" si="15"/>
        <v>-2.5008741872870246</v>
      </c>
      <c r="Y83">
        <f t="shared" ca="1" si="17"/>
        <v>-2.5455747649238836</v>
      </c>
      <c r="Z83">
        <f t="shared" ca="1" si="18"/>
        <v>4.4700577636858974E-2</v>
      </c>
    </row>
    <row r="84" spans="1:26" x14ac:dyDescent="0.25">
      <c r="A84" vm="244">
        <f ca="1"/>
        <v>45412</v>
      </c>
      <c r="B84" vm="245">
        <f ca="1"/>
        <v>144.59</v>
      </c>
      <c r="C84" vm="246">
        <f ca="1"/>
        <v>8817719</v>
      </c>
      <c r="D84">
        <f t="shared" ca="1" si="19"/>
        <v>1274953990.21</v>
      </c>
      <c r="E84">
        <f ca="1">SUM($D$2:D84)/SUM($C$2:C84)</f>
        <v>156.08384885956423</v>
      </c>
      <c r="F84">
        <f ca="1">_xlfn.STDEV.P($B$2:B84)</f>
        <v>5.0615649128611384</v>
      </c>
      <c r="G84">
        <f t="shared" ca="1" si="20"/>
        <v>161.14541377242537</v>
      </c>
      <c r="H84">
        <f t="shared" ca="1" si="21"/>
        <v>151.02228394670308</v>
      </c>
      <c r="I84">
        <f t="shared" ca="1" si="11"/>
        <v>148.57900000000001</v>
      </c>
      <c r="J84">
        <f t="shared" ca="1" si="12"/>
        <v>2.8942063724475098</v>
      </c>
      <c r="K84">
        <f t="shared" ca="1" si="13"/>
        <v>154.36741274489503</v>
      </c>
      <c r="L84">
        <f t="shared" ca="1" si="14"/>
        <v>142.79058725510498</v>
      </c>
      <c r="M84">
        <f t="shared" ca="1" si="22"/>
        <v>-2.2299999999999898</v>
      </c>
      <c r="N84">
        <f t="shared" ca="1" si="23"/>
        <v>0</v>
      </c>
      <c r="O84">
        <f t="shared" ca="1" si="24"/>
        <v>2.2299999999999898</v>
      </c>
      <c r="P84">
        <f t="shared" ca="1" si="28"/>
        <v>0.36945858212898869</v>
      </c>
      <c r="Q84">
        <f t="shared" ca="1" si="29"/>
        <v>0.79596177650638666</v>
      </c>
      <c r="R84">
        <f t="shared" ca="1" si="26"/>
        <v>0.46416623641226346</v>
      </c>
      <c r="S84">
        <f t="shared" ca="1" si="27"/>
        <v>31.701744301223499</v>
      </c>
      <c r="T84">
        <f>70</f>
        <v>70</v>
      </c>
      <c r="U84">
        <f>30</f>
        <v>30</v>
      </c>
      <c r="V84">
        <f t="shared" ca="1" si="25"/>
        <v>147.47424130555112</v>
      </c>
      <c r="W84">
        <f t="shared" ca="1" si="16"/>
        <v>149.97511549283814</v>
      </c>
      <c r="X84">
        <f t="shared" ca="1" si="15"/>
        <v>-2.020008169298336</v>
      </c>
      <c r="Y84">
        <f t="shared" ca="1" si="17"/>
        <v>-2.4404614457987739</v>
      </c>
      <c r="Z84">
        <f t="shared" ca="1" si="18"/>
        <v>0.42045327650043784</v>
      </c>
    </row>
    <row r="85" spans="1:26" x14ac:dyDescent="0.25">
      <c r="A85" vm="247">
        <f ca="1"/>
        <v>45413</v>
      </c>
      <c r="B85" vm="248">
        <f ca="1"/>
        <v>151.18</v>
      </c>
      <c r="C85" vm="249">
        <f ca="1"/>
        <v>14473711</v>
      </c>
      <c r="D85">
        <f t="shared" ca="1" si="19"/>
        <v>2188135628.98</v>
      </c>
      <c r="E85">
        <f ca="1">SUM($D$2:D85)/SUM($C$2:C85)</f>
        <v>155.97072053568482</v>
      </c>
      <c r="F85">
        <f ca="1">_xlfn.STDEV.P($B$2:B85)</f>
        <v>5.0653779171822473</v>
      </c>
      <c r="G85">
        <f t="shared" ca="1" si="20"/>
        <v>161.03609845286707</v>
      </c>
      <c r="H85">
        <f t="shared" ca="1" si="21"/>
        <v>150.90534261850257</v>
      </c>
      <c r="I85">
        <f t="shared" ca="1" si="11"/>
        <v>148.42500000000001</v>
      </c>
      <c r="J85">
        <f t="shared" ca="1" si="12"/>
        <v>2.6474347067143662</v>
      </c>
      <c r="K85">
        <f t="shared" ca="1" si="13"/>
        <v>153.71986941342874</v>
      </c>
      <c r="L85">
        <f t="shared" ca="1" si="14"/>
        <v>143.13013058657128</v>
      </c>
      <c r="M85">
        <f t="shared" ca="1" si="22"/>
        <v>6.5900000000000034</v>
      </c>
      <c r="N85">
        <f t="shared" ca="1" si="23"/>
        <v>6.5900000000000034</v>
      </c>
      <c r="O85">
        <f t="shared" ca="1" si="24"/>
        <v>0</v>
      </c>
      <c r="P85">
        <f t="shared" ca="1" si="28"/>
        <v>0.81378296911977543</v>
      </c>
      <c r="Q85">
        <f t="shared" ca="1" si="29"/>
        <v>0.73910736389878762</v>
      </c>
      <c r="R85">
        <f t="shared" ca="1" si="26"/>
        <v>1.1010348548376983</v>
      </c>
      <c r="S85">
        <f t="shared" ca="1" si="27"/>
        <v>52.404406918930029</v>
      </c>
      <c r="T85">
        <f>70</f>
        <v>70</v>
      </c>
      <c r="U85">
        <f>30</f>
        <v>30</v>
      </c>
      <c r="V85">
        <f t="shared" ca="1" si="25"/>
        <v>148.04435802777402</v>
      </c>
      <c r="W85">
        <f t="shared" ca="1" si="16"/>
        <v>150.06436619707236</v>
      </c>
      <c r="X85">
        <f t="shared" ca="1" si="15"/>
        <v>-1.7207540735032012</v>
      </c>
      <c r="Y85">
        <f t="shared" ca="1" si="17"/>
        <v>-2.2965199713396593</v>
      </c>
      <c r="Z85">
        <f t="shared" ca="1" si="18"/>
        <v>0.57576589783645815</v>
      </c>
    </row>
    <row r="86" spans="1:26" x14ac:dyDescent="0.25">
      <c r="A86" vm="250">
        <f ca="1"/>
        <v>45414</v>
      </c>
      <c r="B86" vm="251">
        <f ca="1"/>
        <v>149.91999999999999</v>
      </c>
      <c r="C86" vm="252">
        <f ca="1"/>
        <v>8459796</v>
      </c>
      <c r="D86">
        <f t="shared" ca="1" si="19"/>
        <v>1268292616.3199999</v>
      </c>
      <c r="E86">
        <f ca="1">SUM($D$2:D86)/SUM($C$2:C86)</f>
        <v>155.89021893287025</v>
      </c>
      <c r="F86">
        <f ca="1">_xlfn.STDEV.P($B$2:B86)</f>
        <v>5.0855373683868974</v>
      </c>
      <c r="G86">
        <f t="shared" ca="1" si="20"/>
        <v>160.97575630125715</v>
      </c>
      <c r="H86">
        <f t="shared" ca="1" si="21"/>
        <v>150.80468156448336</v>
      </c>
      <c r="I86">
        <f t="shared" ref="I86:I149" ca="1" si="30">AVERAGE(B67:B86)</f>
        <v>148.29600000000002</v>
      </c>
      <c r="J86">
        <f t="shared" ref="J86:J149" ca="1" si="31">_xlfn.STDEV.S(B67:B86)</f>
        <v>2.4970074721132627</v>
      </c>
      <c r="K86">
        <f t="shared" ref="K86:K149" ca="1" si="32">I86 + 2*J86</f>
        <v>153.29001494422656</v>
      </c>
      <c r="L86">
        <f t="shared" ref="L86:L149" ca="1" si="33">I86-2*J86</f>
        <v>143.30198505577349</v>
      </c>
      <c r="M86">
        <f t="shared" ca="1" si="22"/>
        <v>-1.2600000000000193</v>
      </c>
      <c r="N86">
        <f t="shared" ca="1" si="23"/>
        <v>0</v>
      </c>
      <c r="O86">
        <f t="shared" ca="1" si="24"/>
        <v>1.2600000000000193</v>
      </c>
      <c r="P86">
        <f t="shared" ca="1" si="28"/>
        <v>0.75565561418264859</v>
      </c>
      <c r="Q86">
        <f t="shared" ca="1" si="29"/>
        <v>0.77631398076316127</v>
      </c>
      <c r="R86">
        <f t="shared" ca="1" si="26"/>
        <v>0.97338916071020087</v>
      </c>
      <c r="S86">
        <f t="shared" ca="1" si="27"/>
        <v>49.325757944261177</v>
      </c>
      <c r="T86">
        <f>70</f>
        <v>70</v>
      </c>
      <c r="U86">
        <f>30</f>
        <v>30</v>
      </c>
      <c r="V86">
        <f t="shared" ca="1" si="25"/>
        <v>148.33291833119341</v>
      </c>
      <c r="W86">
        <f t="shared" ca="1" si="16"/>
        <v>150.05367240469661</v>
      </c>
      <c r="X86">
        <f t="shared" ca="1" si="15"/>
        <v>-1.5185378551622932</v>
      </c>
      <c r="Y86">
        <f t="shared" ca="1" si="17"/>
        <v>-2.1409235481041864</v>
      </c>
      <c r="Z86">
        <f t="shared" ca="1" si="18"/>
        <v>0.62238569294189316</v>
      </c>
    </row>
    <row r="87" spans="1:26" x14ac:dyDescent="0.25">
      <c r="A87" vm="253">
        <f ca="1"/>
        <v>45415</v>
      </c>
      <c r="B87" vm="254">
        <f ca="1"/>
        <v>149.27000000000001</v>
      </c>
      <c r="C87" vm="255">
        <f ca="1"/>
        <v>6532718</v>
      </c>
      <c r="D87">
        <f t="shared" ca="1" si="19"/>
        <v>975138815.86000001</v>
      </c>
      <c r="E87">
        <f ca="1">SUM($D$2:D87)/SUM($C$2:C87)</f>
        <v>155.8228957389324</v>
      </c>
      <c r="F87">
        <f ca="1">_xlfn.STDEV.P($B$2:B87)</f>
        <v>5.1140233082154944</v>
      </c>
      <c r="G87">
        <f t="shared" ca="1" si="20"/>
        <v>160.93691904714791</v>
      </c>
      <c r="H87">
        <f t="shared" ca="1" si="21"/>
        <v>150.70887243071689</v>
      </c>
      <c r="I87">
        <f t="shared" ca="1" si="30"/>
        <v>148.14000000000001</v>
      </c>
      <c r="J87">
        <f t="shared" ca="1" si="31"/>
        <v>2.3188813092342149</v>
      </c>
      <c r="K87">
        <f t="shared" ca="1" si="32"/>
        <v>152.77776261846844</v>
      </c>
      <c r="L87">
        <f t="shared" ca="1" si="33"/>
        <v>143.50223738153159</v>
      </c>
      <c r="M87">
        <f t="shared" ca="1" si="22"/>
        <v>-0.64999999999997726</v>
      </c>
      <c r="N87">
        <f t="shared" ca="1" si="23"/>
        <v>0</v>
      </c>
      <c r="O87">
        <f t="shared" ca="1" si="24"/>
        <v>0.64999999999997726</v>
      </c>
      <c r="P87">
        <f t="shared" ca="1" si="28"/>
        <v>0.70168021316960227</v>
      </c>
      <c r="Q87">
        <f t="shared" ca="1" si="29"/>
        <v>0.76729155356579093</v>
      </c>
      <c r="R87">
        <f t="shared" ca="1" si="26"/>
        <v>0.91448968766660244</v>
      </c>
      <c r="S87">
        <f t="shared" ca="1" si="27"/>
        <v>47.766759651820891</v>
      </c>
      <c r="T87">
        <f>70</f>
        <v>70</v>
      </c>
      <c r="U87">
        <f>30</f>
        <v>30</v>
      </c>
      <c r="V87">
        <f t="shared" ca="1" si="25"/>
        <v>148.47708474177904</v>
      </c>
      <c r="W87">
        <f t="shared" ca="1" si="16"/>
        <v>149.99562259694133</v>
      </c>
      <c r="X87">
        <f t="shared" ca="1" si="15"/>
        <v>-1.3978438054061542</v>
      </c>
      <c r="Y87">
        <f t="shared" ca="1" si="17"/>
        <v>-1.99230759956458</v>
      </c>
      <c r="Z87">
        <f t="shared" ca="1" si="18"/>
        <v>0.59446379415842587</v>
      </c>
    </row>
    <row r="88" spans="1:26" x14ac:dyDescent="0.25">
      <c r="A88" vm="256">
        <f ca="1"/>
        <v>45418</v>
      </c>
      <c r="B88" vm="257">
        <f ca="1"/>
        <v>148.58000000000001</v>
      </c>
      <c r="C88" vm="258">
        <f ca="1"/>
        <v>5042757</v>
      </c>
      <c r="D88">
        <f t="shared" ca="1" si="19"/>
        <v>749252835.06000006</v>
      </c>
      <c r="E88">
        <f ca="1">SUM($D$2:D88)/SUM($C$2:C88)</f>
        <v>155.76648226460529</v>
      </c>
      <c r="F88">
        <f ca="1">_xlfn.STDEV.P($B$2:B88)</f>
        <v>5.1517211707613777</v>
      </c>
      <c r="G88">
        <f t="shared" ca="1" si="20"/>
        <v>160.91820343536668</v>
      </c>
      <c r="H88">
        <f t="shared" ca="1" si="21"/>
        <v>150.6147610938439</v>
      </c>
      <c r="I88">
        <f t="shared" ca="1" si="30"/>
        <v>147.98949999999999</v>
      </c>
      <c r="J88">
        <f t="shared" ca="1" si="31"/>
        <v>2.1764903544830818</v>
      </c>
      <c r="K88">
        <f t="shared" ca="1" si="32"/>
        <v>152.34248070896615</v>
      </c>
      <c r="L88">
        <f t="shared" ca="1" si="33"/>
        <v>143.63651929103384</v>
      </c>
      <c r="M88">
        <f t="shared" ca="1" si="22"/>
        <v>-0.68999999999999773</v>
      </c>
      <c r="N88">
        <f t="shared" ca="1" si="23"/>
        <v>0</v>
      </c>
      <c r="O88">
        <f t="shared" ca="1" si="24"/>
        <v>0.68999999999999773</v>
      </c>
      <c r="P88">
        <f t="shared" ca="1" si="28"/>
        <v>0.65156019794320208</v>
      </c>
      <c r="Q88">
        <f t="shared" ca="1" si="29"/>
        <v>0.76177072831109149</v>
      </c>
      <c r="R88">
        <f t="shared" ca="1" si="26"/>
        <v>0.85532322748573542</v>
      </c>
      <c r="S88">
        <f t="shared" ca="1" si="27"/>
        <v>46.101035917328403</v>
      </c>
      <c r="T88">
        <f>70</f>
        <v>70</v>
      </c>
      <c r="U88">
        <f>30</f>
        <v>30</v>
      </c>
      <c r="V88">
        <f t="shared" ca="1" si="25"/>
        <v>148.49291785842843</v>
      </c>
      <c r="W88">
        <f t="shared" ca="1" si="16"/>
        <v>149.89076166383458</v>
      </c>
      <c r="X88">
        <f t="shared" ca="1" si="15"/>
        <v>-1.2761850051082604</v>
      </c>
      <c r="Y88">
        <f t="shared" ca="1" si="17"/>
        <v>-1.8490830806733161</v>
      </c>
      <c r="Z88">
        <f t="shared" ca="1" si="18"/>
        <v>0.57289807556505568</v>
      </c>
    </row>
    <row r="89" spans="1:26" x14ac:dyDescent="0.25">
      <c r="A89" vm="259">
        <f ca="1"/>
        <v>45419</v>
      </c>
      <c r="B89" vm="260">
        <f ca="1"/>
        <v>148.72</v>
      </c>
      <c r="C89" vm="261">
        <f ca="1"/>
        <v>7333730</v>
      </c>
      <c r="D89">
        <f t="shared" ca="1" si="19"/>
        <v>1090672325.5999999</v>
      </c>
      <c r="E89">
        <f ca="1">SUM($D$2:D89)/SUM($C$2:C89)</f>
        <v>155.68755844234246</v>
      </c>
      <c r="F89">
        <f ca="1">_xlfn.STDEV.P($B$2:B89)</f>
        <v>5.1844973536416594</v>
      </c>
      <c r="G89">
        <f t="shared" ca="1" si="20"/>
        <v>160.87205579598412</v>
      </c>
      <c r="H89">
        <f t="shared" ca="1" si="21"/>
        <v>150.5030610887008</v>
      </c>
      <c r="I89">
        <f t="shared" ca="1" si="30"/>
        <v>147.81099999999998</v>
      </c>
      <c r="J89">
        <f t="shared" ca="1" si="31"/>
        <v>1.9386264806761893</v>
      </c>
      <c r="K89">
        <f t="shared" ca="1" si="32"/>
        <v>151.68825296135236</v>
      </c>
      <c r="L89">
        <f t="shared" ca="1" si="33"/>
        <v>143.9337470386476</v>
      </c>
      <c r="M89">
        <f t="shared" ca="1" si="22"/>
        <v>0.13999999999998636</v>
      </c>
      <c r="N89">
        <f t="shared" ca="1" si="23"/>
        <v>0.13999999999998636</v>
      </c>
      <c r="O89">
        <f t="shared" ca="1" si="24"/>
        <v>0</v>
      </c>
      <c r="P89">
        <f t="shared" ca="1" si="28"/>
        <v>0.61502018380440104</v>
      </c>
      <c r="Q89">
        <f t="shared" ca="1" si="29"/>
        <v>0.70735853343172772</v>
      </c>
      <c r="R89">
        <f t="shared" ca="1" si="26"/>
        <v>0.86946032985655797</v>
      </c>
      <c r="S89">
        <f t="shared" ca="1" si="27"/>
        <v>46.508626900003321</v>
      </c>
      <c r="T89">
        <f>70</f>
        <v>70</v>
      </c>
      <c r="U89">
        <f>30</f>
        <v>30</v>
      </c>
      <c r="V89">
        <f t="shared" ca="1" si="25"/>
        <v>148.52785357251636</v>
      </c>
      <c r="W89">
        <f t="shared" ca="1" si="16"/>
        <v>149.80403857762462</v>
      </c>
      <c r="X89">
        <f t="shared" ca="1" si="15"/>
        <v>-1.1479772840189071</v>
      </c>
      <c r="Y89">
        <f t="shared" ca="1" si="17"/>
        <v>-1.7088619213424343</v>
      </c>
      <c r="Z89">
        <f t="shared" ca="1" si="18"/>
        <v>0.56088463732352722</v>
      </c>
    </row>
    <row r="90" spans="1:26" x14ac:dyDescent="0.25">
      <c r="A90" vm="262">
        <f ca="1"/>
        <v>45420</v>
      </c>
      <c r="B90" vm="263">
        <f ca="1"/>
        <v>148.94999999999999</v>
      </c>
      <c r="C90" vm="264">
        <f ca="1"/>
        <v>7735148</v>
      </c>
      <c r="D90">
        <f t="shared" ca="1" si="19"/>
        <v>1152150294.5999999</v>
      </c>
      <c r="E90">
        <f ca="1">SUM($D$2:D90)/SUM($C$2:C90)</f>
        <v>155.60889344668595</v>
      </c>
      <c r="F90">
        <f ca="1">_xlfn.STDEV.P($B$2:B90)</f>
        <v>5.21137174651441</v>
      </c>
      <c r="G90">
        <f t="shared" ca="1" si="20"/>
        <v>160.82026519320036</v>
      </c>
      <c r="H90">
        <f t="shared" ca="1" si="21"/>
        <v>150.39752170017155</v>
      </c>
      <c r="I90">
        <f t="shared" ca="1" si="30"/>
        <v>147.74849999999995</v>
      </c>
      <c r="J90">
        <f t="shared" ca="1" si="31"/>
        <v>1.876714023583719</v>
      </c>
      <c r="K90">
        <f t="shared" ca="1" si="32"/>
        <v>151.50192804716738</v>
      </c>
      <c r="L90">
        <f t="shared" ca="1" si="33"/>
        <v>143.99507195283252</v>
      </c>
      <c r="M90">
        <f t="shared" ca="1" si="22"/>
        <v>0.22999999999998977</v>
      </c>
      <c r="N90">
        <f t="shared" ca="1" si="23"/>
        <v>0.22999999999998977</v>
      </c>
      <c r="O90">
        <f t="shared" ca="1" si="24"/>
        <v>0</v>
      </c>
      <c r="P90">
        <f t="shared" ca="1" si="28"/>
        <v>0.58751874210408594</v>
      </c>
      <c r="Q90">
        <f t="shared" ca="1" si="29"/>
        <v>0.65683292390088999</v>
      </c>
      <c r="R90">
        <f t="shared" ca="1" si="26"/>
        <v>0.89447212635878326</v>
      </c>
      <c r="S90">
        <f t="shared" ca="1" si="27"/>
        <v>47.214847551121181</v>
      </c>
      <c r="T90">
        <f>70</f>
        <v>70</v>
      </c>
      <c r="U90">
        <f>30</f>
        <v>30</v>
      </c>
      <c r="V90">
        <f t="shared" ca="1" si="25"/>
        <v>148.59279917674462</v>
      </c>
      <c r="W90">
        <f t="shared" ca="1" si="16"/>
        <v>149.74077646076353</v>
      </c>
      <c r="X90">
        <f t="shared" ca="1" si="15"/>
        <v>-0.96265240528487084</v>
      </c>
      <c r="Y90">
        <f t="shared" ca="1" si="17"/>
        <v>-1.5596200181309217</v>
      </c>
      <c r="Z90">
        <f t="shared" ca="1" si="18"/>
        <v>0.59696761284605082</v>
      </c>
    </row>
    <row r="91" spans="1:26" x14ac:dyDescent="0.25">
      <c r="A91" vm="265">
        <f ca="1"/>
        <v>45421</v>
      </c>
      <c r="B91" vm="266">
        <f ca="1"/>
        <v>149.85</v>
      </c>
      <c r="C91" vm="267">
        <f ca="1"/>
        <v>6546153</v>
      </c>
      <c r="D91">
        <f t="shared" ca="1" si="19"/>
        <v>980941027.04999995</v>
      </c>
      <c r="E91">
        <f ca="1">SUM($D$2:D91)/SUM($C$2:C91)</f>
        <v>155.55254714886854</v>
      </c>
      <c r="F91">
        <f ca="1">_xlfn.STDEV.P($B$2:B91)</f>
        <v>5.2236219873442877</v>
      </c>
      <c r="G91">
        <f t="shared" ca="1" si="20"/>
        <v>160.77616913621284</v>
      </c>
      <c r="H91">
        <f t="shared" ca="1" si="21"/>
        <v>150.32892516152424</v>
      </c>
      <c r="I91">
        <f t="shared" ca="1" si="30"/>
        <v>147.80149999999995</v>
      </c>
      <c r="J91">
        <f t="shared" ca="1" si="31"/>
        <v>1.9220939102967896</v>
      </c>
      <c r="K91">
        <f t="shared" ca="1" si="32"/>
        <v>151.64568782059354</v>
      </c>
      <c r="L91">
        <f t="shared" ca="1" si="33"/>
        <v>143.95731217940636</v>
      </c>
      <c r="M91">
        <f t="shared" ca="1" si="22"/>
        <v>0.90000000000000568</v>
      </c>
      <c r="N91">
        <f t="shared" ca="1" si="23"/>
        <v>0.90000000000000568</v>
      </c>
      <c r="O91">
        <f t="shared" ca="1" si="24"/>
        <v>0</v>
      </c>
      <c r="P91">
        <f t="shared" ca="1" si="28"/>
        <v>0.60983883195379451</v>
      </c>
      <c r="Q91">
        <f t="shared" ca="1" si="29"/>
        <v>0.60991628647939777</v>
      </c>
      <c r="R91">
        <f t="shared" ca="1" si="26"/>
        <v>0.99987300794007261</v>
      </c>
      <c r="S91">
        <f t="shared" ca="1" si="27"/>
        <v>49.996824996901722</v>
      </c>
      <c r="T91">
        <f>70</f>
        <v>70</v>
      </c>
      <c r="U91">
        <f>30</f>
        <v>30</v>
      </c>
      <c r="V91">
        <f t="shared" ca="1" si="25"/>
        <v>148.7862146880147</v>
      </c>
      <c r="W91">
        <f t="shared" ca="1" si="16"/>
        <v>149.74886709329957</v>
      </c>
      <c r="X91">
        <f t="shared" ca="1" si="15"/>
        <v>-0.80169812815381647</v>
      </c>
      <c r="Y91">
        <f t="shared" ca="1" si="17"/>
        <v>-1.4080356401355005</v>
      </c>
      <c r="Z91">
        <f t="shared" ca="1" si="18"/>
        <v>0.60633751198168406</v>
      </c>
    </row>
    <row r="92" spans="1:26" x14ac:dyDescent="0.25">
      <c r="A92" vm="268">
        <f ca="1"/>
        <v>45422</v>
      </c>
      <c r="B92" vm="269">
        <f ca="1"/>
        <v>149.91</v>
      </c>
      <c r="C92" vm="270">
        <f ca="1"/>
        <v>5710566</v>
      </c>
      <c r="D92">
        <f t="shared" ca="1" si="19"/>
        <v>856070949.05999994</v>
      </c>
      <c r="E92">
        <f ca="1">SUM($D$2:D92)/SUM($C$2:C92)</f>
        <v>155.50479384377923</v>
      </c>
      <c r="F92">
        <f ca="1">_xlfn.STDEV.P($B$2:B92)</f>
        <v>5.2339168362343438</v>
      </c>
      <c r="G92">
        <f t="shared" ca="1" si="20"/>
        <v>160.73871068001358</v>
      </c>
      <c r="H92">
        <f t="shared" ca="1" si="21"/>
        <v>150.27087700754487</v>
      </c>
      <c r="I92">
        <f t="shared" ca="1" si="30"/>
        <v>147.92099999999994</v>
      </c>
      <c r="J92">
        <f t="shared" ca="1" si="31"/>
        <v>1.9771774139706813</v>
      </c>
      <c r="K92">
        <f t="shared" ca="1" si="32"/>
        <v>151.87535482794129</v>
      </c>
      <c r="L92">
        <f t="shared" ca="1" si="33"/>
        <v>143.96664517205858</v>
      </c>
      <c r="M92">
        <f t="shared" ca="1" si="22"/>
        <v>6.0000000000002274E-2</v>
      </c>
      <c r="N92">
        <f t="shared" ca="1" si="23"/>
        <v>6.0000000000002274E-2</v>
      </c>
      <c r="O92">
        <f t="shared" ca="1" si="24"/>
        <v>0</v>
      </c>
      <c r="P92">
        <f t="shared" ca="1" si="28"/>
        <v>0.57056462967138077</v>
      </c>
      <c r="Q92">
        <f t="shared" ca="1" si="29"/>
        <v>0.56635083744515513</v>
      </c>
      <c r="R92">
        <f t="shared" ca="1" si="26"/>
        <v>1.007440250720268</v>
      </c>
      <c r="S92">
        <f t="shared" ca="1" si="27"/>
        <v>50.185316866033709</v>
      </c>
      <c r="T92">
        <f>70</f>
        <v>70</v>
      </c>
      <c r="U92">
        <f>30</f>
        <v>30</v>
      </c>
      <c r="V92">
        <f t="shared" ca="1" si="25"/>
        <v>148.95910473601245</v>
      </c>
      <c r="W92">
        <f t="shared" ca="1" si="16"/>
        <v>149.76080286416627</v>
      </c>
      <c r="X92">
        <f t="shared" ref="X92:X155" ca="1" si="34">V93-W93</f>
        <v>-0.56195676426878549</v>
      </c>
      <c r="Y92">
        <f t="shared" ca="1" si="17"/>
        <v>-1.2388198649621576</v>
      </c>
      <c r="Z92">
        <f t="shared" ca="1" si="18"/>
        <v>0.67686310069337208</v>
      </c>
    </row>
    <row r="93" spans="1:26" x14ac:dyDescent="0.25">
      <c r="A93" vm="271">
        <f ca="1"/>
        <v>45425</v>
      </c>
      <c r="B93" vm="272">
        <f ca="1"/>
        <v>151.22</v>
      </c>
      <c r="C93" vm="273">
        <f ca="1"/>
        <v>5628467</v>
      </c>
      <c r="D93">
        <f t="shared" ca="1" si="19"/>
        <v>851136779.74000001</v>
      </c>
      <c r="E93">
        <f ca="1">SUM($D$2:D93)/SUM($C$2:C93)</f>
        <v>155.46934830859965</v>
      </c>
      <c r="F93">
        <f ca="1">_xlfn.STDEV.P($B$2:B93)</f>
        <v>5.2286040958928899</v>
      </c>
      <c r="G93">
        <f t="shared" ca="1" si="20"/>
        <v>160.69795240449253</v>
      </c>
      <c r="H93">
        <f t="shared" ca="1" si="21"/>
        <v>150.24074421270677</v>
      </c>
      <c r="I93">
        <f t="shared" ca="1" si="30"/>
        <v>148.10249999999996</v>
      </c>
      <c r="J93">
        <f t="shared" ca="1" si="31"/>
        <v>2.1075100674043119</v>
      </c>
      <c r="K93">
        <f t="shared" ca="1" si="32"/>
        <v>152.31752013480857</v>
      </c>
      <c r="L93">
        <f t="shared" ca="1" si="33"/>
        <v>143.88747986519135</v>
      </c>
      <c r="M93">
        <f t="shared" ca="1" si="22"/>
        <v>1.3100000000000023</v>
      </c>
      <c r="N93">
        <f t="shared" ca="1" si="23"/>
        <v>1.3100000000000023</v>
      </c>
      <c r="O93">
        <f t="shared" ca="1" si="24"/>
        <v>0</v>
      </c>
      <c r="P93">
        <f t="shared" ca="1" si="28"/>
        <v>0.62338144183771083</v>
      </c>
      <c r="Q93">
        <f t="shared" ca="1" si="29"/>
        <v>0.52589720619907265</v>
      </c>
      <c r="R93">
        <f t="shared" ca="1" si="26"/>
        <v>1.1853674719879317</v>
      </c>
      <c r="S93">
        <f t="shared" ca="1" si="27"/>
        <v>54.241105314414497</v>
      </c>
      <c r="T93">
        <f>70</f>
        <v>70</v>
      </c>
      <c r="U93">
        <f>30</f>
        <v>30</v>
      </c>
      <c r="V93">
        <f t="shared" ca="1" si="25"/>
        <v>149.30693477662592</v>
      </c>
      <c r="W93">
        <f t="shared" ref="W93:W156" ca="1" si="35">B93*(2/(26+1)) + W92*(1-(2/(26+1)))</f>
        <v>149.86889154089471</v>
      </c>
      <c r="X93">
        <f t="shared" ca="1" si="34"/>
        <v>-0.35495761291420536</v>
      </c>
      <c r="Y93">
        <f t="shared" ca="1" si="17"/>
        <v>-1.0620474145525671</v>
      </c>
      <c r="Z93">
        <f t="shared" ca="1" si="18"/>
        <v>0.70708980163836177</v>
      </c>
    </row>
    <row r="94" spans="1:26" x14ac:dyDescent="0.25">
      <c r="A94" vm="274">
        <f ca="1"/>
        <v>45426</v>
      </c>
      <c r="B94" vm="275">
        <f ca="1"/>
        <v>151.38</v>
      </c>
      <c r="C94" vm="276">
        <f ca="1"/>
        <v>8254171</v>
      </c>
      <c r="D94">
        <f t="shared" ca="1" si="19"/>
        <v>1249516405.98</v>
      </c>
      <c r="E94">
        <f ca="1">SUM($D$2:D94)/SUM($C$2:C94)</f>
        <v>155.42033295944276</v>
      </c>
      <c r="F94">
        <f ca="1">_xlfn.STDEV.P($B$2:B94)</f>
        <v>5.2214033045239354</v>
      </c>
      <c r="G94">
        <f t="shared" ca="1" si="20"/>
        <v>160.64173626396669</v>
      </c>
      <c r="H94">
        <f t="shared" ca="1" si="21"/>
        <v>150.19892965491883</v>
      </c>
      <c r="I94">
        <f t="shared" ca="1" si="30"/>
        <v>148.44899999999996</v>
      </c>
      <c r="J94">
        <f t="shared" ca="1" si="31"/>
        <v>2.0441235414307952</v>
      </c>
      <c r="K94">
        <f t="shared" ca="1" si="32"/>
        <v>152.53724708286154</v>
      </c>
      <c r="L94">
        <f t="shared" ca="1" si="33"/>
        <v>144.36075291713837</v>
      </c>
      <c r="M94">
        <f t="shared" ca="1" si="22"/>
        <v>0.15999999999999659</v>
      </c>
      <c r="N94">
        <f t="shared" ca="1" si="23"/>
        <v>0.15999999999999659</v>
      </c>
      <c r="O94">
        <f t="shared" ca="1" si="24"/>
        <v>0</v>
      </c>
      <c r="P94">
        <f t="shared" ca="1" si="28"/>
        <v>0.59028276742073127</v>
      </c>
      <c r="Q94">
        <f t="shared" ca="1" si="29"/>
        <v>0.48833312004199608</v>
      </c>
      <c r="R94">
        <f t="shared" ca="1" si="26"/>
        <v>1.2087707001523216</v>
      </c>
      <c r="S94">
        <f t="shared" ca="1" si="27"/>
        <v>54.725947789372704</v>
      </c>
      <c r="T94">
        <f>70</f>
        <v>70</v>
      </c>
      <c r="U94">
        <f>30</f>
        <v>30</v>
      </c>
      <c r="V94">
        <f t="shared" ca="1" si="25"/>
        <v>149.62586788791424</v>
      </c>
      <c r="W94">
        <f t="shared" ca="1" si="35"/>
        <v>149.98082550082844</v>
      </c>
      <c r="X94">
        <f t="shared" ca="1" si="34"/>
        <v>-8.582770672001061E-2</v>
      </c>
      <c r="Y94">
        <f t="shared" ca="1" si="17"/>
        <v>-0.86680347298605587</v>
      </c>
      <c r="Z94">
        <f t="shared" ca="1" si="18"/>
        <v>0.78097576626604526</v>
      </c>
    </row>
    <row r="95" spans="1:26" x14ac:dyDescent="0.25">
      <c r="A95" vm="277">
        <f ca="1"/>
        <v>45427</v>
      </c>
      <c r="B95" vm="278">
        <f ca="1"/>
        <v>152.66999999999999</v>
      </c>
      <c r="C95" vm="279">
        <f ca="1"/>
        <v>5547955</v>
      </c>
      <c r="D95">
        <f t="shared" ca="1" si="19"/>
        <v>847006289.8499999</v>
      </c>
      <c r="E95">
        <f ca="1">SUM($D$2:D95)/SUM($C$2:C95)</f>
        <v>155.39835244077267</v>
      </c>
      <c r="F95">
        <f ca="1">_xlfn.STDEV.P($B$2:B95)</f>
        <v>5.2038935174597221</v>
      </c>
      <c r="G95">
        <f t="shared" ca="1" si="20"/>
        <v>160.6022459582324</v>
      </c>
      <c r="H95">
        <f t="shared" ca="1" si="21"/>
        <v>150.19445892331294</v>
      </c>
      <c r="I95">
        <f t="shared" ca="1" si="30"/>
        <v>148.84399999999997</v>
      </c>
      <c r="J95">
        <f t="shared" ca="1" si="31"/>
        <v>2.0590196952101145</v>
      </c>
      <c r="K95">
        <f t="shared" ca="1" si="32"/>
        <v>152.96203939042019</v>
      </c>
      <c r="L95">
        <f t="shared" ca="1" si="33"/>
        <v>144.72596060957974</v>
      </c>
      <c r="M95">
        <f t="shared" ca="1" si="22"/>
        <v>1.289999999999992</v>
      </c>
      <c r="N95">
        <f t="shared" ca="1" si="23"/>
        <v>1.289999999999992</v>
      </c>
      <c r="O95">
        <f t="shared" ca="1" si="24"/>
        <v>0</v>
      </c>
      <c r="P95">
        <f t="shared" ca="1" si="28"/>
        <v>0.64026256974782136</v>
      </c>
      <c r="Q95">
        <f t="shared" ca="1" si="29"/>
        <v>0.4534521828961392</v>
      </c>
      <c r="R95">
        <f t="shared" ca="1" si="26"/>
        <v>1.41197372931044</v>
      </c>
      <c r="S95">
        <f t="shared" ca="1" si="27"/>
        <v>58.540178616046113</v>
      </c>
      <c r="T95">
        <f>70</f>
        <v>70</v>
      </c>
      <c r="U95">
        <f>30</f>
        <v>30</v>
      </c>
      <c r="V95">
        <f t="shared" ca="1" si="25"/>
        <v>150.09419590515819</v>
      </c>
      <c r="W95">
        <f t="shared" ca="1" si="35"/>
        <v>150.1800236118782</v>
      </c>
      <c r="X95">
        <f t="shared" ca="1" si="34"/>
        <v>0.25444019934920448</v>
      </c>
      <c r="Y95">
        <f t="shared" ca="1" si="17"/>
        <v>-0.6425547385190038</v>
      </c>
      <c r="Z95">
        <f t="shared" ca="1" si="18"/>
        <v>0.89699493786820828</v>
      </c>
    </row>
    <row r="96" spans="1:26" x14ac:dyDescent="0.25">
      <c r="A96" vm="280">
        <f ca="1"/>
        <v>45428</v>
      </c>
      <c r="B96" vm="281">
        <f ca="1"/>
        <v>154.28</v>
      </c>
      <c r="C96" vm="282">
        <f ca="1"/>
        <v>7590959</v>
      </c>
      <c r="D96">
        <f t="shared" ca="1" si="19"/>
        <v>1171133154.52</v>
      </c>
      <c r="E96">
        <f ca="1">SUM($D$2:D96)/SUM($C$2:C96)</f>
        <v>155.38625560284575</v>
      </c>
      <c r="F96">
        <f ca="1">_xlfn.STDEV.P($B$2:B96)</f>
        <v>5.178853929409545</v>
      </c>
      <c r="G96">
        <f t="shared" ca="1" si="20"/>
        <v>160.56510953225529</v>
      </c>
      <c r="H96">
        <f t="shared" ca="1" si="21"/>
        <v>150.20740167343621</v>
      </c>
      <c r="I96">
        <f t="shared" ca="1" si="30"/>
        <v>149.27100000000002</v>
      </c>
      <c r="J96">
        <f t="shared" ca="1" si="31"/>
        <v>2.2573899693416313</v>
      </c>
      <c r="K96">
        <f t="shared" ca="1" si="32"/>
        <v>153.78577993868328</v>
      </c>
      <c r="L96">
        <f t="shared" ca="1" si="33"/>
        <v>144.75622006131675</v>
      </c>
      <c r="M96">
        <f t="shared" ca="1" si="22"/>
        <v>1.6100000000000136</v>
      </c>
      <c r="N96">
        <f t="shared" ca="1" si="23"/>
        <v>1.6100000000000136</v>
      </c>
      <c r="O96">
        <f t="shared" ca="1" si="24"/>
        <v>0</v>
      </c>
      <c r="P96">
        <f t="shared" ca="1" si="28"/>
        <v>0.70952952905154931</v>
      </c>
      <c r="Q96">
        <f t="shared" ca="1" si="29"/>
        <v>0.4210627412607007</v>
      </c>
      <c r="R96">
        <f t="shared" ca="1" si="26"/>
        <v>1.6850921716016773</v>
      </c>
      <c r="S96">
        <f t="shared" ca="1" si="27"/>
        <v>62.757330620665712</v>
      </c>
      <c r="T96">
        <f>70</f>
        <v>70</v>
      </c>
      <c r="U96">
        <f>30</f>
        <v>30</v>
      </c>
      <c r="V96">
        <f t="shared" ca="1" si="25"/>
        <v>150.73816576590309</v>
      </c>
      <c r="W96">
        <f t="shared" ca="1" si="35"/>
        <v>150.48372556655389</v>
      </c>
      <c r="X96">
        <f t="shared" ca="1" si="34"/>
        <v>0.5468502089549645</v>
      </c>
      <c r="Y96">
        <f t="shared" ca="1" si="17"/>
        <v>-0.40467374902421011</v>
      </c>
      <c r="Z96">
        <f t="shared" ca="1" si="18"/>
        <v>0.95152395797917455</v>
      </c>
    </row>
    <row r="97" spans="1:27" x14ac:dyDescent="0.25">
      <c r="A97" vm="283">
        <f ca="1"/>
        <v>45429</v>
      </c>
      <c r="B97" vm="284">
        <f ca="1"/>
        <v>154.63999999999999</v>
      </c>
      <c r="C97" vm="285">
        <f ca="1"/>
        <v>6521794</v>
      </c>
      <c r="D97">
        <f t="shared" ca="1" si="19"/>
        <v>1008530224.16</v>
      </c>
      <c r="E97">
        <f ca="1">SUM($D$2:D97)/SUM($C$2:C97)</f>
        <v>155.37938438249057</v>
      </c>
      <c r="F97">
        <f ca="1">_xlfn.STDEV.P($B$2:B97)</f>
        <v>5.1531920351411014</v>
      </c>
      <c r="G97">
        <f t="shared" ca="1" si="20"/>
        <v>160.53257641763167</v>
      </c>
      <c r="H97">
        <f t="shared" ca="1" si="21"/>
        <v>150.22619234734947</v>
      </c>
      <c r="I97">
        <f t="shared" ca="1" si="30"/>
        <v>149.60750000000002</v>
      </c>
      <c r="J97">
        <f t="shared" ca="1" si="31"/>
        <v>2.5290894450478865</v>
      </c>
      <c r="K97">
        <f t="shared" ca="1" si="32"/>
        <v>154.66567889009579</v>
      </c>
      <c r="L97">
        <f t="shared" ca="1" si="33"/>
        <v>144.54932110990424</v>
      </c>
      <c r="M97">
        <f t="shared" ca="1" si="22"/>
        <v>0.35999999999998522</v>
      </c>
      <c r="N97">
        <f t="shared" ca="1" si="23"/>
        <v>0.35999999999998522</v>
      </c>
      <c r="O97">
        <f t="shared" ca="1" si="24"/>
        <v>0</v>
      </c>
      <c r="P97">
        <f t="shared" ca="1" si="28"/>
        <v>0.68456313411929481</v>
      </c>
      <c r="Q97">
        <f t="shared" ca="1" si="29"/>
        <v>0.39098683117065069</v>
      </c>
      <c r="R97">
        <f t="shared" ca="1" si="26"/>
        <v>1.7508598232570891</v>
      </c>
      <c r="S97">
        <f t="shared" ca="1" si="27"/>
        <v>63.647729646362933</v>
      </c>
      <c r="T97">
        <f>70</f>
        <v>70</v>
      </c>
      <c r="U97">
        <f>30</f>
        <v>30</v>
      </c>
      <c r="V97">
        <f t="shared" ca="1" si="25"/>
        <v>151.33844795576414</v>
      </c>
      <c r="W97">
        <f t="shared" ca="1" si="35"/>
        <v>150.79159774680917</v>
      </c>
      <c r="X97">
        <f t="shared" ca="1" si="34"/>
        <v>0.5008825502819434</v>
      </c>
      <c r="Y97">
        <f t="shared" ca="1" si="17"/>
        <v>-0.22356248916297944</v>
      </c>
      <c r="Z97">
        <f t="shared" ca="1" si="18"/>
        <v>0.72444503944492289</v>
      </c>
    </row>
    <row r="98" spans="1:27" x14ac:dyDescent="0.25">
      <c r="A98" vm="286">
        <f ca="1"/>
        <v>45432</v>
      </c>
      <c r="B98" vm="287">
        <f ca="1"/>
        <v>151.27000000000001</v>
      </c>
      <c r="C98" vm="288">
        <f ca="1"/>
        <v>7742280</v>
      </c>
      <c r="D98">
        <f t="shared" ca="1" si="19"/>
        <v>1171174695.6000001</v>
      </c>
      <c r="E98">
        <f ca="1">SUM($D$2:D98)/SUM($C$2:C98)</f>
        <v>155.33495160643497</v>
      </c>
      <c r="F98">
        <f ca="1">_xlfn.STDEV.P($B$2:B98)</f>
        <v>5.1469685173599879</v>
      </c>
      <c r="G98">
        <f t="shared" ca="1" si="20"/>
        <v>160.48192012379496</v>
      </c>
      <c r="H98">
        <f t="shared" ca="1" si="21"/>
        <v>150.18798308907498</v>
      </c>
      <c r="I98">
        <f t="shared" ca="1" si="30"/>
        <v>149.71499999999997</v>
      </c>
      <c r="J98">
        <f t="shared" ca="1" si="31"/>
        <v>2.5528590783049907</v>
      </c>
      <c r="K98">
        <f t="shared" ca="1" si="32"/>
        <v>154.82071815660996</v>
      </c>
      <c r="L98">
        <f t="shared" ca="1" si="33"/>
        <v>144.60928184338999</v>
      </c>
      <c r="M98">
        <f t="shared" ca="1" si="22"/>
        <v>-3.3699999999999761</v>
      </c>
      <c r="N98">
        <f t="shared" ca="1" si="23"/>
        <v>0</v>
      </c>
      <c r="O98">
        <f t="shared" ca="1" si="24"/>
        <v>3.3699999999999761</v>
      </c>
      <c r="P98">
        <f t="shared" ca="1" si="28"/>
        <v>0.63566576739648806</v>
      </c>
      <c r="Q98">
        <f t="shared" ca="1" si="29"/>
        <v>0.60377348608703107</v>
      </c>
      <c r="R98">
        <f t="shared" ca="1" si="26"/>
        <v>1.0528215995640124</v>
      </c>
      <c r="S98">
        <f t="shared" ca="1" si="27"/>
        <v>51.286560887103654</v>
      </c>
      <c r="T98">
        <f>70</f>
        <v>70</v>
      </c>
      <c r="U98">
        <f>30</f>
        <v>30</v>
      </c>
      <c r="V98">
        <f t="shared" ca="1" si="25"/>
        <v>151.32791750103118</v>
      </c>
      <c r="W98">
        <f t="shared" ca="1" si="35"/>
        <v>150.82703495074924</v>
      </c>
      <c r="X98">
        <f t="shared" ca="1" si="34"/>
        <v>0.45676677724432579</v>
      </c>
      <c r="Y98">
        <f t="shared" ca="1" si="17"/>
        <v>-8.7496635881518403E-2</v>
      </c>
      <c r="Z98">
        <f t="shared" ca="1" si="18"/>
        <v>0.54426341312584414</v>
      </c>
    </row>
    <row r="99" spans="1:27" x14ac:dyDescent="0.25">
      <c r="A99" vm="289">
        <f ca="1"/>
        <v>45433</v>
      </c>
      <c r="B99" vm="290">
        <f ca="1"/>
        <v>151.24</v>
      </c>
      <c r="C99" vm="291">
        <f ca="1"/>
        <v>5492354</v>
      </c>
      <c r="D99">
        <f t="shared" ca="1" si="19"/>
        <v>830663618.96000004</v>
      </c>
      <c r="E99">
        <f ca="1">SUM($D$2:D99)/SUM($C$2:C99)</f>
        <v>155.3037809022006</v>
      </c>
      <c r="F99">
        <f ca="1">_xlfn.STDEV.P($B$2:B99)</f>
        <v>5.1407180976348323</v>
      </c>
      <c r="G99">
        <f t="shared" ca="1" si="20"/>
        <v>160.44449899983545</v>
      </c>
      <c r="H99">
        <f t="shared" ca="1" si="21"/>
        <v>150.16306280456575</v>
      </c>
      <c r="I99">
        <f t="shared" ca="1" si="30"/>
        <v>149.79900000000004</v>
      </c>
      <c r="J99">
        <f t="shared" ca="1" si="31"/>
        <v>2.5750337759665252</v>
      </c>
      <c r="K99">
        <f t="shared" ca="1" si="32"/>
        <v>154.9490675519331</v>
      </c>
      <c r="L99">
        <f t="shared" ca="1" si="33"/>
        <v>144.64893244806697</v>
      </c>
      <c r="M99">
        <f t="shared" ca="1" si="22"/>
        <v>-3.0000000000001137E-2</v>
      </c>
      <c r="N99">
        <f t="shared" ca="1" si="23"/>
        <v>0</v>
      </c>
      <c r="O99">
        <f t="shared" ca="1" si="24"/>
        <v>3.0000000000001137E-2</v>
      </c>
      <c r="P99">
        <f t="shared" ca="1" si="28"/>
        <v>0.59026106972531045</v>
      </c>
      <c r="Q99">
        <f t="shared" ca="1" si="29"/>
        <v>0.5627896656522432</v>
      </c>
      <c r="R99">
        <f t="shared" ca="1" si="26"/>
        <v>1.0488129149301797</v>
      </c>
      <c r="S99">
        <f t="shared" ca="1" si="27"/>
        <v>51.191248712229125</v>
      </c>
      <c r="T99">
        <f>70</f>
        <v>70</v>
      </c>
      <c r="U99">
        <f>30</f>
        <v>30</v>
      </c>
      <c r="V99">
        <f t="shared" ca="1" si="25"/>
        <v>151.31439173164176</v>
      </c>
      <c r="W99">
        <f t="shared" ca="1" si="35"/>
        <v>150.85762495439744</v>
      </c>
      <c r="X99">
        <f t="shared" ca="1" si="34"/>
        <v>0.59728271828612378</v>
      </c>
      <c r="Y99">
        <f t="shared" ca="1" si="17"/>
        <v>4.9459234952010031E-2</v>
      </c>
      <c r="Z99">
        <f t="shared" ca="1" si="18"/>
        <v>0.54782348333411379</v>
      </c>
    </row>
    <row r="100" spans="1:27" x14ac:dyDescent="0.25">
      <c r="A100" vm="292">
        <f ca="1"/>
        <v>45434</v>
      </c>
      <c r="B100" vm="293">
        <f ca="1"/>
        <v>153.5</v>
      </c>
      <c r="C100" vm="294">
        <f ca="1"/>
        <v>6609788</v>
      </c>
      <c r="D100">
        <f t="shared" ca="1" si="19"/>
        <v>1014602458</v>
      </c>
      <c r="E100">
        <f ca="1">SUM($D$2:D100)/SUM($C$2:C100)</f>
        <v>155.28740707053061</v>
      </c>
      <c r="F100">
        <f ca="1">_xlfn.STDEV.P($B$2:B100)</f>
        <v>5.1194621678923244</v>
      </c>
      <c r="G100">
        <f t="shared" ca="1" si="20"/>
        <v>160.40686923842293</v>
      </c>
      <c r="H100">
        <f t="shared" ca="1" si="21"/>
        <v>150.16794490263828</v>
      </c>
      <c r="I100">
        <f t="shared" ca="1" si="30"/>
        <v>150.04749999999999</v>
      </c>
      <c r="J100">
        <f t="shared" ca="1" si="31"/>
        <v>2.6836461351950573</v>
      </c>
      <c r="K100">
        <f t="shared" ca="1" si="32"/>
        <v>155.41479227039011</v>
      </c>
      <c r="L100">
        <f t="shared" ca="1" si="33"/>
        <v>144.68020772960986</v>
      </c>
      <c r="M100">
        <f t="shared" ca="1" si="22"/>
        <v>2.2599999999999909</v>
      </c>
      <c r="N100">
        <f t="shared" ca="1" si="23"/>
        <v>2.2599999999999909</v>
      </c>
      <c r="O100">
        <f t="shared" ca="1" si="24"/>
        <v>0</v>
      </c>
      <c r="P100">
        <f t="shared" ca="1" si="28"/>
        <v>0.70952813617350186</v>
      </c>
      <c r="Q100">
        <f t="shared" ca="1" si="29"/>
        <v>0.52259040381994015</v>
      </c>
      <c r="R100">
        <f t="shared" ca="1" si="26"/>
        <v>1.3577136720979124</v>
      </c>
      <c r="S100">
        <f t="shared" ca="1" si="27"/>
        <v>57.586028709321944</v>
      </c>
      <c r="T100">
        <f>70</f>
        <v>70</v>
      </c>
      <c r="U100">
        <f>30</f>
        <v>30</v>
      </c>
      <c r="V100">
        <f t="shared" ca="1" si="25"/>
        <v>151.65063915754303</v>
      </c>
      <c r="W100">
        <f t="shared" ca="1" si="35"/>
        <v>151.0533564392569</v>
      </c>
      <c r="X100">
        <f t="shared" ca="1" si="34"/>
        <v>0.39743301148658361</v>
      </c>
      <c r="Y100">
        <f t="shared" ca="1" si="17"/>
        <v>0.11905399025892476</v>
      </c>
      <c r="Z100">
        <f t="shared" ca="1" si="18"/>
        <v>0.27837902122765884</v>
      </c>
    </row>
    <row r="101" spans="1:27" x14ac:dyDescent="0.25">
      <c r="A101" vm="295">
        <f ca="1"/>
        <v>45435</v>
      </c>
      <c r="B101" vm="296">
        <f ca="1"/>
        <v>149.69999999999999</v>
      </c>
      <c r="C101" vm="297">
        <f ca="1"/>
        <v>8000422</v>
      </c>
      <c r="D101">
        <f t="shared" ca="1" si="19"/>
        <v>1197663173.3999999</v>
      </c>
      <c r="E101">
        <f ca="1">SUM($D$2:D101)/SUM($C$2:C101)</f>
        <v>155.2266836111603</v>
      </c>
      <c r="F101">
        <f ca="1">_xlfn.STDEV.P($B$2:B101)</f>
        <v>5.1285258495984998</v>
      </c>
      <c r="G101">
        <f t="shared" ca="1" si="20"/>
        <v>160.3552094607588</v>
      </c>
      <c r="H101">
        <f t="shared" ca="1" si="21"/>
        <v>150.09815776156179</v>
      </c>
      <c r="I101">
        <f t="shared" ca="1" si="30"/>
        <v>150.19149999999999</v>
      </c>
      <c r="J101">
        <f t="shared" ca="1" si="31"/>
        <v>2.5764771440251919</v>
      </c>
      <c r="K101">
        <f t="shared" ca="1" si="32"/>
        <v>155.34445428805037</v>
      </c>
      <c r="L101">
        <f t="shared" ca="1" si="33"/>
        <v>145.03854571194961</v>
      </c>
      <c r="M101">
        <f t="shared" ca="1" si="22"/>
        <v>-3.8000000000000114</v>
      </c>
      <c r="N101">
        <f t="shared" ca="1" si="23"/>
        <v>0</v>
      </c>
      <c r="O101">
        <f t="shared" ca="1" si="24"/>
        <v>3.8000000000000114</v>
      </c>
      <c r="P101">
        <f t="shared" ca="1" si="28"/>
        <v>0.65884755501825165</v>
      </c>
      <c r="Q101">
        <f t="shared" ca="1" si="29"/>
        <v>0.75669108926137374</v>
      </c>
      <c r="R101">
        <f t="shared" ca="1" si="26"/>
        <v>0.87069553793922727</v>
      </c>
      <c r="S101">
        <f t="shared" ca="1" si="27"/>
        <v>46.543946905352236</v>
      </c>
      <c r="T101">
        <f>70</f>
        <v>70</v>
      </c>
      <c r="U101">
        <f>30</f>
        <v>30</v>
      </c>
      <c r="V101">
        <f t="shared" ca="1" si="25"/>
        <v>151.35054082561334</v>
      </c>
      <c r="W101">
        <f t="shared" ca="1" si="35"/>
        <v>150.95310781412675</v>
      </c>
      <c r="X101">
        <f t="shared" ca="1" si="34"/>
        <v>1.8548676968578093E-2</v>
      </c>
      <c r="Y101">
        <f t="shared" ca="1" si="17"/>
        <v>9.8952927600855431E-2</v>
      </c>
      <c r="Z101">
        <f t="shared" ca="1" si="18"/>
        <v>-8.0404250632277338E-2</v>
      </c>
      <c r="AA101">
        <f ca="1">AVERAGE(B2:B101)</f>
        <v>155.62810000000002</v>
      </c>
    </row>
    <row r="102" spans="1:27" x14ac:dyDescent="0.25">
      <c r="A102" vm="298">
        <f ca="1"/>
        <v>45436</v>
      </c>
      <c r="B102" vm="299">
        <f ca="1"/>
        <v>146.97</v>
      </c>
      <c r="C102" vm="300">
        <f ca="1"/>
        <v>9520576</v>
      </c>
      <c r="D102">
        <f t="shared" ca="1" si="19"/>
        <v>1399239054.72</v>
      </c>
      <c r="E102">
        <f ca="1">SUM($D$2:D102)/SUM($C$2:C102)</f>
        <v>155.12126398324042</v>
      </c>
      <c r="F102">
        <f ca="1">_xlfn.STDEV.P($B$2:B102)</f>
        <v>5.1745743879153006</v>
      </c>
      <c r="G102">
        <f t="shared" ca="1" si="20"/>
        <v>160.29583837115572</v>
      </c>
      <c r="H102">
        <f t="shared" ca="1" si="21"/>
        <v>149.94668959532513</v>
      </c>
      <c r="I102">
        <f t="shared" ca="1" si="30"/>
        <v>150.23299999999998</v>
      </c>
      <c r="J102">
        <f t="shared" ca="1" si="31"/>
        <v>2.5137037048525563</v>
      </c>
      <c r="K102">
        <f t="shared" ca="1" si="32"/>
        <v>155.2604074097051</v>
      </c>
      <c r="L102">
        <f t="shared" ca="1" si="33"/>
        <v>145.20559259029486</v>
      </c>
      <c r="M102">
        <f t="shared" ca="1" si="22"/>
        <v>-2.7299999999999898</v>
      </c>
      <c r="N102">
        <f t="shared" ca="1" si="23"/>
        <v>0</v>
      </c>
      <c r="O102">
        <f t="shared" ca="1" si="24"/>
        <v>2.7299999999999898</v>
      </c>
      <c r="P102">
        <f t="shared" ca="1" si="28"/>
        <v>0.61178701537409086</v>
      </c>
      <c r="Q102">
        <f t="shared" ca="1" si="29"/>
        <v>0.8976417257427034</v>
      </c>
      <c r="R102">
        <f t="shared" ca="1" si="26"/>
        <v>0.68154921705305305</v>
      </c>
      <c r="S102">
        <f t="shared" ca="1" si="27"/>
        <v>40.531029965776497</v>
      </c>
      <c r="T102">
        <f>70</f>
        <v>70</v>
      </c>
      <c r="U102">
        <f>30</f>
        <v>30</v>
      </c>
      <c r="V102">
        <f t="shared" ca="1" si="25"/>
        <v>150.67661146782666</v>
      </c>
      <c r="W102">
        <f t="shared" ca="1" si="35"/>
        <v>150.65806279085808</v>
      </c>
      <c r="X102">
        <f t="shared" ca="1" si="34"/>
        <v>-0.48511909140842135</v>
      </c>
      <c r="Y102">
        <f t="shared" ref="Y102:Y165" ca="1" si="36">X102*(2/(9+1)) + Y101*(1-(2/(9+1)))</f>
        <v>-1.7861476200999926E-2</v>
      </c>
      <c r="Z102">
        <f t="shared" ref="Z102:Z165" ca="1" si="37">X102-Y102</f>
        <v>-0.46725761520742143</v>
      </c>
      <c r="AA102">
        <f t="shared" ref="AA102:AA165" ca="1" si="38">AVERAGE(B3:B102)</f>
        <v>155.49810000000002</v>
      </c>
    </row>
    <row r="103" spans="1:27" x14ac:dyDescent="0.25">
      <c r="A103" vm="301">
        <f ca="1"/>
        <v>45440</v>
      </c>
      <c r="B103" vm="302">
        <f ca="1"/>
        <v>144.38</v>
      </c>
      <c r="C103" vm="303">
        <f ca="1"/>
        <v>10499829</v>
      </c>
      <c r="D103">
        <f t="shared" ca="1" si="19"/>
        <v>1515965311.02</v>
      </c>
      <c r="E103">
        <f ca="1">SUM($D$2:D103)/SUM($C$2:C103)</f>
        <v>154.97211593872422</v>
      </c>
      <c r="F103">
        <f ca="1">_xlfn.STDEV.P($B$2:B103)</f>
        <v>5.2652908208295912</v>
      </c>
      <c r="G103">
        <f t="shared" ca="1" si="20"/>
        <v>160.23740675955381</v>
      </c>
      <c r="H103">
        <f t="shared" ca="1" si="21"/>
        <v>149.70682511789462</v>
      </c>
      <c r="I103">
        <f t="shared" ca="1" si="30"/>
        <v>150.11099999999999</v>
      </c>
      <c r="J103">
        <f t="shared" ca="1" si="31"/>
        <v>2.7373323548762993</v>
      </c>
      <c r="K103">
        <f t="shared" ca="1" si="32"/>
        <v>155.58566470975259</v>
      </c>
      <c r="L103">
        <f t="shared" ca="1" si="33"/>
        <v>144.63633529024739</v>
      </c>
      <c r="M103">
        <f t="shared" ca="1" si="22"/>
        <v>-2.5900000000000034</v>
      </c>
      <c r="N103">
        <f t="shared" ca="1" si="23"/>
        <v>0</v>
      </c>
      <c r="O103">
        <f t="shared" ca="1" si="24"/>
        <v>2.5900000000000034</v>
      </c>
      <c r="P103">
        <f t="shared" ca="1" si="28"/>
        <v>0.56808794284737008</v>
      </c>
      <c r="Q103">
        <f t="shared" ca="1" si="29"/>
        <v>1.0185244596182248</v>
      </c>
      <c r="R103">
        <f t="shared" ca="1" si="26"/>
        <v>0.55775581772509164</v>
      </c>
      <c r="S103">
        <f t="shared" ca="1" si="27"/>
        <v>35.805086482657117</v>
      </c>
      <c r="T103">
        <f>70</f>
        <v>70</v>
      </c>
      <c r="U103">
        <f>30</f>
        <v>30</v>
      </c>
      <c r="V103">
        <f t="shared" ca="1" si="25"/>
        <v>149.70790201123793</v>
      </c>
      <c r="W103">
        <f t="shared" ca="1" si="35"/>
        <v>150.19302110264636</v>
      </c>
      <c r="X103">
        <f t="shared" ca="1" si="34"/>
        <v>-0.86941584336867095</v>
      </c>
      <c r="Y103">
        <f t="shared" ca="1" si="36"/>
        <v>-0.18817234963453416</v>
      </c>
      <c r="Z103">
        <f t="shared" ca="1" si="37"/>
        <v>-0.68124349373413673</v>
      </c>
      <c r="AA103">
        <f t="shared" ca="1" si="38"/>
        <v>155.33220000000006</v>
      </c>
    </row>
    <row r="104" spans="1:27" x14ac:dyDescent="0.25">
      <c r="A104" vm="304">
        <f ca="1"/>
        <v>45441</v>
      </c>
      <c r="B104" vm="305">
        <f ca="1"/>
        <v>144.44</v>
      </c>
      <c r="C104" vm="306">
        <f ca="1"/>
        <v>8263810</v>
      </c>
      <c r="D104">
        <f t="shared" ca="1" si="19"/>
        <v>1193624716.4000001</v>
      </c>
      <c r="E104">
        <f ca="1">SUM($D$2:D104)/SUM($C$2:C104)</f>
        <v>154.85826005862586</v>
      </c>
      <c r="F104">
        <f ca="1">_xlfn.STDEV.P($B$2:B104)</f>
        <v>5.3493914210625491</v>
      </c>
      <c r="G104">
        <f t="shared" ca="1" si="20"/>
        <v>160.20765147968842</v>
      </c>
      <c r="H104">
        <f t="shared" ca="1" si="21"/>
        <v>149.5088686375633</v>
      </c>
      <c r="I104">
        <f t="shared" ca="1" si="30"/>
        <v>150.1035</v>
      </c>
      <c r="J104">
        <f t="shared" ca="1" si="31"/>
        <v>2.7534137185071108</v>
      </c>
      <c r="K104">
        <f t="shared" ca="1" si="32"/>
        <v>155.61032743701421</v>
      </c>
      <c r="L104">
        <f t="shared" ca="1" si="33"/>
        <v>144.59667256298579</v>
      </c>
      <c r="M104">
        <f t="shared" ca="1" si="22"/>
        <v>6.0000000000002274E-2</v>
      </c>
      <c r="N104">
        <f t="shared" ca="1" si="23"/>
        <v>6.0000000000002274E-2</v>
      </c>
      <c r="O104">
        <f t="shared" ca="1" si="24"/>
        <v>0</v>
      </c>
      <c r="P104">
        <f t="shared" ca="1" si="28"/>
        <v>0.53179594692970089</v>
      </c>
      <c r="Q104">
        <f t="shared" ca="1" si="29"/>
        <v>0.94577271250263728</v>
      </c>
      <c r="R104">
        <f t="shared" ca="1" si="26"/>
        <v>0.56228725982429739</v>
      </c>
      <c r="S104">
        <f t="shared" ca="1" si="27"/>
        <v>35.991284975820321</v>
      </c>
      <c r="T104">
        <f>70</f>
        <v>70</v>
      </c>
      <c r="U104">
        <f>30</f>
        <v>30</v>
      </c>
      <c r="V104">
        <f t="shared" ca="1" si="25"/>
        <v>148.89745554797057</v>
      </c>
      <c r="W104">
        <f t="shared" ca="1" si="35"/>
        <v>149.76687139133924</v>
      </c>
      <c r="X104">
        <f t="shared" ca="1" si="34"/>
        <v>-1.0935866223304629</v>
      </c>
      <c r="Y104">
        <f t="shared" ca="1" si="36"/>
        <v>-0.36925520417371993</v>
      </c>
      <c r="Z104">
        <f t="shared" ca="1" si="37"/>
        <v>-0.72433141815674296</v>
      </c>
      <c r="AA104">
        <f t="shared" ca="1" si="38"/>
        <v>155.17030000000005</v>
      </c>
    </row>
    <row r="105" spans="1:27" x14ac:dyDescent="0.25">
      <c r="A105" vm="307">
        <f ca="1"/>
        <v>45442</v>
      </c>
      <c r="B105" vm="308">
        <f ca="1"/>
        <v>145.28</v>
      </c>
      <c r="C105" vm="309">
        <f ca="1"/>
        <v>8491111</v>
      </c>
      <c r="D105">
        <f t="shared" ca="1" si="19"/>
        <v>1233588606.0799999</v>
      </c>
      <c r="E105">
        <f ca="1">SUM($D$2:D105)/SUM($C$2:C105)</f>
        <v>154.75303643923837</v>
      </c>
      <c r="F105">
        <f ca="1">_xlfn.STDEV.P($B$2:B105)</f>
        <v>5.4131275481066412</v>
      </c>
      <c r="G105">
        <f t="shared" ca="1" si="20"/>
        <v>160.16616398734502</v>
      </c>
      <c r="H105">
        <f t="shared" ca="1" si="21"/>
        <v>149.33990889113173</v>
      </c>
      <c r="I105">
        <f t="shared" ca="1" si="30"/>
        <v>149.80850000000004</v>
      </c>
      <c r="J105">
        <f t="shared" ca="1" si="31"/>
        <v>2.9416362704060499</v>
      </c>
      <c r="K105">
        <f t="shared" ca="1" si="32"/>
        <v>155.69177254081214</v>
      </c>
      <c r="L105">
        <f t="shared" ca="1" si="33"/>
        <v>143.92522745918794</v>
      </c>
      <c r="M105">
        <f t="shared" ca="1" si="22"/>
        <v>0.84000000000000341</v>
      </c>
      <c r="N105">
        <f t="shared" ca="1" si="23"/>
        <v>0.84000000000000341</v>
      </c>
      <c r="O105">
        <f t="shared" ca="1" si="24"/>
        <v>0</v>
      </c>
      <c r="P105">
        <f t="shared" ca="1" si="28"/>
        <v>0.55381052214900817</v>
      </c>
      <c r="Q105">
        <f t="shared" ca="1" si="29"/>
        <v>0.87821751875244891</v>
      </c>
      <c r="R105">
        <f t="shared" ca="1" si="26"/>
        <v>0.63060746378155064</v>
      </c>
      <c r="S105">
        <f t="shared" ca="1" si="27"/>
        <v>38.673161860740258</v>
      </c>
      <c r="T105">
        <f>70</f>
        <v>70</v>
      </c>
      <c r="U105">
        <f>30</f>
        <v>30</v>
      </c>
      <c r="V105">
        <f t="shared" ca="1" si="25"/>
        <v>148.34092392520586</v>
      </c>
      <c r="W105">
        <f t="shared" ca="1" si="35"/>
        <v>149.43451054753632</v>
      </c>
      <c r="X105">
        <f t="shared" ca="1" si="34"/>
        <v>-1.1458732825161349</v>
      </c>
      <c r="Y105">
        <f t="shared" ca="1" si="36"/>
        <v>-0.524578819842203</v>
      </c>
      <c r="Z105">
        <f t="shared" ca="1" si="37"/>
        <v>-0.62129446267393185</v>
      </c>
      <c r="AA105">
        <f t="shared" ca="1" si="38"/>
        <v>155.01180000000005</v>
      </c>
    </row>
    <row r="106" spans="1:27" x14ac:dyDescent="0.25">
      <c r="A106" vm="310">
        <f ca="1"/>
        <v>45443</v>
      </c>
      <c r="B106" vm="311">
        <f ca="1"/>
        <v>146.66999999999999</v>
      </c>
      <c r="C106" vm="312">
        <f ca="1"/>
        <v>14621203</v>
      </c>
      <c r="D106">
        <f t="shared" ca="1" si="19"/>
        <v>2144491844.0099998</v>
      </c>
      <c r="E106">
        <f ca="1">SUM($D$2:D106)/SUM($C$2:C106)</f>
        <v>154.60297086998045</v>
      </c>
      <c r="F106">
        <f ca="1">_xlfn.STDEV.P($B$2:B106)</f>
        <v>5.4510567075590917</v>
      </c>
      <c r="G106">
        <f t="shared" ca="1" si="20"/>
        <v>160.05402757753956</v>
      </c>
      <c r="H106">
        <f t="shared" ca="1" si="21"/>
        <v>149.15191416242135</v>
      </c>
      <c r="I106">
        <f t="shared" ca="1" si="30"/>
        <v>149.64600000000002</v>
      </c>
      <c r="J106">
        <f t="shared" ca="1" si="31"/>
        <v>3.023773174450477</v>
      </c>
      <c r="K106">
        <f t="shared" ca="1" si="32"/>
        <v>155.69354634890098</v>
      </c>
      <c r="L106">
        <f t="shared" ca="1" si="33"/>
        <v>143.59845365109905</v>
      </c>
      <c r="M106">
        <f t="shared" ca="1" si="22"/>
        <v>1.3899999999999864</v>
      </c>
      <c r="N106">
        <f t="shared" ca="1" si="23"/>
        <v>1.3899999999999864</v>
      </c>
      <c r="O106">
        <f t="shared" ca="1" si="24"/>
        <v>0</v>
      </c>
      <c r="P106">
        <f t="shared" ca="1" si="28"/>
        <v>0.61353834199550661</v>
      </c>
      <c r="Q106">
        <f t="shared" ca="1" si="29"/>
        <v>0.81548769598441684</v>
      </c>
      <c r="R106">
        <f t="shared" ca="1" si="26"/>
        <v>0.75235757083357724</v>
      </c>
      <c r="S106">
        <f t="shared" ca="1" si="27"/>
        <v>42.934021192700357</v>
      </c>
      <c r="T106">
        <f>70</f>
        <v>70</v>
      </c>
      <c r="U106">
        <f>30</f>
        <v>30</v>
      </c>
      <c r="V106">
        <f t="shared" ca="1" si="25"/>
        <v>148.08385870594341</v>
      </c>
      <c r="W106">
        <f t="shared" ca="1" si="35"/>
        <v>149.22973198845955</v>
      </c>
      <c r="X106">
        <f t="shared" ca="1" si="34"/>
        <v>-1.088424104228352</v>
      </c>
      <c r="Y106">
        <f t="shared" ca="1" si="36"/>
        <v>-0.63734787671943283</v>
      </c>
      <c r="Z106">
        <f t="shared" ca="1" si="37"/>
        <v>-0.45107622750891918</v>
      </c>
      <c r="AA106">
        <f t="shared" ca="1" si="38"/>
        <v>154.86320000000006</v>
      </c>
    </row>
    <row r="107" spans="1:27" x14ac:dyDescent="0.25">
      <c r="A107" vm="313">
        <f ca="1"/>
        <v>45446</v>
      </c>
      <c r="B107" vm="314">
        <f ca="1"/>
        <v>147.74</v>
      </c>
      <c r="C107" vm="315">
        <f ca="1"/>
        <v>7329241</v>
      </c>
      <c r="D107">
        <f t="shared" ca="1" si="19"/>
        <v>1082822065.3400002</v>
      </c>
      <c r="E107">
        <f ca="1">SUM($D$2:D107)/SUM($C$2:C107)</f>
        <v>154.53969013119291</v>
      </c>
      <c r="F107">
        <f ca="1">_xlfn.STDEV.P($B$2:B107)</f>
        <v>5.4723439835143157</v>
      </c>
      <c r="G107">
        <f t="shared" ca="1" si="20"/>
        <v>160.01203411470723</v>
      </c>
      <c r="H107">
        <f t="shared" ca="1" si="21"/>
        <v>149.06734614767859</v>
      </c>
      <c r="I107">
        <f t="shared" ca="1" si="30"/>
        <v>149.56950000000001</v>
      </c>
      <c r="J107">
        <f t="shared" ca="1" si="31"/>
        <v>3.0529993449065782</v>
      </c>
      <c r="K107">
        <f t="shared" ca="1" si="32"/>
        <v>155.67549868981317</v>
      </c>
      <c r="L107">
        <f t="shared" ca="1" si="33"/>
        <v>143.46350131018684</v>
      </c>
      <c r="M107">
        <f t="shared" ca="1" si="22"/>
        <v>1.0700000000000216</v>
      </c>
      <c r="N107">
        <f t="shared" ca="1" si="23"/>
        <v>1.0700000000000216</v>
      </c>
      <c r="O107">
        <f t="shared" ca="1" si="24"/>
        <v>0</v>
      </c>
      <c r="P107">
        <f t="shared" ca="1" si="28"/>
        <v>0.64614274613868616</v>
      </c>
      <c r="Q107">
        <f t="shared" ca="1" si="29"/>
        <v>0.75723857484267276</v>
      </c>
      <c r="R107">
        <f t="shared" ca="1" si="26"/>
        <v>0.8532882074489293</v>
      </c>
      <c r="S107">
        <f t="shared" ca="1" si="27"/>
        <v>46.041851667717104</v>
      </c>
      <c r="T107">
        <f>70</f>
        <v>70</v>
      </c>
      <c r="U107">
        <f>30</f>
        <v>30</v>
      </c>
      <c r="V107">
        <f t="shared" ca="1" si="25"/>
        <v>148.03095736656752</v>
      </c>
      <c r="W107">
        <f t="shared" ca="1" si="35"/>
        <v>149.11938147079587</v>
      </c>
      <c r="X107">
        <f t="shared" ca="1" si="34"/>
        <v>-1.0262240459775001</v>
      </c>
      <c r="Y107">
        <f t="shared" ca="1" si="36"/>
        <v>-0.71512311057104627</v>
      </c>
      <c r="Z107">
        <f t="shared" ca="1" si="37"/>
        <v>-0.31110093540645378</v>
      </c>
      <c r="AA107">
        <f t="shared" ca="1" si="38"/>
        <v>154.72430000000003</v>
      </c>
    </row>
    <row r="108" spans="1:27" x14ac:dyDescent="0.25">
      <c r="A108" vm="316">
        <f ca="1"/>
        <v>45447</v>
      </c>
      <c r="B108" vm="317">
        <f ca="1"/>
        <v>147.80000000000001</v>
      </c>
      <c r="C108" vm="318">
        <f ca="1"/>
        <v>8876441</v>
      </c>
      <c r="D108">
        <f t="shared" ca="1" si="19"/>
        <v>1311937979.8000002</v>
      </c>
      <c r="E108">
        <f ca="1">SUM($D$2:D108)/SUM($C$2:C108)</f>
        <v>154.46525871792642</v>
      </c>
      <c r="F108">
        <f ca="1">_xlfn.STDEV.P($B$2:B108)</f>
        <v>5.4915494947157617</v>
      </c>
      <c r="G108">
        <f t="shared" ca="1" si="20"/>
        <v>159.95680821264219</v>
      </c>
      <c r="H108">
        <f t="shared" ca="1" si="21"/>
        <v>148.97370922321065</v>
      </c>
      <c r="I108">
        <f t="shared" ca="1" si="30"/>
        <v>149.53050000000002</v>
      </c>
      <c r="J108">
        <f t="shared" ca="1" si="31"/>
        <v>3.0712323516619078</v>
      </c>
      <c r="K108">
        <f t="shared" ca="1" si="32"/>
        <v>155.67296470332383</v>
      </c>
      <c r="L108">
        <f t="shared" ca="1" si="33"/>
        <v>143.38803529667621</v>
      </c>
      <c r="M108">
        <f t="shared" ca="1" si="22"/>
        <v>6.0000000000002274E-2</v>
      </c>
      <c r="N108">
        <f t="shared" ca="1" si="23"/>
        <v>6.0000000000002274E-2</v>
      </c>
      <c r="O108">
        <f t="shared" ca="1" si="24"/>
        <v>0</v>
      </c>
      <c r="P108">
        <f t="shared" ca="1" si="28"/>
        <v>0.60427540712878014</v>
      </c>
      <c r="Q108">
        <f t="shared" ca="1" si="29"/>
        <v>0.70315010521105326</v>
      </c>
      <c r="R108">
        <f t="shared" ca="1" si="26"/>
        <v>0.85938322792030941</v>
      </c>
      <c r="S108">
        <f t="shared" ca="1" si="27"/>
        <v>46.218725382476208</v>
      </c>
      <c r="T108">
        <f>70</f>
        <v>70</v>
      </c>
      <c r="U108">
        <f>30</f>
        <v>30</v>
      </c>
      <c r="V108">
        <f t="shared" ca="1" si="25"/>
        <v>147.99542546401867</v>
      </c>
      <c r="W108">
        <f t="shared" ca="1" si="35"/>
        <v>149.02164950999617</v>
      </c>
      <c r="X108">
        <f t="shared" ca="1" si="34"/>
        <v>-1.1117798516672508</v>
      </c>
      <c r="Y108">
        <f t="shared" ca="1" si="36"/>
        <v>-0.79445445879028731</v>
      </c>
      <c r="Z108">
        <f t="shared" ca="1" si="37"/>
        <v>-0.31732539287696349</v>
      </c>
      <c r="AA108">
        <f t="shared" ca="1" si="38"/>
        <v>154.58360000000005</v>
      </c>
    </row>
    <row r="109" spans="1:27" x14ac:dyDescent="0.25">
      <c r="A109" vm="319">
        <f ca="1"/>
        <v>45448</v>
      </c>
      <c r="B109" vm="320">
        <f ca="1"/>
        <v>145.97</v>
      </c>
      <c r="C109" vm="321">
        <f ca="1"/>
        <v>5891299</v>
      </c>
      <c r="D109">
        <f t="shared" ca="1" si="19"/>
        <v>859952915.02999997</v>
      </c>
      <c r="E109">
        <f ca="1">SUM($D$2:D109)/SUM($C$2:C109)</f>
        <v>154.40344377342194</v>
      </c>
      <c r="F109">
        <f ca="1">_xlfn.STDEV.P($B$2:B109)</f>
        <v>5.5342198611800111</v>
      </c>
      <c r="G109">
        <f t="shared" ca="1" si="20"/>
        <v>159.93766363460196</v>
      </c>
      <c r="H109">
        <f t="shared" ca="1" si="21"/>
        <v>148.86922391224192</v>
      </c>
      <c r="I109">
        <f t="shared" ca="1" si="30"/>
        <v>149.393</v>
      </c>
      <c r="J109">
        <f t="shared" ca="1" si="31"/>
        <v>3.169418176723823</v>
      </c>
      <c r="K109">
        <f t="shared" ca="1" si="32"/>
        <v>155.73183635344765</v>
      </c>
      <c r="L109">
        <f t="shared" ca="1" si="33"/>
        <v>143.05416364655235</v>
      </c>
      <c r="M109">
        <f t="shared" ca="1" si="22"/>
        <v>-1.8300000000000125</v>
      </c>
      <c r="N109">
        <f t="shared" ca="1" si="23"/>
        <v>0</v>
      </c>
      <c r="O109">
        <f t="shared" ca="1" si="24"/>
        <v>1.8300000000000125</v>
      </c>
      <c r="P109">
        <f t="shared" ca="1" si="28"/>
        <v>0.56111287804815302</v>
      </c>
      <c r="Q109">
        <f t="shared" ca="1" si="29"/>
        <v>0.78363938341026462</v>
      </c>
      <c r="R109">
        <f t="shared" ca="1" si="26"/>
        <v>0.71603455610702682</v>
      </c>
      <c r="S109">
        <f t="shared" ca="1" si="27"/>
        <v>41.726115220628962</v>
      </c>
      <c r="T109">
        <f>70</f>
        <v>70</v>
      </c>
      <c r="U109">
        <f>30</f>
        <v>30</v>
      </c>
      <c r="V109">
        <f t="shared" ca="1" si="25"/>
        <v>147.68382154647733</v>
      </c>
      <c r="W109">
        <f t="shared" ca="1" si="35"/>
        <v>148.79560139814458</v>
      </c>
      <c r="X109">
        <f t="shared" ca="1" si="34"/>
        <v>-1.1302434618040422</v>
      </c>
      <c r="Y109">
        <f t="shared" ca="1" si="36"/>
        <v>-0.86161225939303843</v>
      </c>
      <c r="Z109">
        <f t="shared" ca="1" si="37"/>
        <v>-0.2686312024110038</v>
      </c>
      <c r="AA109">
        <f t="shared" ca="1" si="38"/>
        <v>154.43180000000004</v>
      </c>
    </row>
    <row r="110" spans="1:27" x14ac:dyDescent="0.25">
      <c r="A110" vm="322">
        <f ca="1"/>
        <v>45449</v>
      </c>
      <c r="B110" vm="323">
        <f ca="1"/>
        <v>146.41999999999999</v>
      </c>
      <c r="C110" vm="324">
        <f ca="1"/>
        <v>5016301</v>
      </c>
      <c r="D110">
        <f t="shared" ca="1" si="19"/>
        <v>734486792.41999996</v>
      </c>
      <c r="E110">
        <f ca="1">SUM($D$2:D110)/SUM($C$2:C110)</f>
        <v>154.35428543248571</v>
      </c>
      <c r="F110">
        <f ca="1">_xlfn.STDEV.P($B$2:B110)</f>
        <v>5.5681565434455491</v>
      </c>
      <c r="G110">
        <f t="shared" ca="1" si="20"/>
        <v>159.92244197593126</v>
      </c>
      <c r="H110">
        <f t="shared" ca="1" si="21"/>
        <v>148.78612888904016</v>
      </c>
      <c r="I110">
        <f t="shared" ca="1" si="30"/>
        <v>149.26650000000001</v>
      </c>
      <c r="J110">
        <f t="shared" ca="1" si="31"/>
        <v>3.2377823388369098</v>
      </c>
      <c r="K110">
        <f t="shared" ca="1" si="32"/>
        <v>155.74206467767382</v>
      </c>
      <c r="L110">
        <f t="shared" ca="1" si="33"/>
        <v>142.79093532232619</v>
      </c>
      <c r="M110">
        <f t="shared" ca="1" si="22"/>
        <v>0.44999999999998863</v>
      </c>
      <c r="N110">
        <f t="shared" ca="1" si="23"/>
        <v>0.44999999999998863</v>
      </c>
      <c r="O110">
        <f t="shared" ca="1" si="24"/>
        <v>0</v>
      </c>
      <c r="P110">
        <f t="shared" ca="1" si="28"/>
        <v>0.5531762439018556</v>
      </c>
      <c r="Q110">
        <f t="shared" ca="1" si="29"/>
        <v>0.72766514173810293</v>
      </c>
      <c r="R110">
        <f t="shared" ca="1" si="26"/>
        <v>0.76020715047657406</v>
      </c>
      <c r="S110">
        <f t="shared" ca="1" si="27"/>
        <v>43.188504845622795</v>
      </c>
      <c r="T110">
        <f>70</f>
        <v>70</v>
      </c>
      <c r="U110">
        <f>30</f>
        <v>30</v>
      </c>
      <c r="V110">
        <f t="shared" ca="1" si="25"/>
        <v>147.4893874624039</v>
      </c>
      <c r="W110">
        <f t="shared" ca="1" si="35"/>
        <v>148.61963092420794</v>
      </c>
      <c r="X110">
        <f t="shared" ca="1" si="34"/>
        <v>-1.0791794132012171</v>
      </c>
      <c r="Y110">
        <f t="shared" ca="1" si="36"/>
        <v>-0.90512569015467426</v>
      </c>
      <c r="Z110">
        <f t="shared" ca="1" si="37"/>
        <v>-0.17405372304654287</v>
      </c>
      <c r="AA110">
        <f t="shared" ca="1" si="38"/>
        <v>154.27210000000005</v>
      </c>
    </row>
    <row r="111" spans="1:27" x14ac:dyDescent="0.25">
      <c r="A111" vm="325">
        <f ca="1"/>
        <v>45450</v>
      </c>
      <c r="B111" vm="326">
        <f ca="1"/>
        <v>147.08000000000001</v>
      </c>
      <c r="C111" vm="327">
        <f ca="1"/>
        <v>5111626</v>
      </c>
      <c r="D111">
        <f t="shared" ca="1" si="19"/>
        <v>751817952.08000004</v>
      </c>
      <c r="E111">
        <f ca="1">SUM($D$2:D111)/SUM($C$2:C111)</f>
        <v>154.30892718369239</v>
      </c>
      <c r="F111">
        <f ca="1">_xlfn.STDEV.P($B$2:B111)</f>
        <v>5.5916139127053768</v>
      </c>
      <c r="G111">
        <f t="shared" ca="1" si="20"/>
        <v>159.90054109639777</v>
      </c>
      <c r="H111">
        <f t="shared" ca="1" si="21"/>
        <v>148.71731327098701</v>
      </c>
      <c r="I111">
        <f t="shared" ca="1" si="30"/>
        <v>149.12799999999999</v>
      </c>
      <c r="J111">
        <f t="shared" ca="1" si="31"/>
        <v>3.2705875860301816</v>
      </c>
      <c r="K111">
        <f t="shared" ca="1" si="32"/>
        <v>155.66917517206036</v>
      </c>
      <c r="L111">
        <f t="shared" ca="1" si="33"/>
        <v>142.58682482793961</v>
      </c>
      <c r="M111">
        <f t="shared" ca="1" si="22"/>
        <v>0.66000000000002501</v>
      </c>
      <c r="N111">
        <f t="shared" ca="1" si="23"/>
        <v>0.66000000000002501</v>
      </c>
      <c r="O111">
        <f t="shared" ca="1" si="24"/>
        <v>0</v>
      </c>
      <c r="P111">
        <f t="shared" ca="1" si="28"/>
        <v>0.560806512194582</v>
      </c>
      <c r="Q111">
        <f t="shared" ca="1" si="29"/>
        <v>0.67568906018538133</v>
      </c>
      <c r="R111">
        <f t="shared" ca="1" si="26"/>
        <v>0.8299771969679659</v>
      </c>
      <c r="S111">
        <f t="shared" ca="1" si="27"/>
        <v>45.354510337239731</v>
      </c>
      <c r="T111">
        <f>70</f>
        <v>70</v>
      </c>
      <c r="U111">
        <f>30</f>
        <v>30</v>
      </c>
      <c r="V111">
        <f t="shared" ca="1" si="25"/>
        <v>147.42640477588023</v>
      </c>
      <c r="W111">
        <f t="shared" ca="1" si="35"/>
        <v>148.50558418908145</v>
      </c>
      <c r="X111">
        <f t="shared" ca="1" si="34"/>
        <v>-1.0228850228348847</v>
      </c>
      <c r="Y111">
        <f t="shared" ca="1" si="36"/>
        <v>-0.92867755669071639</v>
      </c>
      <c r="Z111">
        <f t="shared" ca="1" si="37"/>
        <v>-9.4207466144168306E-2</v>
      </c>
      <c r="AA111">
        <f t="shared" ca="1" si="38"/>
        <v>154.13770000000005</v>
      </c>
    </row>
    <row r="112" spans="1:27" x14ac:dyDescent="0.25">
      <c r="A112" vm="328">
        <f ca="1"/>
        <v>45453</v>
      </c>
      <c r="B112" vm="329">
        <f ca="1"/>
        <v>147.13</v>
      </c>
      <c r="C112" vm="330">
        <f ca="1"/>
        <v>5751309</v>
      </c>
      <c r="D112">
        <f t="shared" ca="1" si="19"/>
        <v>846190093.16999996</v>
      </c>
      <c r="E112">
        <f ca="1">SUM($D$2:D112)/SUM($C$2:C112)</f>
        <v>154.25891257669045</v>
      </c>
      <c r="F112">
        <f ca="1">_xlfn.STDEV.P($B$2:B112)</f>
        <v>5.6130785745004461</v>
      </c>
      <c r="G112">
        <f t="shared" ca="1" si="20"/>
        <v>159.87199115119088</v>
      </c>
      <c r="H112">
        <f t="shared" ca="1" si="21"/>
        <v>148.64583400219001</v>
      </c>
      <c r="I112">
        <f t="shared" ca="1" si="30"/>
        <v>148.989</v>
      </c>
      <c r="J112">
        <f t="shared" ca="1" si="31"/>
        <v>3.2945903027778569</v>
      </c>
      <c r="K112">
        <f t="shared" ca="1" si="32"/>
        <v>155.57818060555573</v>
      </c>
      <c r="L112">
        <f t="shared" ca="1" si="33"/>
        <v>142.39981939444428</v>
      </c>
      <c r="M112">
        <f t="shared" ca="1" si="22"/>
        <v>4.9999999999982947E-2</v>
      </c>
      <c r="N112">
        <f t="shared" ca="1" si="23"/>
        <v>4.9999999999982947E-2</v>
      </c>
      <c r="O112">
        <f t="shared" ca="1" si="24"/>
        <v>0</v>
      </c>
      <c r="P112">
        <f t="shared" ca="1" si="28"/>
        <v>0.52432033275211065</v>
      </c>
      <c r="Q112">
        <f t="shared" ca="1" si="29"/>
        <v>0.62742555588642546</v>
      </c>
      <c r="R112">
        <f t="shared" ca="1" si="26"/>
        <v>0.83566939190315903</v>
      </c>
      <c r="S112">
        <f t="shared" ca="1" si="27"/>
        <v>45.523959575137091</v>
      </c>
      <c r="T112">
        <f>70</f>
        <v>70</v>
      </c>
      <c r="U112">
        <f>30</f>
        <v>30</v>
      </c>
      <c r="V112">
        <f t="shared" ca="1" si="25"/>
        <v>147.38080404112944</v>
      </c>
      <c r="W112">
        <f t="shared" ca="1" si="35"/>
        <v>148.40368906396432</v>
      </c>
      <c r="X112">
        <f t="shared" ca="1" si="34"/>
        <v>-0.99663859137592681</v>
      </c>
      <c r="Y112">
        <f t="shared" ca="1" si="36"/>
        <v>-0.94226976362775849</v>
      </c>
      <c r="Z112">
        <f t="shared" ca="1" si="37"/>
        <v>-5.4368827748168314E-2</v>
      </c>
      <c r="AA112">
        <f t="shared" ca="1" si="38"/>
        <v>154.00470000000004</v>
      </c>
    </row>
    <row r="113" spans="1:27" x14ac:dyDescent="0.25">
      <c r="A113" vm="331">
        <f ca="1"/>
        <v>45454</v>
      </c>
      <c r="B113" vm="332">
        <f ca="1"/>
        <v>146.76</v>
      </c>
      <c r="C113" vm="333">
        <f ca="1"/>
        <v>5661236</v>
      </c>
      <c r="D113">
        <f t="shared" ca="1" si="19"/>
        <v>830842995.3599999</v>
      </c>
      <c r="E113">
        <f ca="1">SUM($D$2:D113)/SUM($C$2:C113)</f>
        <v>154.2078371454335</v>
      </c>
      <c r="F113">
        <f ca="1">_xlfn.STDEV.P($B$2:B113)</f>
        <v>5.6377707629613276</v>
      </c>
      <c r="G113">
        <f t="shared" ca="1" si="20"/>
        <v>159.84560790839484</v>
      </c>
      <c r="H113">
        <f t="shared" ca="1" si="21"/>
        <v>148.57006638247216</v>
      </c>
      <c r="I113">
        <f t="shared" ca="1" si="30"/>
        <v>148.76600000000002</v>
      </c>
      <c r="J113">
        <f t="shared" ca="1" si="31"/>
        <v>3.2865649961143633</v>
      </c>
      <c r="K113">
        <f t="shared" ca="1" si="32"/>
        <v>155.33912999222875</v>
      </c>
      <c r="L113">
        <f t="shared" ca="1" si="33"/>
        <v>142.19287000777129</v>
      </c>
      <c r="M113">
        <f t="shared" ca="1" si="22"/>
        <v>-0.37000000000000455</v>
      </c>
      <c r="N113">
        <f t="shared" ca="1" si="23"/>
        <v>0</v>
      </c>
      <c r="O113">
        <f t="shared" ca="1" si="24"/>
        <v>0.37000000000000455</v>
      </c>
      <c r="P113">
        <f t="shared" ca="1" si="28"/>
        <v>0.48686888041267418</v>
      </c>
      <c r="Q113">
        <f t="shared" ca="1" si="29"/>
        <v>0.60903801618025255</v>
      </c>
      <c r="R113">
        <f t="shared" ca="1" si="26"/>
        <v>0.79940638757856974</v>
      </c>
      <c r="S113">
        <f t="shared" ca="1" si="27"/>
        <v>44.426117029311939</v>
      </c>
      <c r="T113">
        <f>70</f>
        <v>70</v>
      </c>
      <c r="U113">
        <f>30</f>
        <v>30</v>
      </c>
      <c r="V113">
        <f t="shared" ca="1" si="25"/>
        <v>147.28529572710954</v>
      </c>
      <c r="W113">
        <f t="shared" ca="1" si="35"/>
        <v>148.28193431848547</v>
      </c>
      <c r="X113">
        <f t="shared" ca="1" si="34"/>
        <v>-1.072409750872481</v>
      </c>
      <c r="Y113">
        <f t="shared" ca="1" si="36"/>
        <v>-0.96829776107670307</v>
      </c>
      <c r="Z113">
        <f t="shared" ca="1" si="37"/>
        <v>-0.10411198979577796</v>
      </c>
      <c r="AA113">
        <f t="shared" ca="1" si="38"/>
        <v>153.86020000000002</v>
      </c>
    </row>
    <row r="114" spans="1:27" x14ac:dyDescent="0.25">
      <c r="A114" vm="334">
        <f ca="1"/>
        <v>45455</v>
      </c>
      <c r="B114" vm="335">
        <f ca="1"/>
        <v>145.41</v>
      </c>
      <c r="C114" vm="336">
        <f ca="1"/>
        <v>6180493</v>
      </c>
      <c r="D114">
        <f t="shared" ca="1" si="19"/>
        <v>898705487.13</v>
      </c>
      <c r="E114">
        <f ca="1">SUM($D$2:D114)/SUM($C$2:C114)</f>
        <v>154.14290134994897</v>
      </c>
      <c r="F114">
        <f ca="1">_xlfn.STDEV.P($B$2:B114)</f>
        <v>5.6789167910619884</v>
      </c>
      <c r="G114">
        <f t="shared" ca="1" si="20"/>
        <v>159.82181814101097</v>
      </c>
      <c r="H114">
        <f t="shared" ca="1" si="21"/>
        <v>148.46398455888698</v>
      </c>
      <c r="I114">
        <f t="shared" ca="1" si="30"/>
        <v>148.46750000000003</v>
      </c>
      <c r="J114">
        <f t="shared" ca="1" si="31"/>
        <v>3.3076973625326218</v>
      </c>
      <c r="K114">
        <f t="shared" ca="1" si="32"/>
        <v>155.08289472506527</v>
      </c>
      <c r="L114">
        <f t="shared" ca="1" si="33"/>
        <v>141.85210527493479</v>
      </c>
      <c r="M114">
        <f t="shared" ca="1" si="22"/>
        <v>-1.3499999999999943</v>
      </c>
      <c r="N114">
        <f t="shared" ca="1" si="23"/>
        <v>0</v>
      </c>
      <c r="O114">
        <f t="shared" ca="1" si="24"/>
        <v>1.3499999999999943</v>
      </c>
      <c r="P114">
        <f t="shared" ca="1" si="28"/>
        <v>0.45209253181176884</v>
      </c>
      <c r="Q114">
        <f t="shared" ca="1" si="29"/>
        <v>0.66196387216737684</v>
      </c>
      <c r="R114">
        <f t="shared" ca="1" si="26"/>
        <v>0.68295650385200746</v>
      </c>
      <c r="S114">
        <f t="shared" ca="1" si="27"/>
        <v>40.580757868003936</v>
      </c>
      <c r="T114">
        <f>70</f>
        <v>70</v>
      </c>
      <c r="U114">
        <f>30</f>
        <v>30</v>
      </c>
      <c r="V114">
        <f t="shared" ca="1" si="25"/>
        <v>146.99678869216962</v>
      </c>
      <c r="W114">
        <f t="shared" ca="1" si="35"/>
        <v>148.0691984430421</v>
      </c>
      <c r="X114">
        <f t="shared" ca="1" si="34"/>
        <v>-1.1163625424908901</v>
      </c>
      <c r="Y114">
        <f t="shared" ca="1" si="36"/>
        <v>-0.99791071735954051</v>
      </c>
      <c r="Z114">
        <f t="shared" ca="1" si="37"/>
        <v>-0.11845182513134955</v>
      </c>
      <c r="AA114">
        <f t="shared" ca="1" si="38"/>
        <v>153.69750000000002</v>
      </c>
    </row>
    <row r="115" spans="1:27" x14ac:dyDescent="0.25">
      <c r="A115" vm="337">
        <f ca="1"/>
        <v>45456</v>
      </c>
      <c r="B115" vm="338">
        <f ca="1"/>
        <v>145.44999999999999</v>
      </c>
      <c r="C115" vm="339">
        <f ca="1"/>
        <v>6840374</v>
      </c>
      <c r="D115">
        <f t="shared" ca="1" si="19"/>
        <v>994932398.29999995</v>
      </c>
      <c r="E115">
        <f ca="1">SUM($D$2:D115)/SUM($C$2:C115)</f>
        <v>154.07246506870399</v>
      </c>
      <c r="F115">
        <f ca="1">_xlfn.STDEV.P($B$2:B115)</f>
        <v>5.7173618513205087</v>
      </c>
      <c r="G115">
        <f t="shared" ca="1" si="20"/>
        <v>159.7898269200245</v>
      </c>
      <c r="H115">
        <f t="shared" ca="1" si="21"/>
        <v>148.35510321738349</v>
      </c>
      <c r="I115">
        <f t="shared" ca="1" si="30"/>
        <v>148.10650000000001</v>
      </c>
      <c r="J115">
        <f t="shared" ca="1" si="31"/>
        <v>3.2176671428389336</v>
      </c>
      <c r="K115">
        <f t="shared" ca="1" si="32"/>
        <v>154.54183428567788</v>
      </c>
      <c r="L115">
        <f t="shared" ca="1" si="33"/>
        <v>141.67116571432214</v>
      </c>
      <c r="M115">
        <f t="shared" ca="1" si="22"/>
        <v>3.9999999999992042E-2</v>
      </c>
      <c r="N115">
        <f t="shared" ca="1" si="23"/>
        <v>3.9999999999992042E-2</v>
      </c>
      <c r="O115">
        <f t="shared" ca="1" si="24"/>
        <v>0</v>
      </c>
      <c r="P115">
        <f t="shared" ca="1" si="28"/>
        <v>0.4226573509680705</v>
      </c>
      <c r="Q115">
        <f t="shared" ca="1" si="29"/>
        <v>0.61468073844113569</v>
      </c>
      <c r="R115">
        <f t="shared" ca="1" si="26"/>
        <v>0.68760467757612331</v>
      </c>
      <c r="S115">
        <f t="shared" ca="1" si="27"/>
        <v>40.744416433101961</v>
      </c>
      <c r="T115">
        <f>70</f>
        <v>70</v>
      </c>
      <c r="U115">
        <f>30</f>
        <v>30</v>
      </c>
      <c r="V115">
        <f t="shared" ca="1" si="25"/>
        <v>146.75882120106661</v>
      </c>
      <c r="W115">
        <f t="shared" ca="1" si="35"/>
        <v>147.8751837435575</v>
      </c>
      <c r="X115">
        <f t="shared" ca="1" si="34"/>
        <v>-1.1308969229042987</v>
      </c>
      <c r="Y115">
        <f t="shared" ca="1" si="36"/>
        <v>-1.0245079584684922</v>
      </c>
      <c r="Z115">
        <f t="shared" ca="1" si="37"/>
        <v>-0.10638896443580648</v>
      </c>
      <c r="AA115">
        <f t="shared" ca="1" si="38"/>
        <v>153.52730000000003</v>
      </c>
    </row>
    <row r="116" spans="1:27" x14ac:dyDescent="0.25">
      <c r="A116" vm="340">
        <f ca="1"/>
        <v>45457</v>
      </c>
      <c r="B116" vm="341">
        <f ca="1"/>
        <v>145.54</v>
      </c>
      <c r="C116" vm="342">
        <f ca="1"/>
        <v>4075342</v>
      </c>
      <c r="D116">
        <f t="shared" ca="1" si="19"/>
        <v>593125274.67999995</v>
      </c>
      <c r="E116">
        <f ca="1">SUM($D$2:D116)/SUM($C$2:C116)</f>
        <v>154.03147308664873</v>
      </c>
      <c r="F116">
        <f ca="1">_xlfn.STDEV.P($B$2:B116)</f>
        <v>5.7525969215785517</v>
      </c>
      <c r="G116">
        <f t="shared" ca="1" si="20"/>
        <v>159.78407000822727</v>
      </c>
      <c r="H116">
        <f t="shared" ca="1" si="21"/>
        <v>148.27887616507019</v>
      </c>
      <c r="I116">
        <f t="shared" ca="1" si="30"/>
        <v>147.66949999999997</v>
      </c>
      <c r="J116">
        <f t="shared" ca="1" si="31"/>
        <v>2.9142995457065273</v>
      </c>
      <c r="K116">
        <f t="shared" ca="1" si="32"/>
        <v>153.49809909141302</v>
      </c>
      <c r="L116">
        <f t="shared" ca="1" si="33"/>
        <v>141.84090090858692</v>
      </c>
      <c r="M116">
        <f t="shared" ca="1" si="22"/>
        <v>9.0000000000003411E-2</v>
      </c>
      <c r="N116">
        <f t="shared" ca="1" si="23"/>
        <v>9.0000000000003411E-2</v>
      </c>
      <c r="O116">
        <f t="shared" ca="1" si="24"/>
        <v>0</v>
      </c>
      <c r="P116">
        <f t="shared" ca="1" si="28"/>
        <v>0.39889611161320859</v>
      </c>
      <c r="Q116">
        <f t="shared" ca="1" si="29"/>
        <v>0.57077497140962596</v>
      </c>
      <c r="R116">
        <f t="shared" ca="1" si="26"/>
        <v>0.69886756006148398</v>
      </c>
      <c r="S116">
        <f t="shared" ca="1" si="27"/>
        <v>41.13725969528732</v>
      </c>
      <c r="T116">
        <f>70</f>
        <v>70</v>
      </c>
      <c r="U116">
        <f>30</f>
        <v>30</v>
      </c>
      <c r="V116">
        <f t="shared" ca="1" si="25"/>
        <v>146.57131024705637</v>
      </c>
      <c r="W116">
        <f t="shared" ca="1" si="35"/>
        <v>147.70220716996067</v>
      </c>
      <c r="X116">
        <f t="shared" ca="1" si="34"/>
        <v>-1.0966899910583265</v>
      </c>
      <c r="Y116">
        <f t="shared" ca="1" si="36"/>
        <v>-1.0389443649864591</v>
      </c>
      <c r="Z116">
        <f t="shared" ca="1" si="37"/>
        <v>-5.7745626071867395E-2</v>
      </c>
      <c r="AA116">
        <f t="shared" ca="1" si="38"/>
        <v>153.38460000000003</v>
      </c>
    </row>
    <row r="117" spans="1:27" x14ac:dyDescent="0.25">
      <c r="A117" vm="343">
        <f ca="1"/>
        <v>45460</v>
      </c>
      <c r="B117" vm="344">
        <f ca="1"/>
        <v>145.94999999999999</v>
      </c>
      <c r="C117" vm="345">
        <f ca="1"/>
        <v>6666583</v>
      </c>
      <c r="D117">
        <f t="shared" ca="1" si="19"/>
        <v>972987788.8499999</v>
      </c>
      <c r="E117">
        <f ca="1">SUM($D$2:D117)/SUM($C$2:C117)</f>
        <v>153.96845656749926</v>
      </c>
      <c r="F117">
        <f ca="1">_xlfn.STDEV.P($B$2:B117)</f>
        <v>5.7807556881261331</v>
      </c>
      <c r="G117">
        <f t="shared" ca="1" si="20"/>
        <v>159.74921225562539</v>
      </c>
      <c r="H117">
        <f t="shared" ca="1" si="21"/>
        <v>148.18770087937312</v>
      </c>
      <c r="I117">
        <f t="shared" ca="1" si="30"/>
        <v>147.23499999999999</v>
      </c>
      <c r="J117">
        <f t="shared" ca="1" si="31"/>
        <v>2.4275035909778886</v>
      </c>
      <c r="K117">
        <f t="shared" ca="1" si="32"/>
        <v>152.09000718195577</v>
      </c>
      <c r="L117">
        <f t="shared" ca="1" si="33"/>
        <v>142.3799928180442</v>
      </c>
      <c r="M117">
        <f t="shared" ca="1" si="22"/>
        <v>0.40999999999999659</v>
      </c>
      <c r="N117">
        <f t="shared" ca="1" si="23"/>
        <v>0.40999999999999659</v>
      </c>
      <c r="O117">
        <f t="shared" ca="1" si="24"/>
        <v>0</v>
      </c>
      <c r="P117">
        <f t="shared" ca="1" si="28"/>
        <v>0.39968924649797916</v>
      </c>
      <c r="Q117">
        <f t="shared" ca="1" si="29"/>
        <v>0.53000533059465271</v>
      </c>
      <c r="R117">
        <f t="shared" ca="1" si="26"/>
        <v>0.75412306900675474</v>
      </c>
      <c r="S117">
        <f t="shared" ca="1" si="27"/>
        <v>42.991457231889974</v>
      </c>
      <c r="T117">
        <f>70</f>
        <v>70</v>
      </c>
      <c r="U117">
        <f>30</f>
        <v>30</v>
      </c>
      <c r="V117">
        <f t="shared" ca="1" si="25"/>
        <v>146.47572405520154</v>
      </c>
      <c r="W117">
        <f t="shared" ca="1" si="35"/>
        <v>147.57241404625987</v>
      </c>
      <c r="X117">
        <f t="shared" ca="1" si="34"/>
        <v>-1.0813234206256652</v>
      </c>
      <c r="Y117">
        <f t="shared" ca="1" si="36"/>
        <v>-1.0474201761143005</v>
      </c>
      <c r="Z117">
        <f t="shared" ca="1" si="37"/>
        <v>-3.3903244511364727E-2</v>
      </c>
      <c r="AA117">
        <f t="shared" ca="1" si="38"/>
        <v>153.25450000000006</v>
      </c>
    </row>
    <row r="118" spans="1:27" x14ac:dyDescent="0.25">
      <c r="A118" vm="346">
        <f ca="1"/>
        <v>45461</v>
      </c>
      <c r="B118" vm="347">
        <f ca="1"/>
        <v>145.65</v>
      </c>
      <c r="C118" vm="348">
        <f ca="1"/>
        <v>6156572</v>
      </c>
      <c r="D118">
        <f t="shared" ca="1" si="19"/>
        <v>896704711.80000007</v>
      </c>
      <c r="E118">
        <f ca="1">SUM($D$2:D118)/SUM($C$2:C118)</f>
        <v>153.90898270990743</v>
      </c>
      <c r="F118">
        <f ca="1">_xlfn.STDEV.P($B$2:B118)</f>
        <v>5.8111409784231016</v>
      </c>
      <c r="G118">
        <f t="shared" ca="1" si="20"/>
        <v>159.72012368833055</v>
      </c>
      <c r="H118">
        <f t="shared" ca="1" si="21"/>
        <v>148.09784173148432</v>
      </c>
      <c r="I118">
        <f t="shared" ca="1" si="30"/>
        <v>146.95399999999998</v>
      </c>
      <c r="J118">
        <f t="shared" ca="1" si="31"/>
        <v>2.2549883883468129</v>
      </c>
      <c r="K118">
        <f t="shared" ca="1" si="32"/>
        <v>151.46397677669361</v>
      </c>
      <c r="L118">
        <f t="shared" ca="1" si="33"/>
        <v>142.44402322330635</v>
      </c>
      <c r="M118">
        <f t="shared" ca="1" si="22"/>
        <v>-0.29999999999998295</v>
      </c>
      <c r="N118">
        <f t="shared" ca="1" si="23"/>
        <v>0</v>
      </c>
      <c r="O118">
        <f t="shared" ca="1" si="24"/>
        <v>0.29999999999998295</v>
      </c>
      <c r="P118">
        <f t="shared" ca="1" si="28"/>
        <v>0.37114001460526636</v>
      </c>
      <c r="Q118">
        <f t="shared" ca="1" si="29"/>
        <v>0.51357637840931913</v>
      </c>
      <c r="R118">
        <f t="shared" ca="1" si="26"/>
        <v>0.72265787564993622</v>
      </c>
      <c r="S118">
        <f t="shared" ca="1" si="27"/>
        <v>41.950168159611316</v>
      </c>
      <c r="T118">
        <f>70</f>
        <v>70</v>
      </c>
      <c r="U118">
        <f>30</f>
        <v>30</v>
      </c>
      <c r="V118">
        <f t="shared" ca="1" si="25"/>
        <v>146.34868958517052</v>
      </c>
      <c r="W118">
        <f t="shared" ca="1" si="35"/>
        <v>147.43001300579618</v>
      </c>
      <c r="X118">
        <f t="shared" ca="1" si="34"/>
        <v>-0.8870467808778244</v>
      </c>
      <c r="Y118">
        <f t="shared" ca="1" si="36"/>
        <v>-1.0153454970670053</v>
      </c>
      <c r="Z118">
        <f t="shared" ca="1" si="37"/>
        <v>0.12829871618918087</v>
      </c>
      <c r="AA118">
        <f t="shared" ca="1" si="38"/>
        <v>153.11540000000002</v>
      </c>
    </row>
    <row r="119" spans="1:27" x14ac:dyDescent="0.25">
      <c r="A119" vm="349">
        <f ca="1"/>
        <v>45463</v>
      </c>
      <c r="B119" vm="350">
        <f ca="1"/>
        <v>147.78</v>
      </c>
      <c r="C119" vm="351">
        <f ca="1"/>
        <v>8749717</v>
      </c>
      <c r="D119">
        <f t="shared" ca="1" si="19"/>
        <v>1293033178.26</v>
      </c>
      <c r="E119">
        <f ca="1">SUM($D$2:D119)/SUM($C$2:C119)</f>
        <v>153.84733227025509</v>
      </c>
      <c r="F119">
        <f ca="1">_xlfn.STDEV.P($B$2:B119)</f>
        <v>5.816795625986515</v>
      </c>
      <c r="G119">
        <f t="shared" ca="1" si="20"/>
        <v>159.66412789624161</v>
      </c>
      <c r="H119">
        <f t="shared" ca="1" si="21"/>
        <v>148.03053664426858</v>
      </c>
      <c r="I119">
        <f t="shared" ca="1" si="30"/>
        <v>146.78100000000001</v>
      </c>
      <c r="J119">
        <f t="shared" ca="1" si="31"/>
        <v>2.0304054560085967</v>
      </c>
      <c r="K119">
        <f t="shared" ca="1" si="32"/>
        <v>150.84181091201719</v>
      </c>
      <c r="L119">
        <f t="shared" ca="1" si="33"/>
        <v>142.72018908798282</v>
      </c>
      <c r="M119">
        <f t="shared" ca="1" si="22"/>
        <v>2.1299999999999955</v>
      </c>
      <c r="N119">
        <f t="shared" ca="1" si="23"/>
        <v>2.1299999999999955</v>
      </c>
      <c r="O119">
        <f t="shared" ca="1" si="24"/>
        <v>0</v>
      </c>
      <c r="P119">
        <f t="shared" ca="1" si="28"/>
        <v>0.4967728707048899</v>
      </c>
      <c r="Q119">
        <f t="shared" ca="1" si="29"/>
        <v>0.47689235138008207</v>
      </c>
      <c r="R119">
        <f t="shared" ca="1" si="26"/>
        <v>1.0416876455813884</v>
      </c>
      <c r="S119">
        <f t="shared" ca="1" si="27"/>
        <v>51.020911442345465</v>
      </c>
      <c r="T119">
        <f>70</f>
        <v>70</v>
      </c>
      <c r="U119">
        <f>30</f>
        <v>30</v>
      </c>
      <c r="V119">
        <f t="shared" ca="1" si="25"/>
        <v>146.56889118745198</v>
      </c>
      <c r="W119">
        <f t="shared" ca="1" si="35"/>
        <v>147.45593796832981</v>
      </c>
      <c r="X119">
        <f t="shared" ca="1" si="34"/>
        <v>-0.64734802573775596</v>
      </c>
      <c r="Y119">
        <f t="shared" ca="1" si="36"/>
        <v>-0.9417460028011555</v>
      </c>
      <c r="Z119">
        <f t="shared" ca="1" si="37"/>
        <v>0.29439797706339954</v>
      </c>
      <c r="AA119">
        <f t="shared" ca="1" si="38"/>
        <v>152.99820000000003</v>
      </c>
    </row>
    <row r="120" spans="1:27" x14ac:dyDescent="0.25">
      <c r="A120" vm="352">
        <f ca="1"/>
        <v>45464</v>
      </c>
      <c r="B120" vm="353">
        <f ca="1"/>
        <v>148.75</v>
      </c>
      <c r="C120" vm="354">
        <f ca="1"/>
        <v>15176869</v>
      </c>
      <c r="D120">
        <f t="shared" ca="1" si="19"/>
        <v>2257559263.75</v>
      </c>
      <c r="E120">
        <f ca="1">SUM($D$2:D120)/SUM($C$2:C120)</f>
        <v>153.75992111728019</v>
      </c>
      <c r="F120">
        <f ca="1">_xlfn.STDEV.P($B$2:B120)</f>
        <v>5.8136048479054621</v>
      </c>
      <c r="G120">
        <f t="shared" ca="1" si="20"/>
        <v>159.57352596518564</v>
      </c>
      <c r="H120">
        <f t="shared" ca="1" si="21"/>
        <v>147.94631626937473</v>
      </c>
      <c r="I120">
        <f t="shared" ca="1" si="30"/>
        <v>146.54349999999999</v>
      </c>
      <c r="J120">
        <f t="shared" ca="1" si="31"/>
        <v>1.3751986459379157</v>
      </c>
      <c r="K120">
        <f t="shared" ca="1" si="32"/>
        <v>149.29389729187582</v>
      </c>
      <c r="L120">
        <f t="shared" ca="1" si="33"/>
        <v>143.79310270812417</v>
      </c>
      <c r="M120">
        <f t="shared" ca="1" si="22"/>
        <v>0.96999999999999886</v>
      </c>
      <c r="N120">
        <f t="shared" ca="1" si="23"/>
        <v>0.96999999999999886</v>
      </c>
      <c r="O120">
        <f t="shared" ca="1" si="24"/>
        <v>0</v>
      </c>
      <c r="P120">
        <f t="shared" ca="1" si="28"/>
        <v>0.53057480851168337</v>
      </c>
      <c r="Q120">
        <f t="shared" ca="1" si="29"/>
        <v>0.44282861199579049</v>
      </c>
      <c r="R120">
        <f t="shared" ca="1" si="26"/>
        <v>1.1981493384549573</v>
      </c>
      <c r="S120">
        <f t="shared" ca="1" si="27"/>
        <v>54.50718554441422</v>
      </c>
      <c r="T120">
        <f>70</f>
        <v>70</v>
      </c>
      <c r="U120">
        <f>30</f>
        <v>30</v>
      </c>
      <c r="V120">
        <f t="shared" ca="1" si="25"/>
        <v>146.90444638938243</v>
      </c>
      <c r="W120">
        <f t="shared" ca="1" si="35"/>
        <v>147.55179441512018</v>
      </c>
      <c r="X120">
        <f t="shared" ca="1" si="34"/>
        <v>-0.42265700076205803</v>
      </c>
      <c r="Y120">
        <f t="shared" ca="1" si="36"/>
        <v>-0.8379282023933361</v>
      </c>
      <c r="Z120">
        <f t="shared" ca="1" si="37"/>
        <v>0.41527120163127806</v>
      </c>
      <c r="AA120">
        <f t="shared" ca="1" si="38"/>
        <v>152.89210000000003</v>
      </c>
    </row>
    <row r="121" spans="1:27" x14ac:dyDescent="0.25">
      <c r="A121" vm="355">
        <f ca="1"/>
        <v>45467</v>
      </c>
      <c r="B121" vm="228">
        <f ca="1"/>
        <v>149.12</v>
      </c>
      <c r="C121" vm="356">
        <f ca="1"/>
        <v>6914671</v>
      </c>
      <c r="D121">
        <f t="shared" ca="1" si="19"/>
        <v>1031115739.52</v>
      </c>
      <c r="E121">
        <f ca="1">SUM($D$2:D121)/SUM($C$2:C121)</f>
        <v>153.72395082911709</v>
      </c>
      <c r="F121">
        <f ca="1">_xlfn.STDEV.P($B$2:B121)</f>
        <v>5.8073682483739777</v>
      </c>
      <c r="G121">
        <f t="shared" ca="1" si="20"/>
        <v>159.53131907749108</v>
      </c>
      <c r="H121">
        <f t="shared" ca="1" si="21"/>
        <v>147.9165825807431</v>
      </c>
      <c r="I121">
        <f t="shared" ca="1" si="30"/>
        <v>146.51450000000003</v>
      </c>
      <c r="J121">
        <f t="shared" ca="1" si="31"/>
        <v>1.3096864831747079</v>
      </c>
      <c r="K121">
        <f t="shared" ca="1" si="32"/>
        <v>149.13387296634943</v>
      </c>
      <c r="L121">
        <f t="shared" ca="1" si="33"/>
        <v>143.89512703365062</v>
      </c>
      <c r="M121">
        <f t="shared" ca="1" si="22"/>
        <v>0.37000000000000455</v>
      </c>
      <c r="N121">
        <f t="shared" ca="1" si="23"/>
        <v>0.37000000000000455</v>
      </c>
      <c r="O121">
        <f t="shared" ca="1" si="24"/>
        <v>0</v>
      </c>
      <c r="P121">
        <f t="shared" ca="1" si="28"/>
        <v>0.51910517933227773</v>
      </c>
      <c r="Q121">
        <f t="shared" ca="1" si="29"/>
        <v>0.41119799685323405</v>
      </c>
      <c r="R121">
        <f t="shared" ca="1" si="26"/>
        <v>1.2624214692309366</v>
      </c>
      <c r="S121">
        <f t="shared" ca="1" si="27"/>
        <v>55.799570787315353</v>
      </c>
      <c r="T121">
        <f>70</f>
        <v>70</v>
      </c>
      <c r="U121">
        <f>30</f>
        <v>30</v>
      </c>
      <c r="V121">
        <f t="shared" ca="1" si="25"/>
        <v>147.24530079101589</v>
      </c>
      <c r="W121">
        <f t="shared" ca="1" si="35"/>
        <v>147.66795779177795</v>
      </c>
      <c r="X121">
        <f t="shared" ca="1" si="34"/>
        <v>-0.39576053389205867</v>
      </c>
      <c r="Y121">
        <f t="shared" ca="1" si="36"/>
        <v>-0.74949466869308068</v>
      </c>
      <c r="Z121">
        <f t="shared" ca="1" si="37"/>
        <v>0.353734134801022</v>
      </c>
      <c r="AA121">
        <f t="shared" ca="1" si="38"/>
        <v>152.79560000000004</v>
      </c>
    </row>
    <row r="122" spans="1:27" x14ac:dyDescent="0.25">
      <c r="A122" vm="357">
        <f ca="1"/>
        <v>45468</v>
      </c>
      <c r="B122" vm="358">
        <f ca="1"/>
        <v>147.19</v>
      </c>
      <c r="C122" vm="359">
        <f ca="1"/>
        <v>6620303</v>
      </c>
      <c r="D122">
        <f t="shared" ca="1" si="19"/>
        <v>974442398.56999993</v>
      </c>
      <c r="E122">
        <f ca="1">SUM($D$2:D122)/SUM($C$2:C122)</f>
        <v>153.6758110649138</v>
      </c>
      <c r="F122">
        <f ca="1">_xlfn.STDEV.P($B$2:B122)</f>
        <v>5.8171464447835071</v>
      </c>
      <c r="G122">
        <f t="shared" ca="1" si="20"/>
        <v>159.49295750969731</v>
      </c>
      <c r="H122">
        <f t="shared" ca="1" si="21"/>
        <v>147.8586646201303</v>
      </c>
      <c r="I122">
        <f t="shared" ca="1" si="30"/>
        <v>146.52550000000002</v>
      </c>
      <c r="J122">
        <f t="shared" ca="1" si="31"/>
        <v>1.3146281243238203</v>
      </c>
      <c r="K122">
        <f t="shared" ca="1" si="32"/>
        <v>149.15475624864766</v>
      </c>
      <c r="L122">
        <f t="shared" ca="1" si="33"/>
        <v>143.89624375135239</v>
      </c>
      <c r="M122">
        <f t="shared" ca="1" si="22"/>
        <v>-1.9300000000000068</v>
      </c>
      <c r="N122">
        <f t="shared" ca="1" si="23"/>
        <v>0</v>
      </c>
      <c r="O122">
        <f t="shared" ca="1" si="24"/>
        <v>1.9300000000000068</v>
      </c>
      <c r="P122">
        <f t="shared" ca="1" si="28"/>
        <v>0.48202623795140076</v>
      </c>
      <c r="Q122">
        <f t="shared" ca="1" si="29"/>
        <v>0.51968385422086072</v>
      </c>
      <c r="R122">
        <f t="shared" ca="1" si="26"/>
        <v>0.92753745192657877</v>
      </c>
      <c r="S122">
        <f t="shared" ca="1" si="27"/>
        <v>48.120333589342337</v>
      </c>
      <c r="T122">
        <f>70</f>
        <v>70</v>
      </c>
      <c r="U122">
        <f>30</f>
        <v>30</v>
      </c>
      <c r="V122">
        <f t="shared" ca="1" si="25"/>
        <v>147.23679297701344</v>
      </c>
      <c r="W122">
        <f t="shared" ca="1" si="35"/>
        <v>147.6325535109055</v>
      </c>
      <c r="X122">
        <f t="shared" ca="1" si="34"/>
        <v>-0.39969338139974298</v>
      </c>
      <c r="Y122">
        <f t="shared" ca="1" si="36"/>
        <v>-0.67953441123441327</v>
      </c>
      <c r="Z122">
        <f t="shared" ca="1" si="37"/>
        <v>0.2798410298346703</v>
      </c>
      <c r="AA122">
        <f t="shared" ca="1" si="38"/>
        <v>152.67850000000001</v>
      </c>
    </row>
    <row r="123" spans="1:27" x14ac:dyDescent="0.25">
      <c r="A123" vm="360">
        <f ca="1"/>
        <v>45469</v>
      </c>
      <c r="B123" vm="237">
        <f ca="1"/>
        <v>146.82</v>
      </c>
      <c r="C123" vm="361">
        <f ca="1"/>
        <v>5267809</v>
      </c>
      <c r="D123">
        <f t="shared" ca="1" si="19"/>
        <v>773419717.38</v>
      </c>
      <c r="E123">
        <f ca="1">SUM($D$2:D123)/SUM($C$2:C123)</f>
        <v>153.63585336431453</v>
      </c>
      <c r="F123">
        <f ca="1">_xlfn.STDEV.P($B$2:B123)</f>
        <v>5.8298378962483337</v>
      </c>
      <c r="G123">
        <f t="shared" ca="1" si="20"/>
        <v>159.46569126056286</v>
      </c>
      <c r="H123">
        <f t="shared" ca="1" si="21"/>
        <v>147.80601546806619</v>
      </c>
      <c r="I123">
        <f t="shared" ca="1" si="30"/>
        <v>146.64750000000004</v>
      </c>
      <c r="J123">
        <f t="shared" ca="1" si="31"/>
        <v>1.2144432339228788</v>
      </c>
      <c r="K123">
        <f t="shared" ca="1" si="32"/>
        <v>149.07638646784579</v>
      </c>
      <c r="L123">
        <f t="shared" ca="1" si="33"/>
        <v>144.21861353215428</v>
      </c>
      <c r="M123">
        <f t="shared" ca="1" si="22"/>
        <v>-0.37000000000000455</v>
      </c>
      <c r="N123">
        <f t="shared" ca="1" si="23"/>
        <v>0</v>
      </c>
      <c r="O123">
        <f t="shared" ca="1" si="24"/>
        <v>0.37000000000000455</v>
      </c>
      <c r="P123">
        <f t="shared" ca="1" si="28"/>
        <v>0.44759579238344355</v>
      </c>
      <c r="Q123">
        <f t="shared" ca="1" si="29"/>
        <v>0.50899215034794243</v>
      </c>
      <c r="R123">
        <f t="shared" ca="1" si="26"/>
        <v>0.879376611363203</v>
      </c>
      <c r="S123">
        <f t="shared" ca="1" si="27"/>
        <v>46.790867037839128</v>
      </c>
      <c r="T123">
        <f>70</f>
        <v>70</v>
      </c>
      <c r="U123">
        <f>30</f>
        <v>30</v>
      </c>
      <c r="V123">
        <f t="shared" ca="1" si="25"/>
        <v>147.17267098054981</v>
      </c>
      <c r="W123">
        <f t="shared" ca="1" si="35"/>
        <v>147.57236436194955</v>
      </c>
      <c r="X123">
        <f t="shared" ca="1" si="34"/>
        <v>-0.479587283220269</v>
      </c>
      <c r="Y123">
        <f t="shared" ca="1" si="36"/>
        <v>-0.63954498563158446</v>
      </c>
      <c r="Z123">
        <f t="shared" ca="1" si="37"/>
        <v>0.15995770241131546</v>
      </c>
      <c r="AA123">
        <f t="shared" ca="1" si="38"/>
        <v>152.56310000000002</v>
      </c>
    </row>
    <row r="124" spans="1:27" x14ac:dyDescent="0.25">
      <c r="A124" vm="362">
        <f ca="1"/>
        <v>45470</v>
      </c>
      <c r="B124" vm="363">
        <f ca="1"/>
        <v>145.80000000000001</v>
      </c>
      <c r="C124" vm="364">
        <f ca="1"/>
        <v>5739246</v>
      </c>
      <c r="D124">
        <f t="shared" ca="1" si="19"/>
        <v>836782066.80000007</v>
      </c>
      <c r="E124">
        <f ca="1">SUM($D$2:D124)/SUM($C$2:C124)</f>
        <v>153.58641048395819</v>
      </c>
      <c r="F124">
        <f ca="1">_xlfn.STDEV.P($B$2:B124)</f>
        <v>5.8525166060958949</v>
      </c>
      <c r="G124">
        <f t="shared" ca="1" si="20"/>
        <v>159.43892709005408</v>
      </c>
      <c r="H124">
        <f t="shared" ca="1" si="21"/>
        <v>147.7338938778623</v>
      </c>
      <c r="I124">
        <f t="shared" ca="1" si="30"/>
        <v>146.71550000000005</v>
      </c>
      <c r="J124">
        <f t="shared" ca="1" si="31"/>
        <v>1.1186292128267881</v>
      </c>
      <c r="K124">
        <f t="shared" ca="1" si="32"/>
        <v>148.95275842565363</v>
      </c>
      <c r="L124">
        <f t="shared" ca="1" si="33"/>
        <v>144.47824157434647</v>
      </c>
      <c r="M124">
        <f t="shared" ca="1" si="22"/>
        <v>-1.0199999999999818</v>
      </c>
      <c r="N124">
        <f t="shared" ca="1" si="23"/>
        <v>0</v>
      </c>
      <c r="O124">
        <f t="shared" ca="1" si="24"/>
        <v>1.0199999999999818</v>
      </c>
      <c r="P124">
        <f t="shared" ca="1" si="28"/>
        <v>0.41562466435605472</v>
      </c>
      <c r="Q124">
        <f t="shared" ca="1" si="29"/>
        <v>0.54549271103737385</v>
      </c>
      <c r="R124">
        <f t="shared" ca="1" si="26"/>
        <v>0.76192523923125099</v>
      </c>
      <c r="S124">
        <f t="shared" ca="1" si="27"/>
        <v>43.243902877723009</v>
      </c>
      <c r="T124">
        <f>70</f>
        <v>70</v>
      </c>
      <c r="U124">
        <f>30</f>
        <v>30</v>
      </c>
      <c r="V124">
        <f t="shared" ca="1" si="25"/>
        <v>146.961490829696</v>
      </c>
      <c r="W124">
        <f t="shared" ca="1" si="35"/>
        <v>147.44107811291627</v>
      </c>
      <c r="X124">
        <f t="shared" ca="1" si="34"/>
        <v>-0.50799888968111873</v>
      </c>
      <c r="Y124">
        <f t="shared" ca="1" si="36"/>
        <v>-0.61323576644149136</v>
      </c>
      <c r="Z124">
        <f t="shared" ca="1" si="37"/>
        <v>0.10523687676037263</v>
      </c>
      <c r="AA124">
        <f t="shared" ca="1" si="38"/>
        <v>152.45500000000004</v>
      </c>
    </row>
    <row r="125" spans="1:27" x14ac:dyDescent="0.25">
      <c r="A125" vm="365">
        <f ca="1"/>
        <v>45471</v>
      </c>
      <c r="B125" vm="366">
        <f ca="1"/>
        <v>146.16</v>
      </c>
      <c r="C125" vm="367">
        <f ca="1"/>
        <v>10495735</v>
      </c>
      <c r="D125">
        <f t="shared" ca="1" si="19"/>
        <v>1534056627.5999999</v>
      </c>
      <c r="E125">
        <f ca="1">SUM($D$2:D125)/SUM($C$2:C125)</f>
        <v>153.50169326020909</v>
      </c>
      <c r="F125">
        <f ca="1">_xlfn.STDEV.P($B$2:B125)</f>
        <v>5.8701100506740032</v>
      </c>
      <c r="G125">
        <f t="shared" ca="1" si="20"/>
        <v>159.37180331088311</v>
      </c>
      <c r="H125">
        <f t="shared" ca="1" si="21"/>
        <v>147.63158320953508</v>
      </c>
      <c r="I125">
        <f t="shared" ca="1" si="30"/>
        <v>146.75950000000003</v>
      </c>
      <c r="J125">
        <f t="shared" ca="1" si="31"/>
        <v>1.075675919694465</v>
      </c>
      <c r="K125">
        <f t="shared" ca="1" si="32"/>
        <v>148.91085183938895</v>
      </c>
      <c r="L125">
        <f t="shared" ca="1" si="33"/>
        <v>144.60814816061111</v>
      </c>
      <c r="M125">
        <f t="shared" ca="1" si="22"/>
        <v>0.35999999999998522</v>
      </c>
      <c r="N125">
        <f t="shared" ca="1" si="23"/>
        <v>0.35999999999998522</v>
      </c>
      <c r="O125">
        <f t="shared" ca="1" si="24"/>
        <v>0</v>
      </c>
      <c r="P125">
        <f t="shared" ca="1" si="28"/>
        <v>0.41165147404490687</v>
      </c>
      <c r="Q125">
        <f t="shared" ca="1" si="29"/>
        <v>0.50652894596327569</v>
      </c>
      <c r="R125">
        <f t="shared" ca="1" si="26"/>
        <v>0.81269091791400283</v>
      </c>
      <c r="S125">
        <f t="shared" ca="1" si="27"/>
        <v>44.833397127030693</v>
      </c>
      <c r="T125">
        <f>70</f>
        <v>70</v>
      </c>
      <c r="U125">
        <f>30</f>
        <v>30</v>
      </c>
      <c r="V125">
        <f t="shared" ca="1" si="25"/>
        <v>146.83818454820431</v>
      </c>
      <c r="W125">
        <f t="shared" ca="1" si="35"/>
        <v>147.34618343788543</v>
      </c>
      <c r="X125">
        <f t="shared" ca="1" si="34"/>
        <v>-0.50213335184071184</v>
      </c>
      <c r="Y125">
        <f t="shared" ca="1" si="36"/>
        <v>-0.59101528352133548</v>
      </c>
      <c r="Z125">
        <f t="shared" ca="1" si="37"/>
        <v>8.8881931680623638E-2</v>
      </c>
      <c r="AA125">
        <f t="shared" ca="1" si="38"/>
        <v>152.35860000000002</v>
      </c>
    </row>
    <row r="126" spans="1:27" x14ac:dyDescent="0.25">
      <c r="A126" vm="368">
        <f ca="1"/>
        <v>45474</v>
      </c>
      <c r="B126" vm="369">
        <f ca="1"/>
        <v>146.44</v>
      </c>
      <c r="C126" vm="370">
        <f ca="1"/>
        <v>5144443</v>
      </c>
      <c r="D126">
        <f t="shared" ca="1" si="19"/>
        <v>753352232.91999996</v>
      </c>
      <c r="E126">
        <f ca="1">SUM($D$2:D126)/SUM($C$2:C126)</f>
        <v>153.46242826230059</v>
      </c>
      <c r="F126">
        <f ca="1">_xlfn.STDEV.P($B$2:B126)</f>
        <v>5.883864593411376</v>
      </c>
      <c r="G126">
        <f t="shared" ca="1" si="20"/>
        <v>159.34629285571197</v>
      </c>
      <c r="H126">
        <f t="shared" ca="1" si="21"/>
        <v>147.57856366888922</v>
      </c>
      <c r="I126">
        <f t="shared" ca="1" si="30"/>
        <v>146.74800000000002</v>
      </c>
      <c r="J126">
        <f t="shared" ca="1" si="31"/>
        <v>1.0779102589342935</v>
      </c>
      <c r="K126">
        <f t="shared" ca="1" si="32"/>
        <v>148.90382051786861</v>
      </c>
      <c r="L126">
        <f t="shared" ca="1" si="33"/>
        <v>144.59217948213143</v>
      </c>
      <c r="M126">
        <f t="shared" ca="1" si="22"/>
        <v>0.28000000000000114</v>
      </c>
      <c r="N126">
        <f t="shared" ca="1" si="23"/>
        <v>0.28000000000000114</v>
      </c>
      <c r="O126">
        <f t="shared" ca="1" si="24"/>
        <v>0</v>
      </c>
      <c r="P126">
        <f t="shared" ca="1" si="28"/>
        <v>0.40224779732741361</v>
      </c>
      <c r="Q126">
        <f t="shared" ca="1" si="29"/>
        <v>0.47034830696589885</v>
      </c>
      <c r="R126">
        <f t="shared" ca="1" si="26"/>
        <v>0.85521259749442946</v>
      </c>
      <c r="S126">
        <f t="shared" ca="1" si="27"/>
        <v>46.097821815647592</v>
      </c>
      <c r="T126">
        <f>70</f>
        <v>70</v>
      </c>
      <c r="U126">
        <f>30</f>
        <v>30</v>
      </c>
      <c r="V126">
        <f t="shared" ca="1" si="25"/>
        <v>146.77692538694211</v>
      </c>
      <c r="W126">
        <f t="shared" ca="1" si="35"/>
        <v>147.27905873878282</v>
      </c>
      <c r="X126">
        <f t="shared" ca="1" si="34"/>
        <v>-0.52452208029234271</v>
      </c>
      <c r="Y126">
        <f t="shared" ca="1" si="36"/>
        <v>-0.57771664287553692</v>
      </c>
      <c r="Z126">
        <f t="shared" ca="1" si="37"/>
        <v>5.3194562583194216E-2</v>
      </c>
      <c r="AA126">
        <f t="shared" ca="1" si="38"/>
        <v>152.2424</v>
      </c>
    </row>
    <row r="127" spans="1:27" x14ac:dyDescent="0.25">
      <c r="A127" vm="371">
        <f ca="1"/>
        <v>45475</v>
      </c>
      <c r="B127" vm="372">
        <f ca="1"/>
        <v>146.03</v>
      </c>
      <c r="C127" vm="373">
        <f ca="1"/>
        <v>5491962</v>
      </c>
      <c r="D127">
        <f t="shared" ca="1" si="19"/>
        <v>801991210.86000001</v>
      </c>
      <c r="E127">
        <f ca="1">SUM($D$2:D127)/SUM($C$2:C127)</f>
        <v>153.41857051549388</v>
      </c>
      <c r="F127">
        <f ca="1">_xlfn.STDEV.P($B$2:B127)</f>
        <v>5.9009277490340235</v>
      </c>
      <c r="G127">
        <f t="shared" ca="1" si="20"/>
        <v>159.31949826452791</v>
      </c>
      <c r="H127">
        <f t="shared" ca="1" si="21"/>
        <v>147.51764276645986</v>
      </c>
      <c r="I127">
        <f t="shared" ca="1" si="30"/>
        <v>146.66250000000002</v>
      </c>
      <c r="J127">
        <f t="shared" ca="1" si="31"/>
        <v>1.062796088775168</v>
      </c>
      <c r="K127">
        <f t="shared" ca="1" si="32"/>
        <v>148.78809217755037</v>
      </c>
      <c r="L127">
        <f t="shared" ca="1" si="33"/>
        <v>144.53690782244968</v>
      </c>
      <c r="M127">
        <f t="shared" ca="1" si="22"/>
        <v>-0.40999999999999659</v>
      </c>
      <c r="N127">
        <f t="shared" ca="1" si="23"/>
        <v>0</v>
      </c>
      <c r="O127">
        <f t="shared" ca="1" si="24"/>
        <v>0.40999999999999659</v>
      </c>
      <c r="P127">
        <f t="shared" ca="1" si="28"/>
        <v>0.37351581180402693</v>
      </c>
      <c r="Q127">
        <f t="shared" ca="1" si="29"/>
        <v>0.46603771361119156</v>
      </c>
      <c r="R127">
        <f t="shared" ca="1" si="26"/>
        <v>0.80147121336975258</v>
      </c>
      <c r="S127">
        <f t="shared" ca="1" si="27"/>
        <v>44.489815181146078</v>
      </c>
      <c r="T127">
        <f>70</f>
        <v>70</v>
      </c>
      <c r="U127">
        <f>30</f>
        <v>30</v>
      </c>
      <c r="V127">
        <f t="shared" ca="1" si="25"/>
        <v>146.66201378895101</v>
      </c>
      <c r="W127">
        <f t="shared" ca="1" si="35"/>
        <v>147.18653586924336</v>
      </c>
      <c r="X127">
        <f t="shared" ca="1" si="34"/>
        <v>-0.56320815437501892</v>
      </c>
      <c r="Y127">
        <f t="shared" ca="1" si="36"/>
        <v>-0.57481494517543341</v>
      </c>
      <c r="Z127">
        <f t="shared" ca="1" si="37"/>
        <v>1.160679080041449E-2</v>
      </c>
      <c r="AA127">
        <f t="shared" ca="1" si="38"/>
        <v>152.12290000000002</v>
      </c>
    </row>
    <row r="128" spans="1:27" x14ac:dyDescent="0.25">
      <c r="A128" vm="374">
        <f ca="1"/>
        <v>45476</v>
      </c>
      <c r="B128" vm="375">
        <f ca="1"/>
        <v>145.69</v>
      </c>
      <c r="C128" vm="376">
        <f ca="1"/>
        <v>3246157</v>
      </c>
      <c r="D128">
        <f t="shared" ca="1" si="19"/>
        <v>472932613.32999998</v>
      </c>
      <c r="E128">
        <f ca="1">SUM($D$2:D128)/SUM($C$2:C128)</f>
        <v>153.39170812593699</v>
      </c>
      <c r="F128">
        <f ca="1">_xlfn.STDEV.P($B$2:B128)</f>
        <v>5.9205831850764934</v>
      </c>
      <c r="G128">
        <f t="shared" ca="1" si="20"/>
        <v>159.31229131101347</v>
      </c>
      <c r="H128">
        <f t="shared" ca="1" si="21"/>
        <v>147.47112494086051</v>
      </c>
      <c r="I128">
        <f t="shared" ca="1" si="30"/>
        <v>146.55700000000004</v>
      </c>
      <c r="J128">
        <f t="shared" ca="1" si="31"/>
        <v>1.0485684476817372</v>
      </c>
      <c r="K128">
        <f t="shared" ca="1" si="32"/>
        <v>148.65413689536351</v>
      </c>
      <c r="L128">
        <f t="shared" ca="1" si="33"/>
        <v>144.45986310463658</v>
      </c>
      <c r="M128">
        <f t="shared" ca="1" si="22"/>
        <v>-0.34000000000000341</v>
      </c>
      <c r="N128">
        <f t="shared" ca="1" si="23"/>
        <v>0</v>
      </c>
      <c r="O128">
        <f t="shared" ca="1" si="24"/>
        <v>0.34000000000000341</v>
      </c>
      <c r="P128">
        <f t="shared" ca="1" si="28"/>
        <v>0.34683611096088213</v>
      </c>
      <c r="Q128">
        <f t="shared" ca="1" si="29"/>
        <v>0.45703501978182098</v>
      </c>
      <c r="R128">
        <f t="shared" ca="1" si="26"/>
        <v>0.75888300884788762</v>
      </c>
      <c r="S128">
        <f t="shared" ca="1" si="27"/>
        <v>43.145735391745866</v>
      </c>
      <c r="T128">
        <f>70</f>
        <v>70</v>
      </c>
      <c r="U128">
        <f>30</f>
        <v>30</v>
      </c>
      <c r="V128">
        <f t="shared" ca="1" si="25"/>
        <v>146.51247320603548</v>
      </c>
      <c r="W128">
        <f t="shared" ca="1" si="35"/>
        <v>147.0756813604105</v>
      </c>
      <c r="X128">
        <f t="shared" ca="1" si="34"/>
        <v>-0.52407948701102214</v>
      </c>
      <c r="Y128">
        <f t="shared" ca="1" si="36"/>
        <v>-0.56466785354255111</v>
      </c>
      <c r="Z128">
        <f t="shared" ca="1" si="37"/>
        <v>4.0588366531528974E-2</v>
      </c>
      <c r="AA128">
        <f t="shared" ca="1" si="38"/>
        <v>152.01580000000001</v>
      </c>
    </row>
    <row r="129" spans="1:27" x14ac:dyDescent="0.25">
      <c r="A129" vm="377">
        <f ca="1"/>
        <v>45478</v>
      </c>
      <c r="B129" vm="378">
        <f ca="1"/>
        <v>146.47999999999999</v>
      </c>
      <c r="C129" vm="379">
        <f ca="1"/>
        <v>4888535</v>
      </c>
      <c r="D129">
        <f t="shared" ca="1" si="19"/>
        <v>716072606.79999995</v>
      </c>
      <c r="E129">
        <f ca="1">SUM($D$2:D129)/SUM($C$2:C129)</f>
        <v>153.35571887652972</v>
      </c>
      <c r="F129">
        <f ca="1">_xlfn.STDEV.P($B$2:B129)</f>
        <v>5.9313719316818583</v>
      </c>
      <c r="G129">
        <f t="shared" ca="1" si="20"/>
        <v>159.28709080821159</v>
      </c>
      <c r="H129">
        <f t="shared" ca="1" si="21"/>
        <v>147.42434694484785</v>
      </c>
      <c r="I129">
        <f t="shared" ca="1" si="30"/>
        <v>146.58250000000004</v>
      </c>
      <c r="J129">
        <f t="shared" ca="1" si="31"/>
        <v>1.0397058035303741</v>
      </c>
      <c r="K129">
        <f t="shared" ca="1" si="32"/>
        <v>148.66191160706077</v>
      </c>
      <c r="L129">
        <f t="shared" ca="1" si="33"/>
        <v>144.5030883929393</v>
      </c>
      <c r="M129">
        <f t="shared" ca="1" si="22"/>
        <v>0.78999999999999204</v>
      </c>
      <c r="N129">
        <f t="shared" ca="1" si="23"/>
        <v>0.78999999999999204</v>
      </c>
      <c r="O129">
        <f t="shared" ca="1" si="24"/>
        <v>0</v>
      </c>
      <c r="P129">
        <f t="shared" ca="1" si="28"/>
        <v>0.37849067446367568</v>
      </c>
      <c r="Q129">
        <f t="shared" ca="1" si="29"/>
        <v>0.42438966122597666</v>
      </c>
      <c r="R129">
        <f t="shared" ca="1" si="26"/>
        <v>0.89184706660923829</v>
      </c>
      <c r="S129">
        <f t="shared" ca="1" si="27"/>
        <v>47.141604749674499</v>
      </c>
      <c r="T129">
        <f>70</f>
        <v>70</v>
      </c>
      <c r="U129">
        <f>30</f>
        <v>30</v>
      </c>
      <c r="V129">
        <f t="shared" ca="1" si="25"/>
        <v>146.50747732818388</v>
      </c>
      <c r="W129">
        <f t="shared" ca="1" si="35"/>
        <v>147.0315568151949</v>
      </c>
      <c r="X129">
        <f t="shared" ca="1" si="34"/>
        <v>-0.56722278765735723</v>
      </c>
      <c r="Y129">
        <f t="shared" ca="1" si="36"/>
        <v>-0.56517884036551236</v>
      </c>
      <c r="Z129">
        <f t="shared" ca="1" si="37"/>
        <v>-2.043947291844872E-3</v>
      </c>
      <c r="AA129">
        <f t="shared" ca="1" si="38"/>
        <v>151.91300000000001</v>
      </c>
    </row>
    <row r="130" spans="1:27" x14ac:dyDescent="0.25">
      <c r="A130" vm="380">
        <f ca="1"/>
        <v>45481</v>
      </c>
      <c r="B130" vm="381">
        <f ca="1"/>
        <v>145.47999999999999</v>
      </c>
      <c r="C130" vm="382">
        <f ca="1"/>
        <v>5260229</v>
      </c>
      <c r="D130">
        <f t="shared" ca="1" si="19"/>
        <v>765258114.91999996</v>
      </c>
      <c r="E130">
        <f ca="1">SUM($D$2:D130)/SUM($C$2:C130)</f>
        <v>153.3118378268953</v>
      </c>
      <c r="F130">
        <f ca="1">_xlfn.STDEV.P($B$2:B130)</f>
        <v>5.9513403353995109</v>
      </c>
      <c r="G130">
        <f t="shared" ca="1" si="20"/>
        <v>159.26317816229482</v>
      </c>
      <c r="H130">
        <f t="shared" ca="1" si="21"/>
        <v>147.36049749149578</v>
      </c>
      <c r="I130">
        <f t="shared" ca="1" si="30"/>
        <v>146.53550000000001</v>
      </c>
      <c r="J130">
        <f t="shared" ca="1" si="31"/>
        <v>1.0682916761180732</v>
      </c>
      <c r="K130">
        <f t="shared" ca="1" si="32"/>
        <v>148.67208335223617</v>
      </c>
      <c r="L130">
        <f t="shared" ca="1" si="33"/>
        <v>144.39891664776385</v>
      </c>
      <c r="M130">
        <f t="shared" ca="1" si="22"/>
        <v>-1</v>
      </c>
      <c r="N130">
        <f t="shared" ca="1" si="23"/>
        <v>0</v>
      </c>
      <c r="O130">
        <f t="shared" ca="1" si="24"/>
        <v>1</v>
      </c>
      <c r="P130">
        <f t="shared" ca="1" si="28"/>
        <v>0.35145562628769883</v>
      </c>
      <c r="Q130">
        <f t="shared" ca="1" si="29"/>
        <v>0.46550468542412116</v>
      </c>
      <c r="R130">
        <f t="shared" ca="1" si="26"/>
        <v>0.7549991166415172</v>
      </c>
      <c r="S130">
        <f t="shared" ca="1" si="27"/>
        <v>43.019914339691155</v>
      </c>
      <c r="T130">
        <f>70</f>
        <v>70</v>
      </c>
      <c r="U130">
        <f>30</f>
        <v>30</v>
      </c>
      <c r="V130">
        <f t="shared" ca="1" si="25"/>
        <v>146.34940389307866</v>
      </c>
      <c r="W130">
        <f t="shared" ca="1" si="35"/>
        <v>146.91662668073602</v>
      </c>
      <c r="X130">
        <f t="shared" ca="1" si="34"/>
        <v>-0.46931827633858347</v>
      </c>
      <c r="Y130">
        <f t="shared" ca="1" si="36"/>
        <v>-0.54600672756012658</v>
      </c>
      <c r="Z130">
        <f t="shared" ca="1" si="37"/>
        <v>7.6688451221543108E-2</v>
      </c>
      <c r="AA130">
        <f t="shared" ca="1" si="38"/>
        <v>151.78930000000003</v>
      </c>
    </row>
    <row r="131" spans="1:27" x14ac:dyDescent="0.25">
      <c r="A131" vm="383">
        <f ca="1"/>
        <v>45482</v>
      </c>
      <c r="B131" vm="384">
        <f ca="1"/>
        <v>147.05000000000001</v>
      </c>
      <c r="C131" vm="385">
        <f ca="1"/>
        <v>5892187</v>
      </c>
      <c r="D131">
        <f t="shared" ref="D131:D194" ca="1" si="39">B131*C131</f>
        <v>866446098.35000002</v>
      </c>
      <c r="E131">
        <f ca="1">SUM($D$2:D131)/SUM($C$2:C131)</f>
        <v>153.2729996843816</v>
      </c>
      <c r="F131">
        <f ca="1">_xlfn.STDEV.P($B$2:B131)</f>
        <v>5.9556239564011397</v>
      </c>
      <c r="G131">
        <f t="shared" ref="G131:G194" ca="1" si="40">E131 + F131</f>
        <v>159.22862364078273</v>
      </c>
      <c r="H131">
        <f t="shared" ref="H131:H194" ca="1" si="41">E131 - F131</f>
        <v>147.31737572798048</v>
      </c>
      <c r="I131">
        <f t="shared" ca="1" si="30"/>
        <v>146.53400000000002</v>
      </c>
      <c r="J131">
        <f t="shared" ca="1" si="31"/>
        <v>1.0675076728431285</v>
      </c>
      <c r="K131">
        <f t="shared" ca="1" si="32"/>
        <v>148.66901534568629</v>
      </c>
      <c r="L131">
        <f t="shared" ca="1" si="33"/>
        <v>144.39898465431375</v>
      </c>
      <c r="M131">
        <f t="shared" ca="1" si="22"/>
        <v>1.5700000000000216</v>
      </c>
      <c r="N131">
        <f t="shared" ca="1" si="23"/>
        <v>1.5700000000000216</v>
      </c>
      <c r="O131">
        <f t="shared" ca="1" si="24"/>
        <v>0</v>
      </c>
      <c r="P131">
        <f t="shared" ca="1" si="28"/>
        <v>0.4384945101242933</v>
      </c>
      <c r="Q131">
        <f t="shared" ca="1" si="29"/>
        <v>0.43225435075096963</v>
      </c>
      <c r="R131">
        <f t="shared" ca="1" si="26"/>
        <v>1.014436313625259</v>
      </c>
      <c r="S131">
        <f t="shared" ca="1" si="27"/>
        <v>50.35832142042949</v>
      </c>
      <c r="T131">
        <f>70</f>
        <v>70</v>
      </c>
      <c r="U131">
        <f>30</f>
        <v>30</v>
      </c>
      <c r="V131">
        <f t="shared" ca="1" si="25"/>
        <v>146.4571879095281</v>
      </c>
      <c r="W131">
        <f t="shared" ca="1" si="35"/>
        <v>146.92650618586669</v>
      </c>
      <c r="X131">
        <f t="shared" ca="1" si="34"/>
        <v>-0.19740655634424797</v>
      </c>
      <c r="Y131">
        <f t="shared" ca="1" si="36"/>
        <v>-0.47628669331695084</v>
      </c>
      <c r="Z131">
        <f t="shared" ca="1" si="37"/>
        <v>0.27888013697270286</v>
      </c>
      <c r="AA131">
        <f t="shared" ca="1" si="38"/>
        <v>151.6951</v>
      </c>
    </row>
    <row r="132" spans="1:27" x14ac:dyDescent="0.25">
      <c r="A132" vm="386">
        <f ca="1"/>
        <v>45483</v>
      </c>
      <c r="B132" vm="387">
        <f ca="1"/>
        <v>149.43</v>
      </c>
      <c r="C132" vm="388">
        <f ca="1"/>
        <v>6093187</v>
      </c>
      <c r="D132">
        <f t="shared" ca="1" si="39"/>
        <v>910504933.41000009</v>
      </c>
      <c r="E132">
        <f ca="1">SUM($D$2:D132)/SUM($C$2:C132)</f>
        <v>153.24850801842689</v>
      </c>
      <c r="F132">
        <f ca="1">_xlfn.STDEV.P($B$2:B132)</f>
        <v>5.9434645378484818</v>
      </c>
      <c r="G132">
        <f t="shared" ca="1" si="40"/>
        <v>159.19197255627537</v>
      </c>
      <c r="H132">
        <f t="shared" ca="1" si="41"/>
        <v>147.30504348057841</v>
      </c>
      <c r="I132">
        <f t="shared" ca="1" si="30"/>
        <v>146.649</v>
      </c>
      <c r="J132">
        <f t="shared" ca="1" si="31"/>
        <v>1.2443341064284383</v>
      </c>
      <c r="K132">
        <f t="shared" ca="1" si="32"/>
        <v>149.13766821285688</v>
      </c>
      <c r="L132">
        <f t="shared" ca="1" si="33"/>
        <v>144.16033178714312</v>
      </c>
      <c r="M132">
        <f t="shared" ref="M132:M195" ca="1" si="42">B132-B131</f>
        <v>2.3799999999999955</v>
      </c>
      <c r="N132">
        <f t="shared" ref="N132:N195" ca="1" si="43">MAX(M132,0)</f>
        <v>2.3799999999999955</v>
      </c>
      <c r="O132">
        <f t="shared" ref="O132:O195" ca="1" si="44">MAX(-M132,0)</f>
        <v>0</v>
      </c>
      <c r="P132">
        <f t="shared" ca="1" si="28"/>
        <v>0.57717347368684346</v>
      </c>
      <c r="Q132">
        <f t="shared" ca="1" si="29"/>
        <v>0.4013790399830432</v>
      </c>
      <c r="R132">
        <f t="shared" ca="1" si="26"/>
        <v>1.4379761178142909</v>
      </c>
      <c r="S132">
        <f t="shared" ca="1" si="27"/>
        <v>58.98237096364479</v>
      </c>
      <c r="T132">
        <f>70</f>
        <v>70</v>
      </c>
      <c r="U132">
        <f>30</f>
        <v>30</v>
      </c>
      <c r="V132">
        <f t="shared" ca="1" si="25"/>
        <v>146.91454361575455</v>
      </c>
      <c r="W132">
        <f t="shared" ca="1" si="35"/>
        <v>147.1119501720988</v>
      </c>
      <c r="X132">
        <f t="shared" ca="1" si="34"/>
        <v>3.9417800418789284E-2</v>
      </c>
      <c r="Y132">
        <f t="shared" ca="1" si="36"/>
        <v>-0.37314579456980285</v>
      </c>
      <c r="Z132">
        <f t="shared" ca="1" si="37"/>
        <v>0.41256359498859213</v>
      </c>
      <c r="AA132">
        <f t="shared" ca="1" si="38"/>
        <v>151.63200000000001</v>
      </c>
    </row>
    <row r="133" spans="1:27" x14ac:dyDescent="0.25">
      <c r="A133" vm="389">
        <f ca="1"/>
        <v>45484</v>
      </c>
      <c r="B133" vm="296">
        <f ca="1"/>
        <v>149.69999999999999</v>
      </c>
      <c r="C133" vm="390">
        <f ca="1"/>
        <v>6352109</v>
      </c>
      <c r="D133">
        <f t="shared" ca="1" si="39"/>
        <v>950910717.29999995</v>
      </c>
      <c r="E133">
        <f ca="1">SUM($D$2:D133)/SUM($C$2:C133)</f>
        <v>153.22508777798541</v>
      </c>
      <c r="F133">
        <f ca="1">_xlfn.STDEV.P($B$2:B133)</f>
        <v>5.9299656938438776</v>
      </c>
      <c r="G133">
        <f t="shared" ca="1" si="40"/>
        <v>159.15505347182929</v>
      </c>
      <c r="H133">
        <f t="shared" ca="1" si="41"/>
        <v>147.29512208414152</v>
      </c>
      <c r="I133">
        <f t="shared" ca="1" si="30"/>
        <v>146.79599999999999</v>
      </c>
      <c r="J133">
        <f t="shared" ca="1" si="31"/>
        <v>1.4194713619402208</v>
      </c>
      <c r="K133">
        <f t="shared" ca="1" si="32"/>
        <v>149.63494272388044</v>
      </c>
      <c r="L133">
        <f t="shared" ca="1" si="33"/>
        <v>143.95705727611954</v>
      </c>
      <c r="M133">
        <f t="shared" ca="1" si="42"/>
        <v>0.26999999999998181</v>
      </c>
      <c r="N133">
        <f t="shared" ca="1" si="43"/>
        <v>0.26999999999998181</v>
      </c>
      <c r="O133">
        <f t="shared" ca="1" si="44"/>
        <v>0</v>
      </c>
      <c r="P133">
        <f t="shared" ca="1" si="28"/>
        <v>0.55523251128063911</v>
      </c>
      <c r="Q133">
        <f t="shared" ca="1" si="29"/>
        <v>0.37270910855568296</v>
      </c>
      <c r="R133">
        <f t="shared" ca="1" si="26"/>
        <v>1.4897207997740336</v>
      </c>
      <c r="S133">
        <f t="shared" ca="1" si="27"/>
        <v>59.834853767910055</v>
      </c>
      <c r="T133">
        <f>70</f>
        <v>70</v>
      </c>
      <c r="U133">
        <f>30</f>
        <v>30</v>
      </c>
      <c r="V133">
        <f t="shared" ca="1" si="25"/>
        <v>147.34307536717694</v>
      </c>
      <c r="W133">
        <f t="shared" ca="1" si="35"/>
        <v>147.30365756675815</v>
      </c>
      <c r="X133">
        <f t="shared" ca="1" si="34"/>
        <v>0.23887371753602338</v>
      </c>
      <c r="Y133">
        <f t="shared" ca="1" si="36"/>
        <v>-0.25074189214863762</v>
      </c>
      <c r="Z133">
        <f t="shared" ca="1" si="37"/>
        <v>0.489615609684661</v>
      </c>
      <c r="AA133">
        <f t="shared" ca="1" si="38"/>
        <v>151.5498</v>
      </c>
    </row>
    <row r="134" spans="1:27" x14ac:dyDescent="0.25">
      <c r="A134" vm="391">
        <f ca="1"/>
        <v>45485</v>
      </c>
      <c r="B134" vm="392">
        <f ca="1"/>
        <v>149.88</v>
      </c>
      <c r="C134" vm="393">
        <f ca="1"/>
        <v>5336394</v>
      </c>
      <c r="D134">
        <f t="shared" ca="1" si="39"/>
        <v>799818732.72000003</v>
      </c>
      <c r="E134">
        <f ca="1">SUM($D$2:D134)/SUM($C$2:C134)</f>
        <v>153.20664265075945</v>
      </c>
      <c r="F134">
        <f ca="1">_xlfn.STDEV.P($B$2:B134)</f>
        <v>5.9156734319361846</v>
      </c>
      <c r="G134">
        <f t="shared" ca="1" si="40"/>
        <v>159.12231608269565</v>
      </c>
      <c r="H134">
        <f t="shared" ca="1" si="41"/>
        <v>147.29096921882325</v>
      </c>
      <c r="I134">
        <f t="shared" ca="1" si="30"/>
        <v>147.01949999999999</v>
      </c>
      <c r="J134">
        <f t="shared" ca="1" si="31"/>
        <v>1.5368130900289123</v>
      </c>
      <c r="K134">
        <f t="shared" ca="1" si="32"/>
        <v>150.09312618005782</v>
      </c>
      <c r="L134">
        <f t="shared" ca="1" si="33"/>
        <v>143.94587381994216</v>
      </c>
      <c r="M134">
        <f t="shared" ca="1" si="42"/>
        <v>0.18000000000000682</v>
      </c>
      <c r="N134">
        <f t="shared" ca="1" si="43"/>
        <v>0.18000000000000682</v>
      </c>
      <c r="O134">
        <f t="shared" ca="1" si="44"/>
        <v>0</v>
      </c>
      <c r="P134">
        <f t="shared" ca="1" si="28"/>
        <v>0.52843018904630823</v>
      </c>
      <c r="Q134">
        <f t="shared" ca="1" si="29"/>
        <v>0.34608702937313413</v>
      </c>
      <c r="R134">
        <f t="shared" ca="1" si="26"/>
        <v>1.526870827847699</v>
      </c>
      <c r="S134">
        <f t="shared" ca="1" si="27"/>
        <v>60.425361321228863</v>
      </c>
      <c r="T134">
        <f>70</f>
        <v>70</v>
      </c>
      <c r="U134">
        <f>30</f>
        <v>30</v>
      </c>
      <c r="V134">
        <f t="shared" ca="1" si="25"/>
        <v>147.73337146453432</v>
      </c>
      <c r="W134">
        <f t="shared" ca="1" si="35"/>
        <v>147.49449774699829</v>
      </c>
      <c r="X134">
        <f t="shared" ca="1" si="34"/>
        <v>0.34136625980696067</v>
      </c>
      <c r="Y134">
        <f t="shared" ca="1" si="36"/>
        <v>-0.13232026175751796</v>
      </c>
      <c r="Z134">
        <f t="shared" ca="1" si="37"/>
        <v>0.47368652156447866</v>
      </c>
      <c r="AA134">
        <f t="shared" ca="1" si="38"/>
        <v>151.48310000000001</v>
      </c>
    </row>
    <row r="135" spans="1:27" x14ac:dyDescent="0.25">
      <c r="A135" vm="394">
        <f ca="1"/>
        <v>45488</v>
      </c>
      <c r="B135" vm="395">
        <f ca="1"/>
        <v>149.24</v>
      </c>
      <c r="C135" vm="396">
        <f ca="1"/>
        <v>6711354</v>
      </c>
      <c r="D135">
        <f t="shared" ca="1" si="39"/>
        <v>1001602470.96</v>
      </c>
      <c r="E135">
        <f ca="1">SUM($D$2:D135)/SUM($C$2:C135)</f>
        <v>153.17932407170821</v>
      </c>
      <c r="F135">
        <f ca="1">_xlfn.STDEV.P($B$2:B135)</f>
        <v>5.9045434727058916</v>
      </c>
      <c r="G135">
        <f t="shared" ca="1" si="40"/>
        <v>159.08386754441409</v>
      </c>
      <c r="H135">
        <f t="shared" ca="1" si="41"/>
        <v>147.27478059900233</v>
      </c>
      <c r="I135">
        <f t="shared" ca="1" si="30"/>
        <v>147.209</v>
      </c>
      <c r="J135">
        <f t="shared" ca="1" si="31"/>
        <v>1.5664774428466477</v>
      </c>
      <c r="K135">
        <f t="shared" ca="1" si="32"/>
        <v>150.3419548856933</v>
      </c>
      <c r="L135">
        <f t="shared" ca="1" si="33"/>
        <v>144.07604511430671</v>
      </c>
      <c r="M135">
        <f t="shared" ca="1" si="42"/>
        <v>-0.63999999999998636</v>
      </c>
      <c r="N135">
        <f t="shared" ca="1" si="43"/>
        <v>0</v>
      </c>
      <c r="O135">
        <f t="shared" ca="1" si="44"/>
        <v>0.63999999999998636</v>
      </c>
      <c r="P135">
        <f t="shared" ca="1" si="28"/>
        <v>0.49068517554300051</v>
      </c>
      <c r="Q135">
        <f t="shared" ca="1" si="29"/>
        <v>0.36708081298933781</v>
      </c>
      <c r="R135">
        <f t="shared" ca="1" si="26"/>
        <v>1.3367224822977954</v>
      </c>
      <c r="S135">
        <f t="shared" ca="1" si="27"/>
        <v>57.205016531673934</v>
      </c>
      <c r="T135">
        <f>70</f>
        <v>70</v>
      </c>
      <c r="U135">
        <f>30</f>
        <v>30</v>
      </c>
      <c r="V135">
        <f t="shared" ca="1" si="25"/>
        <v>147.96516046999056</v>
      </c>
      <c r="W135">
        <f t="shared" ca="1" si="35"/>
        <v>147.6237942101836</v>
      </c>
      <c r="X135">
        <f t="shared" ca="1" si="34"/>
        <v>0.55897305207273007</v>
      </c>
      <c r="Y135">
        <f t="shared" ca="1" si="36"/>
        <v>5.9384010085316574E-3</v>
      </c>
      <c r="Z135">
        <f t="shared" ca="1" si="37"/>
        <v>0.55303465106419836</v>
      </c>
      <c r="AA135">
        <f t="shared" ca="1" si="38"/>
        <v>151.39690000000002</v>
      </c>
    </row>
    <row r="136" spans="1:27" x14ac:dyDescent="0.25">
      <c r="A136" vm="397">
        <f ca="1"/>
        <v>45489</v>
      </c>
      <c r="B136" vm="398">
        <f ca="1"/>
        <v>151.01</v>
      </c>
      <c r="C136" vm="399">
        <f ca="1"/>
        <v>6469582</v>
      </c>
      <c r="D136">
        <f t="shared" ca="1" si="39"/>
        <v>976971577.81999993</v>
      </c>
      <c r="E136">
        <f ca="1">SUM($D$2:D136)/SUM($C$2:C136)</f>
        <v>153.16501696562403</v>
      </c>
      <c r="F136">
        <f ca="1">_xlfn.STDEV.P($B$2:B136)</f>
        <v>5.8861780716190832</v>
      </c>
      <c r="G136">
        <f t="shared" ca="1" si="40"/>
        <v>159.0511950372431</v>
      </c>
      <c r="H136">
        <f t="shared" ca="1" si="41"/>
        <v>147.27883889400496</v>
      </c>
      <c r="I136">
        <f t="shared" ca="1" si="30"/>
        <v>147.48250000000002</v>
      </c>
      <c r="J136">
        <f t="shared" ca="1" si="31"/>
        <v>1.7288446857275588</v>
      </c>
      <c r="K136">
        <f t="shared" ca="1" si="32"/>
        <v>150.94018937145512</v>
      </c>
      <c r="L136">
        <f t="shared" ca="1" si="33"/>
        <v>144.02481062854491</v>
      </c>
      <c r="M136">
        <f t="shared" ca="1" si="42"/>
        <v>1.7699999999999818</v>
      </c>
      <c r="N136">
        <f t="shared" ca="1" si="43"/>
        <v>1.7699999999999818</v>
      </c>
      <c r="O136">
        <f t="shared" ca="1" si="44"/>
        <v>0</v>
      </c>
      <c r="P136">
        <f t="shared" ca="1" si="28"/>
        <v>0.58206480586135634</v>
      </c>
      <c r="Q136">
        <f t="shared" ca="1" si="29"/>
        <v>0.34086075491867085</v>
      </c>
      <c r="R136">
        <f t="shared" ca="1" si="26"/>
        <v>1.7076322148034808</v>
      </c>
      <c r="S136">
        <f t="shared" ca="1" si="27"/>
        <v>63.067362157508541</v>
      </c>
      <c r="T136">
        <f>70</f>
        <v>70</v>
      </c>
      <c r="U136">
        <f>30</f>
        <v>30</v>
      </c>
      <c r="V136">
        <f t="shared" ca="1" si="25"/>
        <v>148.43359732076124</v>
      </c>
      <c r="W136">
        <f t="shared" ca="1" si="35"/>
        <v>147.87462426868851</v>
      </c>
      <c r="X136">
        <f t="shared" ca="1" si="34"/>
        <v>1.1674231251918172</v>
      </c>
      <c r="Y136">
        <f t="shared" ca="1" si="36"/>
        <v>0.23823534584518877</v>
      </c>
      <c r="Z136">
        <f t="shared" ca="1" si="37"/>
        <v>0.92918777934662844</v>
      </c>
      <c r="AA136">
        <f t="shared" ca="1" si="38"/>
        <v>151.32020000000003</v>
      </c>
    </row>
    <row r="137" spans="1:27" x14ac:dyDescent="0.25">
      <c r="A137" vm="400">
        <f ca="1"/>
        <v>45490</v>
      </c>
      <c r="B137" vm="401">
        <f ca="1"/>
        <v>156.58000000000001</v>
      </c>
      <c r="C137" vm="402">
        <f ca="1"/>
        <v>13801429</v>
      </c>
      <c r="D137">
        <f t="shared" ca="1" si="39"/>
        <v>2161027752.8200002</v>
      </c>
      <c r="E137">
        <f ca="1">SUM($D$2:D137)/SUM($C$2:C137)</f>
        <v>153.21239707660155</v>
      </c>
      <c r="F137">
        <f ca="1">_xlfn.STDEV.P($B$2:B137)</f>
        <v>5.8708902064856412</v>
      </c>
      <c r="G137">
        <f t="shared" ca="1" si="40"/>
        <v>159.0832872830872</v>
      </c>
      <c r="H137">
        <f t="shared" ca="1" si="41"/>
        <v>147.34150687011589</v>
      </c>
      <c r="I137">
        <f t="shared" ca="1" si="30"/>
        <v>148.01399999999998</v>
      </c>
      <c r="J137">
        <f t="shared" ca="1" si="31"/>
        <v>2.631342263040513</v>
      </c>
      <c r="K137">
        <f t="shared" ca="1" si="32"/>
        <v>153.276684526081</v>
      </c>
      <c r="L137">
        <f t="shared" ca="1" si="33"/>
        <v>142.75131547391896</v>
      </c>
      <c r="M137">
        <f t="shared" ca="1" si="42"/>
        <v>5.5700000000000216</v>
      </c>
      <c r="N137">
        <f t="shared" ca="1" si="43"/>
        <v>5.5700000000000216</v>
      </c>
      <c r="O137">
        <f t="shared" ca="1" si="44"/>
        <v>0</v>
      </c>
      <c r="P137">
        <f t="shared" ca="1" si="28"/>
        <v>0.9383458911569752</v>
      </c>
      <c r="Q137">
        <f t="shared" ca="1" si="29"/>
        <v>0.3165135581387658</v>
      </c>
      <c r="R137">
        <f t="shared" ca="1" si="26"/>
        <v>2.9646309519088145</v>
      </c>
      <c r="S137">
        <f t="shared" ca="1" si="27"/>
        <v>74.776971371861507</v>
      </c>
      <c r="T137">
        <f>70</f>
        <v>70</v>
      </c>
      <c r="U137">
        <f>30</f>
        <v>30</v>
      </c>
      <c r="V137">
        <f t="shared" ca="1" si="25"/>
        <v>149.68689004064413</v>
      </c>
      <c r="W137">
        <f t="shared" ca="1" si="35"/>
        <v>148.51946691545231</v>
      </c>
      <c r="X137">
        <f t="shared" ca="1" si="34"/>
        <v>1.5382894431604086</v>
      </c>
      <c r="Y137">
        <f t="shared" ca="1" si="36"/>
        <v>0.49824616530823279</v>
      </c>
      <c r="Z137">
        <f t="shared" ca="1" si="37"/>
        <v>1.0400432778521758</v>
      </c>
      <c r="AA137">
        <f t="shared" ca="1" si="38"/>
        <v>151.28150000000002</v>
      </c>
    </row>
    <row r="138" spans="1:27" x14ac:dyDescent="0.25">
      <c r="A138" vm="403">
        <f ca="1"/>
        <v>45491</v>
      </c>
      <c r="B138" vm="404">
        <f ca="1"/>
        <v>155.41999999999999</v>
      </c>
      <c r="C138" vm="405">
        <f ca="1"/>
        <v>10166247</v>
      </c>
      <c r="D138">
        <f t="shared" ca="1" si="39"/>
        <v>1580038108.7399998</v>
      </c>
      <c r="E138">
        <f ca="1">SUM($D$2:D138)/SUM($C$2:C138)</f>
        <v>153.23473018590511</v>
      </c>
      <c r="F138">
        <f ca="1">_xlfn.STDEV.P($B$2:B138)</f>
        <v>5.8519570031932542</v>
      </c>
      <c r="G138">
        <f t="shared" ca="1" si="40"/>
        <v>159.08668718909837</v>
      </c>
      <c r="H138">
        <f t="shared" ca="1" si="41"/>
        <v>147.38277318271184</v>
      </c>
      <c r="I138">
        <f t="shared" ca="1" si="30"/>
        <v>148.5025</v>
      </c>
      <c r="J138">
        <f t="shared" ca="1" si="31"/>
        <v>3.0439151986942914</v>
      </c>
      <c r="K138">
        <f t="shared" ca="1" si="32"/>
        <v>154.59033039738858</v>
      </c>
      <c r="L138">
        <f t="shared" ca="1" si="33"/>
        <v>142.41466960261141</v>
      </c>
      <c r="M138">
        <f t="shared" ca="1" si="42"/>
        <v>-1.160000000000025</v>
      </c>
      <c r="N138">
        <f t="shared" ca="1" si="43"/>
        <v>0</v>
      </c>
      <c r="O138">
        <f t="shared" ca="1" si="44"/>
        <v>1.160000000000025</v>
      </c>
      <c r="P138">
        <f t="shared" ca="1" si="28"/>
        <v>0.87132118464576269</v>
      </c>
      <c r="Q138">
        <f t="shared" ca="1" si="29"/>
        <v>0.37676258970028431</v>
      </c>
      <c r="R138">
        <f t="shared" ca="1" si="26"/>
        <v>2.312653136127186</v>
      </c>
      <c r="S138">
        <f t="shared" ca="1" si="27"/>
        <v>69.812716306027227</v>
      </c>
      <c r="T138">
        <f>70</f>
        <v>70</v>
      </c>
      <c r="U138">
        <f>30</f>
        <v>30</v>
      </c>
      <c r="V138">
        <f t="shared" ca="1" si="25"/>
        <v>150.5689069574681</v>
      </c>
      <c r="W138">
        <f t="shared" ca="1" si="35"/>
        <v>149.03061751430769</v>
      </c>
      <c r="X138">
        <f t="shared" ca="1" si="34"/>
        <v>1.7530902399373645</v>
      </c>
      <c r="Y138">
        <f t="shared" ca="1" si="36"/>
        <v>0.74921498023405919</v>
      </c>
      <c r="Z138">
        <f t="shared" ca="1" si="37"/>
        <v>1.0038752597033054</v>
      </c>
      <c r="AA138">
        <f t="shared" ca="1" si="38"/>
        <v>151.21730000000002</v>
      </c>
    </row>
    <row r="139" spans="1:27" x14ac:dyDescent="0.25">
      <c r="A139" vm="406">
        <f ca="1"/>
        <v>45492</v>
      </c>
      <c r="B139" vm="407">
        <f ca="1"/>
        <v>154.69</v>
      </c>
      <c r="C139" vm="408">
        <f ca="1"/>
        <v>7398036</v>
      </c>
      <c r="D139">
        <f t="shared" ca="1" si="39"/>
        <v>1144402188.8399999</v>
      </c>
      <c r="E139">
        <f ca="1">SUM($D$2:D139)/SUM($C$2:C139)</f>
        <v>153.24536529764396</v>
      </c>
      <c r="F139">
        <f ca="1">_xlfn.STDEV.P($B$2:B139)</f>
        <v>5.8317225415765774</v>
      </c>
      <c r="G139">
        <f t="shared" ca="1" si="40"/>
        <v>159.07708783922052</v>
      </c>
      <c r="H139">
        <f t="shared" ca="1" si="41"/>
        <v>147.41364275606739</v>
      </c>
      <c r="I139">
        <f t="shared" ca="1" si="30"/>
        <v>148.84800000000001</v>
      </c>
      <c r="J139">
        <f t="shared" ca="1" si="31"/>
        <v>3.3357609405698696</v>
      </c>
      <c r="K139">
        <f t="shared" ca="1" si="32"/>
        <v>155.51952188113975</v>
      </c>
      <c r="L139">
        <f t="shared" ca="1" si="33"/>
        <v>142.17647811886027</v>
      </c>
      <c r="M139">
        <f t="shared" ca="1" si="42"/>
        <v>-0.72999999999998977</v>
      </c>
      <c r="N139">
        <f t="shared" ca="1" si="43"/>
        <v>0</v>
      </c>
      <c r="O139">
        <f t="shared" ca="1" si="44"/>
        <v>0.72999999999998977</v>
      </c>
      <c r="P139">
        <f t="shared" ca="1" si="28"/>
        <v>0.80908395717106529</v>
      </c>
      <c r="Q139">
        <f t="shared" ca="1" si="29"/>
        <v>0.40199383329312038</v>
      </c>
      <c r="R139">
        <f t="shared" ca="1" si="26"/>
        <v>2.0126775342374681</v>
      </c>
      <c r="S139">
        <f t="shared" ca="1" si="27"/>
        <v>66.806935404286207</v>
      </c>
      <c r="T139">
        <f>70</f>
        <v>70</v>
      </c>
      <c r="U139">
        <f>30</f>
        <v>30</v>
      </c>
      <c r="V139">
        <f t="shared" ca="1" si="25"/>
        <v>151.20292127170376</v>
      </c>
      <c r="W139">
        <f t="shared" ca="1" si="35"/>
        <v>149.44983103176639</v>
      </c>
      <c r="X139">
        <f t="shared" ca="1" si="34"/>
        <v>1.8655057902334704</v>
      </c>
      <c r="Y139">
        <f t="shared" ca="1" si="36"/>
        <v>0.97247314223394143</v>
      </c>
      <c r="Z139">
        <f t="shared" ca="1" si="37"/>
        <v>0.89303264799952897</v>
      </c>
      <c r="AA139">
        <f t="shared" ca="1" si="38"/>
        <v>151.15630000000002</v>
      </c>
    </row>
    <row r="140" spans="1:27" x14ac:dyDescent="0.25">
      <c r="A140" vm="409">
        <f ca="1"/>
        <v>45495</v>
      </c>
      <c r="B140" vm="410">
        <f ca="1"/>
        <v>154.24</v>
      </c>
      <c r="C140" vm="411">
        <f ca="1"/>
        <v>6840609</v>
      </c>
      <c r="D140">
        <f t="shared" ca="1" si="39"/>
        <v>1055095532.1600001</v>
      </c>
      <c r="E140">
        <f ca="1">SUM($D$2:D140)/SUM($C$2:C140)</f>
        <v>153.2520412873568</v>
      </c>
      <c r="F140">
        <f ca="1">_xlfn.STDEV.P($B$2:B140)</f>
        <v>5.8111188191725951</v>
      </c>
      <c r="G140">
        <f t="shared" ca="1" si="40"/>
        <v>159.06316010652941</v>
      </c>
      <c r="H140">
        <f t="shared" ca="1" si="41"/>
        <v>147.4409224681842</v>
      </c>
      <c r="I140">
        <f t="shared" ca="1" si="30"/>
        <v>149.12250000000003</v>
      </c>
      <c r="J140">
        <f t="shared" ca="1" si="31"/>
        <v>3.5465014265358836</v>
      </c>
      <c r="K140">
        <f t="shared" ca="1" si="32"/>
        <v>156.2155028530718</v>
      </c>
      <c r="L140">
        <f t="shared" ca="1" si="33"/>
        <v>142.02949714692826</v>
      </c>
      <c r="M140">
        <f t="shared" ca="1" si="42"/>
        <v>-0.44999999999998863</v>
      </c>
      <c r="N140">
        <f t="shared" ca="1" si="43"/>
        <v>0</v>
      </c>
      <c r="O140">
        <f t="shared" ca="1" si="44"/>
        <v>0.44999999999998863</v>
      </c>
      <c r="P140">
        <f t="shared" ca="1" si="28"/>
        <v>0.75129224594456068</v>
      </c>
      <c r="Q140">
        <f t="shared" ca="1" si="29"/>
        <v>0.40542284520075383</v>
      </c>
      <c r="R140">
        <f t="shared" ca="1" si="26"/>
        <v>1.8531078227043229</v>
      </c>
      <c r="S140">
        <f t="shared" ca="1" si="27"/>
        <v>64.950500922459071</v>
      </c>
      <c r="T140">
        <f>70</f>
        <v>70</v>
      </c>
      <c r="U140">
        <f>30</f>
        <v>30</v>
      </c>
      <c r="V140">
        <f t="shared" ca="1" si="25"/>
        <v>151.67016415298011</v>
      </c>
      <c r="W140">
        <f t="shared" ca="1" si="35"/>
        <v>149.80465836274664</v>
      </c>
      <c r="X140">
        <f t="shared" ca="1" si="34"/>
        <v>1.7815520955624891</v>
      </c>
      <c r="Y140">
        <f t="shared" ca="1" si="36"/>
        <v>1.134288932899651</v>
      </c>
      <c r="Z140">
        <f t="shared" ca="1" si="37"/>
        <v>0.64726316266283801</v>
      </c>
      <c r="AA140">
        <f t="shared" ca="1" si="38"/>
        <v>151.08890000000005</v>
      </c>
    </row>
    <row r="141" spans="1:27" x14ac:dyDescent="0.25">
      <c r="A141" vm="412">
        <f ca="1"/>
        <v>45496</v>
      </c>
      <c r="B141" vm="413">
        <f ca="1"/>
        <v>152.35</v>
      </c>
      <c r="C141" vm="414">
        <f ca="1"/>
        <v>6261870</v>
      </c>
      <c r="D141">
        <f t="shared" ca="1" si="39"/>
        <v>953995894.5</v>
      </c>
      <c r="E141">
        <f ca="1">SUM($D$2:D141)/SUM($C$2:C141)</f>
        <v>153.24653286105104</v>
      </c>
      <c r="F141">
        <f ca="1">_xlfn.STDEV.P($B$2:B141)</f>
        <v>5.791038641817237</v>
      </c>
      <c r="G141">
        <f t="shared" ca="1" si="40"/>
        <v>159.03757150286827</v>
      </c>
      <c r="H141">
        <f t="shared" ca="1" si="41"/>
        <v>147.4554942192338</v>
      </c>
      <c r="I141">
        <f t="shared" ca="1" si="30"/>
        <v>149.28400000000005</v>
      </c>
      <c r="J141">
        <f t="shared" ca="1" si="31"/>
        <v>3.6191804829852101</v>
      </c>
      <c r="K141">
        <f t="shared" ca="1" si="32"/>
        <v>156.52236096597048</v>
      </c>
      <c r="L141">
        <f t="shared" ca="1" si="33"/>
        <v>142.04563903402962</v>
      </c>
      <c r="M141">
        <f t="shared" ca="1" si="42"/>
        <v>-1.8900000000000148</v>
      </c>
      <c r="N141">
        <f t="shared" ca="1" si="43"/>
        <v>0</v>
      </c>
      <c r="O141">
        <f t="shared" ca="1" si="44"/>
        <v>1.8900000000000148</v>
      </c>
      <c r="P141">
        <f t="shared" ca="1" si="28"/>
        <v>0.69762851409137772</v>
      </c>
      <c r="Q141">
        <f t="shared" ca="1" si="29"/>
        <v>0.51146407054355814</v>
      </c>
      <c r="R141">
        <f t="shared" ca="1" si="26"/>
        <v>1.3639834238013502</v>
      </c>
      <c r="S141">
        <f t="shared" ca="1" si="27"/>
        <v>57.69851895188112</v>
      </c>
      <c r="T141">
        <f>70</f>
        <v>70</v>
      </c>
      <c r="U141">
        <f>30</f>
        <v>30</v>
      </c>
      <c r="V141">
        <f t="shared" ca="1" si="25"/>
        <v>151.77475428329086</v>
      </c>
      <c r="W141">
        <f t="shared" ca="1" si="35"/>
        <v>149.99320218772837</v>
      </c>
      <c r="X141">
        <f t="shared" ca="1" si="34"/>
        <v>2.0089780943750952</v>
      </c>
      <c r="Y141">
        <f t="shared" ca="1" si="36"/>
        <v>1.30922676519474</v>
      </c>
      <c r="Z141">
        <f t="shared" ca="1" si="37"/>
        <v>0.69975132918035521</v>
      </c>
      <c r="AA141">
        <f t="shared" ca="1" si="38"/>
        <v>150.99690000000004</v>
      </c>
    </row>
    <row r="142" spans="1:27" x14ac:dyDescent="0.25">
      <c r="A142" vm="415">
        <f ca="1"/>
        <v>45497</v>
      </c>
      <c r="B142" vm="416">
        <f ca="1"/>
        <v>156.28</v>
      </c>
      <c r="C142" vm="417">
        <f ca="1"/>
        <v>7168217</v>
      </c>
      <c r="D142">
        <f t="shared" ca="1" si="39"/>
        <v>1120248952.76</v>
      </c>
      <c r="E142">
        <f ca="1">SUM($D$2:D142)/SUM($C$2:C142)</f>
        <v>153.26759110467435</v>
      </c>
      <c r="F142">
        <f ca="1">_xlfn.STDEV.P($B$2:B142)</f>
        <v>5.7754557691651005</v>
      </c>
      <c r="G142">
        <f t="shared" ca="1" si="40"/>
        <v>159.04304687383944</v>
      </c>
      <c r="H142">
        <f t="shared" ca="1" si="41"/>
        <v>147.49213533550926</v>
      </c>
      <c r="I142">
        <f t="shared" ca="1" si="30"/>
        <v>149.73850000000002</v>
      </c>
      <c r="J142">
        <f t="shared" ca="1" si="31"/>
        <v>3.9020821365009741</v>
      </c>
      <c r="K142">
        <f t="shared" ca="1" si="32"/>
        <v>157.54266427300198</v>
      </c>
      <c r="L142">
        <f t="shared" ca="1" si="33"/>
        <v>141.93433572699806</v>
      </c>
      <c r="M142">
        <f t="shared" ca="1" si="42"/>
        <v>3.9300000000000068</v>
      </c>
      <c r="N142">
        <f t="shared" ca="1" si="43"/>
        <v>3.9300000000000068</v>
      </c>
      <c r="O142">
        <f t="shared" ca="1" si="44"/>
        <v>0</v>
      </c>
      <c r="P142">
        <f t="shared" ca="1" si="28"/>
        <v>0.92851219165627974</v>
      </c>
      <c r="Q142">
        <f t="shared" ca="1" si="29"/>
        <v>0.47493092264758968</v>
      </c>
      <c r="R142">
        <f t="shared" ca="1" si="26"/>
        <v>1.9550468233993228</v>
      </c>
      <c r="S142">
        <f t="shared" ca="1" si="27"/>
        <v>66.159588671097424</v>
      </c>
      <c r="T142">
        <f>70</f>
        <v>70</v>
      </c>
      <c r="U142">
        <f>30</f>
        <v>30</v>
      </c>
      <c r="V142">
        <f t="shared" ca="1" si="25"/>
        <v>152.46786900893841</v>
      </c>
      <c r="W142">
        <f t="shared" ca="1" si="35"/>
        <v>150.45889091456331</v>
      </c>
      <c r="X142">
        <f t="shared" ca="1" si="34"/>
        <v>2.4323007077539387</v>
      </c>
      <c r="Y142">
        <f t="shared" ca="1" si="36"/>
        <v>1.5338415537065799</v>
      </c>
      <c r="Z142">
        <f t="shared" ca="1" si="37"/>
        <v>0.89845915404735877</v>
      </c>
      <c r="AA142">
        <f t="shared" ca="1" si="38"/>
        <v>150.94590000000005</v>
      </c>
    </row>
    <row r="143" spans="1:27" x14ac:dyDescent="0.25">
      <c r="A143" vm="418">
        <f ca="1"/>
        <v>45498</v>
      </c>
      <c r="B143" vm="419">
        <f ca="1"/>
        <v>159.63999999999999</v>
      </c>
      <c r="C143" vm="420">
        <f ca="1"/>
        <v>10019578</v>
      </c>
      <c r="D143">
        <f t="shared" ca="1" si="39"/>
        <v>1599525431.9199998</v>
      </c>
      <c r="E143">
        <f ca="1">SUM($D$2:D143)/SUM($C$2:C143)</f>
        <v>153.32883051227972</v>
      </c>
      <c r="F143">
        <f ca="1">_xlfn.STDEV.P($B$2:B143)</f>
        <v>5.7783885531329577</v>
      </c>
      <c r="G143">
        <f t="shared" ca="1" si="40"/>
        <v>159.10721906541269</v>
      </c>
      <c r="H143">
        <f t="shared" ca="1" si="41"/>
        <v>147.55044195914675</v>
      </c>
      <c r="I143">
        <f t="shared" ca="1" si="30"/>
        <v>150.37950000000004</v>
      </c>
      <c r="J143">
        <f t="shared" ca="1" si="31"/>
        <v>4.416494769908776</v>
      </c>
      <c r="K143">
        <f t="shared" ca="1" si="32"/>
        <v>159.2124895398176</v>
      </c>
      <c r="L143">
        <f t="shared" ca="1" si="33"/>
        <v>141.54651046018247</v>
      </c>
      <c r="M143">
        <f t="shared" ca="1" si="42"/>
        <v>3.3599999999999852</v>
      </c>
      <c r="N143">
        <f t="shared" ca="1" si="43"/>
        <v>3.3599999999999852</v>
      </c>
      <c r="O143">
        <f t="shared" ca="1" si="44"/>
        <v>0</v>
      </c>
      <c r="P143">
        <f t="shared" ca="1" si="28"/>
        <v>1.1021898922522586</v>
      </c>
      <c r="Q143">
        <f t="shared" ca="1" si="29"/>
        <v>0.441007285315619</v>
      </c>
      <c r="R143">
        <f t="shared" ca="1" si="26"/>
        <v>2.4992555201518862</v>
      </c>
      <c r="S143">
        <f t="shared" ca="1" si="27"/>
        <v>71.422492749069249</v>
      </c>
      <c r="T143">
        <f>70</f>
        <v>70</v>
      </c>
      <c r="U143">
        <f>30</f>
        <v>30</v>
      </c>
      <c r="V143">
        <f t="shared" ref="V143:V206" ca="1" si="45">B143*(2/(12+1)) + V142*(1-(2/(12+1)))</f>
        <v>153.57127377679404</v>
      </c>
      <c r="W143">
        <f t="shared" ca="1" si="35"/>
        <v>151.13897306904011</v>
      </c>
      <c r="X143">
        <f t="shared" ca="1" si="34"/>
        <v>2.8160172771219436</v>
      </c>
      <c r="Y143">
        <f t="shared" ca="1" si="36"/>
        <v>1.7902766983896528</v>
      </c>
      <c r="Z143">
        <f t="shared" ca="1" si="37"/>
        <v>1.0257405787322909</v>
      </c>
      <c r="AA143">
        <f t="shared" ca="1" si="38"/>
        <v>150.92110000000005</v>
      </c>
    </row>
    <row r="144" spans="1:27" x14ac:dyDescent="0.25">
      <c r="A144" vm="421">
        <f ca="1"/>
        <v>45499</v>
      </c>
      <c r="B144" vm="422">
        <f ca="1"/>
        <v>160.63999999999999</v>
      </c>
      <c r="C144" vm="423">
        <f ca="1"/>
        <v>8356878</v>
      </c>
      <c r="D144">
        <f t="shared" ca="1" si="39"/>
        <v>1342448881.9199998</v>
      </c>
      <c r="E144">
        <f ca="1">SUM($D$2:D144)/SUM($C$2:C144)</f>
        <v>153.38696604917868</v>
      </c>
      <c r="F144">
        <f ca="1">_xlfn.STDEV.P($B$2:B144)</f>
        <v>5.7889459314550864</v>
      </c>
      <c r="G144">
        <f t="shared" ca="1" si="40"/>
        <v>159.17591198063377</v>
      </c>
      <c r="H144">
        <f t="shared" ca="1" si="41"/>
        <v>147.59802011772359</v>
      </c>
      <c r="I144">
        <f t="shared" ca="1" si="30"/>
        <v>151.12150000000003</v>
      </c>
      <c r="J144">
        <f t="shared" ca="1" si="31"/>
        <v>4.8335333866644588</v>
      </c>
      <c r="K144">
        <f t="shared" ca="1" si="32"/>
        <v>160.78856677332894</v>
      </c>
      <c r="L144">
        <f t="shared" ca="1" si="33"/>
        <v>141.45443322667111</v>
      </c>
      <c r="M144">
        <f t="shared" ca="1" si="42"/>
        <v>1</v>
      </c>
      <c r="N144">
        <f t="shared" ca="1" si="43"/>
        <v>1</v>
      </c>
      <c r="O144">
        <f t="shared" ca="1" si="44"/>
        <v>0</v>
      </c>
      <c r="P144">
        <f t="shared" ca="1" si="28"/>
        <v>1.0948906142342401</v>
      </c>
      <c r="Q144">
        <f t="shared" ca="1" si="29"/>
        <v>0.40950676493593191</v>
      </c>
      <c r="R144">
        <f t="shared" ref="R144:R207" ca="1" si="46">IF(Q144=0,NA(),P144/Q144)</f>
        <v>2.6736813844956573</v>
      </c>
      <c r="S144">
        <f t="shared" ref="S144:S207" ca="1" si="47">100-(100/(1+R144))</f>
        <v>72.779348687657475</v>
      </c>
      <c r="T144">
        <f>70</f>
        <v>70</v>
      </c>
      <c r="U144">
        <f>30</f>
        <v>30</v>
      </c>
      <c r="V144">
        <f t="shared" ca="1" si="45"/>
        <v>154.65877011882574</v>
      </c>
      <c r="W144">
        <f t="shared" ca="1" si="35"/>
        <v>151.8427528417038</v>
      </c>
      <c r="X144">
        <f t="shared" ca="1" si="34"/>
        <v>2.9186326260327746</v>
      </c>
      <c r="Y144">
        <f t="shared" ca="1" si="36"/>
        <v>2.0159478839182774</v>
      </c>
      <c r="Z144">
        <f t="shared" ca="1" si="37"/>
        <v>0.90268474211449723</v>
      </c>
      <c r="AA144">
        <f t="shared" ca="1" si="38"/>
        <v>150.92910000000003</v>
      </c>
    </row>
    <row r="145" spans="1:27" x14ac:dyDescent="0.25">
      <c r="A145" vm="424">
        <f ca="1"/>
        <v>45502</v>
      </c>
      <c r="B145" vm="425">
        <f ca="1"/>
        <v>158.56</v>
      </c>
      <c r="C145" vm="426">
        <f ca="1"/>
        <v>5625204</v>
      </c>
      <c r="D145">
        <f t="shared" ca="1" si="39"/>
        <v>891932346.24000001</v>
      </c>
      <c r="E145">
        <f ca="1">SUM($D$2:D145)/SUM($C$2:C145)</f>
        <v>153.41450681787367</v>
      </c>
      <c r="F145">
        <f ca="1">_xlfn.STDEV.P($B$2:B145)</f>
        <v>5.7838903280049214</v>
      </c>
      <c r="G145">
        <f t="shared" ca="1" si="40"/>
        <v>159.1983971458786</v>
      </c>
      <c r="H145">
        <f t="shared" ca="1" si="41"/>
        <v>147.63061648986874</v>
      </c>
      <c r="I145">
        <f t="shared" ca="1" si="30"/>
        <v>151.74150000000003</v>
      </c>
      <c r="J145">
        <f t="shared" ca="1" si="31"/>
        <v>4.9573159917545357</v>
      </c>
      <c r="K145">
        <f t="shared" ca="1" si="32"/>
        <v>161.65613198350911</v>
      </c>
      <c r="L145">
        <f t="shared" ca="1" si="33"/>
        <v>141.82686801649095</v>
      </c>
      <c r="M145">
        <f t="shared" ca="1" si="42"/>
        <v>-2.0799999999999841</v>
      </c>
      <c r="N145">
        <f t="shared" ca="1" si="43"/>
        <v>0</v>
      </c>
      <c r="O145">
        <f t="shared" ca="1" si="44"/>
        <v>2.0799999999999841</v>
      </c>
      <c r="P145">
        <f t="shared" ref="P145:P208" ca="1" si="48">(P144*13+N145)/14</f>
        <v>1.0166841417889372</v>
      </c>
      <c r="Q145">
        <f t="shared" ref="Q145:Q208" ca="1" si="49">(Q144*13+O145)/14</f>
        <v>0.52882771029764997</v>
      </c>
      <c r="R145">
        <f t="shared" ca="1" si="46"/>
        <v>1.9225243344693452</v>
      </c>
      <c r="S145">
        <f t="shared" ca="1" si="47"/>
        <v>65.78300518474299</v>
      </c>
      <c r="T145">
        <f>70</f>
        <v>70</v>
      </c>
      <c r="U145">
        <f>30</f>
        <v>30</v>
      </c>
      <c r="V145">
        <f t="shared" ca="1" si="45"/>
        <v>155.25895933131409</v>
      </c>
      <c r="W145">
        <f t="shared" ca="1" si="35"/>
        <v>152.34032670528131</v>
      </c>
      <c r="X145">
        <f t="shared" ca="1" si="34"/>
        <v>3.1867371572189427</v>
      </c>
      <c r="Y145">
        <f t="shared" ca="1" si="36"/>
        <v>2.2501057385784105</v>
      </c>
      <c r="Z145">
        <f t="shared" ca="1" si="37"/>
        <v>0.93663141864053223</v>
      </c>
      <c r="AA145">
        <f t="shared" ca="1" si="38"/>
        <v>150.91500000000005</v>
      </c>
    </row>
    <row r="146" spans="1:27" x14ac:dyDescent="0.25">
      <c r="A146" vm="427">
        <f ca="1"/>
        <v>45503</v>
      </c>
      <c r="B146" vm="428">
        <f ca="1"/>
        <v>161.33000000000001</v>
      </c>
      <c r="C146" vm="429">
        <f ca="1"/>
        <v>6545677</v>
      </c>
      <c r="D146">
        <f t="shared" ca="1" si="39"/>
        <v>1056014070.4100001</v>
      </c>
      <c r="E146">
        <f ca="1">SUM($D$2:D146)/SUM($C$2:C146)</f>
        <v>153.46324202455841</v>
      </c>
      <c r="F146">
        <f ca="1">_xlfn.STDEV.P($B$2:B146)</f>
        <v>5.7995893724829664</v>
      </c>
      <c r="G146">
        <f t="shared" ca="1" si="40"/>
        <v>159.26283139704137</v>
      </c>
      <c r="H146">
        <f t="shared" ca="1" si="41"/>
        <v>147.66365265207546</v>
      </c>
      <c r="I146">
        <f t="shared" ca="1" si="30"/>
        <v>152.48599999999999</v>
      </c>
      <c r="J146">
        <f t="shared" ca="1" si="31"/>
        <v>5.2298358633799147</v>
      </c>
      <c r="K146">
        <f t="shared" ca="1" si="32"/>
        <v>162.94567172675983</v>
      </c>
      <c r="L146">
        <f t="shared" ca="1" si="33"/>
        <v>142.02632827324015</v>
      </c>
      <c r="M146">
        <f t="shared" ca="1" si="42"/>
        <v>2.7700000000000102</v>
      </c>
      <c r="N146">
        <f t="shared" ca="1" si="43"/>
        <v>2.7700000000000102</v>
      </c>
      <c r="O146">
        <f t="shared" ca="1" si="44"/>
        <v>0</v>
      </c>
      <c r="P146">
        <f t="shared" ca="1" si="48"/>
        <v>1.1419209888040138</v>
      </c>
      <c r="Q146">
        <f t="shared" ca="1" si="49"/>
        <v>0.49105430241924636</v>
      </c>
      <c r="R146">
        <f t="shared" ca="1" si="46"/>
        <v>2.3254474773526748</v>
      </c>
      <c r="S146">
        <f t="shared" ca="1" si="47"/>
        <v>69.928858993855442</v>
      </c>
      <c r="T146">
        <f>70</f>
        <v>70</v>
      </c>
      <c r="U146">
        <f>30</f>
        <v>30</v>
      </c>
      <c r="V146">
        <f t="shared" ca="1" si="45"/>
        <v>156.19296558803498</v>
      </c>
      <c r="W146">
        <f t="shared" ca="1" si="35"/>
        <v>153.00622843081604</v>
      </c>
      <c r="X146">
        <f t="shared" ca="1" si="34"/>
        <v>3.0828676342768517</v>
      </c>
      <c r="Y146">
        <f t="shared" ca="1" si="36"/>
        <v>2.4166581177180988</v>
      </c>
      <c r="Z146">
        <f t="shared" ca="1" si="37"/>
        <v>0.66620951655875293</v>
      </c>
      <c r="AA146">
        <f t="shared" ca="1" si="38"/>
        <v>150.93490000000003</v>
      </c>
    </row>
    <row r="147" spans="1:27" x14ac:dyDescent="0.25">
      <c r="A147" vm="430">
        <f ca="1"/>
        <v>45504</v>
      </c>
      <c r="B147" vm="86">
        <f ca="1"/>
        <v>157.85</v>
      </c>
      <c r="C147" vm="431">
        <f ca="1"/>
        <v>8293239</v>
      </c>
      <c r="D147">
        <f t="shared" ca="1" si="39"/>
        <v>1309087776.1499999</v>
      </c>
      <c r="E147">
        <f ca="1">SUM($D$2:D147)/SUM($C$2:C147)</f>
        <v>153.49719700271089</v>
      </c>
      <c r="F147">
        <f ca="1">_xlfn.STDEV.P($B$2:B147)</f>
        <v>5.7902022689739843</v>
      </c>
      <c r="G147">
        <f t="shared" ca="1" si="40"/>
        <v>159.28739927168488</v>
      </c>
      <c r="H147">
        <f t="shared" ca="1" si="41"/>
        <v>147.70699473373691</v>
      </c>
      <c r="I147">
        <f t="shared" ca="1" si="30"/>
        <v>153.077</v>
      </c>
      <c r="J147">
        <f t="shared" ca="1" si="31"/>
        <v>5.1287600840749024</v>
      </c>
      <c r="K147">
        <f t="shared" ca="1" si="32"/>
        <v>163.33452016814979</v>
      </c>
      <c r="L147">
        <f t="shared" ca="1" si="33"/>
        <v>142.8194798318502</v>
      </c>
      <c r="M147">
        <f t="shared" ca="1" si="42"/>
        <v>-3.4800000000000182</v>
      </c>
      <c r="N147">
        <f t="shared" ca="1" si="43"/>
        <v>0</v>
      </c>
      <c r="O147">
        <f t="shared" ca="1" si="44"/>
        <v>3.4800000000000182</v>
      </c>
      <c r="P147">
        <f t="shared" ca="1" si="48"/>
        <v>1.0603552038894415</v>
      </c>
      <c r="Q147">
        <f t="shared" ca="1" si="49"/>
        <v>0.70455042367501564</v>
      </c>
      <c r="R147">
        <f t="shared" ca="1" si="46"/>
        <v>1.5050096746213102</v>
      </c>
      <c r="S147">
        <f t="shared" ca="1" si="47"/>
        <v>60.079994495383616</v>
      </c>
      <c r="T147">
        <f>70</f>
        <v>70</v>
      </c>
      <c r="U147">
        <f>30</f>
        <v>30</v>
      </c>
      <c r="V147">
        <f t="shared" ca="1" si="45"/>
        <v>156.44789395910652</v>
      </c>
      <c r="W147">
        <f t="shared" ca="1" si="35"/>
        <v>153.36502632482967</v>
      </c>
      <c r="X147">
        <f t="shared" ca="1" si="34"/>
        <v>3.1984927358546997</v>
      </c>
      <c r="Y147">
        <f t="shared" ca="1" si="36"/>
        <v>2.573025041345419</v>
      </c>
      <c r="Z147">
        <f t="shared" ca="1" si="37"/>
        <v>0.62546769450928075</v>
      </c>
      <c r="AA147">
        <f t="shared" ca="1" si="38"/>
        <v>150.92470000000003</v>
      </c>
    </row>
    <row r="148" spans="1:27" x14ac:dyDescent="0.25">
      <c r="A148" vm="432">
        <f ca="1"/>
        <v>45505</v>
      </c>
      <c r="B148" vm="433">
        <f ca="1"/>
        <v>160.76</v>
      </c>
      <c r="C148" vm="434">
        <f ca="1"/>
        <v>7213419</v>
      </c>
      <c r="D148">
        <f t="shared" ca="1" si="39"/>
        <v>1159629238.4399998</v>
      </c>
      <c r="E148">
        <f ca="1">SUM($D$2:D148)/SUM($C$2:C148)</f>
        <v>153.54576687165044</v>
      </c>
      <c r="F148">
        <f ca="1">_xlfn.STDEV.P($B$2:B148)</f>
        <v>5.7999832133877449</v>
      </c>
      <c r="G148">
        <f t="shared" ca="1" si="40"/>
        <v>159.34575008503819</v>
      </c>
      <c r="H148">
        <f t="shared" ca="1" si="41"/>
        <v>147.7457836582627</v>
      </c>
      <c r="I148">
        <f t="shared" ca="1" si="30"/>
        <v>153.83049999999997</v>
      </c>
      <c r="J148">
        <f t="shared" ca="1" si="31"/>
        <v>5.0932612600531195</v>
      </c>
      <c r="K148">
        <f t="shared" ca="1" si="32"/>
        <v>164.01702252010622</v>
      </c>
      <c r="L148">
        <f t="shared" ca="1" si="33"/>
        <v>143.64397747989372</v>
      </c>
      <c r="M148">
        <f t="shared" ca="1" si="42"/>
        <v>2.9099999999999966</v>
      </c>
      <c r="N148">
        <f t="shared" ca="1" si="43"/>
        <v>2.9099999999999966</v>
      </c>
      <c r="O148">
        <f t="shared" ca="1" si="44"/>
        <v>0</v>
      </c>
      <c r="P148">
        <f t="shared" ca="1" si="48"/>
        <v>1.1924726893259094</v>
      </c>
      <c r="Q148">
        <f t="shared" ca="1" si="49"/>
        <v>0.65422539341251451</v>
      </c>
      <c r="R148">
        <f t="shared" ca="1" si="46"/>
        <v>1.8227245553796612</v>
      </c>
      <c r="S148">
        <f t="shared" ca="1" si="47"/>
        <v>64.573234816901987</v>
      </c>
      <c r="T148">
        <f>70</f>
        <v>70</v>
      </c>
      <c r="U148">
        <f>30</f>
        <v>30</v>
      </c>
      <c r="V148">
        <f t="shared" ca="1" si="45"/>
        <v>157.11129488847476</v>
      </c>
      <c r="W148">
        <f t="shared" ca="1" si="35"/>
        <v>153.91280215262006</v>
      </c>
      <c r="X148">
        <f t="shared" ca="1" si="34"/>
        <v>3.5222617728645957</v>
      </c>
      <c r="Y148">
        <f t="shared" ca="1" si="36"/>
        <v>2.7628723876492547</v>
      </c>
      <c r="Z148">
        <f t="shared" ca="1" si="37"/>
        <v>0.75938938521534105</v>
      </c>
      <c r="AA148">
        <f t="shared" ca="1" si="38"/>
        <v>150.93710000000002</v>
      </c>
    </row>
    <row r="149" spans="1:27" x14ac:dyDescent="0.25">
      <c r="A149" vm="435">
        <f ca="1"/>
        <v>45506</v>
      </c>
      <c r="B149" vm="436">
        <f ca="1"/>
        <v>164.14</v>
      </c>
      <c r="C149" vm="437">
        <f ca="1"/>
        <v>11280357</v>
      </c>
      <c r="D149">
        <f t="shared" ca="1" si="39"/>
        <v>1851557797.9799998</v>
      </c>
      <c r="E149">
        <f ca="1">SUM($D$2:D149)/SUM($C$2:C149)</f>
        <v>153.65541359441366</v>
      </c>
      <c r="F149">
        <f ca="1">_xlfn.STDEV.P($B$2:B149)</f>
        <v>5.8432896356010176</v>
      </c>
      <c r="G149">
        <f t="shared" ca="1" si="40"/>
        <v>159.49870323001468</v>
      </c>
      <c r="H149">
        <f t="shared" ca="1" si="41"/>
        <v>147.81212395881263</v>
      </c>
      <c r="I149">
        <f t="shared" ca="1" si="30"/>
        <v>154.71349999999995</v>
      </c>
      <c r="J149">
        <f t="shared" ca="1" si="31"/>
        <v>5.2792895006410596</v>
      </c>
      <c r="K149">
        <f t="shared" ca="1" si="32"/>
        <v>165.27207900128207</v>
      </c>
      <c r="L149">
        <f t="shared" ca="1" si="33"/>
        <v>144.15492099871784</v>
      </c>
      <c r="M149">
        <f t="shared" ca="1" si="42"/>
        <v>3.3799999999999955</v>
      </c>
      <c r="N149">
        <f t="shared" ca="1" si="43"/>
        <v>3.3799999999999955</v>
      </c>
      <c r="O149">
        <f t="shared" ca="1" si="44"/>
        <v>0</v>
      </c>
      <c r="P149">
        <f t="shared" ca="1" si="48"/>
        <v>1.3487246400883441</v>
      </c>
      <c r="Q149">
        <f t="shared" ca="1" si="49"/>
        <v>0.60749500816876345</v>
      </c>
      <c r="R149">
        <f t="shared" ca="1" si="46"/>
        <v>2.220141107256087</v>
      </c>
      <c r="S149">
        <f t="shared" ca="1" si="47"/>
        <v>68.945460254935554</v>
      </c>
      <c r="T149">
        <f>70</f>
        <v>70</v>
      </c>
      <c r="U149">
        <f>30</f>
        <v>30</v>
      </c>
      <c r="V149">
        <f t="shared" ca="1" si="45"/>
        <v>158.19263413640169</v>
      </c>
      <c r="W149">
        <f t="shared" ca="1" si="35"/>
        <v>154.6703723635371</v>
      </c>
      <c r="X149">
        <f t="shared" ca="1" si="34"/>
        <v>3.5052459269565475</v>
      </c>
      <c r="Y149">
        <f t="shared" ca="1" si="36"/>
        <v>2.9113470955107137</v>
      </c>
      <c r="Z149">
        <f t="shared" ca="1" si="37"/>
        <v>0.59389883144583377</v>
      </c>
      <c r="AA149">
        <f t="shared" ca="1" si="38"/>
        <v>150.96620000000001</v>
      </c>
    </row>
    <row r="150" spans="1:27" x14ac:dyDescent="0.25">
      <c r="A150" vm="438">
        <f ca="1"/>
        <v>45509</v>
      </c>
      <c r="B150" vm="439">
        <f ca="1"/>
        <v>161.25</v>
      </c>
      <c r="C150" vm="440">
        <f ca="1"/>
        <v>12032209</v>
      </c>
      <c r="D150">
        <f t="shared" ca="1" si="39"/>
        <v>1940193701.25</v>
      </c>
      <c r="E150">
        <f ca="1">SUM($D$2:D150)/SUM($C$2:C150)</f>
        <v>153.7383384388088</v>
      </c>
      <c r="F150">
        <f ca="1">_xlfn.STDEV.P($B$2:B150)</f>
        <v>5.8555829398314234</v>
      </c>
      <c r="G150">
        <f t="shared" ca="1" si="40"/>
        <v>159.59392137864023</v>
      </c>
      <c r="H150">
        <f t="shared" ca="1" si="41"/>
        <v>147.88275549897736</v>
      </c>
      <c r="I150">
        <f t="shared" ref="I150:I213" ca="1" si="50">AVERAGE(B131:B150)</f>
        <v>155.50199999999998</v>
      </c>
      <c r="J150">
        <f t="shared" ref="J150:J213" ca="1" si="51">_xlfn.STDEV.S(B131:B150)</f>
        <v>4.9977927759741023</v>
      </c>
      <c r="K150">
        <f t="shared" ref="K150:K213" ca="1" si="52">I150 + 2*J150</f>
        <v>165.49758555194819</v>
      </c>
      <c r="L150">
        <f t="shared" ref="L150:L213" ca="1" si="53">I150-2*J150</f>
        <v>145.50641444805177</v>
      </c>
      <c r="M150">
        <f t="shared" ca="1" si="42"/>
        <v>-2.8899999999999864</v>
      </c>
      <c r="N150">
        <f t="shared" ca="1" si="43"/>
        <v>0</v>
      </c>
      <c r="O150">
        <f t="shared" ca="1" si="44"/>
        <v>2.8899999999999864</v>
      </c>
      <c r="P150">
        <f t="shared" ca="1" si="48"/>
        <v>1.2523871657963195</v>
      </c>
      <c r="Q150">
        <f t="shared" ca="1" si="49"/>
        <v>0.77053107901385076</v>
      </c>
      <c r="R150">
        <f t="shared" ca="1" si="46"/>
        <v>1.6253558096568446</v>
      </c>
      <c r="S150">
        <f t="shared" ca="1" si="47"/>
        <v>61.909924882497805</v>
      </c>
      <c r="T150">
        <f>70</f>
        <v>70</v>
      </c>
      <c r="U150">
        <f>30</f>
        <v>30</v>
      </c>
      <c r="V150">
        <f t="shared" ca="1" si="45"/>
        <v>158.66299811541683</v>
      </c>
      <c r="W150">
        <f t="shared" ca="1" si="35"/>
        <v>155.15775218846028</v>
      </c>
      <c r="X150">
        <f t="shared" ca="1" si="34"/>
        <v>3.2700882593424865</v>
      </c>
      <c r="Y150">
        <f t="shared" ca="1" si="36"/>
        <v>2.9830953282770687</v>
      </c>
      <c r="Z150">
        <f t="shared" ca="1" si="37"/>
        <v>0.28699293106541779</v>
      </c>
      <c r="AA150">
        <f t="shared" ca="1" si="38"/>
        <v>150.9513</v>
      </c>
    </row>
    <row r="151" spans="1:27" x14ac:dyDescent="0.25">
      <c r="A151" vm="441">
        <f ca="1"/>
        <v>45510</v>
      </c>
      <c r="B151" vm="442">
        <f ca="1"/>
        <v>158.97</v>
      </c>
      <c r="C151" vm="443">
        <f ca="1"/>
        <v>7607144</v>
      </c>
      <c r="D151">
        <f t="shared" ca="1" si="39"/>
        <v>1209307681.6800001</v>
      </c>
      <c r="E151">
        <f ca="1">SUM($D$2:D151)/SUM($C$2:C151)</f>
        <v>153.77420656465904</v>
      </c>
      <c r="F151">
        <f ca="1">_xlfn.STDEV.P($B$2:B151)</f>
        <v>5.8510580999413166</v>
      </c>
      <c r="G151">
        <f t="shared" ca="1" si="40"/>
        <v>159.62526466460037</v>
      </c>
      <c r="H151">
        <f t="shared" ca="1" si="41"/>
        <v>147.92314846471771</v>
      </c>
      <c r="I151">
        <f t="shared" ca="1" si="50"/>
        <v>156.09799999999996</v>
      </c>
      <c r="J151">
        <f t="shared" ca="1" si="51"/>
        <v>4.6343518254557727</v>
      </c>
      <c r="K151">
        <f t="shared" ca="1" si="52"/>
        <v>165.36670365091149</v>
      </c>
      <c r="L151">
        <f t="shared" ca="1" si="53"/>
        <v>146.82929634908842</v>
      </c>
      <c r="M151">
        <f t="shared" ca="1" si="42"/>
        <v>-2.2800000000000011</v>
      </c>
      <c r="N151">
        <f t="shared" ca="1" si="43"/>
        <v>0</v>
      </c>
      <c r="O151">
        <f t="shared" ca="1" si="44"/>
        <v>2.2800000000000011</v>
      </c>
      <c r="P151">
        <f t="shared" ca="1" si="48"/>
        <v>1.162930939668011</v>
      </c>
      <c r="Q151">
        <f t="shared" ca="1" si="49"/>
        <v>0.87835028765571865</v>
      </c>
      <c r="R151">
        <f t="shared" ca="1" si="46"/>
        <v>1.3239944883172141</v>
      </c>
      <c r="S151">
        <f t="shared" ca="1" si="47"/>
        <v>56.970638053273007</v>
      </c>
      <c r="T151">
        <f>70</f>
        <v>70</v>
      </c>
      <c r="U151">
        <f>30</f>
        <v>30</v>
      </c>
      <c r="V151">
        <f t="shared" ca="1" si="45"/>
        <v>158.71022917458347</v>
      </c>
      <c r="W151">
        <f t="shared" ca="1" si="35"/>
        <v>155.44014091524099</v>
      </c>
      <c r="X151">
        <f t="shared" ca="1" si="34"/>
        <v>3.0429979128147124</v>
      </c>
      <c r="Y151">
        <f t="shared" ca="1" si="36"/>
        <v>2.9950758451845978</v>
      </c>
      <c r="Z151">
        <f t="shared" ca="1" si="37"/>
        <v>4.792206763011464E-2</v>
      </c>
      <c r="AA151">
        <f t="shared" ca="1" si="38"/>
        <v>150.93</v>
      </c>
    </row>
    <row r="152" spans="1:27" x14ac:dyDescent="0.25">
      <c r="A152" vm="444">
        <f ca="1"/>
        <v>45511</v>
      </c>
      <c r="B152" vm="62">
        <f ca="1"/>
        <v>158.9</v>
      </c>
      <c r="C152" vm="445">
        <f ca="1"/>
        <v>5993028</v>
      </c>
      <c r="D152">
        <f t="shared" ca="1" si="39"/>
        <v>952292149.20000005</v>
      </c>
      <c r="E152">
        <f ca="1">SUM($D$2:D152)/SUM($C$2:C152)</f>
        <v>153.80174348673197</v>
      </c>
      <c r="F152">
        <f ca="1">_xlfn.STDEV.P($B$2:B152)</f>
        <v>5.8459919722301921</v>
      </c>
      <c r="G152">
        <f t="shared" ca="1" si="40"/>
        <v>159.64773545896216</v>
      </c>
      <c r="H152">
        <f t="shared" ca="1" si="41"/>
        <v>147.95575151450177</v>
      </c>
      <c r="I152">
        <f t="shared" ca="1" si="50"/>
        <v>156.57149999999996</v>
      </c>
      <c r="J152">
        <f t="shared" ca="1" si="51"/>
        <v>4.3948058756002544</v>
      </c>
      <c r="K152">
        <f t="shared" ca="1" si="52"/>
        <v>165.36111175120047</v>
      </c>
      <c r="L152">
        <f t="shared" ca="1" si="53"/>
        <v>147.78188824879945</v>
      </c>
      <c r="M152">
        <f t="shared" ca="1" si="42"/>
        <v>-6.9999999999993179E-2</v>
      </c>
      <c r="N152">
        <f t="shared" ca="1" si="43"/>
        <v>0</v>
      </c>
      <c r="O152">
        <f t="shared" ca="1" si="44"/>
        <v>6.9999999999993179E-2</v>
      </c>
      <c r="P152">
        <f t="shared" ca="1" si="48"/>
        <v>1.0798644439774387</v>
      </c>
      <c r="Q152">
        <f t="shared" ca="1" si="49"/>
        <v>0.82061098139459543</v>
      </c>
      <c r="R152">
        <f t="shared" ca="1" si="46"/>
        <v>1.3159273620031899</v>
      </c>
      <c r="S152">
        <f t="shared" ca="1" si="47"/>
        <v>56.8207528264169</v>
      </c>
      <c r="T152">
        <f>70</f>
        <v>70</v>
      </c>
      <c r="U152">
        <f>30</f>
        <v>30</v>
      </c>
      <c r="V152">
        <f t="shared" ca="1" si="45"/>
        <v>158.739424686186</v>
      </c>
      <c r="W152">
        <f t="shared" ca="1" si="35"/>
        <v>155.69642677337129</v>
      </c>
      <c r="X152">
        <f t="shared" ca="1" si="34"/>
        <v>2.9356992320557538</v>
      </c>
      <c r="Y152">
        <f t="shared" ca="1" si="36"/>
        <v>2.9832005225588292</v>
      </c>
      <c r="Z152">
        <f t="shared" ca="1" si="37"/>
        <v>-4.7501290503075388E-2</v>
      </c>
      <c r="AA152">
        <f t="shared" ca="1" si="38"/>
        <v>150.92690000000002</v>
      </c>
    </row>
    <row r="153" spans="1:27" x14ac:dyDescent="0.25">
      <c r="A153" vm="446">
        <f ca="1"/>
        <v>45512</v>
      </c>
      <c r="B153" vm="447">
        <f ca="1"/>
        <v>160.22</v>
      </c>
      <c r="C153" vm="448">
        <f ca="1"/>
        <v>5094830</v>
      </c>
      <c r="D153">
        <f t="shared" ca="1" si="39"/>
        <v>816293662.60000002</v>
      </c>
      <c r="E153">
        <f ca="1">SUM($D$2:D153)/SUM($C$2:C153)</f>
        <v>153.83092285048684</v>
      </c>
      <c r="F153">
        <f ca="1">_xlfn.STDEV.P($B$2:B153)</f>
        <v>5.8491724501676776</v>
      </c>
      <c r="G153">
        <f t="shared" ca="1" si="40"/>
        <v>159.68009530065453</v>
      </c>
      <c r="H153">
        <f t="shared" ca="1" si="41"/>
        <v>147.98175040031916</v>
      </c>
      <c r="I153">
        <f t="shared" ca="1" si="50"/>
        <v>157.09749999999994</v>
      </c>
      <c r="J153">
        <f t="shared" ca="1" si="51"/>
        <v>4.1519340769028785</v>
      </c>
      <c r="K153">
        <f t="shared" ca="1" si="52"/>
        <v>165.40136815380569</v>
      </c>
      <c r="L153">
        <f t="shared" ca="1" si="53"/>
        <v>148.79363184619419</v>
      </c>
      <c r="M153">
        <f t="shared" ca="1" si="42"/>
        <v>1.3199999999999932</v>
      </c>
      <c r="N153">
        <f t="shared" ca="1" si="43"/>
        <v>1.3199999999999932</v>
      </c>
      <c r="O153">
        <f t="shared" ca="1" si="44"/>
        <v>0</v>
      </c>
      <c r="P153">
        <f t="shared" ca="1" si="48"/>
        <v>1.0970169836933354</v>
      </c>
      <c r="Q153">
        <f t="shared" ca="1" si="49"/>
        <v>0.76199591129498145</v>
      </c>
      <c r="R153">
        <f t="shared" ca="1" si="46"/>
        <v>1.4396625591192467</v>
      </c>
      <c r="S153">
        <f t="shared" ca="1" si="47"/>
        <v>59.010724812655468</v>
      </c>
      <c r="T153">
        <f>70</f>
        <v>70</v>
      </c>
      <c r="U153">
        <f>30</f>
        <v>30</v>
      </c>
      <c r="V153">
        <f t="shared" ca="1" si="45"/>
        <v>158.96720550369585</v>
      </c>
      <c r="W153">
        <f t="shared" ca="1" si="35"/>
        <v>156.0315062716401</v>
      </c>
      <c r="X153">
        <f t="shared" ca="1" si="34"/>
        <v>2.8500868840872897</v>
      </c>
      <c r="Y153">
        <f t="shared" ca="1" si="36"/>
        <v>2.9565777948645215</v>
      </c>
      <c r="Z153">
        <f t="shared" ca="1" si="37"/>
        <v>-0.10649091077723183</v>
      </c>
      <c r="AA153">
        <f t="shared" ca="1" si="38"/>
        <v>150.94729999999998</v>
      </c>
    </row>
    <row r="154" spans="1:27" x14ac:dyDescent="0.25">
      <c r="A154" vm="449">
        <f ca="1"/>
        <v>45513</v>
      </c>
      <c r="B154" vm="450">
        <f ca="1"/>
        <v>160.62</v>
      </c>
      <c r="C154" vm="451">
        <f ca="1"/>
        <v>4579186</v>
      </c>
      <c r="D154">
        <f t="shared" ca="1" si="39"/>
        <v>735508855.32000005</v>
      </c>
      <c r="E154">
        <f ca="1">SUM($D$2:D154)/SUM($C$2:C154)</f>
        <v>153.85855133666675</v>
      </c>
      <c r="F154">
        <f ca="1">_xlfn.STDEV.P($B$2:B154)</f>
        <v>5.8548987723383137</v>
      </c>
      <c r="G154">
        <f t="shared" ca="1" si="40"/>
        <v>159.71345010900507</v>
      </c>
      <c r="H154">
        <f t="shared" ca="1" si="41"/>
        <v>148.00365256432843</v>
      </c>
      <c r="I154">
        <f t="shared" ca="1" si="50"/>
        <v>157.63449999999995</v>
      </c>
      <c r="J154">
        <f t="shared" ca="1" si="51"/>
        <v>3.8530978309325121</v>
      </c>
      <c r="K154">
        <f t="shared" ca="1" si="52"/>
        <v>165.34069566186497</v>
      </c>
      <c r="L154">
        <f t="shared" ca="1" si="53"/>
        <v>149.92830433813492</v>
      </c>
      <c r="M154">
        <f t="shared" ca="1" si="42"/>
        <v>0.40000000000000568</v>
      </c>
      <c r="N154">
        <f t="shared" ca="1" si="43"/>
        <v>0.40000000000000568</v>
      </c>
      <c r="O154">
        <f t="shared" ca="1" si="44"/>
        <v>0</v>
      </c>
      <c r="P154">
        <f t="shared" ca="1" si="48"/>
        <v>1.047230056286669</v>
      </c>
      <c r="Q154">
        <f t="shared" ca="1" si="49"/>
        <v>0.70756763191676852</v>
      </c>
      <c r="R154">
        <f t="shared" ca="1" si="46"/>
        <v>1.4800423437258858</v>
      </c>
      <c r="S154">
        <f t="shared" ca="1" si="47"/>
        <v>59.678107814173359</v>
      </c>
      <c r="T154">
        <f>70</f>
        <v>70</v>
      </c>
      <c r="U154">
        <f>30</f>
        <v>30</v>
      </c>
      <c r="V154">
        <f t="shared" ca="1" si="45"/>
        <v>159.22148158005035</v>
      </c>
      <c r="W154">
        <f t="shared" ca="1" si="35"/>
        <v>156.37139469596306</v>
      </c>
      <c r="X154">
        <f t="shared" ca="1" si="34"/>
        <v>2.691500721045486</v>
      </c>
      <c r="Y154">
        <f t="shared" ca="1" si="36"/>
        <v>2.9035623801007144</v>
      </c>
      <c r="Z154">
        <f t="shared" ca="1" si="37"/>
        <v>-0.21206165905522845</v>
      </c>
      <c r="AA154">
        <f t="shared" ca="1" si="38"/>
        <v>150.98590000000002</v>
      </c>
    </row>
    <row r="155" spans="1:27" x14ac:dyDescent="0.25">
      <c r="A155" vm="452">
        <f ca="1"/>
        <v>45516</v>
      </c>
      <c r="B155" vm="453">
        <f ca="1"/>
        <v>159.88</v>
      </c>
      <c r="C155" vm="454">
        <f ca="1"/>
        <v>7605419</v>
      </c>
      <c r="D155">
        <f t="shared" ca="1" si="39"/>
        <v>1215954389.72</v>
      </c>
      <c r="E155">
        <f ca="1">SUM($D$2:D155)/SUM($C$2:C155)</f>
        <v>153.89897695603045</v>
      </c>
      <c r="F155">
        <f ca="1">_xlfn.STDEV.P($B$2:B155)</f>
        <v>5.8551099288254589</v>
      </c>
      <c r="G155">
        <f t="shared" ca="1" si="40"/>
        <v>159.75408688485592</v>
      </c>
      <c r="H155">
        <f t="shared" ca="1" si="41"/>
        <v>148.04386702720498</v>
      </c>
      <c r="I155">
        <f t="shared" ca="1" si="50"/>
        <v>158.16649999999998</v>
      </c>
      <c r="J155">
        <f t="shared" ca="1" si="51"/>
        <v>3.3324169749202808</v>
      </c>
      <c r="K155">
        <f t="shared" ca="1" si="52"/>
        <v>164.83133394984054</v>
      </c>
      <c r="L155">
        <f t="shared" ca="1" si="53"/>
        <v>151.50166605015943</v>
      </c>
      <c r="M155">
        <f t="shared" ca="1" si="42"/>
        <v>-0.74000000000000909</v>
      </c>
      <c r="N155">
        <f t="shared" ca="1" si="43"/>
        <v>0</v>
      </c>
      <c r="O155">
        <f t="shared" ca="1" si="44"/>
        <v>0.74000000000000909</v>
      </c>
      <c r="P155">
        <f t="shared" ca="1" si="48"/>
        <v>0.97242790940904977</v>
      </c>
      <c r="Q155">
        <f t="shared" ca="1" si="49"/>
        <v>0.70988422963699993</v>
      </c>
      <c r="R155">
        <f t="shared" ca="1" si="46"/>
        <v>1.3698401356321184</v>
      </c>
      <c r="S155">
        <f t="shared" ca="1" si="47"/>
        <v>57.803060849365458</v>
      </c>
      <c r="T155">
        <f>70</f>
        <v>70</v>
      </c>
      <c r="U155">
        <f>30</f>
        <v>30</v>
      </c>
      <c r="V155">
        <f t="shared" ca="1" si="45"/>
        <v>159.32279210619646</v>
      </c>
      <c r="W155">
        <f t="shared" ca="1" si="35"/>
        <v>156.63129138515097</v>
      </c>
      <c r="X155">
        <f t="shared" ca="1" si="34"/>
        <v>2.4177195309580384</v>
      </c>
      <c r="Y155">
        <f t="shared" ca="1" si="36"/>
        <v>2.806393810272179</v>
      </c>
      <c r="Z155">
        <f t="shared" ca="1" si="37"/>
        <v>-0.38867427931414067</v>
      </c>
      <c r="AA155">
        <f t="shared" ca="1" si="38"/>
        <v>151.02260000000001</v>
      </c>
    </row>
    <row r="156" spans="1:27" x14ac:dyDescent="0.25">
      <c r="A156" vm="455">
        <f ca="1"/>
        <v>45517</v>
      </c>
      <c r="B156" vm="456">
        <f ca="1"/>
        <v>158.38999999999999</v>
      </c>
      <c r="C156" vm="457">
        <f ca="1"/>
        <v>9711395</v>
      </c>
      <c r="D156">
        <f t="shared" ca="1" si="39"/>
        <v>1538187854.05</v>
      </c>
      <c r="E156">
        <f ca="1">SUM($D$2:D156)/SUM($C$2:C156)</f>
        <v>153.93714960269241</v>
      </c>
      <c r="F156">
        <f ca="1">_xlfn.STDEV.P($B$2:B156)</f>
        <v>5.8467089719165335</v>
      </c>
      <c r="G156">
        <f t="shared" ca="1" si="40"/>
        <v>159.78385857460896</v>
      </c>
      <c r="H156">
        <f t="shared" ca="1" si="41"/>
        <v>148.09044063077587</v>
      </c>
      <c r="I156">
        <f t="shared" ca="1" si="50"/>
        <v>158.53549999999998</v>
      </c>
      <c r="J156">
        <f t="shared" ca="1" si="51"/>
        <v>2.8755438387235626</v>
      </c>
      <c r="K156">
        <f t="shared" ca="1" si="52"/>
        <v>164.2865876774471</v>
      </c>
      <c r="L156">
        <f t="shared" ca="1" si="53"/>
        <v>152.78441232255287</v>
      </c>
      <c r="M156">
        <f t="shared" ca="1" si="42"/>
        <v>-1.4900000000000091</v>
      </c>
      <c r="N156">
        <f t="shared" ca="1" si="43"/>
        <v>0</v>
      </c>
      <c r="O156">
        <f t="shared" ca="1" si="44"/>
        <v>1.4900000000000091</v>
      </c>
      <c r="P156">
        <f t="shared" ca="1" si="48"/>
        <v>0.90296877302268908</v>
      </c>
      <c r="Q156">
        <f t="shared" ca="1" si="49"/>
        <v>0.7656067846629292</v>
      </c>
      <c r="R156">
        <f t="shared" ca="1" si="46"/>
        <v>1.1794158451981793</v>
      </c>
      <c r="S156">
        <f t="shared" ca="1" si="47"/>
        <v>54.116145287130024</v>
      </c>
      <c r="T156">
        <f>70</f>
        <v>70</v>
      </c>
      <c r="U156">
        <f>30</f>
        <v>30</v>
      </c>
      <c r="V156">
        <f t="shared" ca="1" si="45"/>
        <v>159.17928562832006</v>
      </c>
      <c r="W156">
        <f t="shared" ca="1" si="35"/>
        <v>156.76156609736202</v>
      </c>
      <c r="X156">
        <f t="shared" ref="X156:X219" ca="1" si="54">V157-W157</f>
        <v>2.1828457264057022</v>
      </c>
      <c r="Y156">
        <f t="shared" ca="1" si="36"/>
        <v>2.6816841934988838</v>
      </c>
      <c r="Z156">
        <f t="shared" ca="1" si="37"/>
        <v>-0.49883846709318158</v>
      </c>
      <c r="AA156">
        <f t="shared" ca="1" si="38"/>
        <v>151.0489</v>
      </c>
    </row>
    <row r="157" spans="1:27" x14ac:dyDescent="0.25">
      <c r="A157" vm="458">
        <f ca="1"/>
        <v>45518</v>
      </c>
      <c r="B157" vm="459">
        <f ca="1"/>
        <v>158.47999999999999</v>
      </c>
      <c r="C157" vm="460">
        <f ca="1"/>
        <v>5141249</v>
      </c>
      <c r="D157">
        <f t="shared" ca="1" si="39"/>
        <v>814785141.51999998</v>
      </c>
      <c r="E157">
        <f ca="1">SUM($D$2:D157)/SUM($C$2:C157)</f>
        <v>153.95749998558637</v>
      </c>
      <c r="F157">
        <f ca="1">_xlfn.STDEV.P($B$2:B157)</f>
        <v>5.8387013181593632</v>
      </c>
      <c r="G157">
        <f t="shared" ca="1" si="40"/>
        <v>159.79620130374573</v>
      </c>
      <c r="H157">
        <f t="shared" ca="1" si="41"/>
        <v>148.118798667427</v>
      </c>
      <c r="I157">
        <f t="shared" ca="1" si="50"/>
        <v>158.63049999999996</v>
      </c>
      <c r="J157">
        <f t="shared" ca="1" si="51"/>
        <v>2.8386884944320769</v>
      </c>
      <c r="K157">
        <f t="shared" ca="1" si="52"/>
        <v>164.30787698886411</v>
      </c>
      <c r="L157">
        <f t="shared" ca="1" si="53"/>
        <v>152.9531230111358</v>
      </c>
      <c r="M157">
        <f t="shared" ca="1" si="42"/>
        <v>9.0000000000003411E-2</v>
      </c>
      <c r="N157">
        <f t="shared" ca="1" si="43"/>
        <v>9.0000000000003411E-2</v>
      </c>
      <c r="O157">
        <f t="shared" ca="1" si="44"/>
        <v>0</v>
      </c>
      <c r="P157">
        <f t="shared" ca="1" si="48"/>
        <v>0.84489957494964008</v>
      </c>
      <c r="Q157">
        <f t="shared" ca="1" si="49"/>
        <v>0.71092058575843431</v>
      </c>
      <c r="R157">
        <f t="shared" ca="1" si="46"/>
        <v>1.1884584465201165</v>
      </c>
      <c r="S157">
        <f t="shared" ca="1" si="47"/>
        <v>54.30573508991651</v>
      </c>
      <c r="T157">
        <f>70</f>
        <v>70</v>
      </c>
      <c r="U157">
        <f>30</f>
        <v>30</v>
      </c>
      <c r="V157">
        <f t="shared" ca="1" si="45"/>
        <v>159.07170322396314</v>
      </c>
      <c r="W157">
        <f t="shared" ref="W157:W220" ca="1" si="55">B157*(2/(26+1)) + W156*(1-(2/(26+1)))</f>
        <v>156.88885749755744</v>
      </c>
      <c r="X157">
        <f t="shared" ca="1" si="54"/>
        <v>2.022613022253239</v>
      </c>
      <c r="Y157">
        <f t="shared" ca="1" si="36"/>
        <v>2.5498699592497549</v>
      </c>
      <c r="Z157">
        <f t="shared" ca="1" si="37"/>
        <v>-0.52725693699651588</v>
      </c>
      <c r="AA157">
        <f t="shared" ca="1" si="38"/>
        <v>151.0762</v>
      </c>
    </row>
    <row r="158" spans="1:27" x14ac:dyDescent="0.25">
      <c r="A158" vm="461">
        <f ca="1"/>
        <v>45519</v>
      </c>
      <c r="B158" vm="462">
        <f ca="1"/>
        <v>159.09</v>
      </c>
      <c r="C158" vm="463">
        <f ca="1"/>
        <v>7237785</v>
      </c>
      <c r="D158">
        <f t="shared" ca="1" si="39"/>
        <v>1151459215.6500001</v>
      </c>
      <c r="E158">
        <f ca="1">SUM($D$2:D158)/SUM($C$2:C158)</f>
        <v>153.98966471605254</v>
      </c>
      <c r="F158">
        <f ca="1">_xlfn.STDEV.P($B$2:B158)</f>
        <v>5.8337706498568895</v>
      </c>
      <c r="G158">
        <f t="shared" ca="1" si="40"/>
        <v>159.82343536590943</v>
      </c>
      <c r="H158">
        <f t="shared" ca="1" si="41"/>
        <v>148.15589406619566</v>
      </c>
      <c r="I158">
        <f t="shared" ca="1" si="50"/>
        <v>158.81399999999996</v>
      </c>
      <c r="J158">
        <f t="shared" ca="1" si="51"/>
        <v>2.7370295077539408</v>
      </c>
      <c r="K158">
        <f t="shared" ca="1" si="52"/>
        <v>164.28805901550786</v>
      </c>
      <c r="L158">
        <f t="shared" ca="1" si="53"/>
        <v>153.33994098449207</v>
      </c>
      <c r="M158">
        <f t="shared" ca="1" si="42"/>
        <v>0.61000000000001364</v>
      </c>
      <c r="N158">
        <f t="shared" ca="1" si="43"/>
        <v>0.61000000000001364</v>
      </c>
      <c r="O158">
        <f t="shared" ca="1" si="44"/>
        <v>0</v>
      </c>
      <c r="P158">
        <f t="shared" ca="1" si="48"/>
        <v>0.82812103388180958</v>
      </c>
      <c r="Q158">
        <f t="shared" ca="1" si="49"/>
        <v>0.66014054391854615</v>
      </c>
      <c r="R158">
        <f t="shared" ca="1" si="46"/>
        <v>1.2544617074511792</v>
      </c>
      <c r="S158">
        <f t="shared" ca="1" si="47"/>
        <v>55.643513629221616</v>
      </c>
      <c r="T158">
        <f>70</f>
        <v>70</v>
      </c>
      <c r="U158">
        <f>30</f>
        <v>30</v>
      </c>
      <c r="V158">
        <f t="shared" ca="1" si="45"/>
        <v>159.0745181125842</v>
      </c>
      <c r="W158">
        <f t="shared" ca="1" si="55"/>
        <v>157.05190509033096</v>
      </c>
      <c r="X158">
        <f t="shared" ca="1" si="54"/>
        <v>1.8979564817092296</v>
      </c>
      <c r="Y158">
        <f t="shared" ca="1" si="36"/>
        <v>2.41948726374165</v>
      </c>
      <c r="Z158">
        <f t="shared" ca="1" si="37"/>
        <v>-0.52153078203242043</v>
      </c>
      <c r="AA158">
        <f t="shared" ca="1" si="38"/>
        <v>151.1148</v>
      </c>
    </row>
    <row r="159" spans="1:27" x14ac:dyDescent="0.25">
      <c r="A159" vm="464">
        <f ca="1"/>
        <v>45520</v>
      </c>
      <c r="B159" vm="465">
        <f ca="1"/>
        <v>159.38999999999999</v>
      </c>
      <c r="C159" vm="466">
        <f ca="1"/>
        <v>5012774</v>
      </c>
      <c r="D159">
        <f t="shared" ca="1" si="39"/>
        <v>798986047.8599999</v>
      </c>
      <c r="E159">
        <f ca="1">SUM($D$2:D159)/SUM($C$2:C159)</f>
        <v>154.01300269388017</v>
      </c>
      <c r="F159">
        <f ca="1">_xlfn.STDEV.P($B$2:B159)</f>
        <v>5.8303894977987829</v>
      </c>
      <c r="G159">
        <f t="shared" ca="1" si="40"/>
        <v>159.84339219167896</v>
      </c>
      <c r="H159">
        <f t="shared" ca="1" si="41"/>
        <v>148.18261319608138</v>
      </c>
      <c r="I159">
        <f t="shared" ca="1" si="50"/>
        <v>159.04899999999998</v>
      </c>
      <c r="J159">
        <f t="shared" ca="1" si="51"/>
        <v>2.5603780559662814</v>
      </c>
      <c r="K159">
        <f t="shared" ca="1" si="52"/>
        <v>164.16975611193254</v>
      </c>
      <c r="L159">
        <f t="shared" ca="1" si="53"/>
        <v>153.92824388806741</v>
      </c>
      <c r="M159">
        <f t="shared" ca="1" si="42"/>
        <v>0.29999999999998295</v>
      </c>
      <c r="N159">
        <f t="shared" ca="1" si="43"/>
        <v>0.29999999999998295</v>
      </c>
      <c r="O159">
        <f t="shared" ca="1" si="44"/>
        <v>0</v>
      </c>
      <c r="P159">
        <f t="shared" ca="1" si="48"/>
        <v>0.79039810289025059</v>
      </c>
      <c r="Q159">
        <f t="shared" ca="1" si="49"/>
        <v>0.61298764792436433</v>
      </c>
      <c r="R159">
        <f t="shared" ca="1" si="46"/>
        <v>1.2894192983604404</v>
      </c>
      <c r="S159">
        <f t="shared" ca="1" si="47"/>
        <v>56.32080149249434</v>
      </c>
      <c r="T159">
        <f>70</f>
        <v>70</v>
      </c>
      <c r="U159">
        <f>30</f>
        <v>30</v>
      </c>
      <c r="V159">
        <f t="shared" ca="1" si="45"/>
        <v>159.12305378757125</v>
      </c>
      <c r="W159">
        <f t="shared" ca="1" si="55"/>
        <v>157.22509730586202</v>
      </c>
      <c r="X159">
        <f t="shared" ca="1" si="54"/>
        <v>1.797807266391743</v>
      </c>
      <c r="Y159">
        <f t="shared" ca="1" si="36"/>
        <v>2.2951512642716687</v>
      </c>
      <c r="Z159">
        <f t="shared" ca="1" si="37"/>
        <v>-0.49734399787992567</v>
      </c>
      <c r="AA159">
        <f t="shared" ca="1" si="38"/>
        <v>151.15650000000002</v>
      </c>
    </row>
    <row r="160" spans="1:27" x14ac:dyDescent="0.25">
      <c r="A160" vm="467">
        <f ca="1"/>
        <v>45523</v>
      </c>
      <c r="B160" vm="468">
        <f ca="1"/>
        <v>159.63</v>
      </c>
      <c r="C160" vm="469">
        <f ca="1"/>
        <v>4408517</v>
      </c>
      <c r="D160">
        <f t="shared" ca="1" si="39"/>
        <v>703731568.71000004</v>
      </c>
      <c r="E160">
        <f ca="1">SUM($D$2:D160)/SUM($C$2:C160)</f>
        <v>154.03427005670946</v>
      </c>
      <c r="F160">
        <f ca="1">_xlfn.STDEV.P($B$2:B160)</f>
        <v>5.828243943699329</v>
      </c>
      <c r="G160">
        <f t="shared" ca="1" si="40"/>
        <v>159.86251400040879</v>
      </c>
      <c r="H160">
        <f t="shared" ca="1" si="41"/>
        <v>148.20602611301013</v>
      </c>
      <c r="I160">
        <f t="shared" ca="1" si="50"/>
        <v>159.31850000000003</v>
      </c>
      <c r="J160">
        <f t="shared" ca="1" si="51"/>
        <v>2.2977523914973035</v>
      </c>
      <c r="K160">
        <f t="shared" ca="1" si="52"/>
        <v>163.91400478299462</v>
      </c>
      <c r="L160">
        <f t="shared" ca="1" si="53"/>
        <v>154.72299521700543</v>
      </c>
      <c r="M160">
        <f t="shared" ca="1" si="42"/>
        <v>0.24000000000000909</v>
      </c>
      <c r="N160">
        <f t="shared" ca="1" si="43"/>
        <v>0.24000000000000909</v>
      </c>
      <c r="O160">
        <f t="shared" ca="1" si="44"/>
        <v>0</v>
      </c>
      <c r="P160">
        <f t="shared" ca="1" si="48"/>
        <v>0.75108395268380479</v>
      </c>
      <c r="Q160">
        <f t="shared" ca="1" si="49"/>
        <v>0.56920281592976685</v>
      </c>
      <c r="R160">
        <f t="shared" ca="1" si="46"/>
        <v>1.3195366074514994</v>
      </c>
      <c r="S160">
        <f t="shared" ca="1" si="47"/>
        <v>56.887940600398146</v>
      </c>
      <c r="T160">
        <f>70</f>
        <v>70</v>
      </c>
      <c r="U160">
        <f>30</f>
        <v>30</v>
      </c>
      <c r="V160">
        <f t="shared" ca="1" si="45"/>
        <v>159.20104551256028</v>
      </c>
      <c r="W160">
        <f t="shared" ca="1" si="55"/>
        <v>157.40323824616854</v>
      </c>
      <c r="X160">
        <f t="shared" ca="1" si="54"/>
        <v>1.7411341516399546</v>
      </c>
      <c r="Y160">
        <f t="shared" ca="1" si="36"/>
        <v>2.1843478417453257</v>
      </c>
      <c r="Z160">
        <f t="shared" ca="1" si="37"/>
        <v>-0.44321369010537115</v>
      </c>
      <c r="AA160">
        <f t="shared" ca="1" si="38"/>
        <v>151.1951</v>
      </c>
    </row>
    <row r="161" spans="1:27" x14ac:dyDescent="0.25">
      <c r="A161" vm="470">
        <f ca="1"/>
        <v>45524</v>
      </c>
      <c r="B161" vm="471">
        <f ca="1"/>
        <v>160.16</v>
      </c>
      <c r="C161" vm="472">
        <f ca="1"/>
        <v>7275133</v>
      </c>
      <c r="D161">
        <f t="shared" ca="1" si="39"/>
        <v>1165185301.28</v>
      </c>
      <c r="E161">
        <f ca="1">SUM($D$2:D161)/SUM($C$2:C161)</f>
        <v>154.07230743312246</v>
      </c>
      <c r="F161">
        <f ca="1">_xlfn.STDEV.P($B$2:B161)</f>
        <v>5.8291578722830977</v>
      </c>
      <c r="G161">
        <f t="shared" ca="1" si="40"/>
        <v>159.90146530540557</v>
      </c>
      <c r="H161">
        <f t="shared" ca="1" si="41"/>
        <v>148.24314956083936</v>
      </c>
      <c r="I161">
        <f t="shared" ca="1" si="50"/>
        <v>159.709</v>
      </c>
      <c r="J161">
        <f t="shared" ca="1" si="51"/>
        <v>1.6126470557179542</v>
      </c>
      <c r="K161">
        <f t="shared" ca="1" si="52"/>
        <v>162.93429411143592</v>
      </c>
      <c r="L161">
        <f t="shared" ca="1" si="53"/>
        <v>156.48370588856409</v>
      </c>
      <c r="M161">
        <f t="shared" ca="1" si="42"/>
        <v>0.53000000000000114</v>
      </c>
      <c r="N161">
        <f t="shared" ca="1" si="43"/>
        <v>0.53000000000000114</v>
      </c>
      <c r="O161">
        <f t="shared" ca="1" si="44"/>
        <v>0</v>
      </c>
      <c r="P161">
        <f t="shared" ca="1" si="48"/>
        <v>0.73529224177781882</v>
      </c>
      <c r="Q161">
        <f t="shared" ca="1" si="49"/>
        <v>0.52854547193478352</v>
      </c>
      <c r="R161">
        <f t="shared" ca="1" si="46"/>
        <v>1.3911617463795916</v>
      </c>
      <c r="S161">
        <f t="shared" ca="1" si="47"/>
        <v>58.179324275571098</v>
      </c>
      <c r="T161">
        <f>70</f>
        <v>70</v>
      </c>
      <c r="U161">
        <f>30</f>
        <v>30</v>
      </c>
      <c r="V161">
        <f t="shared" ca="1" si="45"/>
        <v>159.34857697216637</v>
      </c>
      <c r="W161">
        <f t="shared" ca="1" si="55"/>
        <v>157.60744282052642</v>
      </c>
      <c r="X161">
        <f t="shared" ca="1" si="54"/>
        <v>1.7782006953342488</v>
      </c>
      <c r="Y161">
        <f t="shared" ca="1" si="36"/>
        <v>2.1031184124631102</v>
      </c>
      <c r="Z161">
        <f t="shared" ca="1" si="37"/>
        <v>-0.32491771712886131</v>
      </c>
      <c r="AA161">
        <f t="shared" ca="1" si="38"/>
        <v>151.21709999999996</v>
      </c>
    </row>
    <row r="162" spans="1:27" x14ac:dyDescent="0.25">
      <c r="A162" vm="473">
        <f ca="1"/>
        <v>45525</v>
      </c>
      <c r="B162" vm="474">
        <f ca="1"/>
        <v>161.43</v>
      </c>
      <c r="C162" vm="475">
        <f ca="1"/>
        <v>5019375</v>
      </c>
      <c r="D162">
        <f t="shared" ca="1" si="39"/>
        <v>810277706.25</v>
      </c>
      <c r="E162">
        <f ca="1">SUM($D$2:D162)/SUM($C$2:C162)</f>
        <v>154.10369419093158</v>
      </c>
      <c r="F162">
        <f ca="1">_xlfn.STDEV.P($B$2:B162)</f>
        <v>5.8386775699292954</v>
      </c>
      <c r="G162">
        <f t="shared" ca="1" si="40"/>
        <v>159.94237176086088</v>
      </c>
      <c r="H162">
        <f t="shared" ca="1" si="41"/>
        <v>148.26501662100227</v>
      </c>
      <c r="I162">
        <f t="shared" ca="1" si="50"/>
        <v>159.9665</v>
      </c>
      <c r="J162">
        <f t="shared" ca="1" si="51"/>
        <v>1.4380113278230353</v>
      </c>
      <c r="K162">
        <f t="shared" ca="1" si="52"/>
        <v>162.84252265564606</v>
      </c>
      <c r="L162">
        <f t="shared" ca="1" si="53"/>
        <v>157.09047734435393</v>
      </c>
      <c r="M162">
        <f t="shared" ca="1" si="42"/>
        <v>1.2700000000000102</v>
      </c>
      <c r="N162">
        <f t="shared" ca="1" si="43"/>
        <v>1.2700000000000102</v>
      </c>
      <c r="O162">
        <f t="shared" ca="1" si="44"/>
        <v>0</v>
      </c>
      <c r="P162">
        <f t="shared" ca="1" si="48"/>
        <v>0.77348565307940387</v>
      </c>
      <c r="Q162">
        <f t="shared" ca="1" si="49"/>
        <v>0.49079222393944189</v>
      </c>
      <c r="R162">
        <f t="shared" ca="1" si="46"/>
        <v>1.5759941077934501</v>
      </c>
      <c r="S162">
        <f t="shared" ca="1" si="47"/>
        <v>61.180035428862773</v>
      </c>
      <c r="T162">
        <f>70</f>
        <v>70</v>
      </c>
      <c r="U162">
        <f>30</f>
        <v>30</v>
      </c>
      <c r="V162">
        <f t="shared" ca="1" si="45"/>
        <v>159.66879589952538</v>
      </c>
      <c r="W162">
        <f t="shared" ca="1" si="55"/>
        <v>157.89059520419113</v>
      </c>
      <c r="X162">
        <f t="shared" ca="1" si="54"/>
        <v>1.8603673526977786</v>
      </c>
      <c r="Y162">
        <f t="shared" ca="1" si="36"/>
        <v>2.0545682005100439</v>
      </c>
      <c r="Z162">
        <f t="shared" ca="1" si="37"/>
        <v>-0.19420084781226521</v>
      </c>
      <c r="AA162">
        <f t="shared" ca="1" si="38"/>
        <v>151.24949999999998</v>
      </c>
    </row>
    <row r="163" spans="1:27" x14ac:dyDescent="0.25">
      <c r="A163" vm="476">
        <f ca="1"/>
        <v>45526</v>
      </c>
      <c r="B163" vm="477">
        <f ca="1"/>
        <v>162.35</v>
      </c>
      <c r="C163" vm="478">
        <f ca="1"/>
        <v>6552142</v>
      </c>
      <c r="D163">
        <f t="shared" ca="1" si="39"/>
        <v>1063740253.6999999</v>
      </c>
      <c r="E163">
        <f ca="1">SUM($D$2:D163)/SUM($C$2:C163)</f>
        <v>154.14935948421012</v>
      </c>
      <c r="F163">
        <f ca="1">_xlfn.STDEV.P($B$2:B163)</f>
        <v>5.8550949001873303</v>
      </c>
      <c r="G163">
        <f t="shared" ca="1" si="40"/>
        <v>160.00445438439746</v>
      </c>
      <c r="H163">
        <f t="shared" ca="1" si="41"/>
        <v>148.29426458402278</v>
      </c>
      <c r="I163">
        <f t="shared" ca="1" si="50"/>
        <v>160.102</v>
      </c>
      <c r="J163">
        <f t="shared" ca="1" si="51"/>
        <v>1.5303408633029232</v>
      </c>
      <c r="K163">
        <f t="shared" ca="1" si="52"/>
        <v>163.16268172660585</v>
      </c>
      <c r="L163">
        <f t="shared" ca="1" si="53"/>
        <v>157.04131827339415</v>
      </c>
      <c r="M163">
        <f t="shared" ca="1" si="42"/>
        <v>0.91999999999998749</v>
      </c>
      <c r="N163">
        <f t="shared" ca="1" si="43"/>
        <v>0.91999999999998749</v>
      </c>
      <c r="O163">
        <f t="shared" ca="1" si="44"/>
        <v>0</v>
      </c>
      <c r="P163">
        <f t="shared" ca="1" si="48"/>
        <v>0.78395096357373129</v>
      </c>
      <c r="Q163">
        <f t="shared" ca="1" si="49"/>
        <v>0.455735636515196</v>
      </c>
      <c r="R163">
        <f t="shared" ca="1" si="46"/>
        <v>1.7201879790842105</v>
      </c>
      <c r="S163">
        <f t="shared" ca="1" si="47"/>
        <v>63.23783474932258</v>
      </c>
      <c r="T163">
        <f>70</f>
        <v>70</v>
      </c>
      <c r="U163">
        <f>30</f>
        <v>30</v>
      </c>
      <c r="V163">
        <f t="shared" ca="1" si="45"/>
        <v>160.08128883805992</v>
      </c>
      <c r="W163">
        <f t="shared" ca="1" si="55"/>
        <v>158.22092148536214</v>
      </c>
      <c r="X163">
        <f t="shared" ca="1" si="54"/>
        <v>2.0455364733934402</v>
      </c>
      <c r="Y163">
        <f t="shared" ca="1" si="36"/>
        <v>2.0527618550867235</v>
      </c>
      <c r="Z163">
        <f t="shared" ca="1" si="37"/>
        <v>-7.2253816932832393E-3</v>
      </c>
      <c r="AA163">
        <f t="shared" ca="1" si="38"/>
        <v>151.29519999999997</v>
      </c>
    </row>
    <row r="164" spans="1:27" x14ac:dyDescent="0.25">
      <c r="A164" vm="479">
        <f ca="1"/>
        <v>45527</v>
      </c>
      <c r="B164" vm="480">
        <f ca="1"/>
        <v>164.13</v>
      </c>
      <c r="C164" vm="481">
        <f ca="1"/>
        <v>7093429</v>
      </c>
      <c r="D164">
        <f t="shared" ca="1" si="39"/>
        <v>1164244501.77</v>
      </c>
      <c r="E164">
        <f ca="1">SUM($D$2:D164)/SUM($C$2:C164)</f>
        <v>154.20883829384664</v>
      </c>
      <c r="F164">
        <f ca="1">_xlfn.STDEV.P($B$2:B164)</f>
        <v>5.8873501067382152</v>
      </c>
      <c r="G164">
        <f t="shared" ca="1" si="40"/>
        <v>160.09618840058485</v>
      </c>
      <c r="H164">
        <f t="shared" ca="1" si="41"/>
        <v>148.32148818710843</v>
      </c>
      <c r="I164">
        <f t="shared" ca="1" si="50"/>
        <v>160.2765</v>
      </c>
      <c r="J164">
        <f t="shared" ca="1" si="51"/>
        <v>1.7744273353454214</v>
      </c>
      <c r="K164">
        <f t="shared" ca="1" si="52"/>
        <v>163.82535467069084</v>
      </c>
      <c r="L164">
        <f t="shared" ca="1" si="53"/>
        <v>156.72764532930915</v>
      </c>
      <c r="M164">
        <f t="shared" ca="1" si="42"/>
        <v>1.7800000000000011</v>
      </c>
      <c r="N164">
        <f t="shared" ca="1" si="43"/>
        <v>1.7800000000000011</v>
      </c>
      <c r="O164">
        <f t="shared" ca="1" si="44"/>
        <v>0</v>
      </c>
      <c r="P164">
        <f t="shared" ca="1" si="48"/>
        <v>0.85509732331846489</v>
      </c>
      <c r="Q164">
        <f t="shared" ca="1" si="49"/>
        <v>0.42318309104982488</v>
      </c>
      <c r="R164">
        <f t="shared" ca="1" si="46"/>
        <v>2.020632065419143</v>
      </c>
      <c r="S164">
        <f t="shared" ca="1" si="47"/>
        <v>66.894346006313754</v>
      </c>
      <c r="T164">
        <f>70</f>
        <v>70</v>
      </c>
      <c r="U164">
        <f>30</f>
        <v>30</v>
      </c>
      <c r="V164">
        <f t="shared" ca="1" si="45"/>
        <v>160.70416747835839</v>
      </c>
      <c r="W164">
        <f t="shared" ca="1" si="55"/>
        <v>158.65863100496495</v>
      </c>
      <c r="X164">
        <f t="shared" ca="1" si="54"/>
        <v>2.205591636634864</v>
      </c>
      <c r="Y164">
        <f t="shared" ca="1" si="36"/>
        <v>2.0833278113963516</v>
      </c>
      <c r="Z164">
        <f t="shared" ca="1" si="37"/>
        <v>0.12226382523851242</v>
      </c>
      <c r="AA164">
        <f t="shared" ca="1" si="38"/>
        <v>151.35919999999996</v>
      </c>
    </row>
    <row r="165" spans="1:27" x14ac:dyDescent="0.25">
      <c r="A165" vm="482">
        <f ca="1"/>
        <v>45530</v>
      </c>
      <c r="B165" vm="483">
        <f ca="1"/>
        <v>164.61</v>
      </c>
      <c r="C165" vm="484">
        <f ca="1"/>
        <v>6870622</v>
      </c>
      <c r="D165">
        <f t="shared" ca="1" si="39"/>
        <v>1130973087.4200001</v>
      </c>
      <c r="E165">
        <f ca="1">SUM($D$2:D165)/SUM($C$2:C165)</f>
        <v>154.26853163559448</v>
      </c>
      <c r="F165">
        <f ca="1">_xlfn.STDEV.P($B$2:B165)</f>
        <v>5.9233536381366889</v>
      </c>
      <c r="G165">
        <f t="shared" ca="1" si="40"/>
        <v>160.19188527373117</v>
      </c>
      <c r="H165">
        <f t="shared" ca="1" si="41"/>
        <v>148.3451779974578</v>
      </c>
      <c r="I165">
        <f t="shared" ca="1" si="50"/>
        <v>160.57900000000001</v>
      </c>
      <c r="J165">
        <f t="shared" ca="1" si="51"/>
        <v>1.9711869253667573</v>
      </c>
      <c r="K165">
        <f t="shared" ca="1" si="52"/>
        <v>164.52137385073351</v>
      </c>
      <c r="L165">
        <f t="shared" ca="1" si="53"/>
        <v>156.6366261492665</v>
      </c>
      <c r="M165">
        <f t="shared" ca="1" si="42"/>
        <v>0.48000000000001819</v>
      </c>
      <c r="N165">
        <f t="shared" ca="1" si="43"/>
        <v>0.48000000000001819</v>
      </c>
      <c r="O165">
        <f t="shared" ca="1" si="44"/>
        <v>0</v>
      </c>
      <c r="P165">
        <f t="shared" ca="1" si="48"/>
        <v>0.82830465736714731</v>
      </c>
      <c r="Q165">
        <f t="shared" ca="1" si="49"/>
        <v>0.39295572740340884</v>
      </c>
      <c r="R165">
        <f t="shared" ca="1" si="46"/>
        <v>2.1078828977515034</v>
      </c>
      <c r="S165">
        <f t="shared" ca="1" si="47"/>
        <v>67.823755498526609</v>
      </c>
      <c r="T165">
        <f>70</f>
        <v>70</v>
      </c>
      <c r="U165">
        <f>30</f>
        <v>30</v>
      </c>
      <c r="V165">
        <f t="shared" ca="1" si="45"/>
        <v>161.30506478938017</v>
      </c>
      <c r="W165">
        <f t="shared" ca="1" si="55"/>
        <v>159.0994731527453</v>
      </c>
      <c r="X165">
        <f t="shared" ca="1" si="54"/>
        <v>2.1734343812070733</v>
      </c>
      <c r="Y165">
        <f t="shared" ca="1" si="36"/>
        <v>2.1013491253584959</v>
      </c>
      <c r="Z165">
        <f t="shared" ca="1" si="37"/>
        <v>7.208525584857739E-2</v>
      </c>
      <c r="AA165">
        <f t="shared" ca="1" si="38"/>
        <v>151.46269999999996</v>
      </c>
    </row>
    <row r="166" spans="1:27" x14ac:dyDescent="0.25">
      <c r="A166" vm="485">
        <f ca="1"/>
        <v>45531</v>
      </c>
      <c r="B166" vm="486">
        <f ca="1"/>
        <v>162.94999999999999</v>
      </c>
      <c r="C166" vm="487">
        <f ca="1"/>
        <v>4388728</v>
      </c>
      <c r="D166">
        <f t="shared" ca="1" si="39"/>
        <v>715143227.5999999</v>
      </c>
      <c r="E166">
        <f ca="1">SUM($D$2:D166)/SUM($C$2:C166)</f>
        <v>154.30024122725683</v>
      </c>
      <c r="F166">
        <f ca="1">_xlfn.STDEV.P($B$2:B166)</f>
        <v>5.9423397629709678</v>
      </c>
      <c r="G166">
        <f t="shared" ca="1" si="40"/>
        <v>160.24258099022779</v>
      </c>
      <c r="H166">
        <f t="shared" ca="1" si="41"/>
        <v>148.35790146428587</v>
      </c>
      <c r="I166">
        <f t="shared" ca="1" si="50"/>
        <v>160.66</v>
      </c>
      <c r="J166">
        <f t="shared" ca="1" si="51"/>
        <v>2.0358937000479029</v>
      </c>
      <c r="K166">
        <f t="shared" ca="1" si="52"/>
        <v>164.73178740009581</v>
      </c>
      <c r="L166">
        <f t="shared" ca="1" si="53"/>
        <v>156.58821259990418</v>
      </c>
      <c r="M166">
        <f t="shared" ca="1" si="42"/>
        <v>-1.660000000000025</v>
      </c>
      <c r="N166">
        <f t="shared" ca="1" si="43"/>
        <v>0</v>
      </c>
      <c r="O166">
        <f t="shared" ca="1" si="44"/>
        <v>1.660000000000025</v>
      </c>
      <c r="P166">
        <f t="shared" ca="1" si="48"/>
        <v>0.76914003898377969</v>
      </c>
      <c r="Q166">
        <f t="shared" ca="1" si="49"/>
        <v>0.48345888973173856</v>
      </c>
      <c r="R166">
        <f t="shared" ca="1" si="46"/>
        <v>1.5909109446938907</v>
      </c>
      <c r="S166">
        <f t="shared" ca="1" si="47"/>
        <v>61.403536387540818</v>
      </c>
      <c r="T166">
        <f>70</f>
        <v>70</v>
      </c>
      <c r="U166">
        <f>30</f>
        <v>30</v>
      </c>
      <c r="V166">
        <f t="shared" ca="1" si="45"/>
        <v>161.55813174486013</v>
      </c>
      <c r="W166">
        <f t="shared" ca="1" si="55"/>
        <v>159.38469736365306</v>
      </c>
      <c r="X166">
        <f t="shared" ca="1" si="54"/>
        <v>2.2008503847185636</v>
      </c>
      <c r="Y166">
        <f t="shared" ref="Y166:Y229" ca="1" si="56">X166*(2/(9+1)) + Y165*(1-(2/(9+1)))</f>
        <v>2.1212493772305097</v>
      </c>
      <c r="Z166">
        <f t="shared" ref="Z166:Z229" ca="1" si="57">X166-Y166</f>
        <v>7.9601007488053988E-2</v>
      </c>
      <c r="AA166">
        <f t="shared" ref="AA166:AA229" ca="1" si="58">AVERAGE(B67:B166)</f>
        <v>151.56719999999993</v>
      </c>
    </row>
    <row r="167" spans="1:27" x14ac:dyDescent="0.25">
      <c r="A167" vm="488">
        <f ca="1"/>
        <v>45532</v>
      </c>
      <c r="B167" vm="489">
        <f ca="1"/>
        <v>163.92</v>
      </c>
      <c r="C167" vm="490">
        <f ca="1"/>
        <v>5187198</v>
      </c>
      <c r="D167">
        <f t="shared" ca="1" si="39"/>
        <v>850285496.15999997</v>
      </c>
      <c r="E167">
        <f ca="1">SUM($D$2:D167)/SUM($C$2:C167)</f>
        <v>154.34159212562903</v>
      </c>
      <c r="F167">
        <f ca="1">_xlfn.STDEV.P($B$2:B167)</f>
        <v>5.9693220111582885</v>
      </c>
      <c r="G167">
        <f t="shared" ca="1" si="40"/>
        <v>160.31091413678732</v>
      </c>
      <c r="H167">
        <f t="shared" ca="1" si="41"/>
        <v>148.37227011447075</v>
      </c>
      <c r="I167">
        <f t="shared" ca="1" si="50"/>
        <v>160.96350000000001</v>
      </c>
      <c r="J167">
        <f t="shared" ca="1" si="51"/>
        <v>2.0473558685855227</v>
      </c>
      <c r="K167">
        <f t="shared" ca="1" si="52"/>
        <v>165.05821173717106</v>
      </c>
      <c r="L167">
        <f t="shared" ca="1" si="53"/>
        <v>156.86878826282896</v>
      </c>
      <c r="M167">
        <f t="shared" ca="1" si="42"/>
        <v>0.96999999999999886</v>
      </c>
      <c r="N167">
        <f t="shared" ca="1" si="43"/>
        <v>0.96999999999999886</v>
      </c>
      <c r="O167">
        <f t="shared" ca="1" si="44"/>
        <v>0</v>
      </c>
      <c r="P167">
        <f t="shared" ca="1" si="48"/>
        <v>0.78348717905636678</v>
      </c>
      <c r="Q167">
        <f t="shared" ca="1" si="49"/>
        <v>0.4489261118937572</v>
      </c>
      <c r="R167">
        <f t="shared" ca="1" si="46"/>
        <v>1.7452475102223208</v>
      </c>
      <c r="S167">
        <f t="shared" ca="1" si="47"/>
        <v>63.573412004696941</v>
      </c>
      <c r="T167">
        <f>70</f>
        <v>70</v>
      </c>
      <c r="U167">
        <f>30</f>
        <v>30</v>
      </c>
      <c r="V167">
        <f t="shared" ca="1" si="45"/>
        <v>161.92149609180473</v>
      </c>
      <c r="W167">
        <f t="shared" ca="1" si="55"/>
        <v>159.72064570708616</v>
      </c>
      <c r="X167">
        <f t="shared" ca="1" si="54"/>
        <v>2.2219785882136875</v>
      </c>
      <c r="Y167">
        <f t="shared" ca="1" si="56"/>
        <v>2.1413952194271451</v>
      </c>
      <c r="Z167">
        <f t="shared" ca="1" si="57"/>
        <v>8.0583368786542486E-2</v>
      </c>
      <c r="AA167">
        <f t="shared" ca="1" si="58"/>
        <v>151.68249999999995</v>
      </c>
    </row>
    <row r="168" spans="1:27" x14ac:dyDescent="0.25">
      <c r="A168" vm="491">
        <f ca="1"/>
        <v>45533</v>
      </c>
      <c r="B168" vm="492">
        <f ca="1"/>
        <v>164.23</v>
      </c>
      <c r="C168" vm="493">
        <f ca="1"/>
        <v>7390125</v>
      </c>
      <c r="D168">
        <f t="shared" ca="1" si="39"/>
        <v>1213680228.75</v>
      </c>
      <c r="E168">
        <f ca="1">SUM($D$2:D168)/SUM($C$2:C168)</f>
        <v>154.40178076996213</v>
      </c>
      <c r="F168">
        <f ca="1">_xlfn.STDEV.P($B$2:B168)</f>
        <v>5.9982678562755423</v>
      </c>
      <c r="G168">
        <f t="shared" ca="1" si="40"/>
        <v>160.40004862623766</v>
      </c>
      <c r="H168">
        <f t="shared" ca="1" si="41"/>
        <v>148.4035129136866</v>
      </c>
      <c r="I168">
        <f t="shared" ca="1" si="50"/>
        <v>161.137</v>
      </c>
      <c r="J168">
        <f t="shared" ca="1" si="51"/>
        <v>2.1724134044881969</v>
      </c>
      <c r="K168">
        <f t="shared" ca="1" si="52"/>
        <v>165.48182680897639</v>
      </c>
      <c r="L168">
        <f t="shared" ca="1" si="53"/>
        <v>156.79217319102361</v>
      </c>
      <c r="M168">
        <f t="shared" ca="1" si="42"/>
        <v>0.31000000000000227</v>
      </c>
      <c r="N168">
        <f t="shared" ca="1" si="43"/>
        <v>0.31000000000000227</v>
      </c>
      <c r="O168">
        <f t="shared" ca="1" si="44"/>
        <v>0</v>
      </c>
      <c r="P168">
        <f t="shared" ca="1" si="48"/>
        <v>0.74966666626662648</v>
      </c>
      <c r="Q168">
        <f t="shared" ca="1" si="49"/>
        <v>0.41685996104420309</v>
      </c>
      <c r="R168">
        <f t="shared" ca="1" si="46"/>
        <v>1.7983657254795289</v>
      </c>
      <c r="S168">
        <f t="shared" ca="1" si="47"/>
        <v>64.264856773549866</v>
      </c>
      <c r="T168">
        <f>70</f>
        <v>70</v>
      </c>
      <c r="U168">
        <f>30</f>
        <v>30</v>
      </c>
      <c r="V168">
        <f t="shared" ca="1" si="45"/>
        <v>162.27665053921939</v>
      </c>
      <c r="W168">
        <f t="shared" ca="1" si="55"/>
        <v>160.0546719510057</v>
      </c>
      <c r="X168">
        <f t="shared" ca="1" si="54"/>
        <v>2.3432388207159534</v>
      </c>
      <c r="Y168">
        <f t="shared" ca="1" si="56"/>
        <v>2.1817639396849069</v>
      </c>
      <c r="Z168">
        <f t="shared" ca="1" si="57"/>
        <v>0.16147488103104646</v>
      </c>
      <c r="AA168">
        <f t="shared" ca="1" si="58"/>
        <v>151.80889999999994</v>
      </c>
    </row>
    <row r="169" spans="1:27" x14ac:dyDescent="0.25">
      <c r="A169" vm="494">
        <f ca="1"/>
        <v>45534</v>
      </c>
      <c r="B169" vm="495">
        <f ca="1"/>
        <v>165.86</v>
      </c>
      <c r="C169" vm="496">
        <f ca="1"/>
        <v>7971017</v>
      </c>
      <c r="D169">
        <f t="shared" ca="1" si="39"/>
        <v>1322072879.6200001</v>
      </c>
      <c r="E169">
        <f ca="1">SUM($D$2:D169)/SUM($C$2:C169)</f>
        <v>154.47651599429767</v>
      </c>
      <c r="F169">
        <f ca="1">_xlfn.STDEV.P($B$2:B169)</f>
        <v>6.0428920502575387</v>
      </c>
      <c r="G169">
        <f t="shared" ca="1" si="40"/>
        <v>160.51940804455521</v>
      </c>
      <c r="H169">
        <f t="shared" ca="1" si="41"/>
        <v>148.43362394404014</v>
      </c>
      <c r="I169">
        <f t="shared" ca="1" si="50"/>
        <v>161.22300000000001</v>
      </c>
      <c r="J169">
        <f t="shared" ca="1" si="51"/>
        <v>2.3261558530398578</v>
      </c>
      <c r="K169">
        <f t="shared" ca="1" si="52"/>
        <v>165.87531170607974</v>
      </c>
      <c r="L169">
        <f t="shared" ca="1" si="53"/>
        <v>156.57068829392028</v>
      </c>
      <c r="M169">
        <f t="shared" ca="1" si="42"/>
        <v>1.6300000000000239</v>
      </c>
      <c r="N169">
        <f t="shared" ca="1" si="43"/>
        <v>1.6300000000000239</v>
      </c>
      <c r="O169">
        <f t="shared" ca="1" si="44"/>
        <v>0</v>
      </c>
      <c r="P169">
        <f t="shared" ca="1" si="48"/>
        <v>0.81254761867615488</v>
      </c>
      <c r="Q169">
        <f t="shared" ca="1" si="49"/>
        <v>0.38708424954104576</v>
      </c>
      <c r="R169">
        <f t="shared" ca="1" si="46"/>
        <v>2.0991492669607932</v>
      </c>
      <c r="S169">
        <f t="shared" ca="1" si="47"/>
        <v>67.733080472737015</v>
      </c>
      <c r="T169">
        <f>70</f>
        <v>70</v>
      </c>
      <c r="U169">
        <f>30</f>
        <v>30</v>
      </c>
      <c r="V169">
        <f t="shared" ca="1" si="45"/>
        <v>162.82793507164718</v>
      </c>
      <c r="W169">
        <f t="shared" ca="1" si="55"/>
        <v>160.48469625093122</v>
      </c>
      <c r="X169">
        <f t="shared" ca="1" si="54"/>
        <v>2.5152434037793796</v>
      </c>
      <c r="Y169">
        <f t="shared" ca="1" si="56"/>
        <v>2.2484598325038014</v>
      </c>
      <c r="Z169">
        <f t="shared" ca="1" si="57"/>
        <v>0.26678357127557817</v>
      </c>
      <c r="AA169">
        <f t="shared" ca="1" si="58"/>
        <v>151.94459999999995</v>
      </c>
    </row>
    <row r="170" spans="1:27" x14ac:dyDescent="0.25">
      <c r="A170" vm="497">
        <f ca="1"/>
        <v>45538</v>
      </c>
      <c r="B170" vm="498">
        <f ca="1"/>
        <v>167.16</v>
      </c>
      <c r="C170" vm="499">
        <f ca="1"/>
        <v>6956452</v>
      </c>
      <c r="D170">
        <f t="shared" ca="1" si="39"/>
        <v>1162840516.3199999</v>
      </c>
      <c r="E170">
        <f ca="1">SUM($D$2:D170)/SUM($C$2:C170)</f>
        <v>154.54830463734572</v>
      </c>
      <c r="F170">
        <f ca="1">_xlfn.STDEV.P($B$2:B170)</f>
        <v>6.1008147612736332</v>
      </c>
      <c r="G170">
        <f t="shared" ca="1" si="40"/>
        <v>160.64911939861935</v>
      </c>
      <c r="H170">
        <f t="shared" ca="1" si="41"/>
        <v>148.4474898760721</v>
      </c>
      <c r="I170">
        <f t="shared" ca="1" si="50"/>
        <v>161.51850000000002</v>
      </c>
      <c r="J170">
        <f t="shared" ca="1" si="51"/>
        <v>2.67847025272577</v>
      </c>
      <c r="K170">
        <f t="shared" ca="1" si="52"/>
        <v>166.87544050545156</v>
      </c>
      <c r="L170">
        <f t="shared" ca="1" si="53"/>
        <v>156.16155949454847</v>
      </c>
      <c r="M170">
        <f t="shared" ca="1" si="42"/>
        <v>1.2999999999999829</v>
      </c>
      <c r="N170">
        <f t="shared" ca="1" si="43"/>
        <v>1.2999999999999829</v>
      </c>
      <c r="O170">
        <f t="shared" ca="1" si="44"/>
        <v>0</v>
      </c>
      <c r="P170">
        <f t="shared" ca="1" si="48"/>
        <v>0.84736564591357122</v>
      </c>
      <c r="Q170">
        <f t="shared" ca="1" si="49"/>
        <v>0.35943537457382824</v>
      </c>
      <c r="R170">
        <f t="shared" ca="1" si="46"/>
        <v>2.3574909590305833</v>
      </c>
      <c r="S170">
        <f t="shared" ca="1" si="47"/>
        <v>70.215854273253726</v>
      </c>
      <c r="T170">
        <f>70</f>
        <v>70</v>
      </c>
      <c r="U170">
        <f>30</f>
        <v>30</v>
      </c>
      <c r="V170">
        <f t="shared" ca="1" si="45"/>
        <v>163.49440659908606</v>
      </c>
      <c r="W170">
        <f t="shared" ca="1" si="55"/>
        <v>160.97916319530668</v>
      </c>
      <c r="X170">
        <f t="shared" ca="1" si="54"/>
        <v>2.6372955027176204</v>
      </c>
      <c r="Y170">
        <f t="shared" ca="1" si="56"/>
        <v>2.3262269665465656</v>
      </c>
      <c r="Z170">
        <f t="shared" ca="1" si="57"/>
        <v>0.31106853617105479</v>
      </c>
      <c r="AA170">
        <f t="shared" ca="1" si="58"/>
        <v>152.11419999999993</v>
      </c>
    </row>
    <row r="171" spans="1:27" x14ac:dyDescent="0.25">
      <c r="A171" vm="500">
        <f ca="1"/>
        <v>45539</v>
      </c>
      <c r="B171" vm="501">
        <f ca="1"/>
        <v>167.36</v>
      </c>
      <c r="C171" vm="502">
        <f ca="1"/>
        <v>6939132</v>
      </c>
      <c r="D171">
        <f t="shared" ca="1" si="39"/>
        <v>1161333131.52</v>
      </c>
      <c r="E171">
        <f ca="1">SUM($D$2:D171)/SUM($C$2:C171)</f>
        <v>154.62023231583828</v>
      </c>
      <c r="F171">
        <f ca="1">_xlfn.STDEV.P($B$2:B171)</f>
        <v>6.1590270329882149</v>
      </c>
      <c r="G171">
        <f t="shared" ca="1" si="40"/>
        <v>160.77925934882649</v>
      </c>
      <c r="H171">
        <f t="shared" ca="1" si="41"/>
        <v>148.46120528285007</v>
      </c>
      <c r="I171">
        <f t="shared" ca="1" si="50"/>
        <v>161.93800000000002</v>
      </c>
      <c r="J171">
        <f t="shared" ca="1" si="51"/>
        <v>2.9056978507752698</v>
      </c>
      <c r="K171">
        <f t="shared" ca="1" si="52"/>
        <v>167.74939570155055</v>
      </c>
      <c r="L171">
        <f t="shared" ca="1" si="53"/>
        <v>156.12660429844948</v>
      </c>
      <c r="M171">
        <f t="shared" ca="1" si="42"/>
        <v>0.20000000000001705</v>
      </c>
      <c r="N171">
        <f t="shared" ca="1" si="43"/>
        <v>0.20000000000001705</v>
      </c>
      <c r="O171">
        <f t="shared" ca="1" si="44"/>
        <v>0</v>
      </c>
      <c r="P171">
        <f t="shared" ca="1" si="48"/>
        <v>0.80112524263403162</v>
      </c>
      <c r="Q171">
        <f t="shared" ca="1" si="49"/>
        <v>0.33376141924712621</v>
      </c>
      <c r="R171">
        <f t="shared" ca="1" si="46"/>
        <v>2.4002931328646353</v>
      </c>
      <c r="S171">
        <f t="shared" ca="1" si="47"/>
        <v>70.590770826939476</v>
      </c>
      <c r="T171">
        <f>70</f>
        <v>70</v>
      </c>
      <c r="U171">
        <f>30</f>
        <v>30</v>
      </c>
      <c r="V171">
        <f t="shared" ca="1" si="45"/>
        <v>164.08911327614976</v>
      </c>
      <c r="W171">
        <f t="shared" ca="1" si="55"/>
        <v>161.45181777343214</v>
      </c>
      <c r="X171">
        <f t="shared" ca="1" si="54"/>
        <v>2.5138058878946765</v>
      </c>
      <c r="Y171">
        <f t="shared" ca="1" si="56"/>
        <v>2.3637427508161881</v>
      </c>
      <c r="Z171">
        <f t="shared" ca="1" si="57"/>
        <v>0.1500631370784884</v>
      </c>
      <c r="AA171">
        <f t="shared" ca="1" si="58"/>
        <v>152.29989999999992</v>
      </c>
    </row>
    <row r="172" spans="1:27" x14ac:dyDescent="0.25">
      <c r="A172" vm="503">
        <f ca="1"/>
        <v>45540</v>
      </c>
      <c r="B172" vm="504">
        <f ca="1"/>
        <v>164.99</v>
      </c>
      <c r="C172" vm="505">
        <f ca="1"/>
        <v>4600392</v>
      </c>
      <c r="D172">
        <f t="shared" ca="1" si="39"/>
        <v>759018676.08000004</v>
      </c>
      <c r="E172">
        <f ca="1">SUM($D$2:D172)/SUM($C$2:C172)</f>
        <v>154.65868571215137</v>
      </c>
      <c r="F172">
        <f ca="1">_xlfn.STDEV.P($B$2:B172)</f>
        <v>6.1898940783180478</v>
      </c>
      <c r="G172">
        <f t="shared" ca="1" si="40"/>
        <v>160.84857979046942</v>
      </c>
      <c r="H172">
        <f t="shared" ca="1" si="41"/>
        <v>148.46879163383332</v>
      </c>
      <c r="I172">
        <f t="shared" ca="1" si="50"/>
        <v>162.24250000000001</v>
      </c>
      <c r="J172">
        <f t="shared" ca="1" si="51"/>
        <v>2.889630963507829</v>
      </c>
      <c r="K172">
        <f t="shared" ca="1" si="52"/>
        <v>168.02176192701566</v>
      </c>
      <c r="L172">
        <f t="shared" ca="1" si="53"/>
        <v>156.46323807298435</v>
      </c>
      <c r="M172">
        <f t="shared" ca="1" si="42"/>
        <v>-2.3700000000000045</v>
      </c>
      <c r="N172">
        <f t="shared" ca="1" si="43"/>
        <v>0</v>
      </c>
      <c r="O172">
        <f t="shared" ca="1" si="44"/>
        <v>2.3700000000000045</v>
      </c>
      <c r="P172">
        <f t="shared" ca="1" si="48"/>
        <v>0.74390201101731512</v>
      </c>
      <c r="Q172">
        <f t="shared" ca="1" si="49"/>
        <v>0.47920703215804611</v>
      </c>
      <c r="R172">
        <f t="shared" ca="1" si="46"/>
        <v>1.5523603809970188</v>
      </c>
      <c r="S172">
        <f t="shared" ca="1" si="47"/>
        <v>60.820579748641386</v>
      </c>
      <c r="T172">
        <f>70</f>
        <v>70</v>
      </c>
      <c r="U172">
        <f>30</f>
        <v>30</v>
      </c>
      <c r="V172">
        <f t="shared" ca="1" si="45"/>
        <v>164.22771123366516</v>
      </c>
      <c r="W172">
        <f t="shared" ca="1" si="55"/>
        <v>161.71390534577048</v>
      </c>
      <c r="X172">
        <f t="shared" ca="1" si="54"/>
        <v>2.3397464359633489</v>
      </c>
      <c r="Y172">
        <f t="shared" ca="1" si="56"/>
        <v>2.3589434878456204</v>
      </c>
      <c r="Z172">
        <f t="shared" ca="1" si="57"/>
        <v>-1.9197051882271499E-2</v>
      </c>
      <c r="AA172">
        <f t="shared" ca="1" si="58"/>
        <v>152.47459999999992</v>
      </c>
    </row>
    <row r="173" spans="1:27" x14ac:dyDescent="0.25">
      <c r="A173" vm="506">
        <f ca="1"/>
        <v>45541</v>
      </c>
      <c r="B173" vm="507">
        <f ca="1"/>
        <v>164.38</v>
      </c>
      <c r="C173" vm="508">
        <f ca="1"/>
        <v>6016884</v>
      </c>
      <c r="D173">
        <f t="shared" ca="1" si="39"/>
        <v>989055391.91999996</v>
      </c>
      <c r="E173">
        <f ca="1">SUM($D$2:D173)/SUM($C$2:C173)</f>
        <v>154.70560659983823</v>
      </c>
      <c r="F173">
        <f ca="1">_xlfn.STDEV.P($B$2:B173)</f>
        <v>6.2141220697936399</v>
      </c>
      <c r="G173">
        <f t="shared" ca="1" si="40"/>
        <v>160.91972866963187</v>
      </c>
      <c r="H173">
        <f t="shared" ca="1" si="41"/>
        <v>148.4914845300446</v>
      </c>
      <c r="I173">
        <f t="shared" ca="1" si="50"/>
        <v>162.45050000000001</v>
      </c>
      <c r="J173">
        <f t="shared" ca="1" si="51"/>
        <v>2.8861055074269251</v>
      </c>
      <c r="K173">
        <f t="shared" ca="1" si="52"/>
        <v>168.22271101485384</v>
      </c>
      <c r="L173">
        <f t="shared" ca="1" si="53"/>
        <v>156.67828898514617</v>
      </c>
      <c r="M173">
        <f t="shared" ca="1" si="42"/>
        <v>-0.61000000000001364</v>
      </c>
      <c r="N173">
        <f t="shared" ca="1" si="43"/>
        <v>0</v>
      </c>
      <c r="O173">
        <f t="shared" ca="1" si="44"/>
        <v>0.61000000000001364</v>
      </c>
      <c r="P173">
        <f t="shared" ca="1" si="48"/>
        <v>0.69076615308750688</v>
      </c>
      <c r="Q173">
        <f t="shared" ca="1" si="49"/>
        <v>0.48854938700390094</v>
      </c>
      <c r="R173">
        <f t="shared" ca="1" si="46"/>
        <v>1.4139126390552432</v>
      </c>
      <c r="S173">
        <f t="shared" ca="1" si="47"/>
        <v>58.573480091169337</v>
      </c>
      <c r="T173">
        <f>70</f>
        <v>70</v>
      </c>
      <c r="U173">
        <f>30</f>
        <v>30</v>
      </c>
      <c r="V173">
        <f t="shared" ca="1" si="45"/>
        <v>164.25114027463974</v>
      </c>
      <c r="W173">
        <f t="shared" ca="1" si="55"/>
        <v>161.91139383867639</v>
      </c>
      <c r="X173">
        <f t="shared" ca="1" si="54"/>
        <v>2.354603031333852</v>
      </c>
      <c r="Y173">
        <f t="shared" ca="1" si="56"/>
        <v>2.358075396543267</v>
      </c>
      <c r="Z173">
        <f t="shared" ca="1" si="57"/>
        <v>-3.4723652094150737E-3</v>
      </c>
      <c r="AA173">
        <f t="shared" ca="1" si="58"/>
        <v>152.64249999999993</v>
      </c>
    </row>
    <row r="174" spans="1:27" x14ac:dyDescent="0.25">
      <c r="A174" vm="509">
        <f ca="1"/>
        <v>45544</v>
      </c>
      <c r="B174" vm="510">
        <f ca="1"/>
        <v>166.61</v>
      </c>
      <c r="C174" vm="511">
        <f ca="1"/>
        <v>7538233</v>
      </c>
      <c r="D174">
        <f t="shared" ca="1" si="39"/>
        <v>1255945000.1300001</v>
      </c>
      <c r="E174">
        <f ca="1">SUM($D$2:D174)/SUM($C$2:C174)</f>
        <v>154.77715965122388</v>
      </c>
      <c r="F174">
        <f ca="1">_xlfn.STDEV.P($B$2:B174)</f>
        <v>6.259184174858496</v>
      </c>
      <c r="G174">
        <f t="shared" ca="1" si="40"/>
        <v>161.03634382608237</v>
      </c>
      <c r="H174">
        <f t="shared" ca="1" si="41"/>
        <v>148.51797547636539</v>
      </c>
      <c r="I174">
        <f t="shared" ca="1" si="50"/>
        <v>162.75000000000003</v>
      </c>
      <c r="J174">
        <f t="shared" ca="1" si="51"/>
        <v>2.9949009297383116</v>
      </c>
      <c r="K174">
        <f t="shared" ca="1" si="52"/>
        <v>168.73980185947664</v>
      </c>
      <c r="L174">
        <f t="shared" ca="1" si="53"/>
        <v>156.76019814052341</v>
      </c>
      <c r="M174">
        <f t="shared" ca="1" si="42"/>
        <v>2.2300000000000182</v>
      </c>
      <c r="N174">
        <f t="shared" ca="1" si="43"/>
        <v>2.2300000000000182</v>
      </c>
      <c r="O174">
        <f t="shared" ca="1" si="44"/>
        <v>0</v>
      </c>
      <c r="P174">
        <f t="shared" ca="1" si="48"/>
        <v>0.80071142786697191</v>
      </c>
      <c r="Q174">
        <f t="shared" ca="1" si="49"/>
        <v>0.45365300221790805</v>
      </c>
      <c r="R174">
        <f t="shared" ca="1" si="46"/>
        <v>1.7650305937628459</v>
      </c>
      <c r="S174">
        <f t="shared" ca="1" si="47"/>
        <v>63.834034883529789</v>
      </c>
      <c r="T174">
        <f>70</f>
        <v>70</v>
      </c>
      <c r="U174">
        <f>30</f>
        <v>30</v>
      </c>
      <c r="V174">
        <f t="shared" ca="1" si="45"/>
        <v>164.61404177084901</v>
      </c>
      <c r="W174">
        <f t="shared" ca="1" si="55"/>
        <v>162.25943873951516</v>
      </c>
      <c r="X174">
        <f t="shared" ca="1" si="54"/>
        <v>2.4008342324778482</v>
      </c>
      <c r="Y174">
        <f t="shared" ca="1" si="56"/>
        <v>2.3666271637301834</v>
      </c>
      <c r="Z174">
        <f t="shared" ca="1" si="57"/>
        <v>3.4207068747664771E-2</v>
      </c>
      <c r="AA174">
        <f t="shared" ca="1" si="58"/>
        <v>152.86409999999992</v>
      </c>
    </row>
    <row r="175" spans="1:27" x14ac:dyDescent="0.25">
      <c r="A175" vm="512">
        <f ca="1"/>
        <v>45545</v>
      </c>
      <c r="B175" vm="513">
        <f ca="1"/>
        <v>167.38</v>
      </c>
      <c r="C175" vm="514">
        <f ca="1"/>
        <v>6559734</v>
      </c>
      <c r="D175">
        <f t="shared" ca="1" si="39"/>
        <v>1097968276.9200001</v>
      </c>
      <c r="E175">
        <f ca="1">SUM($D$2:D175)/SUM($C$2:C175)</f>
        <v>154.84273496350272</v>
      </c>
      <c r="F175">
        <f ca="1">_xlfn.STDEV.P($B$2:B175)</f>
        <v>6.3110761588651778</v>
      </c>
      <c r="G175">
        <f t="shared" ca="1" si="40"/>
        <v>161.1538111223679</v>
      </c>
      <c r="H175">
        <f t="shared" ca="1" si="41"/>
        <v>148.53165880463754</v>
      </c>
      <c r="I175">
        <f t="shared" ca="1" si="50"/>
        <v>163.12500000000003</v>
      </c>
      <c r="J175">
        <f t="shared" ca="1" si="51"/>
        <v>3.0848244853254116</v>
      </c>
      <c r="K175">
        <f t="shared" ca="1" si="52"/>
        <v>169.29464897065085</v>
      </c>
      <c r="L175">
        <f t="shared" ca="1" si="53"/>
        <v>156.9553510293492</v>
      </c>
      <c r="M175">
        <f t="shared" ca="1" si="42"/>
        <v>0.76999999999998181</v>
      </c>
      <c r="N175">
        <f t="shared" ca="1" si="43"/>
        <v>0.76999999999998181</v>
      </c>
      <c r="O175">
        <f t="shared" ca="1" si="44"/>
        <v>0</v>
      </c>
      <c r="P175">
        <f t="shared" ca="1" si="48"/>
        <v>0.79851775444790118</v>
      </c>
      <c r="Q175">
        <f t="shared" ca="1" si="49"/>
        <v>0.42124921634520035</v>
      </c>
      <c r="R175">
        <f t="shared" ca="1" si="46"/>
        <v>1.8955946348717745</v>
      </c>
      <c r="S175">
        <f t="shared" ca="1" si="47"/>
        <v>65.464779221616325</v>
      </c>
      <c r="T175">
        <f>70</f>
        <v>70</v>
      </c>
      <c r="U175">
        <f>30</f>
        <v>30</v>
      </c>
      <c r="V175">
        <f t="shared" ca="1" si="45"/>
        <v>165.03957380610302</v>
      </c>
      <c r="W175">
        <f t="shared" ca="1" si="55"/>
        <v>162.63873957362517</v>
      </c>
      <c r="X175">
        <f t="shared" ca="1" si="54"/>
        <v>2.205478800525384</v>
      </c>
      <c r="Y175">
        <f t="shared" ca="1" si="56"/>
        <v>2.3343974910892236</v>
      </c>
      <c r="Z175">
        <f t="shared" ca="1" si="57"/>
        <v>-0.12891869056383953</v>
      </c>
      <c r="AA175">
        <f t="shared" ca="1" si="58"/>
        <v>153.09019999999992</v>
      </c>
    </row>
    <row r="176" spans="1:27" x14ac:dyDescent="0.25">
      <c r="A176" vm="515">
        <f ca="1"/>
        <v>45546</v>
      </c>
      <c r="B176" vm="516">
        <f ca="1"/>
        <v>164.82</v>
      </c>
      <c r="C176" vm="517">
        <f ca="1"/>
        <v>5920165</v>
      </c>
      <c r="D176">
        <f t="shared" ca="1" si="39"/>
        <v>975761595.29999995</v>
      </c>
      <c r="E176">
        <f ca="1">SUM($D$2:D176)/SUM($C$2:C176)</f>
        <v>154.88936828942244</v>
      </c>
      <c r="F176">
        <f ca="1">_xlfn.STDEV.P($B$2:B176)</f>
        <v>6.3358803080840582</v>
      </c>
      <c r="G176">
        <f t="shared" ca="1" si="40"/>
        <v>161.22524859750649</v>
      </c>
      <c r="H176">
        <f t="shared" ca="1" si="41"/>
        <v>148.55348798133838</v>
      </c>
      <c r="I176">
        <f t="shared" ca="1" si="50"/>
        <v>163.44650000000001</v>
      </c>
      <c r="J176">
        <f t="shared" ca="1" si="51"/>
        <v>2.8945707344686067</v>
      </c>
      <c r="K176">
        <f t="shared" ca="1" si="52"/>
        <v>169.23564146893722</v>
      </c>
      <c r="L176">
        <f t="shared" ca="1" si="53"/>
        <v>157.65735853106281</v>
      </c>
      <c r="M176">
        <f t="shared" ca="1" si="42"/>
        <v>-2.5600000000000023</v>
      </c>
      <c r="N176">
        <f t="shared" ca="1" si="43"/>
        <v>0</v>
      </c>
      <c r="O176">
        <f t="shared" ca="1" si="44"/>
        <v>2.5600000000000023</v>
      </c>
      <c r="P176">
        <f t="shared" ca="1" si="48"/>
        <v>0.74148077198733675</v>
      </c>
      <c r="Q176">
        <f t="shared" ca="1" si="49"/>
        <v>0.57401712946340055</v>
      </c>
      <c r="R176">
        <f t="shared" ca="1" si="46"/>
        <v>1.2917397999611677</v>
      </c>
      <c r="S176">
        <f t="shared" ca="1" si="47"/>
        <v>56.36502887383007</v>
      </c>
      <c r="T176">
        <f>70</f>
        <v>70</v>
      </c>
      <c r="U176">
        <f>30</f>
        <v>30</v>
      </c>
      <c r="V176">
        <f t="shared" ca="1" si="45"/>
        <v>165.0057932205487</v>
      </c>
      <c r="W176">
        <f t="shared" ca="1" si="55"/>
        <v>162.80031442002331</v>
      </c>
      <c r="X176">
        <f t="shared" ca="1" si="54"/>
        <v>2.0129299145167749</v>
      </c>
      <c r="Y176">
        <f t="shared" ca="1" si="56"/>
        <v>2.2701039757747341</v>
      </c>
      <c r="Z176">
        <f t="shared" ca="1" si="57"/>
        <v>-0.25717406125795916</v>
      </c>
      <c r="AA176">
        <f t="shared" ca="1" si="58"/>
        <v>153.28099999999992</v>
      </c>
    </row>
    <row r="177" spans="1:27" x14ac:dyDescent="0.25">
      <c r="A177" vm="518">
        <f ca="1"/>
        <v>45547</v>
      </c>
      <c r="B177" vm="519">
        <f ca="1"/>
        <v>164.64</v>
      </c>
      <c r="C177" vm="520">
        <f ca="1"/>
        <v>4541046</v>
      </c>
      <c r="D177">
        <f t="shared" ca="1" si="39"/>
        <v>747637813.43999994</v>
      </c>
      <c r="E177">
        <f ca="1">SUM($D$2:D177)/SUM($C$2:C177)</f>
        <v>154.92420085792341</v>
      </c>
      <c r="F177">
        <f ca="1">_xlfn.STDEV.P($B$2:B177)</f>
        <v>6.3582890997769965</v>
      </c>
      <c r="G177">
        <f t="shared" ca="1" si="40"/>
        <v>161.28248995770042</v>
      </c>
      <c r="H177">
        <f t="shared" ca="1" si="41"/>
        <v>148.5659117581464</v>
      </c>
      <c r="I177">
        <f t="shared" ca="1" si="50"/>
        <v>163.75450000000004</v>
      </c>
      <c r="J177">
        <f t="shared" ca="1" si="51"/>
        <v>2.6562071792214148</v>
      </c>
      <c r="K177">
        <f t="shared" ca="1" si="52"/>
        <v>169.06691435844286</v>
      </c>
      <c r="L177">
        <f t="shared" ca="1" si="53"/>
        <v>158.44208564155721</v>
      </c>
      <c r="M177">
        <f t="shared" ca="1" si="42"/>
        <v>-0.18000000000000682</v>
      </c>
      <c r="N177">
        <f t="shared" ca="1" si="43"/>
        <v>0</v>
      </c>
      <c r="O177">
        <f t="shared" ca="1" si="44"/>
        <v>0.18000000000000682</v>
      </c>
      <c r="P177">
        <f t="shared" ca="1" si="48"/>
        <v>0.68851785970252699</v>
      </c>
      <c r="Q177">
        <f t="shared" ca="1" si="49"/>
        <v>0.54587304878744392</v>
      </c>
      <c r="R177">
        <f t="shared" ca="1" si="46"/>
        <v>1.2613149911539727</v>
      </c>
      <c r="S177">
        <f t="shared" ca="1" si="47"/>
        <v>55.777943191820015</v>
      </c>
      <c r="T177">
        <f>70</f>
        <v>70</v>
      </c>
      <c r="U177">
        <f>30</f>
        <v>30</v>
      </c>
      <c r="V177">
        <f t="shared" ca="1" si="45"/>
        <v>164.9495173404643</v>
      </c>
      <c r="W177">
        <f t="shared" ca="1" si="55"/>
        <v>162.93658742594752</v>
      </c>
      <c r="X177">
        <f t="shared" ca="1" si="54"/>
        <v>1.9093325831480286</v>
      </c>
      <c r="Y177">
        <f t="shared" ca="1" si="56"/>
        <v>2.1979496972493933</v>
      </c>
      <c r="Z177">
        <f t="shared" ca="1" si="57"/>
        <v>-0.2886171141013647</v>
      </c>
      <c r="AA177">
        <f t="shared" ca="1" si="58"/>
        <v>153.4482999999999</v>
      </c>
    </row>
    <row r="178" spans="1:27" x14ac:dyDescent="0.25">
      <c r="A178" vm="521">
        <f ca="1"/>
        <v>45548</v>
      </c>
      <c r="B178" vm="522">
        <f ca="1"/>
        <v>165.52</v>
      </c>
      <c r="C178" vm="523">
        <f ca="1"/>
        <v>3693548</v>
      </c>
      <c r="D178">
        <f t="shared" ca="1" si="39"/>
        <v>611356064.96000004</v>
      </c>
      <c r="E178">
        <f ca="1">SUM($D$2:D178)/SUM($C$2:C178)</f>
        <v>154.95489915183325</v>
      </c>
      <c r="F178">
        <f ca="1">_xlfn.STDEV.P($B$2:B178)</f>
        <v>6.3875910555640152</v>
      </c>
      <c r="G178">
        <f t="shared" ca="1" si="40"/>
        <v>161.34249020739725</v>
      </c>
      <c r="H178">
        <f t="shared" ca="1" si="41"/>
        <v>148.56730809626924</v>
      </c>
      <c r="I178">
        <f t="shared" ca="1" si="50"/>
        <v>164.07600000000002</v>
      </c>
      <c r="J178">
        <f t="shared" ca="1" si="51"/>
        <v>2.4424478661677482</v>
      </c>
      <c r="K178">
        <f t="shared" ca="1" si="52"/>
        <v>168.96089573233553</v>
      </c>
      <c r="L178">
        <f t="shared" ca="1" si="53"/>
        <v>159.19110426766451</v>
      </c>
      <c r="M178">
        <f t="shared" ca="1" si="42"/>
        <v>0.88000000000002387</v>
      </c>
      <c r="N178">
        <f t="shared" ca="1" si="43"/>
        <v>0.88000000000002387</v>
      </c>
      <c r="O178">
        <f t="shared" ca="1" si="44"/>
        <v>0</v>
      </c>
      <c r="P178">
        <f t="shared" ca="1" si="48"/>
        <v>0.70219515543806243</v>
      </c>
      <c r="Q178">
        <f t="shared" ca="1" si="49"/>
        <v>0.50688211673119787</v>
      </c>
      <c r="R178">
        <f t="shared" ca="1" si="46"/>
        <v>1.3853224098068546</v>
      </c>
      <c r="S178">
        <f t="shared" ca="1" si="47"/>
        <v>58.076946081222935</v>
      </c>
      <c r="T178">
        <f>70</f>
        <v>70</v>
      </c>
      <c r="U178">
        <f>30</f>
        <v>30</v>
      </c>
      <c r="V178">
        <f t="shared" ca="1" si="45"/>
        <v>165.03728390346981</v>
      </c>
      <c r="W178">
        <f t="shared" ca="1" si="55"/>
        <v>163.12795132032178</v>
      </c>
      <c r="X178">
        <f t="shared" ca="1" si="54"/>
        <v>1.9236727641765015</v>
      </c>
      <c r="Y178">
        <f t="shared" ca="1" si="56"/>
        <v>2.1430943106348153</v>
      </c>
      <c r="Z178">
        <f t="shared" ca="1" si="57"/>
        <v>-0.2194215464583138</v>
      </c>
      <c r="AA178">
        <f t="shared" ca="1" si="58"/>
        <v>153.61229999999992</v>
      </c>
    </row>
    <row r="179" spans="1:27" x14ac:dyDescent="0.25">
      <c r="A179" vm="524">
        <f ca="1"/>
        <v>45551</v>
      </c>
      <c r="B179" vm="525">
        <f ca="1"/>
        <v>166.99</v>
      </c>
      <c r="C179" vm="526">
        <f ca="1"/>
        <v>5187887</v>
      </c>
      <c r="D179">
        <f t="shared" ca="1" si="39"/>
        <v>866325250.13</v>
      </c>
      <c r="E179">
        <f ca="1">SUM($D$2:D179)/SUM($C$2:C179)</f>
        <v>155.00367595103589</v>
      </c>
      <c r="F179">
        <f ca="1">_xlfn.STDEV.P($B$2:B179)</f>
        <v>6.4300070675035395</v>
      </c>
      <c r="G179">
        <f t="shared" ca="1" si="40"/>
        <v>161.43368301853943</v>
      </c>
      <c r="H179">
        <f t="shared" ca="1" si="41"/>
        <v>148.57366888353235</v>
      </c>
      <c r="I179">
        <f t="shared" ca="1" si="50"/>
        <v>164.45599999999999</v>
      </c>
      <c r="J179">
        <f t="shared" ca="1" si="51"/>
        <v>2.2593697304663052</v>
      </c>
      <c r="K179">
        <f t="shared" ca="1" si="52"/>
        <v>168.9747394609326</v>
      </c>
      <c r="L179">
        <f t="shared" ca="1" si="53"/>
        <v>159.93726053906738</v>
      </c>
      <c r="M179">
        <f t="shared" ca="1" si="42"/>
        <v>1.4699999999999989</v>
      </c>
      <c r="N179">
        <f t="shared" ca="1" si="43"/>
        <v>1.4699999999999989</v>
      </c>
      <c r="O179">
        <f t="shared" ca="1" si="44"/>
        <v>0</v>
      </c>
      <c r="P179">
        <f t="shared" ca="1" si="48"/>
        <v>0.75703835862105784</v>
      </c>
      <c r="Q179">
        <f t="shared" ca="1" si="49"/>
        <v>0.47067625125039803</v>
      </c>
      <c r="R179">
        <f t="shared" ca="1" si="46"/>
        <v>1.6084056856701618</v>
      </c>
      <c r="S179">
        <f t="shared" ca="1" si="47"/>
        <v>61.662405296318923</v>
      </c>
      <c r="T179">
        <f>70</f>
        <v>70</v>
      </c>
      <c r="U179">
        <f>30</f>
        <v>30</v>
      </c>
      <c r="V179">
        <f t="shared" ca="1" si="45"/>
        <v>165.33770176447445</v>
      </c>
      <c r="W179">
        <f t="shared" ca="1" si="55"/>
        <v>163.41402900029794</v>
      </c>
      <c r="X179">
        <f t="shared" ca="1" si="54"/>
        <v>1.9193675183819892</v>
      </c>
      <c r="Y179">
        <f t="shared" ca="1" si="56"/>
        <v>2.0983489521842502</v>
      </c>
      <c r="Z179">
        <f t="shared" ca="1" si="57"/>
        <v>-0.17898143380226106</v>
      </c>
      <c r="AA179">
        <f t="shared" ca="1" si="58"/>
        <v>153.78659999999994</v>
      </c>
    </row>
    <row r="180" spans="1:27" x14ac:dyDescent="0.25">
      <c r="A180" vm="527">
        <f ca="1"/>
        <v>45552</v>
      </c>
      <c r="B180" vm="528">
        <f ca="1"/>
        <v>167.07</v>
      </c>
      <c r="C180" vm="529">
        <f ca="1"/>
        <v>5066586</v>
      </c>
      <c r="D180">
        <f t="shared" ca="1" si="39"/>
        <v>846474523.01999998</v>
      </c>
      <c r="E180">
        <f ca="1">SUM($D$2:D180)/SUM($C$2:C180)</f>
        <v>155.05124756265803</v>
      </c>
      <c r="F180">
        <f ca="1">_xlfn.STDEV.P($B$2:B180)</f>
        <v>6.4718183072835531</v>
      </c>
      <c r="G180">
        <f t="shared" ca="1" si="40"/>
        <v>161.52306586994158</v>
      </c>
      <c r="H180">
        <f t="shared" ca="1" si="41"/>
        <v>148.57942925537449</v>
      </c>
      <c r="I180">
        <f t="shared" ca="1" si="50"/>
        <v>164.82800000000003</v>
      </c>
      <c r="J180">
        <f t="shared" ca="1" si="51"/>
        <v>2.0230945551178228</v>
      </c>
      <c r="K180">
        <f t="shared" ca="1" si="52"/>
        <v>168.87418911023568</v>
      </c>
      <c r="L180">
        <f t="shared" ca="1" si="53"/>
        <v>160.78181088976439</v>
      </c>
      <c r="M180">
        <f t="shared" ca="1" si="42"/>
        <v>7.9999999999984084E-2</v>
      </c>
      <c r="N180">
        <f t="shared" ca="1" si="43"/>
        <v>7.9999999999984084E-2</v>
      </c>
      <c r="O180">
        <f t="shared" ca="1" si="44"/>
        <v>0</v>
      </c>
      <c r="P180">
        <f t="shared" ca="1" si="48"/>
        <v>0.70867847586240973</v>
      </c>
      <c r="Q180">
        <f t="shared" ca="1" si="49"/>
        <v>0.43705651901822673</v>
      </c>
      <c r="R180">
        <f t="shared" ca="1" si="46"/>
        <v>1.6214801633764337</v>
      </c>
      <c r="S180">
        <f t="shared" ca="1" si="47"/>
        <v>61.853611788844802</v>
      </c>
      <c r="T180">
        <f>70</f>
        <v>70</v>
      </c>
      <c r="U180">
        <f>30</f>
        <v>30</v>
      </c>
      <c r="V180">
        <f t="shared" ca="1" si="45"/>
        <v>165.60420918532455</v>
      </c>
      <c r="W180">
        <f t="shared" ca="1" si="55"/>
        <v>163.68484166694256</v>
      </c>
      <c r="X180">
        <f t="shared" ca="1" si="54"/>
        <v>1.8207310150571629</v>
      </c>
      <c r="Y180">
        <f t="shared" ca="1" si="56"/>
        <v>2.0428253647588326</v>
      </c>
      <c r="Z180">
        <f t="shared" ca="1" si="57"/>
        <v>-0.22209434970166964</v>
      </c>
      <c r="AA180">
        <f t="shared" ca="1" si="58"/>
        <v>153.97199999999992</v>
      </c>
    </row>
    <row r="181" spans="1:27" x14ac:dyDescent="0.25">
      <c r="A181" vm="530">
        <f ca="1"/>
        <v>45553</v>
      </c>
      <c r="B181" vm="531">
        <f ca="1"/>
        <v>166.15</v>
      </c>
      <c r="C181" vm="532">
        <f ca="1"/>
        <v>4722765</v>
      </c>
      <c r="D181">
        <f t="shared" ca="1" si="39"/>
        <v>784687404.75</v>
      </c>
      <c r="E181">
        <f ca="1">SUM($D$2:D181)/SUM($C$2:C181)</f>
        <v>155.09188580054061</v>
      </c>
      <c r="F181">
        <f ca="1">_xlfn.STDEV.P($B$2:B181)</f>
        <v>6.5034607261570123</v>
      </c>
      <c r="G181">
        <f t="shared" ca="1" si="40"/>
        <v>161.59534652669763</v>
      </c>
      <c r="H181">
        <f t="shared" ca="1" si="41"/>
        <v>148.58842507438359</v>
      </c>
      <c r="I181">
        <f t="shared" ca="1" si="50"/>
        <v>165.1275</v>
      </c>
      <c r="J181">
        <f t="shared" ca="1" si="51"/>
        <v>1.7156980319514608</v>
      </c>
      <c r="K181">
        <f t="shared" ca="1" si="52"/>
        <v>168.55889606390292</v>
      </c>
      <c r="L181">
        <f t="shared" ca="1" si="53"/>
        <v>161.69610393609707</v>
      </c>
      <c r="M181">
        <f t="shared" ca="1" si="42"/>
        <v>-0.91999999999998749</v>
      </c>
      <c r="N181">
        <f t="shared" ca="1" si="43"/>
        <v>0</v>
      </c>
      <c r="O181">
        <f t="shared" ca="1" si="44"/>
        <v>0.91999999999998749</v>
      </c>
      <c r="P181">
        <f t="shared" ca="1" si="48"/>
        <v>0.65805858472938039</v>
      </c>
      <c r="Q181">
        <f t="shared" ca="1" si="49"/>
        <v>0.47155248194549537</v>
      </c>
      <c r="R181">
        <f t="shared" ca="1" si="46"/>
        <v>1.3955150485358752</v>
      </c>
      <c r="S181">
        <f t="shared" ca="1" si="47"/>
        <v>58.255323813924939</v>
      </c>
      <c r="T181">
        <f>70</f>
        <v>70</v>
      </c>
      <c r="U181">
        <f>30</f>
        <v>30</v>
      </c>
      <c r="V181">
        <f t="shared" ca="1" si="45"/>
        <v>165.68817700296694</v>
      </c>
      <c r="W181">
        <f t="shared" ca="1" si="55"/>
        <v>163.86744598790978</v>
      </c>
      <c r="X181">
        <f t="shared" ca="1" si="54"/>
        <v>1.6166057658418822</v>
      </c>
      <c r="Y181">
        <f t="shared" ca="1" si="56"/>
        <v>1.9575814449754425</v>
      </c>
      <c r="Z181">
        <f t="shared" ca="1" si="57"/>
        <v>-0.34097567913356031</v>
      </c>
      <c r="AA181">
        <f t="shared" ca="1" si="58"/>
        <v>154.16529999999995</v>
      </c>
    </row>
    <row r="182" spans="1:27" x14ac:dyDescent="0.25">
      <c r="A182" vm="533">
        <f ca="1"/>
        <v>45554</v>
      </c>
      <c r="B182" vm="516">
        <f ca="1"/>
        <v>164.82</v>
      </c>
      <c r="C182" vm="534">
        <f ca="1"/>
        <v>4956119</v>
      </c>
      <c r="D182">
        <f t="shared" ca="1" si="39"/>
        <v>816867533.57999992</v>
      </c>
      <c r="E182">
        <f ca="1">SUM($D$2:D182)/SUM($C$2:C182)</f>
        <v>155.12912233067632</v>
      </c>
      <c r="F182">
        <f ca="1">_xlfn.STDEV.P($B$2:B182)</f>
        <v>6.5227953141311739</v>
      </c>
      <c r="G182">
        <f t="shared" ca="1" si="40"/>
        <v>161.6519176448075</v>
      </c>
      <c r="H182">
        <f t="shared" ca="1" si="41"/>
        <v>148.60632701654515</v>
      </c>
      <c r="I182">
        <f t="shared" ca="1" si="50"/>
        <v>165.29700000000005</v>
      </c>
      <c r="J182">
        <f t="shared" ca="1" si="51"/>
        <v>1.4828354772636083</v>
      </c>
      <c r="K182">
        <f t="shared" ca="1" si="52"/>
        <v>168.26267095452727</v>
      </c>
      <c r="L182">
        <f t="shared" ca="1" si="53"/>
        <v>162.33132904547284</v>
      </c>
      <c r="M182">
        <f t="shared" ca="1" si="42"/>
        <v>-1.3300000000000125</v>
      </c>
      <c r="N182">
        <f t="shared" ca="1" si="43"/>
        <v>0</v>
      </c>
      <c r="O182">
        <f t="shared" ca="1" si="44"/>
        <v>1.3300000000000125</v>
      </c>
      <c r="P182">
        <f t="shared" ca="1" si="48"/>
        <v>0.61105440010585321</v>
      </c>
      <c r="Q182">
        <f t="shared" ca="1" si="49"/>
        <v>0.53287016180653235</v>
      </c>
      <c r="R182">
        <f t="shared" ca="1" si="46"/>
        <v>1.1467228677887711</v>
      </c>
      <c r="S182">
        <f t="shared" ca="1" si="47"/>
        <v>53.417368631748509</v>
      </c>
      <c r="T182">
        <f>70</f>
        <v>70</v>
      </c>
      <c r="U182">
        <f>30</f>
        <v>30</v>
      </c>
      <c r="V182">
        <f t="shared" ca="1" si="45"/>
        <v>165.55461131020277</v>
      </c>
      <c r="W182">
        <f t="shared" ca="1" si="55"/>
        <v>163.93800554436089</v>
      </c>
      <c r="X182">
        <f t="shared" ca="1" si="54"/>
        <v>1.3856061459057969</v>
      </c>
      <c r="Y182">
        <f t="shared" ca="1" si="56"/>
        <v>1.8431863851615133</v>
      </c>
      <c r="Z182">
        <f t="shared" ca="1" si="57"/>
        <v>-0.45758023925571645</v>
      </c>
      <c r="AA182">
        <f t="shared" ca="1" si="58"/>
        <v>154.35209999999989</v>
      </c>
    </row>
    <row r="183" spans="1:27" x14ac:dyDescent="0.25">
      <c r="A183" vm="535">
        <f ca="1"/>
        <v>45555</v>
      </c>
      <c r="B183" vm="536">
        <f ca="1"/>
        <v>164.16</v>
      </c>
      <c r="C183" vm="537">
        <f ca="1"/>
        <v>11838967</v>
      </c>
      <c r="D183">
        <f t="shared" ca="1" si="39"/>
        <v>1943484822.72</v>
      </c>
      <c r="E183">
        <f ca="1">SUM($D$2:D183)/SUM($C$2:C183)</f>
        <v>155.2109480175767</v>
      </c>
      <c r="F183">
        <f ca="1">_xlfn.STDEV.P($B$2:B183)</f>
        <v>6.5364816360085554</v>
      </c>
      <c r="G183">
        <f t="shared" ca="1" si="40"/>
        <v>161.74742965358524</v>
      </c>
      <c r="H183">
        <f t="shared" ca="1" si="41"/>
        <v>148.67446638156815</v>
      </c>
      <c r="I183">
        <f t="shared" ca="1" si="50"/>
        <v>165.38750000000002</v>
      </c>
      <c r="J183">
        <f t="shared" ca="1" si="51"/>
        <v>1.3420599837563194</v>
      </c>
      <c r="K183">
        <f t="shared" ca="1" si="52"/>
        <v>168.07161996751265</v>
      </c>
      <c r="L183">
        <f t="shared" ca="1" si="53"/>
        <v>162.70338003248739</v>
      </c>
      <c r="M183">
        <f t="shared" ca="1" si="42"/>
        <v>-0.65999999999999659</v>
      </c>
      <c r="N183">
        <f t="shared" ca="1" si="43"/>
        <v>0</v>
      </c>
      <c r="O183">
        <f t="shared" ca="1" si="44"/>
        <v>0.65999999999999659</v>
      </c>
      <c r="P183">
        <f t="shared" ca="1" si="48"/>
        <v>0.56740765724114939</v>
      </c>
      <c r="Q183">
        <f t="shared" ca="1" si="49"/>
        <v>0.54195086453463692</v>
      </c>
      <c r="R183">
        <f t="shared" ca="1" si="46"/>
        <v>1.0469725105584466</v>
      </c>
      <c r="S183">
        <f t="shared" ca="1" si="47"/>
        <v>51.147365446193305</v>
      </c>
      <c r="T183">
        <f>70</f>
        <v>70</v>
      </c>
      <c r="U183">
        <f>30</f>
        <v>30</v>
      </c>
      <c r="V183">
        <f t="shared" ca="1" si="45"/>
        <v>165.34005572401773</v>
      </c>
      <c r="W183">
        <f t="shared" ca="1" si="55"/>
        <v>163.95444957811193</v>
      </c>
      <c r="X183">
        <f t="shared" ca="1" si="54"/>
        <v>1.1138473992788818</v>
      </c>
      <c r="Y183">
        <f t="shared" ca="1" si="56"/>
        <v>1.6973185879849872</v>
      </c>
      <c r="Z183">
        <f t="shared" ca="1" si="57"/>
        <v>-0.58347118870610548</v>
      </c>
      <c r="AA183">
        <f t="shared" ca="1" si="58"/>
        <v>154.52549999999991</v>
      </c>
    </row>
    <row r="184" spans="1:27" x14ac:dyDescent="0.25">
      <c r="A184" vm="538">
        <f ca="1"/>
        <v>45558</v>
      </c>
      <c r="B184" vm="539">
        <f ca="1"/>
        <v>163.22</v>
      </c>
      <c r="C184" vm="540">
        <f ca="1"/>
        <v>4671645</v>
      </c>
      <c r="D184">
        <f t="shared" ca="1" si="39"/>
        <v>762505896.89999998</v>
      </c>
      <c r="E184">
        <f ca="1">SUM($D$2:D184)/SUM($C$2:C184)</f>
        <v>155.23948097973903</v>
      </c>
      <c r="F184">
        <f ca="1">_xlfn.STDEV.P($B$2:B184)</f>
        <v>6.5432718587185548</v>
      </c>
      <c r="G184">
        <f t="shared" ca="1" si="40"/>
        <v>161.78275283845758</v>
      </c>
      <c r="H184">
        <f t="shared" ca="1" si="41"/>
        <v>148.69620912102047</v>
      </c>
      <c r="I184">
        <f t="shared" ca="1" si="50"/>
        <v>165.34200000000001</v>
      </c>
      <c r="J184">
        <f t="shared" ca="1" si="51"/>
        <v>1.4010657597550182</v>
      </c>
      <c r="K184">
        <f t="shared" ca="1" si="52"/>
        <v>168.14413151951004</v>
      </c>
      <c r="L184">
        <f t="shared" ca="1" si="53"/>
        <v>162.53986848048999</v>
      </c>
      <c r="M184">
        <f t="shared" ca="1" si="42"/>
        <v>-0.93999999999999773</v>
      </c>
      <c r="N184">
        <f t="shared" ca="1" si="43"/>
        <v>0</v>
      </c>
      <c r="O184">
        <f t="shared" ca="1" si="44"/>
        <v>0.93999999999999773</v>
      </c>
      <c r="P184">
        <f t="shared" ca="1" si="48"/>
        <v>0.5268785388667816</v>
      </c>
      <c r="Q184">
        <f t="shared" ca="1" si="49"/>
        <v>0.57038294563930558</v>
      </c>
      <c r="R184">
        <f t="shared" ca="1" si="46"/>
        <v>0.92372772169097261</v>
      </c>
      <c r="S184">
        <f t="shared" ca="1" si="47"/>
        <v>48.017591641243719</v>
      </c>
      <c r="T184">
        <f>70</f>
        <v>70</v>
      </c>
      <c r="U184">
        <f>30</f>
        <v>30</v>
      </c>
      <c r="V184">
        <f t="shared" ca="1" si="45"/>
        <v>165.01389330493808</v>
      </c>
      <c r="W184">
        <f t="shared" ca="1" si="55"/>
        <v>163.9000459056592</v>
      </c>
      <c r="X184">
        <f t="shared" ca="1" si="54"/>
        <v>0.85313786959363824</v>
      </c>
      <c r="Y184">
        <f t="shared" ca="1" si="56"/>
        <v>1.5284824443067175</v>
      </c>
      <c r="Z184">
        <f t="shared" ca="1" si="57"/>
        <v>-0.67534457471307929</v>
      </c>
      <c r="AA184">
        <f t="shared" ca="1" si="58"/>
        <v>154.7117999999999</v>
      </c>
    </row>
    <row r="185" spans="1:27" x14ac:dyDescent="0.25">
      <c r="A185" vm="541">
        <f ca="1"/>
        <v>45559</v>
      </c>
      <c r="B185" vm="542">
        <f ca="1"/>
        <v>162.78</v>
      </c>
      <c r="C185" vm="543">
        <f ca="1"/>
        <v>6041561</v>
      </c>
      <c r="D185">
        <f t="shared" ca="1" si="39"/>
        <v>983445299.58000004</v>
      </c>
      <c r="E185">
        <f ca="1">SUM($D$2:D185)/SUM($C$2:C185)</f>
        <v>155.27406297096343</v>
      </c>
      <c r="F185">
        <f ca="1">_xlfn.STDEV.P($B$2:B185)</f>
        <v>6.5470136969238082</v>
      </c>
      <c r="G185">
        <f t="shared" ca="1" si="40"/>
        <v>161.82107666788724</v>
      </c>
      <c r="H185">
        <f t="shared" ca="1" si="41"/>
        <v>148.72704927403962</v>
      </c>
      <c r="I185">
        <f t="shared" ca="1" si="50"/>
        <v>165.25050000000005</v>
      </c>
      <c r="J185">
        <f t="shared" ca="1" si="51"/>
        <v>1.5071285873963713</v>
      </c>
      <c r="K185">
        <f t="shared" ca="1" si="52"/>
        <v>168.26475717479278</v>
      </c>
      <c r="L185">
        <f t="shared" ca="1" si="53"/>
        <v>162.23624282520731</v>
      </c>
      <c r="M185">
        <f t="shared" ca="1" si="42"/>
        <v>-0.43999999999999773</v>
      </c>
      <c r="N185">
        <f t="shared" ca="1" si="43"/>
        <v>0</v>
      </c>
      <c r="O185">
        <f t="shared" ca="1" si="44"/>
        <v>0.43999999999999773</v>
      </c>
      <c r="P185">
        <f t="shared" ca="1" si="48"/>
        <v>0.48924435751915435</v>
      </c>
      <c r="Q185">
        <f t="shared" ca="1" si="49"/>
        <v>0.56106987809364073</v>
      </c>
      <c r="R185">
        <f t="shared" ca="1" si="46"/>
        <v>0.87198471459824312</v>
      </c>
      <c r="S185">
        <f t="shared" ca="1" si="47"/>
        <v>46.58076039821642</v>
      </c>
      <c r="T185">
        <f>70</f>
        <v>70</v>
      </c>
      <c r="U185">
        <f>30</f>
        <v>30</v>
      </c>
      <c r="V185">
        <f t="shared" ca="1" si="45"/>
        <v>164.67021741187068</v>
      </c>
      <c r="W185">
        <f t="shared" ca="1" si="55"/>
        <v>163.81707954227704</v>
      </c>
      <c r="X185">
        <f t="shared" ca="1" si="54"/>
        <v>0.46525276377650471</v>
      </c>
      <c r="Y185">
        <f t="shared" ca="1" si="56"/>
        <v>1.3158365082006751</v>
      </c>
      <c r="Z185">
        <f t="shared" ca="1" si="57"/>
        <v>-0.8505837444241704</v>
      </c>
      <c r="AA185">
        <f t="shared" ca="1" si="58"/>
        <v>154.82779999999991</v>
      </c>
    </row>
    <row r="186" spans="1:27" x14ac:dyDescent="0.25">
      <c r="A186" vm="544">
        <f ca="1"/>
        <v>45560</v>
      </c>
      <c r="B186" vm="545">
        <f ca="1"/>
        <v>160.6</v>
      </c>
      <c r="C186" vm="546">
        <f ca="1"/>
        <v>5420011</v>
      </c>
      <c r="D186">
        <f t="shared" ca="1" si="39"/>
        <v>870453766.60000002</v>
      </c>
      <c r="E186">
        <f ca="1">SUM($D$2:D186)/SUM($C$2:C186)</f>
        <v>155.2958858788358</v>
      </c>
      <c r="F186">
        <f ca="1">_xlfn.STDEV.P($B$2:B186)</f>
        <v>6.5395774126700168</v>
      </c>
      <c r="G186">
        <f t="shared" ca="1" si="40"/>
        <v>161.83546329150582</v>
      </c>
      <c r="H186">
        <f t="shared" ca="1" si="41"/>
        <v>148.75630846616579</v>
      </c>
      <c r="I186">
        <f t="shared" ca="1" si="50"/>
        <v>165.13300000000004</v>
      </c>
      <c r="J186">
        <f t="shared" ca="1" si="51"/>
        <v>1.7653987174513752</v>
      </c>
      <c r="K186">
        <f t="shared" ca="1" si="52"/>
        <v>168.66379743490279</v>
      </c>
      <c r="L186">
        <f t="shared" ca="1" si="53"/>
        <v>161.60220256509729</v>
      </c>
      <c r="M186">
        <f t="shared" ca="1" si="42"/>
        <v>-2.1800000000000068</v>
      </c>
      <c r="N186">
        <f t="shared" ca="1" si="43"/>
        <v>0</v>
      </c>
      <c r="O186">
        <f t="shared" ca="1" si="44"/>
        <v>2.1800000000000068</v>
      </c>
      <c r="P186">
        <f t="shared" ca="1" si="48"/>
        <v>0.45429833198207187</v>
      </c>
      <c r="Q186">
        <f t="shared" ca="1" si="49"/>
        <v>0.67670774394409539</v>
      </c>
      <c r="R186">
        <f t="shared" ca="1" si="46"/>
        <v>0.67133609161062391</v>
      </c>
      <c r="S186">
        <f t="shared" ca="1" si="47"/>
        <v>40.16762965751996</v>
      </c>
      <c r="T186">
        <f>70</f>
        <v>70</v>
      </c>
      <c r="U186">
        <f>30</f>
        <v>30</v>
      </c>
      <c r="V186">
        <f t="shared" ca="1" si="45"/>
        <v>164.04403011773672</v>
      </c>
      <c r="W186">
        <f t="shared" ca="1" si="55"/>
        <v>163.57877735396022</v>
      </c>
      <c r="X186">
        <f t="shared" ca="1" si="54"/>
        <v>0.21907209381976145</v>
      </c>
      <c r="Y186">
        <f t="shared" ca="1" si="56"/>
        <v>1.0964836253244923</v>
      </c>
      <c r="Z186">
        <f t="shared" ca="1" si="57"/>
        <v>-0.87741153150473083</v>
      </c>
      <c r="AA186">
        <f t="shared" ca="1" si="58"/>
        <v>154.9345999999999</v>
      </c>
    </row>
    <row r="187" spans="1:27" x14ac:dyDescent="0.25">
      <c r="A187" vm="547">
        <f ca="1"/>
        <v>45561</v>
      </c>
      <c r="B187" vm="548">
        <f ca="1"/>
        <v>161.38999999999999</v>
      </c>
      <c r="C187" vm="549">
        <f ca="1"/>
        <v>6122231</v>
      </c>
      <c r="D187">
        <f t="shared" ca="1" si="39"/>
        <v>988066861.08999991</v>
      </c>
      <c r="E187">
        <f ca="1">SUM($D$2:D187)/SUM($C$2:C187)</f>
        <v>155.32396162385959</v>
      </c>
      <c r="F187">
        <f ca="1">_xlfn.STDEV.P($B$2:B187)</f>
        <v>6.5355731205007537</v>
      </c>
      <c r="G187">
        <f t="shared" ca="1" si="40"/>
        <v>161.85953474436033</v>
      </c>
      <c r="H187">
        <f t="shared" ca="1" si="41"/>
        <v>148.78838850335885</v>
      </c>
      <c r="I187">
        <f t="shared" ca="1" si="50"/>
        <v>165.00650000000002</v>
      </c>
      <c r="J187">
        <f t="shared" ca="1" si="51"/>
        <v>1.9389994028391404</v>
      </c>
      <c r="K187">
        <f t="shared" ca="1" si="52"/>
        <v>168.88449880567831</v>
      </c>
      <c r="L187">
        <f t="shared" ca="1" si="53"/>
        <v>161.12850119432173</v>
      </c>
      <c r="M187">
        <f t="shared" ca="1" si="42"/>
        <v>0.78999999999999204</v>
      </c>
      <c r="N187">
        <f t="shared" ca="1" si="43"/>
        <v>0.78999999999999204</v>
      </c>
      <c r="O187">
        <f t="shared" ca="1" si="44"/>
        <v>0</v>
      </c>
      <c r="P187">
        <f t="shared" ca="1" si="48"/>
        <v>0.47827702255478044</v>
      </c>
      <c r="Q187">
        <f t="shared" ca="1" si="49"/>
        <v>0.62837147651951708</v>
      </c>
      <c r="R187">
        <f t="shared" ca="1" si="46"/>
        <v>0.76113738517207385</v>
      </c>
      <c r="S187">
        <f t="shared" ca="1" si="47"/>
        <v>43.218512739578586</v>
      </c>
      <c r="T187">
        <f>70</f>
        <v>70</v>
      </c>
      <c r="U187">
        <f>30</f>
        <v>30</v>
      </c>
      <c r="V187">
        <f t="shared" ca="1" si="45"/>
        <v>163.63571779193109</v>
      </c>
      <c r="W187">
        <f t="shared" ca="1" si="55"/>
        <v>163.41664569811132</v>
      </c>
      <c r="X187">
        <f t="shared" ca="1" si="54"/>
        <v>2.4496673268799896E-2</v>
      </c>
      <c r="Y187">
        <f t="shared" ca="1" si="56"/>
        <v>0.88208623491335392</v>
      </c>
      <c r="Z187">
        <f t="shared" ca="1" si="57"/>
        <v>-0.85758956164455402</v>
      </c>
      <c r="AA187">
        <f t="shared" ca="1" si="58"/>
        <v>155.05579999999989</v>
      </c>
    </row>
    <row r="188" spans="1:27" x14ac:dyDescent="0.25">
      <c r="A188" vm="550">
        <f ca="1"/>
        <v>45562</v>
      </c>
      <c r="B188" vm="551">
        <f ca="1"/>
        <v>161.4</v>
      </c>
      <c r="C188" vm="552">
        <f ca="1"/>
        <v>7553905</v>
      </c>
      <c r="D188">
        <f t="shared" ca="1" si="39"/>
        <v>1219200267</v>
      </c>
      <c r="E188">
        <f ca="1">SUM($D$2:D188)/SUM($C$2:C188)</f>
        <v>155.35830486823485</v>
      </c>
      <c r="F188">
        <f ca="1">_xlfn.STDEV.P($B$2:B188)</f>
        <v>6.5315113513675787</v>
      </c>
      <c r="G188">
        <f t="shared" ca="1" si="40"/>
        <v>161.88981621960244</v>
      </c>
      <c r="H188">
        <f t="shared" ca="1" si="41"/>
        <v>148.82679351686727</v>
      </c>
      <c r="I188">
        <f t="shared" ca="1" si="50"/>
        <v>164.86499999999998</v>
      </c>
      <c r="J188">
        <f t="shared" ca="1" si="51"/>
        <v>2.0955855857894319</v>
      </c>
      <c r="K188">
        <f t="shared" ca="1" si="52"/>
        <v>169.05617117157885</v>
      </c>
      <c r="L188">
        <f t="shared" ca="1" si="53"/>
        <v>160.67382882842111</v>
      </c>
      <c r="M188">
        <f t="shared" ca="1" si="42"/>
        <v>1.0000000000019327E-2</v>
      </c>
      <c r="N188">
        <f t="shared" ca="1" si="43"/>
        <v>1.0000000000019327E-2</v>
      </c>
      <c r="O188">
        <f t="shared" ca="1" si="44"/>
        <v>0</v>
      </c>
      <c r="P188">
        <f t="shared" ca="1" si="48"/>
        <v>0.44482866380086888</v>
      </c>
      <c r="Q188">
        <f t="shared" ca="1" si="49"/>
        <v>0.58348779962526576</v>
      </c>
      <c r="R188">
        <f t="shared" ca="1" si="46"/>
        <v>0.76236155080972023</v>
      </c>
      <c r="S188">
        <f t="shared" ca="1" si="47"/>
        <v>43.257954104789221</v>
      </c>
      <c r="T188">
        <f>70</f>
        <v>70</v>
      </c>
      <c r="U188">
        <f>30</f>
        <v>30</v>
      </c>
      <c r="V188">
        <f t="shared" ca="1" si="45"/>
        <v>163.29176120855706</v>
      </c>
      <c r="W188">
        <f t="shared" ca="1" si="55"/>
        <v>163.26726453528826</v>
      </c>
      <c r="X188">
        <f t="shared" ca="1" si="54"/>
        <v>-7.5578048510664075E-2</v>
      </c>
      <c r="Y188">
        <f t="shared" ca="1" si="56"/>
        <v>0.69055337822855045</v>
      </c>
      <c r="Z188">
        <f t="shared" ca="1" si="57"/>
        <v>-0.76613142673921453</v>
      </c>
      <c r="AA188">
        <f t="shared" ca="1" si="58"/>
        <v>155.18399999999988</v>
      </c>
    </row>
    <row r="189" spans="1:27" x14ac:dyDescent="0.25">
      <c r="A189" vm="553">
        <f ca="1"/>
        <v>45565</v>
      </c>
      <c r="B189" vm="554">
        <f ca="1"/>
        <v>162.06</v>
      </c>
      <c r="C189" vm="555">
        <f ca="1"/>
        <v>6010407</v>
      </c>
      <c r="D189">
        <f t="shared" ca="1" si="39"/>
        <v>974046558.41999996</v>
      </c>
      <c r="E189">
        <f ca="1">SUM($D$2:D189)/SUM($C$2:C189)</f>
        <v>155.38830955260448</v>
      </c>
      <c r="F189">
        <f ca="1">_xlfn.STDEV.P($B$2:B189)</f>
        <v>6.5305790572156877</v>
      </c>
      <c r="G189">
        <f t="shared" ca="1" si="40"/>
        <v>161.91888860982016</v>
      </c>
      <c r="H189">
        <f t="shared" ca="1" si="41"/>
        <v>148.85773049538881</v>
      </c>
      <c r="I189">
        <f t="shared" ca="1" si="50"/>
        <v>164.67500000000001</v>
      </c>
      <c r="J189">
        <f t="shared" ca="1" si="51"/>
        <v>2.1715153573871939</v>
      </c>
      <c r="K189">
        <f t="shared" ca="1" si="52"/>
        <v>169.0180307147744</v>
      </c>
      <c r="L189">
        <f t="shared" ca="1" si="53"/>
        <v>160.33196928522563</v>
      </c>
      <c r="M189">
        <f t="shared" ca="1" si="42"/>
        <v>0.65999999999999659</v>
      </c>
      <c r="N189">
        <f t="shared" ca="1" si="43"/>
        <v>0.65999999999999659</v>
      </c>
      <c r="O189">
        <f t="shared" ca="1" si="44"/>
        <v>0</v>
      </c>
      <c r="P189">
        <f t="shared" ca="1" si="48"/>
        <v>0.46019804495794941</v>
      </c>
      <c r="Q189">
        <f t="shared" ca="1" si="49"/>
        <v>0.54181009965203253</v>
      </c>
      <c r="R189">
        <f t="shared" ca="1" si="46"/>
        <v>0.84937147766994947</v>
      </c>
      <c r="S189">
        <f t="shared" ca="1" si="47"/>
        <v>45.927575283040767</v>
      </c>
      <c r="T189">
        <f>70</f>
        <v>70</v>
      </c>
      <c r="U189">
        <f>30</f>
        <v>30</v>
      </c>
      <c r="V189">
        <f t="shared" ca="1" si="45"/>
        <v>163.10225948416365</v>
      </c>
      <c r="W189">
        <f t="shared" ca="1" si="55"/>
        <v>163.17783753267432</v>
      </c>
      <c r="X189">
        <f t="shared" ca="1" si="54"/>
        <v>-0.15870692684487153</v>
      </c>
      <c r="Y189">
        <f t="shared" ca="1" si="56"/>
        <v>0.52070131721386603</v>
      </c>
      <c r="Z189">
        <f t="shared" ca="1" si="57"/>
        <v>-0.67940824405873756</v>
      </c>
      <c r="AA189">
        <f t="shared" ca="1" si="58"/>
        <v>155.31739999999988</v>
      </c>
    </row>
    <row r="190" spans="1:27" x14ac:dyDescent="0.25">
      <c r="A190" vm="556">
        <f ca="1"/>
        <v>45566</v>
      </c>
      <c r="B190" vm="557">
        <f ca="1"/>
        <v>161.99</v>
      </c>
      <c r="C190" vm="558">
        <f ca="1"/>
        <v>4408019</v>
      </c>
      <c r="D190">
        <f t="shared" ca="1" si="39"/>
        <v>714054997.81000006</v>
      </c>
      <c r="E190">
        <f ca="1">SUM($D$2:D190)/SUM($C$2:C190)</f>
        <v>155.40991560551174</v>
      </c>
      <c r="F190">
        <f ca="1">_xlfn.STDEV.P($B$2:B190)</f>
        <v>6.5291278304592435</v>
      </c>
      <c r="G190">
        <f t="shared" ca="1" si="40"/>
        <v>161.93904343597097</v>
      </c>
      <c r="H190">
        <f t="shared" ca="1" si="41"/>
        <v>148.88078777505251</v>
      </c>
      <c r="I190">
        <f t="shared" ca="1" si="50"/>
        <v>164.41649999999998</v>
      </c>
      <c r="J190">
        <f t="shared" ca="1" si="51"/>
        <v>2.1678470401469045</v>
      </c>
      <c r="K190">
        <f t="shared" ca="1" si="52"/>
        <v>168.7521940802938</v>
      </c>
      <c r="L190">
        <f t="shared" ca="1" si="53"/>
        <v>160.08080591970617</v>
      </c>
      <c r="M190">
        <f t="shared" ca="1" si="42"/>
        <v>-6.9999999999993179E-2</v>
      </c>
      <c r="N190">
        <f t="shared" ca="1" si="43"/>
        <v>0</v>
      </c>
      <c r="O190">
        <f t="shared" ca="1" si="44"/>
        <v>6.9999999999993179E-2</v>
      </c>
      <c r="P190">
        <f t="shared" ca="1" si="48"/>
        <v>0.42732675603238157</v>
      </c>
      <c r="Q190">
        <f t="shared" ca="1" si="49"/>
        <v>0.50810937824831537</v>
      </c>
      <c r="R190">
        <f t="shared" ca="1" si="46"/>
        <v>0.84101332178825683</v>
      </c>
      <c r="S190">
        <f t="shared" ca="1" si="47"/>
        <v>45.682087784750181</v>
      </c>
      <c r="T190">
        <f>70</f>
        <v>70</v>
      </c>
      <c r="U190">
        <f>30</f>
        <v>30</v>
      </c>
      <c r="V190">
        <f t="shared" ca="1" si="45"/>
        <v>162.93114264044615</v>
      </c>
      <c r="W190">
        <f t="shared" ca="1" si="55"/>
        <v>163.08984956729103</v>
      </c>
      <c r="X190">
        <f t="shared" ca="1" si="54"/>
        <v>-0.28744086939337876</v>
      </c>
      <c r="Y190">
        <f t="shared" ca="1" si="56"/>
        <v>0.3590728798924171</v>
      </c>
      <c r="Z190">
        <f t="shared" ca="1" si="57"/>
        <v>-0.64651374928579586</v>
      </c>
      <c r="AA190">
        <f t="shared" ca="1" si="58"/>
        <v>155.44779999999989</v>
      </c>
    </row>
    <row r="191" spans="1:27" x14ac:dyDescent="0.25">
      <c r="A191" vm="559">
        <f ca="1"/>
        <v>45567</v>
      </c>
      <c r="B191" vm="560">
        <f ca="1"/>
        <v>161.16999999999999</v>
      </c>
      <c r="C191" vm="561">
        <f ca="1"/>
        <v>4684472</v>
      </c>
      <c r="D191">
        <f t="shared" ca="1" si="39"/>
        <v>754996352.23999989</v>
      </c>
      <c r="E191">
        <f ca="1">SUM($D$2:D191)/SUM($C$2:C191)</f>
        <v>155.4298801052395</v>
      </c>
      <c r="F191">
        <f ca="1">_xlfn.STDEV.P($B$2:B191)</f>
        <v>6.523694439600483</v>
      </c>
      <c r="G191">
        <f t="shared" ca="1" si="40"/>
        <v>161.95357454484</v>
      </c>
      <c r="H191">
        <f t="shared" ca="1" si="41"/>
        <v>148.90618566563901</v>
      </c>
      <c r="I191">
        <f t="shared" ca="1" si="50"/>
        <v>164.10700000000003</v>
      </c>
      <c r="J191">
        <f t="shared" ca="1" si="51"/>
        <v>2.1673585669876472</v>
      </c>
      <c r="K191">
        <f t="shared" ca="1" si="52"/>
        <v>168.44171713397532</v>
      </c>
      <c r="L191">
        <f t="shared" ca="1" si="53"/>
        <v>159.77228286602474</v>
      </c>
      <c r="M191">
        <f t="shared" ca="1" si="42"/>
        <v>-0.8200000000000216</v>
      </c>
      <c r="N191">
        <f t="shared" ca="1" si="43"/>
        <v>0</v>
      </c>
      <c r="O191">
        <f t="shared" ca="1" si="44"/>
        <v>0.8200000000000216</v>
      </c>
      <c r="P191">
        <f t="shared" ca="1" si="48"/>
        <v>0.39680341631578292</v>
      </c>
      <c r="Q191">
        <f t="shared" ca="1" si="49"/>
        <v>0.53038727980200862</v>
      </c>
      <c r="R191">
        <f t="shared" ca="1" si="46"/>
        <v>0.74813901355988022</v>
      </c>
      <c r="S191">
        <f t="shared" ca="1" si="47"/>
        <v>42.796311263392191</v>
      </c>
      <c r="T191">
        <f>70</f>
        <v>70</v>
      </c>
      <c r="U191">
        <f>30</f>
        <v>30</v>
      </c>
      <c r="V191">
        <f t="shared" ca="1" si="45"/>
        <v>162.66019761883905</v>
      </c>
      <c r="W191">
        <f t="shared" ca="1" si="55"/>
        <v>162.94763848823243</v>
      </c>
      <c r="X191">
        <f t="shared" ca="1" si="54"/>
        <v>-0.43847240991550507</v>
      </c>
      <c r="Y191">
        <f t="shared" ca="1" si="56"/>
        <v>0.19956382193083266</v>
      </c>
      <c r="Z191">
        <f t="shared" ca="1" si="57"/>
        <v>-0.63803623184633773</v>
      </c>
      <c r="AA191">
        <f t="shared" ca="1" si="58"/>
        <v>155.56099999999992</v>
      </c>
    </row>
    <row r="192" spans="1:27" x14ac:dyDescent="0.25">
      <c r="A192" vm="562">
        <f ca="1"/>
        <v>45568</v>
      </c>
      <c r="B192" vm="563">
        <f ca="1"/>
        <v>160.5</v>
      </c>
      <c r="C192" vm="564">
        <f ca="1"/>
        <v>4791223</v>
      </c>
      <c r="D192">
        <f t="shared" ca="1" si="39"/>
        <v>768991291.5</v>
      </c>
      <c r="E192">
        <f ca="1">SUM($D$2:D192)/SUM($C$2:C192)</f>
        <v>155.44779015135421</v>
      </c>
      <c r="F192">
        <f ca="1">_xlfn.STDEV.P($B$2:B192)</f>
        <v>6.5154866805195226</v>
      </c>
      <c r="G192">
        <f t="shared" ca="1" si="40"/>
        <v>161.96327683187374</v>
      </c>
      <c r="H192">
        <f t="shared" ca="1" si="41"/>
        <v>148.93230347083468</v>
      </c>
      <c r="I192">
        <f t="shared" ca="1" si="50"/>
        <v>163.88250000000002</v>
      </c>
      <c r="J192">
        <f t="shared" ca="1" si="51"/>
        <v>2.2995900664431956</v>
      </c>
      <c r="K192">
        <f t="shared" ca="1" si="52"/>
        <v>168.48168013288642</v>
      </c>
      <c r="L192">
        <f t="shared" ca="1" si="53"/>
        <v>159.28331986711362</v>
      </c>
      <c r="M192">
        <f t="shared" ca="1" si="42"/>
        <v>-0.66999999999998749</v>
      </c>
      <c r="N192">
        <f t="shared" ca="1" si="43"/>
        <v>0</v>
      </c>
      <c r="O192">
        <f t="shared" ca="1" si="44"/>
        <v>0.66999999999998749</v>
      </c>
      <c r="P192">
        <f t="shared" ca="1" si="48"/>
        <v>0.36846031515036987</v>
      </c>
      <c r="Q192">
        <f t="shared" ca="1" si="49"/>
        <v>0.54035961695900714</v>
      </c>
      <c r="R192">
        <f t="shared" ca="1" si="46"/>
        <v>0.6818798140837421</v>
      </c>
      <c r="S192">
        <f t="shared" ca="1" si="47"/>
        <v>40.542719424646762</v>
      </c>
      <c r="T192">
        <f>70</f>
        <v>70</v>
      </c>
      <c r="U192">
        <f>30</f>
        <v>30</v>
      </c>
      <c r="V192">
        <f t="shared" ca="1" si="45"/>
        <v>162.32785952363304</v>
      </c>
      <c r="W192">
        <f t="shared" ca="1" si="55"/>
        <v>162.76633193354854</v>
      </c>
      <c r="X192">
        <f t="shared" ca="1" si="54"/>
        <v>-0.56855726462754319</v>
      </c>
      <c r="Y192">
        <f t="shared" ca="1" si="56"/>
        <v>4.5939604619157484E-2</v>
      </c>
      <c r="Z192">
        <f t="shared" ca="1" si="57"/>
        <v>-0.61449686924670066</v>
      </c>
      <c r="AA192">
        <f t="shared" ca="1" si="58"/>
        <v>155.66689999999991</v>
      </c>
    </row>
    <row r="193" spans="1:27" x14ac:dyDescent="0.25">
      <c r="A193" vm="565">
        <f ca="1"/>
        <v>45569</v>
      </c>
      <c r="B193" vm="566">
        <f ca="1"/>
        <v>160.29</v>
      </c>
      <c r="C193" vm="567">
        <f ca="1"/>
        <v>5331694</v>
      </c>
      <c r="D193">
        <f t="shared" ca="1" si="39"/>
        <v>854617231.25999999</v>
      </c>
      <c r="E193">
        <f ca="1">SUM($D$2:D193)/SUM($C$2:C193)</f>
        <v>155.46675009622788</v>
      </c>
      <c r="F193">
        <f ca="1">_xlfn.STDEV.P($B$2:B193)</f>
        <v>6.5064952471306041</v>
      </c>
      <c r="G193">
        <f t="shared" ca="1" si="40"/>
        <v>161.97324534335849</v>
      </c>
      <c r="H193">
        <f t="shared" ca="1" si="41"/>
        <v>148.96025484909728</v>
      </c>
      <c r="I193">
        <f t="shared" ca="1" si="50"/>
        <v>163.67800000000003</v>
      </c>
      <c r="J193">
        <f t="shared" ca="1" si="51"/>
        <v>2.4311175684402757</v>
      </c>
      <c r="K193">
        <f t="shared" ca="1" si="52"/>
        <v>168.54023513688057</v>
      </c>
      <c r="L193">
        <f t="shared" ca="1" si="53"/>
        <v>158.81576486311948</v>
      </c>
      <c r="M193">
        <f t="shared" ca="1" si="42"/>
        <v>-0.21000000000000796</v>
      </c>
      <c r="N193">
        <f t="shared" ca="1" si="43"/>
        <v>0</v>
      </c>
      <c r="O193">
        <f t="shared" ca="1" si="44"/>
        <v>0.21000000000000796</v>
      </c>
      <c r="P193">
        <f t="shared" ca="1" si="48"/>
        <v>0.34214172121105774</v>
      </c>
      <c r="Q193">
        <f t="shared" ca="1" si="49"/>
        <v>0.51676250146193581</v>
      </c>
      <c r="R193">
        <f t="shared" ca="1" si="46"/>
        <v>0.66208697466075628</v>
      </c>
      <c r="S193">
        <f t="shared" ca="1" si="47"/>
        <v>39.834676810212827</v>
      </c>
      <c r="T193">
        <f>70</f>
        <v>70</v>
      </c>
      <c r="U193">
        <f>30</f>
        <v>30</v>
      </c>
      <c r="V193">
        <f t="shared" ca="1" si="45"/>
        <v>162.01434267384334</v>
      </c>
      <c r="W193">
        <f t="shared" ca="1" si="55"/>
        <v>162.58289993847089</v>
      </c>
      <c r="X193">
        <f t="shared" ca="1" si="54"/>
        <v>-0.72462309365116084</v>
      </c>
      <c r="Y193">
        <f t="shared" ca="1" si="56"/>
        <v>-0.10817293503490619</v>
      </c>
      <c r="Z193">
        <f t="shared" ca="1" si="57"/>
        <v>-0.61645015861625463</v>
      </c>
      <c r="AA193">
        <f t="shared" ca="1" si="58"/>
        <v>155.75759999999994</v>
      </c>
    </row>
    <row r="194" spans="1:27" x14ac:dyDescent="0.25">
      <c r="A194" vm="568">
        <f ca="1"/>
        <v>45572</v>
      </c>
      <c r="B194" vm="569">
        <f ca="1"/>
        <v>159.53</v>
      </c>
      <c r="C194" vm="570">
        <f ca="1"/>
        <v>4265971</v>
      </c>
      <c r="D194">
        <f t="shared" ca="1" si="39"/>
        <v>680550353.63</v>
      </c>
      <c r="E194">
        <f ca="1">SUM($D$2:D194)/SUM($C$2:C194)</f>
        <v>155.47944008409539</v>
      </c>
      <c r="F194">
        <f ca="1">_xlfn.STDEV.P($B$2:B194)</f>
        <v>6.4950435429835034</v>
      </c>
      <c r="G194">
        <f t="shared" ca="1" si="40"/>
        <v>161.97448362707888</v>
      </c>
      <c r="H194">
        <f t="shared" ca="1" si="41"/>
        <v>148.98439654111189</v>
      </c>
      <c r="I194">
        <f t="shared" ca="1" si="50"/>
        <v>163.32400000000001</v>
      </c>
      <c r="J194">
        <f t="shared" ca="1" si="51"/>
        <v>2.4963054806316443</v>
      </c>
      <c r="K194">
        <f t="shared" ca="1" si="52"/>
        <v>168.31661096126331</v>
      </c>
      <c r="L194">
        <f t="shared" ca="1" si="53"/>
        <v>158.33138903873672</v>
      </c>
      <c r="M194">
        <f t="shared" ca="1" si="42"/>
        <v>-0.75999999999999091</v>
      </c>
      <c r="N194">
        <f t="shared" ca="1" si="43"/>
        <v>0</v>
      </c>
      <c r="O194">
        <f t="shared" ca="1" si="44"/>
        <v>0.75999999999999091</v>
      </c>
      <c r="P194">
        <f t="shared" ca="1" si="48"/>
        <v>0.31770302683883933</v>
      </c>
      <c r="Q194">
        <f t="shared" ca="1" si="49"/>
        <v>0.53413660850036826</v>
      </c>
      <c r="R194">
        <f t="shared" ca="1" si="46"/>
        <v>0.59479732671912577</v>
      </c>
      <c r="S194">
        <f t="shared" ca="1" si="47"/>
        <v>37.296107583950125</v>
      </c>
      <c r="T194">
        <f>70</f>
        <v>70</v>
      </c>
      <c r="U194">
        <f>30</f>
        <v>30</v>
      </c>
      <c r="V194">
        <f t="shared" ca="1" si="45"/>
        <v>161.6321361086367</v>
      </c>
      <c r="W194">
        <f t="shared" ca="1" si="55"/>
        <v>162.35675920228786</v>
      </c>
      <c r="X194">
        <f t="shared" ca="1" si="54"/>
        <v>-0.82587554552267761</v>
      </c>
      <c r="Y194">
        <f t="shared" ca="1" si="56"/>
        <v>-0.25171345713246052</v>
      </c>
      <c r="Z194">
        <f t="shared" ca="1" si="57"/>
        <v>-0.5741620883902171</v>
      </c>
      <c r="AA194">
        <f t="shared" ca="1" si="58"/>
        <v>155.83909999999995</v>
      </c>
    </row>
    <row r="195" spans="1:27" x14ac:dyDescent="0.25">
      <c r="A195" vm="571">
        <f ca="1"/>
        <v>45573</v>
      </c>
      <c r="B195" vm="572">
        <f ca="1"/>
        <v>159.69</v>
      </c>
      <c r="C195" vm="573">
        <f ca="1"/>
        <v>4766250</v>
      </c>
      <c r="D195">
        <f t="shared" ref="D195:D258" ca="1" si="59">B195*C195</f>
        <v>761122462.5</v>
      </c>
      <c r="E195">
        <f ca="1">SUM($D$2:D195)/SUM($C$2:C195)</f>
        <v>155.49408118283321</v>
      </c>
      <c r="F195">
        <f ca="1">_xlfn.STDEV.P($B$2:B195)</f>
        <v>6.4841098152471552</v>
      </c>
      <c r="G195">
        <f t="shared" ref="G195:G258" ca="1" si="60">E195 + F195</f>
        <v>161.97819099808038</v>
      </c>
      <c r="H195">
        <f t="shared" ref="H195:H258" ca="1" si="61">E195 - F195</f>
        <v>149.00997136758605</v>
      </c>
      <c r="I195">
        <f t="shared" ca="1" si="50"/>
        <v>162.93950000000001</v>
      </c>
      <c r="J195">
        <f t="shared" ca="1" si="51"/>
        <v>2.4300454295081995</v>
      </c>
      <c r="K195">
        <f t="shared" ca="1" si="52"/>
        <v>167.7995908590164</v>
      </c>
      <c r="L195">
        <f t="shared" ca="1" si="53"/>
        <v>158.07940914098361</v>
      </c>
      <c r="M195">
        <f t="shared" ca="1" si="42"/>
        <v>0.15999999999999659</v>
      </c>
      <c r="N195">
        <f t="shared" ca="1" si="43"/>
        <v>0.15999999999999659</v>
      </c>
      <c r="O195">
        <f t="shared" ca="1" si="44"/>
        <v>0</v>
      </c>
      <c r="P195">
        <f t="shared" ca="1" si="48"/>
        <v>0.30643852492177909</v>
      </c>
      <c r="Q195">
        <f t="shared" ca="1" si="49"/>
        <v>0.49598399360748485</v>
      </c>
      <c r="R195">
        <f t="shared" ca="1" si="46"/>
        <v>0.61783954496783711</v>
      </c>
      <c r="S195">
        <f t="shared" ca="1" si="47"/>
        <v>38.189173140783865</v>
      </c>
      <c r="T195">
        <f>70</f>
        <v>70</v>
      </c>
      <c r="U195">
        <f>30</f>
        <v>30</v>
      </c>
      <c r="V195">
        <f t="shared" ca="1" si="45"/>
        <v>161.3333459380772</v>
      </c>
      <c r="W195">
        <f t="shared" ca="1" si="55"/>
        <v>162.15922148359988</v>
      </c>
      <c r="X195">
        <f t="shared" ca="1" si="54"/>
        <v>-0.8192115058719196</v>
      </c>
      <c r="Y195">
        <f t="shared" ca="1" si="56"/>
        <v>-0.36521306688035238</v>
      </c>
      <c r="Z195">
        <f t="shared" ca="1" si="57"/>
        <v>-0.45399843899156722</v>
      </c>
      <c r="AA195">
        <f t="shared" ca="1" si="58"/>
        <v>155.90929999999994</v>
      </c>
    </row>
    <row r="196" spans="1:27" x14ac:dyDescent="0.25">
      <c r="A196" vm="574">
        <f ca="1"/>
        <v>45574</v>
      </c>
      <c r="B196" vm="575">
        <f ca="1"/>
        <v>160.65</v>
      </c>
      <c r="C196" vm="576">
        <f ca="1"/>
        <v>6047269</v>
      </c>
      <c r="D196">
        <f t="shared" ca="1" si="59"/>
        <v>971493764.85000002</v>
      </c>
      <c r="E196">
        <f ca="1">SUM($D$2:D196)/SUM($C$2:C196)</f>
        <v>155.51672817601886</v>
      </c>
      <c r="F196">
        <f ca="1">_xlfn.STDEV.P($B$2:B196)</f>
        <v>6.4764619146785236</v>
      </c>
      <c r="G196">
        <f t="shared" ca="1" si="60"/>
        <v>161.9931900906974</v>
      </c>
      <c r="H196">
        <f t="shared" ca="1" si="61"/>
        <v>149.04026626134032</v>
      </c>
      <c r="I196">
        <f t="shared" ca="1" si="50"/>
        <v>162.73100000000002</v>
      </c>
      <c r="J196">
        <f t="shared" ca="1" si="51"/>
        <v>2.4390828733681644</v>
      </c>
      <c r="K196">
        <f t="shared" ca="1" si="52"/>
        <v>167.60916574673635</v>
      </c>
      <c r="L196">
        <f t="shared" ca="1" si="53"/>
        <v>157.85283425326369</v>
      </c>
      <c r="M196">
        <f t="shared" ref="M196:M259" ca="1" si="62">B196-B195</f>
        <v>0.96000000000000796</v>
      </c>
      <c r="N196">
        <f t="shared" ref="N196:N259" ca="1" si="63">MAX(M196,0)</f>
        <v>0.96000000000000796</v>
      </c>
      <c r="O196">
        <f t="shared" ref="O196:O259" ca="1" si="64">MAX(-M196,0)</f>
        <v>0</v>
      </c>
      <c r="P196">
        <f t="shared" ca="1" si="48"/>
        <v>0.35312148742736682</v>
      </c>
      <c r="Q196">
        <f t="shared" ca="1" si="49"/>
        <v>0.46055656549266455</v>
      </c>
      <c r="R196">
        <f t="shared" ca="1" si="46"/>
        <v>0.76672772442105397</v>
      </c>
      <c r="S196">
        <f t="shared" ca="1" si="47"/>
        <v>43.398182630111044</v>
      </c>
      <c r="T196">
        <f>70</f>
        <v>70</v>
      </c>
      <c r="U196">
        <f>30</f>
        <v>30</v>
      </c>
      <c r="V196">
        <f t="shared" ca="1" si="45"/>
        <v>161.22821579375761</v>
      </c>
      <c r="W196">
        <f t="shared" ca="1" si="55"/>
        <v>162.04742729962953</v>
      </c>
      <c r="X196">
        <f t="shared" ca="1" si="54"/>
        <v>-0.81582273969684138</v>
      </c>
      <c r="Y196">
        <f t="shared" ca="1" si="56"/>
        <v>-0.45533500144365019</v>
      </c>
      <c r="Z196">
        <f t="shared" ca="1" si="57"/>
        <v>-0.36048773825319119</v>
      </c>
      <c r="AA196">
        <f t="shared" ca="1" si="58"/>
        <v>155.97299999999996</v>
      </c>
    </row>
    <row r="197" spans="1:27" x14ac:dyDescent="0.25">
      <c r="A197" vm="577">
        <f ca="1"/>
        <v>45575</v>
      </c>
      <c r="B197" vm="578">
        <f ca="1"/>
        <v>160.51</v>
      </c>
      <c r="C197" vm="579">
        <f ca="1"/>
        <v>4793889</v>
      </c>
      <c r="D197">
        <f t="shared" ca="1" si="59"/>
        <v>769467123.38999999</v>
      </c>
      <c r="E197">
        <f ca="1">SUM($D$2:D197)/SUM($C$2:C197)</f>
        <v>155.53405459339839</v>
      </c>
      <c r="F197">
        <f ca="1">_xlfn.STDEV.P($B$2:B197)</f>
        <v>6.4682771762502966</v>
      </c>
      <c r="G197">
        <f t="shared" ca="1" si="60"/>
        <v>162.00233176964869</v>
      </c>
      <c r="H197">
        <f t="shared" ca="1" si="61"/>
        <v>149.0657774171481</v>
      </c>
      <c r="I197">
        <f t="shared" ca="1" si="50"/>
        <v>162.52449999999999</v>
      </c>
      <c r="J197">
        <f t="shared" ca="1" si="51"/>
        <v>2.4437793745710676</v>
      </c>
      <c r="K197">
        <f t="shared" ca="1" si="52"/>
        <v>167.41205874914212</v>
      </c>
      <c r="L197">
        <f t="shared" ca="1" si="53"/>
        <v>157.63694125085786</v>
      </c>
      <c r="M197">
        <f t="shared" ca="1" si="62"/>
        <v>-0.14000000000001478</v>
      </c>
      <c r="N197">
        <f t="shared" ca="1" si="63"/>
        <v>0</v>
      </c>
      <c r="O197">
        <f t="shared" ca="1" si="64"/>
        <v>0.14000000000001478</v>
      </c>
      <c r="P197">
        <f t="shared" ca="1" si="48"/>
        <v>0.32789852403969777</v>
      </c>
      <c r="Q197">
        <f t="shared" ca="1" si="49"/>
        <v>0.43765966795747524</v>
      </c>
      <c r="R197">
        <f t="shared" ca="1" si="46"/>
        <v>0.74920891287510116</v>
      </c>
      <c r="S197">
        <f t="shared" ca="1" si="47"/>
        <v>42.831299758452403</v>
      </c>
      <c r="T197">
        <f>70</f>
        <v>70</v>
      </c>
      <c r="U197">
        <f>30</f>
        <v>30</v>
      </c>
      <c r="V197">
        <f t="shared" ca="1" si="45"/>
        <v>161.11772105625644</v>
      </c>
      <c r="W197">
        <f t="shared" ca="1" si="55"/>
        <v>161.93354379595328</v>
      </c>
      <c r="X197">
        <f t="shared" ca="1" si="54"/>
        <v>-0.7280871224406269</v>
      </c>
      <c r="Y197">
        <f t="shared" ca="1" si="56"/>
        <v>-0.50988542564304562</v>
      </c>
      <c r="Z197">
        <f t="shared" ca="1" si="57"/>
        <v>-0.21820169679758128</v>
      </c>
      <c r="AA197">
        <f t="shared" ca="1" si="58"/>
        <v>156.03169999999997</v>
      </c>
    </row>
    <row r="198" spans="1:27" x14ac:dyDescent="0.25">
      <c r="A198" vm="580">
        <f ca="1"/>
        <v>45576</v>
      </c>
      <c r="B198" vm="581">
        <f ca="1"/>
        <v>161.46</v>
      </c>
      <c r="C198" vm="582">
        <f ca="1"/>
        <v>5253459</v>
      </c>
      <c r="D198">
        <f t="shared" ca="1" si="59"/>
        <v>848223490.13999999</v>
      </c>
      <c r="E198">
        <f ca="1">SUM($D$2:D198)/SUM($C$2:C198)</f>
        <v>155.55650324527946</v>
      </c>
      <c r="F198">
        <f ca="1">_xlfn.STDEV.P($B$2:B198)</f>
        <v>6.463841679819299</v>
      </c>
      <c r="G198">
        <f t="shared" ca="1" si="60"/>
        <v>162.02034492509875</v>
      </c>
      <c r="H198">
        <f t="shared" ca="1" si="61"/>
        <v>149.09266156546016</v>
      </c>
      <c r="I198">
        <f t="shared" ca="1" si="50"/>
        <v>162.32150000000001</v>
      </c>
      <c r="J198">
        <f t="shared" ca="1" si="51"/>
        <v>2.3486284351331084</v>
      </c>
      <c r="K198">
        <f t="shared" ca="1" si="52"/>
        <v>167.01875687026623</v>
      </c>
      <c r="L198">
        <f t="shared" ca="1" si="53"/>
        <v>157.6242431297338</v>
      </c>
      <c r="M198">
        <f t="shared" ca="1" si="62"/>
        <v>0.95000000000001705</v>
      </c>
      <c r="N198">
        <f t="shared" ca="1" si="63"/>
        <v>0.95000000000001705</v>
      </c>
      <c r="O198">
        <f t="shared" ca="1" si="64"/>
        <v>0</v>
      </c>
      <c r="P198">
        <f t="shared" ca="1" si="48"/>
        <v>0.37233434375114915</v>
      </c>
      <c r="Q198">
        <f t="shared" ca="1" si="49"/>
        <v>0.40639826310336991</v>
      </c>
      <c r="R198">
        <f t="shared" ca="1" si="46"/>
        <v>0.91618094257564187</v>
      </c>
      <c r="S198">
        <f t="shared" ca="1" si="47"/>
        <v>47.812861625904375</v>
      </c>
      <c r="T198">
        <f>70</f>
        <v>70</v>
      </c>
      <c r="U198">
        <f>30</f>
        <v>30</v>
      </c>
      <c r="V198">
        <f t="shared" ca="1" si="45"/>
        <v>161.1703793552939</v>
      </c>
      <c r="W198">
        <f t="shared" ca="1" si="55"/>
        <v>161.89846647773453</v>
      </c>
      <c r="X198">
        <f t="shared" ca="1" si="54"/>
        <v>-0.63988301065938913</v>
      </c>
      <c r="Y198">
        <f t="shared" ca="1" si="56"/>
        <v>-0.53588494264631437</v>
      </c>
      <c r="Z198">
        <f t="shared" ca="1" si="57"/>
        <v>-0.10399806801307476</v>
      </c>
      <c r="AA198">
        <f t="shared" ca="1" si="58"/>
        <v>156.13359999999994</v>
      </c>
    </row>
    <row r="199" spans="1:27" x14ac:dyDescent="0.25">
      <c r="A199" vm="583">
        <f ca="1"/>
        <v>45579</v>
      </c>
      <c r="B199" vm="584">
        <f ca="1"/>
        <v>161.6</v>
      </c>
      <c r="C199" vm="585">
        <f ca="1"/>
        <v>5963961</v>
      </c>
      <c r="D199">
        <f t="shared" ca="1" si="59"/>
        <v>963776097.60000002</v>
      </c>
      <c r="E199">
        <f ca="1">SUM($D$2:D199)/SUM($C$2:C199)</f>
        <v>155.58238219624243</v>
      </c>
      <c r="F199">
        <f ca="1">_xlfn.STDEV.P($B$2:B199)</f>
        <v>6.4599353258639898</v>
      </c>
      <c r="G199">
        <f t="shared" ca="1" si="60"/>
        <v>162.04231752210643</v>
      </c>
      <c r="H199">
        <f t="shared" ca="1" si="61"/>
        <v>149.12244687037844</v>
      </c>
      <c r="I199">
        <f t="shared" ca="1" si="50"/>
        <v>162.05200000000002</v>
      </c>
      <c r="J199">
        <f t="shared" ca="1" si="51"/>
        <v>2.0784371659089382</v>
      </c>
      <c r="K199">
        <f t="shared" ca="1" si="52"/>
        <v>166.2088743318179</v>
      </c>
      <c r="L199">
        <f t="shared" ca="1" si="53"/>
        <v>157.89512566818215</v>
      </c>
      <c r="M199">
        <f t="shared" ca="1" si="62"/>
        <v>0.13999999999998636</v>
      </c>
      <c r="N199">
        <f t="shared" ca="1" si="63"/>
        <v>0.13999999999998636</v>
      </c>
      <c r="O199">
        <f t="shared" ca="1" si="64"/>
        <v>0</v>
      </c>
      <c r="P199">
        <f t="shared" ca="1" si="48"/>
        <v>0.35573903348320896</v>
      </c>
      <c r="Q199">
        <f t="shared" ca="1" si="49"/>
        <v>0.37736981573884348</v>
      </c>
      <c r="R199">
        <f t="shared" ca="1" si="46"/>
        <v>0.94268014728924698</v>
      </c>
      <c r="S199">
        <f t="shared" ca="1" si="47"/>
        <v>48.52472233293949</v>
      </c>
      <c r="T199">
        <f>70</f>
        <v>70</v>
      </c>
      <c r="U199">
        <f>30</f>
        <v>30</v>
      </c>
      <c r="V199">
        <f t="shared" ca="1" si="45"/>
        <v>161.23647483909483</v>
      </c>
      <c r="W199">
        <f t="shared" ca="1" si="55"/>
        <v>161.87635784975421</v>
      </c>
      <c r="X199">
        <f t="shared" ca="1" si="54"/>
        <v>-0.36405491156401126</v>
      </c>
      <c r="Y199">
        <f t="shared" ca="1" si="56"/>
        <v>-0.50151893642985379</v>
      </c>
      <c r="Z199">
        <f t="shared" ca="1" si="57"/>
        <v>0.13746402486584253</v>
      </c>
      <c r="AA199">
        <f t="shared" ca="1" si="58"/>
        <v>156.23719999999997</v>
      </c>
    </row>
    <row r="200" spans="1:27" x14ac:dyDescent="0.25">
      <c r="A200" vm="586">
        <f ca="1"/>
        <v>45580</v>
      </c>
      <c r="B200" vm="587">
        <f ca="1"/>
        <v>164.1</v>
      </c>
      <c r="C200" vm="588">
        <f ca="1"/>
        <v>10547966</v>
      </c>
      <c r="D200">
        <f t="shared" ca="1" si="59"/>
        <v>1730921220.5999999</v>
      </c>
      <c r="E200">
        <f ca="1">SUM($D$2:D200)/SUM($C$2:C200)</f>
        <v>155.64640486086773</v>
      </c>
      <c r="F200">
        <f ca="1">_xlfn.STDEV.P($B$2:B200)</f>
        <v>6.4692361979154533</v>
      </c>
      <c r="G200">
        <f t="shared" ca="1" si="60"/>
        <v>162.11564105878318</v>
      </c>
      <c r="H200">
        <f t="shared" ca="1" si="61"/>
        <v>149.17716866295228</v>
      </c>
      <c r="I200">
        <f t="shared" ca="1" si="50"/>
        <v>161.90350000000004</v>
      </c>
      <c r="J200">
        <f t="shared" ca="1" si="51"/>
        <v>1.7866619124707639</v>
      </c>
      <c r="K200">
        <f t="shared" ca="1" si="52"/>
        <v>165.47682382494156</v>
      </c>
      <c r="L200">
        <f t="shared" ca="1" si="53"/>
        <v>158.33017617505851</v>
      </c>
      <c r="M200">
        <f t="shared" ca="1" si="62"/>
        <v>2.5</v>
      </c>
      <c r="N200">
        <f t="shared" ca="1" si="63"/>
        <v>2.5</v>
      </c>
      <c r="O200">
        <f t="shared" ca="1" si="64"/>
        <v>0</v>
      </c>
      <c r="P200">
        <f t="shared" ca="1" si="48"/>
        <v>0.5089005310915512</v>
      </c>
      <c r="Q200">
        <f t="shared" ca="1" si="49"/>
        <v>0.35041482890035469</v>
      </c>
      <c r="R200">
        <f t="shared" ca="1" si="46"/>
        <v>1.4522802379355473</v>
      </c>
      <c r="S200">
        <f t="shared" ca="1" si="47"/>
        <v>59.221626283550272</v>
      </c>
      <c r="T200">
        <f>70</f>
        <v>70</v>
      </c>
      <c r="U200">
        <f>30</f>
        <v>30</v>
      </c>
      <c r="V200">
        <f t="shared" ca="1" si="45"/>
        <v>161.67701717154176</v>
      </c>
      <c r="W200">
        <f t="shared" ca="1" si="55"/>
        <v>162.04107208310577</v>
      </c>
      <c r="X200">
        <f t="shared" ca="1" si="54"/>
        <v>-0.12944252724062721</v>
      </c>
      <c r="Y200">
        <f t="shared" ca="1" si="56"/>
        <v>-0.4271036545920085</v>
      </c>
      <c r="Z200">
        <f t="shared" ca="1" si="57"/>
        <v>0.29766112735138128</v>
      </c>
      <c r="AA200">
        <f t="shared" ca="1" si="58"/>
        <v>156.34319999999997</v>
      </c>
    </row>
    <row r="201" spans="1:27" x14ac:dyDescent="0.25">
      <c r="A201" vm="589">
        <f ca="1"/>
        <v>45581</v>
      </c>
      <c r="B201" vm="590">
        <f ca="1"/>
        <v>164.28</v>
      </c>
      <c r="C201" vm="591">
        <f ca="1"/>
        <v>5982291</v>
      </c>
      <c r="D201">
        <f t="shared" ca="1" si="59"/>
        <v>982770765.48000002</v>
      </c>
      <c r="E201">
        <f ca="1">SUM($D$2:D201)/SUM($C$2:C201)</f>
        <v>155.68305356568428</v>
      </c>
      <c r="F201">
        <f ca="1">_xlfn.STDEV.P($B$2:B201)</f>
        <v>6.479307169559104</v>
      </c>
      <c r="G201">
        <f t="shared" ca="1" si="60"/>
        <v>162.16236073524337</v>
      </c>
      <c r="H201">
        <f t="shared" ca="1" si="61"/>
        <v>149.20374639612518</v>
      </c>
      <c r="I201">
        <f t="shared" ca="1" si="50"/>
        <v>161.81</v>
      </c>
      <c r="J201">
        <f t="shared" ca="1" si="51"/>
        <v>1.5909480788113997</v>
      </c>
      <c r="K201">
        <f t="shared" ca="1" si="52"/>
        <v>164.99189615762279</v>
      </c>
      <c r="L201">
        <f t="shared" ca="1" si="53"/>
        <v>158.62810384237721</v>
      </c>
      <c r="M201">
        <f t="shared" ca="1" si="62"/>
        <v>0.18000000000000682</v>
      </c>
      <c r="N201">
        <f t="shared" ca="1" si="63"/>
        <v>0.18000000000000682</v>
      </c>
      <c r="O201">
        <f t="shared" ca="1" si="64"/>
        <v>0</v>
      </c>
      <c r="P201">
        <f t="shared" ca="1" si="48"/>
        <v>0.48540763601358378</v>
      </c>
      <c r="Q201">
        <f t="shared" ca="1" si="49"/>
        <v>0.32538519826461509</v>
      </c>
      <c r="R201">
        <f t="shared" ca="1" si="46"/>
        <v>1.4917938449641235</v>
      </c>
      <c r="S201">
        <f t="shared" ca="1" si="47"/>
        <v>59.868269117809064</v>
      </c>
      <c r="T201">
        <f>70</f>
        <v>70</v>
      </c>
      <c r="U201">
        <f>30</f>
        <v>30</v>
      </c>
      <c r="V201">
        <f t="shared" ca="1" si="45"/>
        <v>162.07747606822767</v>
      </c>
      <c r="W201">
        <f t="shared" ca="1" si="55"/>
        <v>162.2069185954683</v>
      </c>
      <c r="X201">
        <f t="shared" ca="1" si="54"/>
        <v>7.1002418052501071E-2</v>
      </c>
      <c r="Y201">
        <f t="shared" ca="1" si="56"/>
        <v>-0.32748244006310662</v>
      </c>
      <c r="Z201">
        <f t="shared" ca="1" si="57"/>
        <v>0.39848485811560769</v>
      </c>
      <c r="AA201">
        <f t="shared" ca="1" si="58"/>
        <v>156.489</v>
      </c>
    </row>
    <row r="202" spans="1:27" x14ac:dyDescent="0.25">
      <c r="A202" vm="592">
        <f ca="1"/>
        <v>45582</v>
      </c>
      <c r="B202" vm="593">
        <f ca="1"/>
        <v>164.47</v>
      </c>
      <c r="C202" vm="594">
        <f ca="1"/>
        <v>4798238</v>
      </c>
      <c r="D202">
        <f t="shared" ca="1" si="59"/>
        <v>789166203.86000001</v>
      </c>
      <c r="E202">
        <f ca="1">SUM($D$2:D202)/SUM($C$2:C202)</f>
        <v>155.71286913063938</v>
      </c>
      <c r="F202">
        <f ca="1">_xlfn.STDEV.P($B$2:B202)</f>
        <v>6.4902087633478214</v>
      </c>
      <c r="G202">
        <f t="shared" ca="1" si="60"/>
        <v>162.2030778939872</v>
      </c>
      <c r="H202">
        <f t="shared" ca="1" si="61"/>
        <v>149.22266036729155</v>
      </c>
      <c r="I202">
        <f t="shared" ca="1" si="50"/>
        <v>161.79249999999996</v>
      </c>
      <c r="J202">
        <f t="shared" ca="1" si="51"/>
        <v>1.5576732817351591</v>
      </c>
      <c r="K202">
        <f t="shared" ca="1" si="52"/>
        <v>164.90784656347029</v>
      </c>
      <c r="L202">
        <f t="shared" ca="1" si="53"/>
        <v>158.67715343652964</v>
      </c>
      <c r="M202">
        <f t="shared" ca="1" si="62"/>
        <v>0.18999999999999773</v>
      </c>
      <c r="N202">
        <f t="shared" ca="1" si="63"/>
        <v>0.18999999999999773</v>
      </c>
      <c r="O202">
        <f t="shared" ca="1" si="64"/>
        <v>0</v>
      </c>
      <c r="P202">
        <f t="shared" ca="1" si="48"/>
        <v>0.4643070905840419</v>
      </c>
      <c r="Q202">
        <f t="shared" ca="1" si="49"/>
        <v>0.30214339838857113</v>
      </c>
      <c r="R202">
        <f t="shared" ca="1" si="46"/>
        <v>1.5367110221846396</v>
      </c>
      <c r="S202">
        <f t="shared" ca="1" si="47"/>
        <v>60.578875904485542</v>
      </c>
      <c r="T202">
        <f>70</f>
        <v>70</v>
      </c>
      <c r="U202">
        <f>30</f>
        <v>30</v>
      </c>
      <c r="V202">
        <f t="shared" ca="1" si="45"/>
        <v>162.44555667311573</v>
      </c>
      <c r="W202">
        <f t="shared" ca="1" si="55"/>
        <v>162.37455425506323</v>
      </c>
      <c r="X202">
        <f t="shared" ca="1" si="54"/>
        <v>0.27908888609636051</v>
      </c>
      <c r="Y202">
        <f t="shared" ca="1" si="56"/>
        <v>-0.20616817483121319</v>
      </c>
      <c r="Z202">
        <f t="shared" ca="1" si="57"/>
        <v>0.4852570609275737</v>
      </c>
      <c r="AA202">
        <f t="shared" ca="1" si="58"/>
        <v>156.66400000000002</v>
      </c>
    </row>
    <row r="203" spans="1:27" x14ac:dyDescent="0.25">
      <c r="A203" vm="595">
        <f ca="1"/>
        <v>45583</v>
      </c>
      <c r="B203" vm="596">
        <f ca="1"/>
        <v>165.12</v>
      </c>
      <c r="C203" vm="597">
        <f ca="1"/>
        <v>5908012</v>
      </c>
      <c r="D203">
        <f t="shared" ca="1" si="59"/>
        <v>975530941.44000006</v>
      </c>
      <c r="E203">
        <f ca="1">SUM($D$2:D203)/SUM($C$2:C203)</f>
        <v>155.75200825868689</v>
      </c>
      <c r="F203">
        <f ca="1">_xlfn.STDEV.P($B$2:B203)</f>
        <v>6.5050000759145501</v>
      </c>
      <c r="G203">
        <f t="shared" ca="1" si="60"/>
        <v>162.25700833460144</v>
      </c>
      <c r="H203">
        <f t="shared" ca="1" si="61"/>
        <v>149.24700818277233</v>
      </c>
      <c r="I203">
        <f t="shared" ca="1" si="50"/>
        <v>161.84049999999996</v>
      </c>
      <c r="J203">
        <f t="shared" ca="1" si="51"/>
        <v>1.6467143522465397</v>
      </c>
      <c r="K203">
        <f t="shared" ca="1" si="52"/>
        <v>165.13392870449303</v>
      </c>
      <c r="L203">
        <f t="shared" ca="1" si="53"/>
        <v>158.5470712955069</v>
      </c>
      <c r="M203">
        <f t="shared" ca="1" si="62"/>
        <v>0.65000000000000568</v>
      </c>
      <c r="N203">
        <f t="shared" ca="1" si="63"/>
        <v>0.65000000000000568</v>
      </c>
      <c r="O203">
        <f t="shared" ca="1" si="64"/>
        <v>0</v>
      </c>
      <c r="P203">
        <f t="shared" ca="1" si="48"/>
        <v>0.47757086982803931</v>
      </c>
      <c r="Q203">
        <f t="shared" ca="1" si="49"/>
        <v>0.2805617270751018</v>
      </c>
      <c r="R203">
        <f t="shared" ca="1" si="46"/>
        <v>1.7021953593128594</v>
      </c>
      <c r="S203">
        <f t="shared" ca="1" si="47"/>
        <v>62.993053164953629</v>
      </c>
      <c r="T203">
        <f>70</f>
        <v>70</v>
      </c>
      <c r="U203">
        <f>30</f>
        <v>30</v>
      </c>
      <c r="V203">
        <f t="shared" ca="1" si="45"/>
        <v>162.85700949263639</v>
      </c>
      <c r="W203">
        <f t="shared" ca="1" si="55"/>
        <v>162.57792060654003</v>
      </c>
      <c r="X203">
        <f t="shared" ca="1" si="54"/>
        <v>0.25626103187323679</v>
      </c>
      <c r="Y203">
        <f t="shared" ca="1" si="56"/>
        <v>-0.1136823334903232</v>
      </c>
      <c r="Z203">
        <f t="shared" ca="1" si="57"/>
        <v>0.36994336536355998</v>
      </c>
      <c r="AA203">
        <f t="shared" ca="1" si="58"/>
        <v>156.87140000000002</v>
      </c>
    </row>
    <row r="204" spans="1:27" x14ac:dyDescent="0.25">
      <c r="A204" vm="598">
        <f ca="1"/>
        <v>45586</v>
      </c>
      <c r="B204" vm="599">
        <f ca="1"/>
        <v>162.83000000000001</v>
      </c>
      <c r="C204" vm="600">
        <f ca="1"/>
        <v>6082736</v>
      </c>
      <c r="D204">
        <f t="shared" ca="1" si="59"/>
        <v>990451902.88000011</v>
      </c>
      <c r="E204">
        <f ca="1">SUM($D$2:D204)/SUM($C$2:C204)</f>
        <v>155.78219840577137</v>
      </c>
      <c r="F204">
        <f ca="1">_xlfn.STDEV.P($B$2:B204)</f>
        <v>6.5058153871615874</v>
      </c>
      <c r="G204">
        <f t="shared" ca="1" si="60"/>
        <v>162.28801379293296</v>
      </c>
      <c r="H204">
        <f t="shared" ca="1" si="61"/>
        <v>149.27638301860978</v>
      </c>
      <c r="I204">
        <f t="shared" ca="1" si="50"/>
        <v>161.821</v>
      </c>
      <c r="J204">
        <f t="shared" ca="1" si="51"/>
        <v>1.6317601087879261</v>
      </c>
      <c r="K204">
        <f t="shared" ca="1" si="52"/>
        <v>165.08452021757586</v>
      </c>
      <c r="L204">
        <f t="shared" ca="1" si="53"/>
        <v>158.55747978242414</v>
      </c>
      <c r="M204">
        <f t="shared" ca="1" si="62"/>
        <v>-2.289999999999992</v>
      </c>
      <c r="N204">
        <f t="shared" ca="1" si="63"/>
        <v>0</v>
      </c>
      <c r="O204">
        <f t="shared" ca="1" si="64"/>
        <v>2.289999999999992</v>
      </c>
      <c r="P204">
        <f t="shared" ca="1" si="48"/>
        <v>0.4434586648403222</v>
      </c>
      <c r="Q204">
        <f t="shared" ca="1" si="49"/>
        <v>0.42409303228402251</v>
      </c>
      <c r="R204">
        <f t="shared" ca="1" si="46"/>
        <v>1.0456636423663999</v>
      </c>
      <c r="S204">
        <f t="shared" ca="1" si="47"/>
        <v>51.116108274612941</v>
      </c>
      <c r="T204">
        <f>70</f>
        <v>70</v>
      </c>
      <c r="U204">
        <f>30</f>
        <v>30</v>
      </c>
      <c r="V204">
        <f t="shared" ca="1" si="45"/>
        <v>162.85285418607697</v>
      </c>
      <c r="W204">
        <f t="shared" ca="1" si="55"/>
        <v>162.59659315420373</v>
      </c>
      <c r="X204">
        <f t="shared" ca="1" si="54"/>
        <v>0.28491429671979063</v>
      </c>
      <c r="Y204">
        <f t="shared" ca="1" si="56"/>
        <v>-3.3963007448300435E-2</v>
      </c>
      <c r="Z204">
        <f t="shared" ca="1" si="57"/>
        <v>0.31887730416809107</v>
      </c>
      <c r="AA204">
        <f t="shared" ca="1" si="58"/>
        <v>157.05530000000002</v>
      </c>
    </row>
    <row r="205" spans="1:27" x14ac:dyDescent="0.25">
      <c r="A205" vm="601">
        <f ca="1"/>
        <v>45587</v>
      </c>
      <c r="B205" vm="602">
        <f ca="1"/>
        <v>163.44999999999999</v>
      </c>
      <c r="C205" vm="603">
        <f ca="1"/>
        <v>5680612</v>
      </c>
      <c r="D205">
        <f t="shared" ca="1" si="59"/>
        <v>928496031.39999998</v>
      </c>
      <c r="E205">
        <f ca="1">SUM($D$2:D205)/SUM($C$2:C205)</f>
        <v>155.81262096052083</v>
      </c>
      <c r="F205">
        <f ca="1">_xlfn.STDEV.P($B$2:B205)</f>
        <v>6.5096936449731144</v>
      </c>
      <c r="G205">
        <f t="shared" ca="1" si="60"/>
        <v>162.32231460549394</v>
      </c>
      <c r="H205">
        <f t="shared" ca="1" si="61"/>
        <v>149.30292731554772</v>
      </c>
      <c r="I205">
        <f t="shared" ca="1" si="50"/>
        <v>161.85449999999997</v>
      </c>
      <c r="J205">
        <f t="shared" ca="1" si="51"/>
        <v>1.6591325412617546</v>
      </c>
      <c r="K205">
        <f t="shared" ca="1" si="52"/>
        <v>165.17276508252348</v>
      </c>
      <c r="L205">
        <f t="shared" ca="1" si="53"/>
        <v>158.53623491747646</v>
      </c>
      <c r="M205">
        <f t="shared" ca="1" si="62"/>
        <v>0.61999999999997613</v>
      </c>
      <c r="N205">
        <f t="shared" ca="1" si="63"/>
        <v>0.61999999999997613</v>
      </c>
      <c r="O205">
        <f t="shared" ca="1" si="64"/>
        <v>0</v>
      </c>
      <c r="P205">
        <f t="shared" ca="1" si="48"/>
        <v>0.45606876020886888</v>
      </c>
      <c r="Q205">
        <f t="shared" ca="1" si="49"/>
        <v>0.39380067283516373</v>
      </c>
      <c r="R205">
        <f t="shared" ca="1" si="46"/>
        <v>1.158120825252549</v>
      </c>
      <c r="S205">
        <f t="shared" ca="1" si="47"/>
        <v>53.663391395939229</v>
      </c>
      <c r="T205">
        <f>70</f>
        <v>70</v>
      </c>
      <c r="U205">
        <f>30</f>
        <v>30</v>
      </c>
      <c r="V205">
        <f t="shared" ca="1" si="45"/>
        <v>162.94472277283435</v>
      </c>
      <c r="W205">
        <f t="shared" ca="1" si="55"/>
        <v>162.65980847611456</v>
      </c>
      <c r="X205">
        <f t="shared" ca="1" si="54"/>
        <v>0.49636726152297683</v>
      </c>
      <c r="Y205">
        <f t="shared" ca="1" si="56"/>
        <v>7.2103046345955019E-2</v>
      </c>
      <c r="Z205">
        <f t="shared" ca="1" si="57"/>
        <v>0.42426421517702184</v>
      </c>
      <c r="AA205">
        <f t="shared" ca="1" si="58"/>
        <v>157.23700000000002</v>
      </c>
    </row>
    <row r="206" spans="1:27" x14ac:dyDescent="0.25">
      <c r="A206" vm="604">
        <f ca="1"/>
        <v>45588</v>
      </c>
      <c r="B206" vm="495">
        <f ca="1"/>
        <v>165.86</v>
      </c>
      <c r="C206" vm="605">
        <f ca="1"/>
        <v>7442026</v>
      </c>
      <c r="D206">
        <f t="shared" ca="1" si="59"/>
        <v>1234334432.3600001</v>
      </c>
      <c r="E206">
        <f ca="1">SUM($D$2:D206)/SUM($C$2:C206)</f>
        <v>155.86457533504918</v>
      </c>
      <c r="F206">
        <f ca="1">_xlfn.STDEV.P($B$2:B206)</f>
        <v>6.5284836712521601</v>
      </c>
      <c r="G206">
        <f t="shared" ca="1" si="60"/>
        <v>162.39305900630134</v>
      </c>
      <c r="H206">
        <f t="shared" ca="1" si="61"/>
        <v>149.33609166379702</v>
      </c>
      <c r="I206">
        <f t="shared" ca="1" si="50"/>
        <v>162.11750000000001</v>
      </c>
      <c r="J206">
        <f t="shared" ca="1" si="51"/>
        <v>1.8551290918338892</v>
      </c>
      <c r="K206">
        <f t="shared" ca="1" si="52"/>
        <v>165.82775818366778</v>
      </c>
      <c r="L206">
        <f t="shared" ca="1" si="53"/>
        <v>158.40724181633223</v>
      </c>
      <c r="M206">
        <f t="shared" ca="1" si="62"/>
        <v>2.410000000000025</v>
      </c>
      <c r="N206">
        <f t="shared" ca="1" si="63"/>
        <v>2.410000000000025</v>
      </c>
      <c r="O206">
        <f t="shared" ca="1" si="64"/>
        <v>0</v>
      </c>
      <c r="P206">
        <f t="shared" ca="1" si="48"/>
        <v>0.59563527733680854</v>
      </c>
      <c r="Q206">
        <f t="shared" ca="1" si="49"/>
        <v>0.36567205334693781</v>
      </c>
      <c r="R206">
        <f t="shared" ca="1" si="46"/>
        <v>1.6288783129174191</v>
      </c>
      <c r="S206">
        <f t="shared" ca="1" si="47"/>
        <v>61.960962776925122</v>
      </c>
      <c r="T206">
        <f>70</f>
        <v>70</v>
      </c>
      <c r="U206">
        <f>30</f>
        <v>30</v>
      </c>
      <c r="V206">
        <f t="shared" ca="1" si="45"/>
        <v>163.39322696162907</v>
      </c>
      <c r="W206">
        <f t="shared" ca="1" si="55"/>
        <v>162.89685970010609</v>
      </c>
      <c r="X206">
        <f t="shared" ca="1" si="54"/>
        <v>0.48167807712067656</v>
      </c>
      <c r="Y206">
        <f t="shared" ca="1" si="56"/>
        <v>0.15401805250089934</v>
      </c>
      <c r="Z206">
        <f t="shared" ca="1" si="57"/>
        <v>0.32766002461977722</v>
      </c>
      <c r="AA206">
        <f t="shared" ca="1" si="58"/>
        <v>157.42890000000003</v>
      </c>
    </row>
    <row r="207" spans="1:27" x14ac:dyDescent="0.25">
      <c r="A207" vm="606">
        <f ca="1"/>
        <v>45589</v>
      </c>
      <c r="B207" vm="607">
        <f ca="1"/>
        <v>163.66999999999999</v>
      </c>
      <c r="C207" vm="608">
        <f ca="1"/>
        <v>5386525</v>
      </c>
      <c r="D207">
        <f t="shared" ca="1" si="59"/>
        <v>881612546.74999988</v>
      </c>
      <c r="E207">
        <f ca="1">SUM($D$2:D207)/SUM($C$2:C207)</f>
        <v>155.89367988989434</v>
      </c>
      <c r="F207">
        <f ca="1">_xlfn.STDEV.P($B$2:B207)</f>
        <v>6.5329474119686823</v>
      </c>
      <c r="G207">
        <f t="shared" ca="1" si="60"/>
        <v>162.42662730186302</v>
      </c>
      <c r="H207">
        <f t="shared" ca="1" si="61"/>
        <v>149.36073247792567</v>
      </c>
      <c r="I207">
        <f t="shared" ca="1" si="50"/>
        <v>162.23150000000001</v>
      </c>
      <c r="J207">
        <f t="shared" ca="1" si="51"/>
        <v>1.8779840114783799</v>
      </c>
      <c r="K207">
        <f t="shared" ca="1" si="52"/>
        <v>165.98746802295676</v>
      </c>
      <c r="L207">
        <f t="shared" ca="1" si="53"/>
        <v>158.47553197704326</v>
      </c>
      <c r="M207">
        <f t="shared" ca="1" si="62"/>
        <v>-2.1900000000000261</v>
      </c>
      <c r="N207">
        <f t="shared" ca="1" si="63"/>
        <v>0</v>
      </c>
      <c r="O207">
        <f t="shared" ca="1" si="64"/>
        <v>2.1900000000000261</v>
      </c>
      <c r="P207">
        <f t="shared" ca="1" si="48"/>
        <v>0.55308990038417938</v>
      </c>
      <c r="Q207">
        <f t="shared" ca="1" si="49"/>
        <v>0.49598119239358696</v>
      </c>
      <c r="R207">
        <f t="shared" ca="1" si="46"/>
        <v>1.1151428902273248</v>
      </c>
      <c r="S207">
        <f t="shared" ca="1" si="47"/>
        <v>52.721870251871017</v>
      </c>
      <c r="T207">
        <f>70</f>
        <v>70</v>
      </c>
      <c r="U207">
        <f>30</f>
        <v>30</v>
      </c>
      <c r="V207">
        <f t="shared" ref="V207:V270" ca="1" si="65">B207*(2/(12+1)) + V206*(1-(2/(12+1)))</f>
        <v>163.43580742907076</v>
      </c>
      <c r="W207">
        <f t="shared" ca="1" si="55"/>
        <v>162.95412935195009</v>
      </c>
      <c r="X207">
        <f t="shared" ca="1" si="54"/>
        <v>0.24211614544228155</v>
      </c>
      <c r="Y207">
        <f t="shared" ca="1" si="56"/>
        <v>0.17163767108917577</v>
      </c>
      <c r="Z207">
        <f t="shared" ca="1" si="57"/>
        <v>7.047847435310578E-2</v>
      </c>
      <c r="AA207">
        <f t="shared" ca="1" si="58"/>
        <v>157.58820000000006</v>
      </c>
    </row>
    <row r="208" spans="1:27" x14ac:dyDescent="0.25">
      <c r="A208" vm="609">
        <f ca="1"/>
        <v>45590</v>
      </c>
      <c r="B208" vm="610">
        <f ca="1"/>
        <v>160.88</v>
      </c>
      <c r="C208" vm="611">
        <f ca="1"/>
        <v>6400449</v>
      </c>
      <c r="D208">
        <f t="shared" ca="1" si="59"/>
        <v>1029704235.12</v>
      </c>
      <c r="E208">
        <f ca="1">SUM($D$2:D208)/SUM($C$2:C208)</f>
        <v>155.91567501268838</v>
      </c>
      <c r="F208">
        <f ca="1">_xlfn.STDEV.P($B$2:B208)</f>
        <v>6.5248919135429793</v>
      </c>
      <c r="G208">
        <f t="shared" ca="1" si="60"/>
        <v>162.44056692623136</v>
      </c>
      <c r="H208">
        <f t="shared" ca="1" si="61"/>
        <v>149.39078309914541</v>
      </c>
      <c r="I208">
        <f t="shared" ca="1" si="50"/>
        <v>162.20549999999997</v>
      </c>
      <c r="J208">
        <f t="shared" ca="1" si="51"/>
        <v>1.8936360874199021</v>
      </c>
      <c r="K208">
        <f t="shared" ca="1" si="52"/>
        <v>165.99277217483979</v>
      </c>
      <c r="L208">
        <f t="shared" ca="1" si="53"/>
        <v>158.41822782516016</v>
      </c>
      <c r="M208">
        <f t="shared" ca="1" si="62"/>
        <v>-2.789999999999992</v>
      </c>
      <c r="N208">
        <f t="shared" ca="1" si="63"/>
        <v>0</v>
      </c>
      <c r="O208">
        <f t="shared" ca="1" si="64"/>
        <v>2.789999999999992</v>
      </c>
      <c r="P208">
        <f t="shared" ca="1" si="48"/>
        <v>0.51358347892816658</v>
      </c>
      <c r="Q208">
        <f t="shared" ca="1" si="49"/>
        <v>0.65983967865118742</v>
      </c>
      <c r="R208">
        <f t="shared" ref="R208:R271" ca="1" si="66">IF(Q208=0,NA(),P208/Q208)</f>
        <v>0.7783458551295509</v>
      </c>
      <c r="S208">
        <f t="shared" ref="S208:S271" ca="1" si="67">100-(100/(1+R208))</f>
        <v>43.767968580715092</v>
      </c>
      <c r="T208">
        <f>70</f>
        <v>70</v>
      </c>
      <c r="U208">
        <f>30</f>
        <v>30</v>
      </c>
      <c r="V208">
        <f t="shared" ca="1" si="65"/>
        <v>163.04260628613682</v>
      </c>
      <c r="W208">
        <f t="shared" ca="1" si="55"/>
        <v>162.80049014069454</v>
      </c>
      <c r="X208">
        <f t="shared" ca="1" si="54"/>
        <v>0.10910191241285361</v>
      </c>
      <c r="Y208">
        <f t="shared" ca="1" si="56"/>
        <v>0.15913051935391134</v>
      </c>
      <c r="Z208">
        <f t="shared" ca="1" si="57"/>
        <v>-5.0028606941057735E-2</v>
      </c>
      <c r="AA208">
        <f t="shared" ca="1" si="58"/>
        <v>157.71900000000002</v>
      </c>
    </row>
    <row r="209" spans="1:27" x14ac:dyDescent="0.25">
      <c r="A209" vm="612">
        <f ca="1"/>
        <v>45593</v>
      </c>
      <c r="B209" vm="584">
        <f ca="1"/>
        <v>161.6</v>
      </c>
      <c r="C209" vm="613">
        <f ca="1"/>
        <v>4842653</v>
      </c>
      <c r="D209">
        <f t="shared" ca="1" si="59"/>
        <v>782572724.79999995</v>
      </c>
      <c r="E209">
        <f ca="1">SUM($D$2:D209)/SUM($C$2:C209)</f>
        <v>155.93458324836968</v>
      </c>
      <c r="F209">
        <f ca="1">_xlfn.STDEV.P($B$2:B209)</f>
        <v>6.5194308170393223</v>
      </c>
      <c r="G209">
        <f t="shared" ca="1" si="60"/>
        <v>162.45401406540901</v>
      </c>
      <c r="H209">
        <f t="shared" ca="1" si="61"/>
        <v>149.41515243133034</v>
      </c>
      <c r="I209">
        <f t="shared" ca="1" si="50"/>
        <v>162.18249999999998</v>
      </c>
      <c r="J209">
        <f t="shared" ca="1" si="51"/>
        <v>1.8982841975681224</v>
      </c>
      <c r="K209">
        <f t="shared" ca="1" si="52"/>
        <v>165.97906839513621</v>
      </c>
      <c r="L209">
        <f t="shared" ca="1" si="53"/>
        <v>158.38593160486374</v>
      </c>
      <c r="M209">
        <f t="shared" ca="1" si="62"/>
        <v>0.71999999999999886</v>
      </c>
      <c r="N209">
        <f t="shared" ca="1" si="63"/>
        <v>0.71999999999999886</v>
      </c>
      <c r="O209">
        <f t="shared" ca="1" si="64"/>
        <v>0</v>
      </c>
      <c r="P209">
        <f t="shared" ref="P209:P272" ca="1" si="68">(P208*13+N209)/14</f>
        <v>0.52832751614758322</v>
      </c>
      <c r="Q209">
        <f t="shared" ref="Q209:Q272" ca="1" si="69">(Q208*13+O209)/14</f>
        <v>0.61270827303324549</v>
      </c>
      <c r="R209">
        <f t="shared" ca="1" si="66"/>
        <v>0.86228232814952743</v>
      </c>
      <c r="S209">
        <f t="shared" ca="1" si="67"/>
        <v>46.302449156908537</v>
      </c>
      <c r="T209">
        <f>70</f>
        <v>70</v>
      </c>
      <c r="U209">
        <f>30</f>
        <v>30</v>
      </c>
      <c r="V209">
        <f t="shared" ca="1" si="65"/>
        <v>162.82066685750038</v>
      </c>
      <c r="W209">
        <f t="shared" ca="1" si="55"/>
        <v>162.71156494508753</v>
      </c>
      <c r="X209">
        <f t="shared" ca="1" si="54"/>
        <v>-0.11681068511634862</v>
      </c>
      <c r="Y209">
        <f t="shared" ca="1" si="56"/>
        <v>0.10394227845985934</v>
      </c>
      <c r="Z209">
        <f t="shared" ca="1" si="57"/>
        <v>-0.22075296357620797</v>
      </c>
      <c r="AA209">
        <f t="shared" ca="1" si="58"/>
        <v>157.87530000000004</v>
      </c>
    </row>
    <row r="210" spans="1:27" x14ac:dyDescent="0.25">
      <c r="A210" vm="614">
        <f ca="1"/>
        <v>45594</v>
      </c>
      <c r="B210" vm="615">
        <f ca="1"/>
        <v>160.09</v>
      </c>
      <c r="C210" vm="616">
        <f ca="1"/>
        <v>5216879</v>
      </c>
      <c r="D210">
        <f t="shared" ca="1" si="59"/>
        <v>835170159.11000001</v>
      </c>
      <c r="E210">
        <f ca="1">SUM($D$2:D210)/SUM($C$2:C210)</f>
        <v>155.94942074461966</v>
      </c>
      <c r="F210">
        <f ca="1">_xlfn.STDEV.P($B$2:B210)</f>
        <v>6.5089498464615776</v>
      </c>
      <c r="G210">
        <f t="shared" ca="1" si="60"/>
        <v>162.45837059108123</v>
      </c>
      <c r="H210">
        <f t="shared" ca="1" si="61"/>
        <v>149.44047089815808</v>
      </c>
      <c r="I210">
        <f t="shared" ca="1" si="50"/>
        <v>162.08749999999998</v>
      </c>
      <c r="J210">
        <f t="shared" ca="1" si="51"/>
        <v>1.955117105121033</v>
      </c>
      <c r="K210">
        <f t="shared" ca="1" si="52"/>
        <v>165.99773421024204</v>
      </c>
      <c r="L210">
        <f t="shared" ca="1" si="53"/>
        <v>158.17726578975791</v>
      </c>
      <c r="M210">
        <f t="shared" ca="1" si="62"/>
        <v>-1.5099999999999909</v>
      </c>
      <c r="N210">
        <f t="shared" ca="1" si="63"/>
        <v>0</v>
      </c>
      <c r="O210">
        <f t="shared" ca="1" si="64"/>
        <v>1.5099999999999909</v>
      </c>
      <c r="P210">
        <f t="shared" ca="1" si="68"/>
        <v>0.49058983642275583</v>
      </c>
      <c r="Q210">
        <f t="shared" ca="1" si="69"/>
        <v>0.67680053924515593</v>
      </c>
      <c r="R210">
        <f t="shared" ca="1" si="66"/>
        <v>0.72486620204220997</v>
      </c>
      <c r="S210">
        <f t="shared" ca="1" si="67"/>
        <v>42.024488692745081</v>
      </c>
      <c r="T210">
        <f>70</f>
        <v>70</v>
      </c>
      <c r="U210">
        <f>30</f>
        <v>30</v>
      </c>
      <c r="V210">
        <f t="shared" ca="1" si="65"/>
        <v>162.40056426403876</v>
      </c>
      <c r="W210">
        <f t="shared" ca="1" si="55"/>
        <v>162.51737494915511</v>
      </c>
      <c r="X210">
        <f t="shared" ca="1" si="54"/>
        <v>-0.25099507708230817</v>
      </c>
      <c r="Y210">
        <f t="shared" ca="1" si="56"/>
        <v>3.2954807351425842E-2</v>
      </c>
      <c r="Z210">
        <f t="shared" ca="1" si="57"/>
        <v>-0.28394988443373403</v>
      </c>
      <c r="AA210">
        <f t="shared" ca="1" si="58"/>
        <v>158.01200000000006</v>
      </c>
    </row>
    <row r="211" spans="1:27" x14ac:dyDescent="0.25">
      <c r="A211" vm="617">
        <f ca="1"/>
        <v>45595</v>
      </c>
      <c r="B211" vm="618">
        <f ca="1"/>
        <v>160.61000000000001</v>
      </c>
      <c r="C211" vm="619">
        <f ca="1"/>
        <v>5820530</v>
      </c>
      <c r="D211">
        <f t="shared" ca="1" si="59"/>
        <v>934835323.30000007</v>
      </c>
      <c r="E211">
        <f ca="1">SUM($D$2:D211)/SUM($C$2:C211)</f>
        <v>155.96791389901907</v>
      </c>
      <c r="F211">
        <f ca="1">_xlfn.STDEV.P($B$2:B211)</f>
        <v>6.5000154419840994</v>
      </c>
      <c r="G211">
        <f t="shared" ca="1" si="60"/>
        <v>162.46792934100316</v>
      </c>
      <c r="H211">
        <f t="shared" ca="1" si="61"/>
        <v>149.46789845703498</v>
      </c>
      <c r="I211">
        <f t="shared" ca="1" si="50"/>
        <v>162.05950000000001</v>
      </c>
      <c r="J211">
        <f t="shared" ca="1" si="51"/>
        <v>1.9728778738845343</v>
      </c>
      <c r="K211">
        <f t="shared" ca="1" si="52"/>
        <v>166.00525574776907</v>
      </c>
      <c r="L211">
        <f t="shared" ca="1" si="53"/>
        <v>158.11374425223096</v>
      </c>
      <c r="M211">
        <f t="shared" ca="1" si="62"/>
        <v>0.52000000000001023</v>
      </c>
      <c r="N211">
        <f t="shared" ca="1" si="63"/>
        <v>0.52000000000001023</v>
      </c>
      <c r="O211">
        <f t="shared" ca="1" si="64"/>
        <v>0</v>
      </c>
      <c r="P211">
        <f t="shared" ca="1" si="68"/>
        <v>0.49269056239255971</v>
      </c>
      <c r="Q211">
        <f t="shared" ca="1" si="69"/>
        <v>0.62845764358478762</v>
      </c>
      <c r="R211">
        <f t="shared" ca="1" si="66"/>
        <v>0.78396780979892555</v>
      </c>
      <c r="S211">
        <f t="shared" ca="1" si="67"/>
        <v>43.945176896845915</v>
      </c>
      <c r="T211">
        <f>70</f>
        <v>70</v>
      </c>
      <c r="U211">
        <f>30</f>
        <v>30</v>
      </c>
      <c r="V211">
        <f t="shared" ca="1" si="65"/>
        <v>162.12509283880203</v>
      </c>
      <c r="W211">
        <f t="shared" ca="1" si="55"/>
        <v>162.37608791588434</v>
      </c>
      <c r="X211">
        <f t="shared" ca="1" si="54"/>
        <v>-0.41309401577836979</v>
      </c>
      <c r="Y211">
        <f t="shared" ca="1" si="56"/>
        <v>-5.6254957274533293E-2</v>
      </c>
      <c r="Z211">
        <f t="shared" ca="1" si="57"/>
        <v>-0.35683905850383651</v>
      </c>
      <c r="AA211">
        <f t="shared" ca="1" si="58"/>
        <v>158.14730000000006</v>
      </c>
    </row>
    <row r="212" spans="1:27" x14ac:dyDescent="0.25">
      <c r="A212" vm="620">
        <f ca="1"/>
        <v>45596</v>
      </c>
      <c r="B212" vm="621">
        <f ca="1"/>
        <v>159.86000000000001</v>
      </c>
      <c r="C212" vm="622">
        <f ca="1"/>
        <v>8613860</v>
      </c>
      <c r="D212">
        <f t="shared" ca="1" si="59"/>
        <v>1377011659.6000001</v>
      </c>
      <c r="E212">
        <f ca="1">SUM($D$2:D212)/SUM($C$2:C212)</f>
        <v>155.99063586871318</v>
      </c>
      <c r="F212">
        <f ca="1">_xlfn.STDEV.P($B$2:B212)</f>
        <v>6.4889914082730957</v>
      </c>
      <c r="G212">
        <f t="shared" ca="1" si="60"/>
        <v>162.47962727698629</v>
      </c>
      <c r="H212">
        <f t="shared" ca="1" si="61"/>
        <v>149.50164446044008</v>
      </c>
      <c r="I212">
        <f t="shared" ca="1" si="50"/>
        <v>162.0275</v>
      </c>
      <c r="J212">
        <f t="shared" ca="1" si="51"/>
        <v>2.0044421063963749</v>
      </c>
      <c r="K212">
        <f t="shared" ca="1" si="52"/>
        <v>166.03638421279274</v>
      </c>
      <c r="L212">
        <f t="shared" ca="1" si="53"/>
        <v>158.01861578720727</v>
      </c>
      <c r="M212">
        <f t="shared" ca="1" si="62"/>
        <v>-0.75</v>
      </c>
      <c r="N212">
        <f t="shared" ca="1" si="63"/>
        <v>0</v>
      </c>
      <c r="O212">
        <f t="shared" ca="1" si="64"/>
        <v>0.75</v>
      </c>
      <c r="P212">
        <f t="shared" ca="1" si="68"/>
        <v>0.4574983793645197</v>
      </c>
      <c r="Q212">
        <f t="shared" ca="1" si="69"/>
        <v>0.63713924047158854</v>
      </c>
      <c r="R212">
        <f t="shared" ca="1" si="66"/>
        <v>0.7180508596926084</v>
      </c>
      <c r="S212">
        <f t="shared" ca="1" si="67"/>
        <v>41.794505421165546</v>
      </c>
      <c r="T212">
        <f>70</f>
        <v>70</v>
      </c>
      <c r="U212">
        <f>30</f>
        <v>30</v>
      </c>
      <c r="V212">
        <f t="shared" ca="1" si="65"/>
        <v>161.77661701744788</v>
      </c>
      <c r="W212">
        <f t="shared" ca="1" si="55"/>
        <v>162.18971103322625</v>
      </c>
      <c r="X212">
        <f t="shared" ca="1" si="54"/>
        <v>-0.51384852312398266</v>
      </c>
      <c r="Y212">
        <f t="shared" ca="1" si="56"/>
        <v>-0.14777367044442319</v>
      </c>
      <c r="Z212">
        <f t="shared" ca="1" si="57"/>
        <v>-0.36607485267955947</v>
      </c>
      <c r="AA212">
        <f t="shared" ca="1" si="58"/>
        <v>158.27460000000005</v>
      </c>
    </row>
    <row r="213" spans="1:27" x14ac:dyDescent="0.25">
      <c r="A213" vm="623">
        <f ca="1"/>
        <v>45597</v>
      </c>
      <c r="B213" vm="624">
        <f ca="1"/>
        <v>160.13</v>
      </c>
      <c r="C213" vm="625">
        <f ca="1"/>
        <v>5256652</v>
      </c>
      <c r="D213">
        <f t="shared" ca="1" si="59"/>
        <v>841747684.75999999</v>
      </c>
      <c r="E213">
        <f ca="1">SUM($D$2:D213)/SUM($C$2:C213)</f>
        <v>156.0053306826355</v>
      </c>
      <c r="F213">
        <f ca="1">_xlfn.STDEV.P($B$2:B213)</f>
        <v>6.4787151778727381</v>
      </c>
      <c r="G213">
        <f t="shared" ca="1" si="60"/>
        <v>162.48404586050825</v>
      </c>
      <c r="H213">
        <f t="shared" ca="1" si="61"/>
        <v>149.52661550476276</v>
      </c>
      <c r="I213">
        <f t="shared" ca="1" si="50"/>
        <v>162.01950000000002</v>
      </c>
      <c r="J213">
        <f t="shared" ca="1" si="51"/>
        <v>2.0120465491109973</v>
      </c>
      <c r="K213">
        <f t="shared" ca="1" si="52"/>
        <v>166.043593098222</v>
      </c>
      <c r="L213">
        <f t="shared" ca="1" si="53"/>
        <v>157.99540690177804</v>
      </c>
      <c r="M213">
        <f t="shared" ca="1" si="62"/>
        <v>0.26999999999998181</v>
      </c>
      <c r="N213">
        <f t="shared" ca="1" si="63"/>
        <v>0.26999999999998181</v>
      </c>
      <c r="O213">
        <f t="shared" ca="1" si="64"/>
        <v>0</v>
      </c>
      <c r="P213">
        <f t="shared" ca="1" si="68"/>
        <v>0.4441056379813384</v>
      </c>
      <c r="Q213">
        <f t="shared" ca="1" si="69"/>
        <v>0.59162929472361792</v>
      </c>
      <c r="R213">
        <f t="shared" ca="1" si="66"/>
        <v>0.75064849212513085</v>
      </c>
      <c r="S213">
        <f t="shared" ca="1" si="67"/>
        <v>42.878310266266567</v>
      </c>
      <c r="T213">
        <f>70</f>
        <v>70</v>
      </c>
      <c r="U213">
        <f>30</f>
        <v>30</v>
      </c>
      <c r="V213">
        <f t="shared" ca="1" si="65"/>
        <v>161.52329132245589</v>
      </c>
      <c r="W213">
        <f t="shared" ca="1" si="55"/>
        <v>162.03713984557987</v>
      </c>
      <c r="X213">
        <f t="shared" ca="1" si="54"/>
        <v>-0.7377006468491345</v>
      </c>
      <c r="Y213">
        <f t="shared" ca="1" si="56"/>
        <v>-0.26575906572536545</v>
      </c>
      <c r="Z213">
        <f t="shared" ca="1" si="57"/>
        <v>-0.47194158112376905</v>
      </c>
      <c r="AA213">
        <f t="shared" ca="1" si="58"/>
        <v>158.40830000000003</v>
      </c>
    </row>
    <row r="214" spans="1:27" x14ac:dyDescent="0.25">
      <c r="A214" vm="626">
        <f ca="1"/>
        <v>45600</v>
      </c>
      <c r="B214" vm="627">
        <f ca="1"/>
        <v>158.24</v>
      </c>
      <c r="C214" vm="628">
        <f ca="1"/>
        <v>4644011</v>
      </c>
      <c r="D214">
        <f t="shared" ca="1" si="59"/>
        <v>734868300.63999999</v>
      </c>
      <c r="E214">
        <f ca="1">SUM($D$2:D214)/SUM($C$2:C214)</f>
        <v>156.01231731355284</v>
      </c>
      <c r="F214">
        <f ca="1">_xlfn.STDEV.P($B$2:B214)</f>
        <v>6.4646909975871729</v>
      </c>
      <c r="G214">
        <f t="shared" ca="1" si="60"/>
        <v>162.47700831114003</v>
      </c>
      <c r="H214">
        <f t="shared" ca="1" si="61"/>
        <v>149.54762631596566</v>
      </c>
      <c r="I214">
        <f t="shared" ref="I214:I277" ca="1" si="70">AVERAGE(B195:B214)</f>
        <v>161.95500000000001</v>
      </c>
      <c r="J214">
        <f t="shared" ref="J214:J277" ca="1" si="71">_xlfn.STDEV.S(B195:B214)</f>
        <v>2.1141391180635001</v>
      </c>
      <c r="K214">
        <f t="shared" ref="K214:K277" ca="1" si="72">I214 + 2*J214</f>
        <v>166.18327823612702</v>
      </c>
      <c r="L214">
        <f t="shared" ref="L214:L277" ca="1" si="73">I214-2*J214</f>
        <v>157.726721763873</v>
      </c>
      <c r="M214">
        <f t="shared" ca="1" si="62"/>
        <v>-1.8899999999999864</v>
      </c>
      <c r="N214">
        <f t="shared" ca="1" si="63"/>
        <v>0</v>
      </c>
      <c r="O214">
        <f t="shared" ca="1" si="64"/>
        <v>1.8899999999999864</v>
      </c>
      <c r="P214">
        <f t="shared" ca="1" si="68"/>
        <v>0.41238380669695707</v>
      </c>
      <c r="Q214">
        <f t="shared" ca="1" si="69"/>
        <v>0.68437005938621565</v>
      </c>
      <c r="R214">
        <f t="shared" ca="1" si="66"/>
        <v>0.60257429593984246</v>
      </c>
      <c r="S214">
        <f t="shared" ca="1" si="67"/>
        <v>37.600396903062645</v>
      </c>
      <c r="T214">
        <f>70</f>
        <v>70</v>
      </c>
      <c r="U214">
        <f>30</f>
        <v>30</v>
      </c>
      <c r="V214">
        <f t="shared" ca="1" si="65"/>
        <v>161.01816958053962</v>
      </c>
      <c r="W214">
        <f t="shared" ca="1" si="55"/>
        <v>161.75587022738875</v>
      </c>
      <c r="X214">
        <f t="shared" ca="1" si="54"/>
        <v>-0.89590159111418188</v>
      </c>
      <c r="Y214">
        <f t="shared" ca="1" si="56"/>
        <v>-0.39178757080312876</v>
      </c>
      <c r="Z214">
        <f t="shared" ca="1" si="57"/>
        <v>-0.50411402031105312</v>
      </c>
      <c r="AA214">
        <f t="shared" ca="1" si="58"/>
        <v>158.53660000000002</v>
      </c>
    </row>
    <row r="215" spans="1:27" x14ac:dyDescent="0.25">
      <c r="A215" vm="629">
        <f ca="1"/>
        <v>45601</v>
      </c>
      <c r="B215" vm="630">
        <f ca="1"/>
        <v>158.35</v>
      </c>
      <c r="C215" vm="631">
        <f ca="1"/>
        <v>6547074</v>
      </c>
      <c r="D215">
        <f t="shared" ca="1" si="59"/>
        <v>1036729167.9</v>
      </c>
      <c r="E215">
        <f ca="1">SUM($D$2:D215)/SUM($C$2:C215)</f>
        <v>156.02257581885931</v>
      </c>
      <c r="F215">
        <f ca="1">_xlfn.STDEV.P($B$2:B215)</f>
        <v>6.4509049295760725</v>
      </c>
      <c r="G215">
        <f t="shared" ca="1" si="60"/>
        <v>162.47348074843538</v>
      </c>
      <c r="H215">
        <f t="shared" ca="1" si="61"/>
        <v>149.57167088928324</v>
      </c>
      <c r="I215">
        <f t="shared" ca="1" si="70"/>
        <v>161.88800000000003</v>
      </c>
      <c r="J215">
        <f t="shared" ca="1" si="71"/>
        <v>2.2088115404109585</v>
      </c>
      <c r="K215">
        <f t="shared" ca="1" si="72"/>
        <v>166.30562308082196</v>
      </c>
      <c r="L215">
        <f t="shared" ca="1" si="73"/>
        <v>157.47037691917811</v>
      </c>
      <c r="M215">
        <f t="shared" ca="1" si="62"/>
        <v>0.10999999999998522</v>
      </c>
      <c r="N215">
        <f t="shared" ca="1" si="63"/>
        <v>0.10999999999998522</v>
      </c>
      <c r="O215">
        <f t="shared" ca="1" si="64"/>
        <v>0</v>
      </c>
      <c r="P215">
        <f t="shared" ca="1" si="68"/>
        <v>0.39078496336145907</v>
      </c>
      <c r="Q215">
        <f t="shared" ca="1" si="69"/>
        <v>0.63548648371577166</v>
      </c>
      <c r="R215">
        <f t="shared" ca="1" si="66"/>
        <v>0.61493827701336601</v>
      </c>
      <c r="S215">
        <f t="shared" ca="1" si="67"/>
        <v>38.078128790817956</v>
      </c>
      <c r="T215">
        <f>70</f>
        <v>70</v>
      </c>
      <c r="U215">
        <f>30</f>
        <v>30</v>
      </c>
      <c r="V215">
        <f t="shared" ca="1" si="65"/>
        <v>160.6076819527643</v>
      </c>
      <c r="W215">
        <f t="shared" ca="1" si="55"/>
        <v>161.50358354387848</v>
      </c>
      <c r="X215">
        <f t="shared" ca="1" si="54"/>
        <v>-1.047131372619674</v>
      </c>
      <c r="Y215">
        <f t="shared" ca="1" si="56"/>
        <v>-0.52285633116643782</v>
      </c>
      <c r="Z215">
        <f t="shared" ca="1" si="57"/>
        <v>-0.52427504145323622</v>
      </c>
      <c r="AA215">
        <f t="shared" ca="1" si="58"/>
        <v>158.66560000000004</v>
      </c>
    </row>
    <row r="216" spans="1:27" x14ac:dyDescent="0.25">
      <c r="A216" vm="632">
        <f ca="1"/>
        <v>45602</v>
      </c>
      <c r="B216" vm="633">
        <f ca="1"/>
        <v>157.88</v>
      </c>
      <c r="C216" vm="634">
        <f ca="1"/>
        <v>8926601</v>
      </c>
      <c r="D216">
        <f t="shared" ca="1" si="59"/>
        <v>1409331765.8799999</v>
      </c>
      <c r="E216">
        <f ca="1">SUM($D$2:D216)/SUM($C$2:C216)</f>
        <v>156.03362315947794</v>
      </c>
      <c r="F216">
        <f ca="1">_xlfn.STDEV.P($B$2:B216)</f>
        <v>6.4366373552875391</v>
      </c>
      <c r="G216">
        <f t="shared" ca="1" si="60"/>
        <v>162.47026051476547</v>
      </c>
      <c r="H216">
        <f t="shared" ca="1" si="61"/>
        <v>149.59698580419041</v>
      </c>
      <c r="I216">
        <f t="shared" ca="1" si="70"/>
        <v>161.74950000000001</v>
      </c>
      <c r="J216">
        <f t="shared" ca="1" si="71"/>
        <v>2.3713852824656598</v>
      </c>
      <c r="K216">
        <f t="shared" ca="1" si="72"/>
        <v>166.49227056493135</v>
      </c>
      <c r="L216">
        <f t="shared" ca="1" si="73"/>
        <v>157.00672943506868</v>
      </c>
      <c r="M216">
        <f t="shared" ca="1" si="62"/>
        <v>-0.46999999999999886</v>
      </c>
      <c r="N216">
        <f t="shared" ca="1" si="63"/>
        <v>0</v>
      </c>
      <c r="O216">
        <f t="shared" ca="1" si="64"/>
        <v>0.46999999999999886</v>
      </c>
      <c r="P216">
        <f t="shared" ca="1" si="68"/>
        <v>0.36287175169278341</v>
      </c>
      <c r="Q216">
        <f t="shared" ca="1" si="69"/>
        <v>0.62366602059321641</v>
      </c>
      <c r="R216">
        <f t="shared" ca="1" si="66"/>
        <v>0.58183665569534859</v>
      </c>
      <c r="S216">
        <f t="shared" ca="1" si="67"/>
        <v>36.782347507276796</v>
      </c>
      <c r="T216">
        <f>70</f>
        <v>70</v>
      </c>
      <c r="U216">
        <f>30</f>
        <v>30</v>
      </c>
      <c r="V216">
        <f t="shared" ca="1" si="65"/>
        <v>160.18803857541593</v>
      </c>
      <c r="W216">
        <f t="shared" ca="1" si="55"/>
        <v>161.2351699480356</v>
      </c>
      <c r="X216">
        <f t="shared" ca="1" si="54"/>
        <v>-1.2454210148519849</v>
      </c>
      <c r="Y216">
        <f t="shared" ca="1" si="56"/>
        <v>-0.66736926790354723</v>
      </c>
      <c r="Z216">
        <f t="shared" ca="1" si="57"/>
        <v>-0.57805174694843764</v>
      </c>
      <c r="AA216">
        <f t="shared" ca="1" si="58"/>
        <v>158.78900000000002</v>
      </c>
    </row>
    <row r="217" spans="1:27" x14ac:dyDescent="0.25">
      <c r="A217" vm="635">
        <f ca="1"/>
        <v>45603</v>
      </c>
      <c r="B217" vm="636">
        <f ca="1"/>
        <v>156.72999999999999</v>
      </c>
      <c r="C217" vm="637">
        <f ca="1"/>
        <v>7522812</v>
      </c>
      <c r="D217">
        <f t="shared" ca="1" si="59"/>
        <v>1179050324.76</v>
      </c>
      <c r="E217">
        <f ca="1">SUM($D$2:D217)/SUM($C$2:C217)</f>
        <v>156.03709623045617</v>
      </c>
      <c r="F217">
        <f ca="1">_xlfn.STDEV.P($B$2:B217)</f>
        <v>6.4217504766078743</v>
      </c>
      <c r="G217">
        <f t="shared" ca="1" si="60"/>
        <v>162.45884670706405</v>
      </c>
      <c r="H217">
        <f t="shared" ca="1" si="61"/>
        <v>149.61534575384829</v>
      </c>
      <c r="I217">
        <f t="shared" ca="1" si="70"/>
        <v>161.56050000000005</v>
      </c>
      <c r="J217">
        <f t="shared" ca="1" si="71"/>
        <v>2.6136332344478883</v>
      </c>
      <c r="K217">
        <f t="shared" ca="1" si="72"/>
        <v>166.78776646889582</v>
      </c>
      <c r="L217">
        <f t="shared" ca="1" si="73"/>
        <v>156.33323353110427</v>
      </c>
      <c r="M217">
        <f t="shared" ca="1" si="62"/>
        <v>-1.1500000000000057</v>
      </c>
      <c r="N217">
        <f t="shared" ca="1" si="63"/>
        <v>0</v>
      </c>
      <c r="O217">
        <f t="shared" ca="1" si="64"/>
        <v>1.1500000000000057</v>
      </c>
      <c r="P217">
        <f t="shared" ca="1" si="68"/>
        <v>0.33695234085758458</v>
      </c>
      <c r="Q217">
        <f t="shared" ca="1" si="69"/>
        <v>0.66126130483655843</v>
      </c>
      <c r="R217">
        <f t="shared" ca="1" si="66"/>
        <v>0.50956004591992254</v>
      </c>
      <c r="S217">
        <f t="shared" ca="1" si="67"/>
        <v>33.755533428244505</v>
      </c>
      <c r="T217">
        <f>70</f>
        <v>70</v>
      </c>
      <c r="U217">
        <f>30</f>
        <v>30</v>
      </c>
      <c r="V217">
        <f t="shared" ca="1" si="65"/>
        <v>159.65603264073656</v>
      </c>
      <c r="W217">
        <f t="shared" ca="1" si="55"/>
        <v>160.90145365558854</v>
      </c>
      <c r="X217">
        <f t="shared" ca="1" si="54"/>
        <v>-1.4870961360898036</v>
      </c>
      <c r="Y217">
        <f t="shared" ca="1" si="56"/>
        <v>-0.83131464154079859</v>
      </c>
      <c r="Z217">
        <f t="shared" ca="1" si="57"/>
        <v>-0.65578149454900503</v>
      </c>
      <c r="AA217">
        <f t="shared" ca="1" si="58"/>
        <v>158.89680000000001</v>
      </c>
    </row>
    <row r="218" spans="1:27" x14ac:dyDescent="0.25">
      <c r="A218" vm="638">
        <f ca="1"/>
        <v>45604</v>
      </c>
      <c r="B218" vm="639">
        <f ca="1"/>
        <v>155.47</v>
      </c>
      <c r="C218" vm="640">
        <f ca="1"/>
        <v>8926134</v>
      </c>
      <c r="D218">
        <f t="shared" ca="1" si="59"/>
        <v>1387746052.98</v>
      </c>
      <c r="E218">
        <f ca="1">SUM($D$2:D218)/SUM($C$2:C218)</f>
        <v>156.03376007064668</v>
      </c>
      <c r="F218">
        <f ca="1">_xlfn.STDEV.P($B$2:B218)</f>
        <v>6.4072749570869902</v>
      </c>
      <c r="G218">
        <f t="shared" ca="1" si="60"/>
        <v>162.44103502773368</v>
      </c>
      <c r="H218">
        <f t="shared" ca="1" si="61"/>
        <v>149.62648511355968</v>
      </c>
      <c r="I218">
        <f t="shared" ca="1" si="70"/>
        <v>161.261</v>
      </c>
      <c r="J218">
        <f t="shared" ca="1" si="71"/>
        <v>2.9476179499635586</v>
      </c>
      <c r="K218">
        <f t="shared" ca="1" si="72"/>
        <v>167.15623589992711</v>
      </c>
      <c r="L218">
        <f t="shared" ca="1" si="73"/>
        <v>155.36576410007288</v>
      </c>
      <c r="M218">
        <f t="shared" ca="1" si="62"/>
        <v>-1.2599999999999909</v>
      </c>
      <c r="N218">
        <f t="shared" ca="1" si="63"/>
        <v>0</v>
      </c>
      <c r="O218">
        <f t="shared" ca="1" si="64"/>
        <v>1.2599999999999909</v>
      </c>
      <c r="P218">
        <f t="shared" ca="1" si="68"/>
        <v>0.31288431651061421</v>
      </c>
      <c r="Q218">
        <f t="shared" ca="1" si="69"/>
        <v>0.70402835449108925</v>
      </c>
      <c r="R218">
        <f t="shared" ca="1" si="66"/>
        <v>0.44442005000890106</v>
      </c>
      <c r="S218">
        <f t="shared" ca="1" si="67"/>
        <v>30.76806154872763</v>
      </c>
      <c r="T218">
        <f>70</f>
        <v>70</v>
      </c>
      <c r="U218">
        <f>30</f>
        <v>30</v>
      </c>
      <c r="V218">
        <f t="shared" ca="1" si="65"/>
        <v>159.01202761908479</v>
      </c>
      <c r="W218">
        <f t="shared" ca="1" si="55"/>
        <v>160.49912375517459</v>
      </c>
      <c r="X218">
        <f t="shared" ca="1" si="54"/>
        <v>-1.6937977708363405</v>
      </c>
      <c r="Y218">
        <f t="shared" ca="1" si="56"/>
        <v>-1.0038112673999069</v>
      </c>
      <c r="Z218">
        <f t="shared" ca="1" si="57"/>
        <v>-0.68998650343643364</v>
      </c>
      <c r="AA218">
        <f t="shared" ca="1" si="58"/>
        <v>158.995</v>
      </c>
    </row>
    <row r="219" spans="1:27" x14ac:dyDescent="0.25">
      <c r="A219" vm="641">
        <f ca="1"/>
        <v>45607</v>
      </c>
      <c r="B219" vm="642">
        <f ca="1"/>
        <v>155.04</v>
      </c>
      <c r="C219" vm="643">
        <f ca="1"/>
        <v>7146759</v>
      </c>
      <c r="D219">
        <f t="shared" ca="1" si="59"/>
        <v>1108033515.3599999</v>
      </c>
      <c r="E219">
        <f ca="1">SUM($D$2:D219)/SUM($C$2:C219)</f>
        <v>156.02910124380841</v>
      </c>
      <c r="F219">
        <f ca="1">_xlfn.STDEV.P($B$2:B219)</f>
        <v>6.3932600021833323</v>
      </c>
      <c r="G219">
        <f t="shared" ca="1" si="60"/>
        <v>162.42236124599174</v>
      </c>
      <c r="H219">
        <f t="shared" ca="1" si="61"/>
        <v>149.63584124162509</v>
      </c>
      <c r="I219">
        <f t="shared" ca="1" si="70"/>
        <v>160.93300000000002</v>
      </c>
      <c r="J219">
        <f t="shared" ca="1" si="71"/>
        <v>3.2566920575784786</v>
      </c>
      <c r="K219">
        <f t="shared" ca="1" si="72"/>
        <v>167.44638411515697</v>
      </c>
      <c r="L219">
        <f t="shared" ca="1" si="73"/>
        <v>154.41961588484307</v>
      </c>
      <c r="M219">
        <f t="shared" ca="1" si="62"/>
        <v>-0.43000000000000682</v>
      </c>
      <c r="N219">
        <f t="shared" ca="1" si="63"/>
        <v>0</v>
      </c>
      <c r="O219">
        <f t="shared" ca="1" si="64"/>
        <v>0.43000000000000682</v>
      </c>
      <c r="P219">
        <f t="shared" ca="1" si="68"/>
        <v>0.29053543675985605</v>
      </c>
      <c r="Q219">
        <f t="shared" ca="1" si="69"/>
        <v>0.68445490059886904</v>
      </c>
      <c r="R219">
        <f t="shared" ca="1" si="66"/>
        <v>0.4244771079959393</v>
      </c>
      <c r="S219">
        <f t="shared" ca="1" si="67"/>
        <v>29.798801652427073</v>
      </c>
      <c r="T219">
        <f>70</f>
        <v>70</v>
      </c>
      <c r="U219">
        <f>30</f>
        <v>30</v>
      </c>
      <c r="V219">
        <f t="shared" ca="1" si="65"/>
        <v>158.40094644691791</v>
      </c>
      <c r="W219">
        <f t="shared" ca="1" si="55"/>
        <v>160.09474421775425</v>
      </c>
      <c r="X219">
        <f t="shared" ca="1" si="54"/>
        <v>-2.0278939488191554</v>
      </c>
      <c r="Y219">
        <f t="shared" ca="1" si="56"/>
        <v>-1.2086278036837568</v>
      </c>
      <c r="Z219">
        <f t="shared" ca="1" si="57"/>
        <v>-0.81926614513539864</v>
      </c>
      <c r="AA219">
        <f t="shared" ca="1" si="58"/>
        <v>159.0676</v>
      </c>
    </row>
    <row r="220" spans="1:27" x14ac:dyDescent="0.25">
      <c r="A220" vm="644">
        <f ca="1"/>
        <v>45608</v>
      </c>
      <c r="B220" vm="645">
        <f ca="1"/>
        <v>152.63999999999999</v>
      </c>
      <c r="C220" vm="646">
        <f ca="1"/>
        <v>7181408</v>
      </c>
      <c r="D220">
        <f t="shared" ca="1" si="59"/>
        <v>1096170117.1199999</v>
      </c>
      <c r="E220">
        <f ca="1">SUM($D$2:D220)/SUM($C$2:C220)</f>
        <v>156.01321069274894</v>
      </c>
      <c r="F220">
        <f ca="1">_xlfn.STDEV.P($B$2:B220)</f>
        <v>6.3837657178268499</v>
      </c>
      <c r="G220">
        <f t="shared" ca="1" si="60"/>
        <v>162.3969764105758</v>
      </c>
      <c r="H220">
        <f t="shared" ca="1" si="61"/>
        <v>149.62944497492208</v>
      </c>
      <c r="I220">
        <f t="shared" ca="1" si="70"/>
        <v>160.35999999999999</v>
      </c>
      <c r="J220">
        <f t="shared" ca="1" si="71"/>
        <v>3.6540691089019655</v>
      </c>
      <c r="K220">
        <f t="shared" ca="1" si="72"/>
        <v>167.66813821780391</v>
      </c>
      <c r="L220">
        <f t="shared" ca="1" si="73"/>
        <v>153.05186178219606</v>
      </c>
      <c r="M220">
        <f t="shared" ca="1" si="62"/>
        <v>-2.4000000000000057</v>
      </c>
      <c r="N220">
        <f t="shared" ca="1" si="63"/>
        <v>0</v>
      </c>
      <c r="O220">
        <f t="shared" ca="1" si="64"/>
        <v>2.4000000000000057</v>
      </c>
      <c r="P220">
        <f t="shared" ca="1" si="68"/>
        <v>0.2697829055627235</v>
      </c>
      <c r="Q220">
        <f t="shared" ca="1" si="69"/>
        <v>0.80699383627037879</v>
      </c>
      <c r="R220">
        <f t="shared" ca="1" si="66"/>
        <v>0.33430602990669467</v>
      </c>
      <c r="S220">
        <f t="shared" ca="1" si="67"/>
        <v>25.054674296126208</v>
      </c>
      <c r="T220">
        <f>70</f>
        <v>70</v>
      </c>
      <c r="U220">
        <f>30</f>
        <v>30</v>
      </c>
      <c r="V220">
        <f t="shared" ca="1" si="65"/>
        <v>157.51464699354591</v>
      </c>
      <c r="W220">
        <f t="shared" ca="1" si="55"/>
        <v>159.54254094236506</v>
      </c>
      <c r="X220">
        <f t="shared" ref="X220:X283" ca="1" si="74">V221-W221</f>
        <v>-2.2186770632065986</v>
      </c>
      <c r="Y220">
        <f t="shared" ca="1" si="56"/>
        <v>-1.4106376555883253</v>
      </c>
      <c r="Z220">
        <f t="shared" ca="1" si="57"/>
        <v>-0.80803940761827331</v>
      </c>
      <c r="AA220">
        <f t="shared" ca="1" si="58"/>
        <v>159.10649999999998</v>
      </c>
    </row>
    <row r="221" spans="1:27" x14ac:dyDescent="0.25">
      <c r="A221" vm="647">
        <f ca="1"/>
        <v>45609</v>
      </c>
      <c r="B221" vm="648">
        <f ca="1"/>
        <v>153.24</v>
      </c>
      <c r="C221" vm="649">
        <f ca="1"/>
        <v>7162233</v>
      </c>
      <c r="D221">
        <f t="shared" ca="1" si="59"/>
        <v>1097540584.9200001</v>
      </c>
      <c r="E221">
        <f ca="1">SUM($D$2:D221)/SUM($C$2:C221)</f>
        <v>156.00030295865031</v>
      </c>
      <c r="F221">
        <f ca="1">_xlfn.STDEV.P($B$2:B221)</f>
        <v>6.3728177096098815</v>
      </c>
      <c r="G221">
        <f t="shared" ca="1" si="60"/>
        <v>162.37312066826019</v>
      </c>
      <c r="H221">
        <f t="shared" ca="1" si="61"/>
        <v>149.62748524904043</v>
      </c>
      <c r="I221">
        <f t="shared" ca="1" si="70"/>
        <v>159.80799999999999</v>
      </c>
      <c r="J221">
        <f t="shared" ca="1" si="71"/>
        <v>3.8588662092708845</v>
      </c>
      <c r="K221">
        <f t="shared" ca="1" si="72"/>
        <v>167.52573241854176</v>
      </c>
      <c r="L221">
        <f t="shared" ca="1" si="73"/>
        <v>152.09026758145822</v>
      </c>
      <c r="M221">
        <f t="shared" ca="1" si="62"/>
        <v>0.60000000000002274</v>
      </c>
      <c r="N221">
        <f t="shared" ca="1" si="63"/>
        <v>0.60000000000002274</v>
      </c>
      <c r="O221">
        <f t="shared" ca="1" si="64"/>
        <v>0</v>
      </c>
      <c r="P221">
        <f t="shared" ca="1" si="68"/>
        <v>0.29336984087967338</v>
      </c>
      <c r="Q221">
        <f t="shared" ca="1" si="69"/>
        <v>0.74935141939392313</v>
      </c>
      <c r="R221">
        <f t="shared" ca="1" si="66"/>
        <v>0.391498345485155</v>
      </c>
      <c r="S221">
        <f t="shared" ca="1" si="67"/>
        <v>28.135020552155709</v>
      </c>
      <c r="T221">
        <f>70</f>
        <v>70</v>
      </c>
      <c r="U221">
        <f>30</f>
        <v>30</v>
      </c>
      <c r="V221">
        <f t="shared" ca="1" si="65"/>
        <v>156.85700899453886</v>
      </c>
      <c r="W221">
        <f t="shared" ref="W221:W284" ca="1" si="75">B221*(2/(26+1)) + W220*(1-(2/(26+1)))</f>
        <v>159.07568605774546</v>
      </c>
      <c r="X221">
        <f t="shared" ca="1" si="74"/>
        <v>-2.4521546934166167</v>
      </c>
      <c r="Y221">
        <f t="shared" ca="1" si="56"/>
        <v>-1.6189410631539838</v>
      </c>
      <c r="Z221">
        <f t="shared" ca="1" si="57"/>
        <v>-0.83321363026263295</v>
      </c>
      <c r="AA221">
        <f t="shared" ca="1" si="58"/>
        <v>159.14769999999999</v>
      </c>
    </row>
    <row r="222" spans="1:27" x14ac:dyDescent="0.25">
      <c r="A222" vm="650">
        <f ca="1"/>
        <v>45610</v>
      </c>
      <c r="B222" vm="651">
        <f ca="1"/>
        <v>151.87</v>
      </c>
      <c r="C222" vm="652">
        <f ca="1"/>
        <v>7716385</v>
      </c>
      <c r="D222">
        <f t="shared" ca="1" si="59"/>
        <v>1171887389.95</v>
      </c>
      <c r="E222">
        <f ca="1">SUM($D$2:D222)/SUM($C$2:C222)</f>
        <v>155.979694659822</v>
      </c>
      <c r="F222">
        <f ca="1">_xlfn.STDEV.P($B$2:B222)</f>
        <v>6.3656458972708547</v>
      </c>
      <c r="G222">
        <f t="shared" ca="1" si="60"/>
        <v>162.34534055709287</v>
      </c>
      <c r="H222">
        <f t="shared" ca="1" si="61"/>
        <v>149.61404876255114</v>
      </c>
      <c r="I222">
        <f t="shared" ca="1" si="70"/>
        <v>159.17799999999997</v>
      </c>
      <c r="J222">
        <f t="shared" ca="1" si="71"/>
        <v>4.0798975735337191</v>
      </c>
      <c r="K222">
        <f t="shared" ca="1" si="72"/>
        <v>167.3377951470674</v>
      </c>
      <c r="L222">
        <f t="shared" ca="1" si="73"/>
        <v>151.01820485293254</v>
      </c>
      <c r="M222">
        <f t="shared" ca="1" si="62"/>
        <v>-1.3700000000000045</v>
      </c>
      <c r="N222">
        <f t="shared" ca="1" si="63"/>
        <v>0</v>
      </c>
      <c r="O222">
        <f t="shared" ca="1" si="64"/>
        <v>1.3700000000000045</v>
      </c>
      <c r="P222">
        <f t="shared" ca="1" si="68"/>
        <v>0.27241485224541101</v>
      </c>
      <c r="Q222">
        <f t="shared" ca="1" si="69"/>
        <v>0.79368346086578612</v>
      </c>
      <c r="R222">
        <f t="shared" ca="1" si="66"/>
        <v>0.34322858630347225</v>
      </c>
      <c r="S222">
        <f t="shared" ca="1" si="67"/>
        <v>25.552507577882025</v>
      </c>
      <c r="T222">
        <f>70</f>
        <v>70</v>
      </c>
      <c r="U222">
        <f>30</f>
        <v>30</v>
      </c>
      <c r="V222">
        <f t="shared" ca="1" si="65"/>
        <v>156.08977684153288</v>
      </c>
      <c r="W222">
        <f t="shared" ca="1" si="75"/>
        <v>158.5419315349495</v>
      </c>
      <c r="X222">
        <f t="shared" ca="1" si="74"/>
        <v>-2.4372194499240152</v>
      </c>
      <c r="Y222">
        <f t="shared" ca="1" si="56"/>
        <v>-1.7825967405079901</v>
      </c>
      <c r="Z222">
        <f t="shared" ca="1" si="57"/>
        <v>-0.65462270941602507</v>
      </c>
      <c r="AA222">
        <f t="shared" ca="1" si="58"/>
        <v>159.19449999999998</v>
      </c>
    </row>
    <row r="223" spans="1:27" x14ac:dyDescent="0.25">
      <c r="A223" vm="653">
        <f ca="1"/>
        <v>45611</v>
      </c>
      <c r="B223" vm="654">
        <f ca="1"/>
        <v>154</v>
      </c>
      <c r="C223" vm="655">
        <f ca="1"/>
        <v>11328515</v>
      </c>
      <c r="D223">
        <f t="shared" ca="1" si="59"/>
        <v>1744591310</v>
      </c>
      <c r="E223">
        <f ca="1">SUM($D$2:D223)/SUM($C$2:C223)</f>
        <v>155.96529846071141</v>
      </c>
      <c r="F223">
        <f ca="1">_xlfn.STDEV.P($B$2:B223)</f>
        <v>6.3532901596424338</v>
      </c>
      <c r="G223">
        <f t="shared" ca="1" si="60"/>
        <v>162.31858862035384</v>
      </c>
      <c r="H223">
        <f t="shared" ca="1" si="61"/>
        <v>149.61200830106898</v>
      </c>
      <c r="I223">
        <f t="shared" ca="1" si="70"/>
        <v>158.62199999999999</v>
      </c>
      <c r="J223">
        <f t="shared" ca="1" si="71"/>
        <v>3.9840954860677313</v>
      </c>
      <c r="K223">
        <f t="shared" ca="1" si="72"/>
        <v>166.59019097213545</v>
      </c>
      <c r="L223">
        <f t="shared" ca="1" si="73"/>
        <v>150.65380902786453</v>
      </c>
      <c r="M223">
        <f t="shared" ca="1" si="62"/>
        <v>2.1299999999999955</v>
      </c>
      <c r="N223">
        <f t="shared" ca="1" si="63"/>
        <v>2.1299999999999955</v>
      </c>
      <c r="O223">
        <f t="shared" ca="1" si="64"/>
        <v>0</v>
      </c>
      <c r="P223">
        <f t="shared" ca="1" si="68"/>
        <v>0.4050995056564527</v>
      </c>
      <c r="Q223">
        <f t="shared" ca="1" si="69"/>
        <v>0.73699178508965857</v>
      </c>
      <c r="R223">
        <f t="shared" ca="1" si="66"/>
        <v>0.54966624303304878</v>
      </c>
      <c r="S223">
        <f t="shared" ca="1" si="67"/>
        <v>35.469975906374984</v>
      </c>
      <c r="T223">
        <f>70</f>
        <v>70</v>
      </c>
      <c r="U223">
        <f>30</f>
        <v>30</v>
      </c>
      <c r="V223">
        <f t="shared" ca="1" si="65"/>
        <v>155.76827271206628</v>
      </c>
      <c r="W223">
        <f t="shared" ca="1" si="75"/>
        <v>158.20549216199029</v>
      </c>
      <c r="X223">
        <f t="shared" ca="1" si="74"/>
        <v>-2.3363189662767923</v>
      </c>
      <c r="Y223">
        <f t="shared" ca="1" si="56"/>
        <v>-1.8933411856617506</v>
      </c>
      <c r="Z223">
        <f t="shared" ca="1" si="57"/>
        <v>-0.44297778061504167</v>
      </c>
      <c r="AA223">
        <f t="shared" ca="1" si="58"/>
        <v>159.2663</v>
      </c>
    </row>
    <row r="224" spans="1:27" x14ac:dyDescent="0.25">
      <c r="A224" vm="656">
        <f ca="1"/>
        <v>45614</v>
      </c>
      <c r="B224" vm="657">
        <f ca="1"/>
        <v>154.77000000000001</v>
      </c>
      <c r="C224" vm="658">
        <f ca="1"/>
        <v>7514177</v>
      </c>
      <c r="D224">
        <f t="shared" ca="1" si="59"/>
        <v>1162969174.29</v>
      </c>
      <c r="E224">
        <f ca="1">SUM($D$2:D224)/SUM($C$2:C224)</f>
        <v>155.9595606704784</v>
      </c>
      <c r="F224">
        <f ca="1">_xlfn.STDEV.P($B$2:B224)</f>
        <v>6.3399284426724796</v>
      </c>
      <c r="G224">
        <f t="shared" ca="1" si="60"/>
        <v>162.29948911315088</v>
      </c>
      <c r="H224">
        <f t="shared" ca="1" si="61"/>
        <v>149.61963222780591</v>
      </c>
      <c r="I224">
        <f t="shared" ca="1" si="70"/>
        <v>158.21899999999999</v>
      </c>
      <c r="J224">
        <f t="shared" ca="1" si="71"/>
        <v>3.9434808294996917</v>
      </c>
      <c r="K224">
        <f t="shared" ca="1" si="72"/>
        <v>166.10596165899938</v>
      </c>
      <c r="L224">
        <f t="shared" ca="1" si="73"/>
        <v>150.33203834100061</v>
      </c>
      <c r="M224">
        <f t="shared" ca="1" si="62"/>
        <v>0.77000000000001023</v>
      </c>
      <c r="N224">
        <f t="shared" ca="1" si="63"/>
        <v>0.77000000000001023</v>
      </c>
      <c r="O224">
        <f t="shared" ca="1" si="64"/>
        <v>0</v>
      </c>
      <c r="P224">
        <f t="shared" ca="1" si="68"/>
        <v>0.43116382668099257</v>
      </c>
      <c r="Q224">
        <f t="shared" ca="1" si="69"/>
        <v>0.6843495147261115</v>
      </c>
      <c r="R224">
        <f t="shared" ca="1" si="66"/>
        <v>0.6300345326518596</v>
      </c>
      <c r="S224">
        <f t="shared" ca="1" si="67"/>
        <v>38.651606455654246</v>
      </c>
      <c r="T224">
        <f>70</f>
        <v>70</v>
      </c>
      <c r="U224">
        <f>30</f>
        <v>30</v>
      </c>
      <c r="V224">
        <f t="shared" ca="1" si="65"/>
        <v>155.61469229482532</v>
      </c>
      <c r="W224">
        <f t="shared" ca="1" si="75"/>
        <v>157.95101126110211</v>
      </c>
      <c r="X224">
        <f t="shared" ca="1" si="74"/>
        <v>-2.371837744430394</v>
      </c>
      <c r="Y224">
        <f t="shared" ca="1" si="56"/>
        <v>-1.9890404974154794</v>
      </c>
      <c r="Z224">
        <f t="shared" ca="1" si="57"/>
        <v>-0.38279724701491458</v>
      </c>
      <c r="AA224">
        <f t="shared" ca="1" si="58"/>
        <v>159.35599999999999</v>
      </c>
    </row>
    <row r="225" spans="1:27" x14ac:dyDescent="0.25">
      <c r="A225" vm="659">
        <f ca="1"/>
        <v>45615</v>
      </c>
      <c r="B225" vm="660">
        <f ca="1"/>
        <v>153</v>
      </c>
      <c r="C225" vm="661">
        <f ca="1"/>
        <v>8233678</v>
      </c>
      <c r="D225">
        <f t="shared" ca="1" si="59"/>
        <v>1259752734</v>
      </c>
      <c r="E225">
        <f ca="1">SUM($D$2:D225)/SUM($C$2:C225)</f>
        <v>155.94407501346632</v>
      </c>
      <c r="F225">
        <f ca="1">_xlfn.STDEV.P($B$2:B225)</f>
        <v>6.329728104293463</v>
      </c>
      <c r="G225">
        <f t="shared" ca="1" si="60"/>
        <v>162.27380311775977</v>
      </c>
      <c r="H225">
        <f t="shared" ca="1" si="61"/>
        <v>149.61434690917287</v>
      </c>
      <c r="I225">
        <f t="shared" ca="1" si="70"/>
        <v>157.69649999999999</v>
      </c>
      <c r="J225">
        <f t="shared" ca="1" si="71"/>
        <v>3.906029448510544</v>
      </c>
      <c r="K225">
        <f t="shared" ca="1" si="72"/>
        <v>165.50855889702106</v>
      </c>
      <c r="L225">
        <f t="shared" ca="1" si="73"/>
        <v>149.88444110297891</v>
      </c>
      <c r="M225">
        <f t="shared" ca="1" si="62"/>
        <v>-1.7700000000000102</v>
      </c>
      <c r="N225">
        <f t="shared" ca="1" si="63"/>
        <v>0</v>
      </c>
      <c r="O225">
        <f t="shared" ca="1" si="64"/>
        <v>1.7700000000000102</v>
      </c>
      <c r="P225">
        <f t="shared" ca="1" si="68"/>
        <v>0.40036641048949312</v>
      </c>
      <c r="Q225">
        <f t="shared" ca="1" si="69"/>
        <v>0.76189597795996133</v>
      </c>
      <c r="R225">
        <f t="shared" ca="1" si="66"/>
        <v>0.52548697206868955</v>
      </c>
      <c r="S225">
        <f t="shared" ca="1" si="67"/>
        <v>34.447162230175238</v>
      </c>
      <c r="T225">
        <f>70</f>
        <v>70</v>
      </c>
      <c r="U225">
        <f>30</f>
        <v>30</v>
      </c>
      <c r="V225">
        <f t="shared" ca="1" si="65"/>
        <v>155.21243194177526</v>
      </c>
      <c r="W225">
        <f t="shared" ca="1" si="75"/>
        <v>157.58426968620566</v>
      </c>
      <c r="X225">
        <f t="shared" ca="1" si="74"/>
        <v>-2.3638614282324397</v>
      </c>
      <c r="Y225">
        <f t="shared" ca="1" si="56"/>
        <v>-2.0640046835788715</v>
      </c>
      <c r="Z225">
        <f t="shared" ca="1" si="57"/>
        <v>-0.29985674465356826</v>
      </c>
      <c r="AA225">
        <f t="shared" ca="1" si="58"/>
        <v>159.42439999999999</v>
      </c>
    </row>
    <row r="226" spans="1:27" x14ac:dyDescent="0.25">
      <c r="A226" vm="662">
        <f ca="1"/>
        <v>45616</v>
      </c>
      <c r="B226" vm="663">
        <f ca="1"/>
        <v>153.11000000000001</v>
      </c>
      <c r="C226" vm="664">
        <f ca="1"/>
        <v>9061274</v>
      </c>
      <c r="D226">
        <f t="shared" ca="1" si="59"/>
        <v>1387371662.1400001</v>
      </c>
      <c r="E226">
        <f ca="1">SUM($D$2:D226)/SUM($C$2:C226)</f>
        <v>155.92784886412386</v>
      </c>
      <c r="F226">
        <f ca="1">_xlfn.STDEV.P($B$2:B226)</f>
        <v>6.3193135673480496</v>
      </c>
      <c r="G226">
        <f t="shared" ca="1" si="60"/>
        <v>162.24716243147191</v>
      </c>
      <c r="H226">
        <f t="shared" ca="1" si="61"/>
        <v>149.60853529677581</v>
      </c>
      <c r="I226">
        <f t="shared" ca="1" si="70"/>
        <v>157.05900000000003</v>
      </c>
      <c r="J226">
        <f t="shared" ca="1" si="71"/>
        <v>3.5254665984578688</v>
      </c>
      <c r="K226">
        <f t="shared" ca="1" si="72"/>
        <v>164.10993319691576</v>
      </c>
      <c r="L226">
        <f t="shared" ca="1" si="73"/>
        <v>150.00806680308429</v>
      </c>
      <c r="M226">
        <f t="shared" ca="1" si="62"/>
        <v>0.11000000000001364</v>
      </c>
      <c r="N226">
        <f t="shared" ca="1" si="63"/>
        <v>0.11000000000001364</v>
      </c>
      <c r="O226">
        <f t="shared" ca="1" si="64"/>
        <v>0</v>
      </c>
      <c r="P226">
        <f t="shared" ca="1" si="68"/>
        <v>0.37962595259738746</v>
      </c>
      <c r="Q226">
        <f t="shared" ca="1" si="69"/>
        <v>0.70747483667710687</v>
      </c>
      <c r="R226">
        <f t="shared" ca="1" si="66"/>
        <v>0.53659286933854522</v>
      </c>
      <c r="S226">
        <f t="shared" ca="1" si="67"/>
        <v>34.920952715961235</v>
      </c>
      <c r="T226">
        <f>70</f>
        <v>70</v>
      </c>
      <c r="U226">
        <f>30</f>
        <v>30</v>
      </c>
      <c r="V226">
        <f t="shared" ca="1" si="65"/>
        <v>154.88898087380983</v>
      </c>
      <c r="W226">
        <f t="shared" ca="1" si="75"/>
        <v>157.25284230204227</v>
      </c>
      <c r="X226">
        <f t="shared" ca="1" si="74"/>
        <v>-2.1400183152199475</v>
      </c>
      <c r="Y226">
        <f t="shared" ca="1" si="56"/>
        <v>-2.0792074099070867</v>
      </c>
      <c r="Z226">
        <f t="shared" ca="1" si="57"/>
        <v>-6.0810905312860708E-2</v>
      </c>
      <c r="AA226">
        <f t="shared" ca="1" si="58"/>
        <v>159.49110000000002</v>
      </c>
    </row>
    <row r="227" spans="1:27" x14ac:dyDescent="0.25">
      <c r="A227" vm="665">
        <f ca="1"/>
        <v>45617</v>
      </c>
      <c r="B227" vm="666">
        <f ca="1"/>
        <v>155.5</v>
      </c>
      <c r="C227" vm="667">
        <f ca="1"/>
        <v>10141056</v>
      </c>
      <c r="D227">
        <f t="shared" ca="1" si="59"/>
        <v>1576934208</v>
      </c>
      <c r="E227">
        <f ca="1">SUM($D$2:D227)/SUM($C$2:C227)</f>
        <v>155.92512481770234</v>
      </c>
      <c r="F227">
        <f ca="1">_xlfn.STDEV.P($B$2:B227)</f>
        <v>6.3055588846909094</v>
      </c>
      <c r="G227">
        <f t="shared" ca="1" si="60"/>
        <v>162.23068370239324</v>
      </c>
      <c r="H227">
        <f t="shared" ca="1" si="61"/>
        <v>149.61956593301144</v>
      </c>
      <c r="I227">
        <f t="shared" ca="1" si="70"/>
        <v>156.65050000000002</v>
      </c>
      <c r="J227">
        <f t="shared" ca="1" si="71"/>
        <v>3.1750432653496401</v>
      </c>
      <c r="K227">
        <f t="shared" ca="1" si="72"/>
        <v>163.00058653069931</v>
      </c>
      <c r="L227">
        <f t="shared" ca="1" si="73"/>
        <v>150.30041346930074</v>
      </c>
      <c r="M227">
        <f t="shared" ca="1" si="62"/>
        <v>2.3899999999999864</v>
      </c>
      <c r="N227">
        <f t="shared" ca="1" si="63"/>
        <v>2.3899999999999864</v>
      </c>
      <c r="O227">
        <f t="shared" ca="1" si="64"/>
        <v>0</v>
      </c>
      <c r="P227">
        <f t="shared" ca="1" si="68"/>
        <v>0.5232240988404302</v>
      </c>
      <c r="Q227">
        <f t="shared" ca="1" si="69"/>
        <v>0.65694091977159919</v>
      </c>
      <c r="R227">
        <f t="shared" ca="1" si="66"/>
        <v>0.79645533272967872</v>
      </c>
      <c r="S227">
        <f t="shared" ca="1" si="67"/>
        <v>44.334825265011212</v>
      </c>
      <c r="T227">
        <f>70</f>
        <v>70</v>
      </c>
      <c r="U227">
        <f>30</f>
        <v>30</v>
      </c>
      <c r="V227">
        <f t="shared" ca="1" si="65"/>
        <v>154.98298381630065</v>
      </c>
      <c r="W227">
        <f t="shared" ca="1" si="75"/>
        <v>157.12300213152059</v>
      </c>
      <c r="X227">
        <f t="shared" ca="1" si="74"/>
        <v>-1.9665797700937446</v>
      </c>
      <c r="Y227">
        <f t="shared" ca="1" si="56"/>
        <v>-2.0566818819444181</v>
      </c>
      <c r="Z227">
        <f t="shared" ca="1" si="57"/>
        <v>9.0102111850673516E-2</v>
      </c>
      <c r="AA227">
        <f t="shared" ca="1" si="58"/>
        <v>159.58580000000001</v>
      </c>
    </row>
    <row r="228" spans="1:27" x14ac:dyDescent="0.25">
      <c r="A228" vm="668">
        <f ca="1"/>
        <v>45618</v>
      </c>
      <c r="B228" vm="669">
        <f ca="1"/>
        <v>155.16999999999999</v>
      </c>
      <c r="C228" vm="670">
        <f ca="1"/>
        <v>8265961</v>
      </c>
      <c r="D228">
        <f t="shared" ca="1" si="59"/>
        <v>1282629168.3699999</v>
      </c>
      <c r="E228">
        <f ca="1">SUM($D$2:D228)/SUM($C$2:C228)</f>
        <v>155.92122625030055</v>
      </c>
      <c r="F228">
        <f ca="1">_xlfn.STDEV.P($B$2:B228)</f>
        <v>6.2921220021325359</v>
      </c>
      <c r="G228">
        <f t="shared" ca="1" si="60"/>
        <v>162.21334825243309</v>
      </c>
      <c r="H228">
        <f t="shared" ca="1" si="61"/>
        <v>149.62910424816801</v>
      </c>
      <c r="I228">
        <f t="shared" ca="1" si="70"/>
        <v>156.36500000000001</v>
      </c>
      <c r="J228">
        <f t="shared" ca="1" si="71"/>
        <v>3.0280278452449791</v>
      </c>
      <c r="K228">
        <f t="shared" ca="1" si="72"/>
        <v>162.42105569048996</v>
      </c>
      <c r="L228">
        <f t="shared" ca="1" si="73"/>
        <v>150.30894430951005</v>
      </c>
      <c r="M228">
        <f t="shared" ca="1" si="62"/>
        <v>-0.33000000000001251</v>
      </c>
      <c r="N228">
        <f t="shared" ca="1" si="63"/>
        <v>0</v>
      </c>
      <c r="O228">
        <f t="shared" ca="1" si="64"/>
        <v>0.33000000000001251</v>
      </c>
      <c r="P228">
        <f t="shared" ca="1" si="68"/>
        <v>0.48585094892325659</v>
      </c>
      <c r="Q228">
        <f t="shared" ca="1" si="69"/>
        <v>0.6335879969307715</v>
      </c>
      <c r="R228">
        <f t="shared" ca="1" si="66"/>
        <v>0.76682473670084805</v>
      </c>
      <c r="S228">
        <f t="shared" ca="1" si="67"/>
        <v>43.401290505628907</v>
      </c>
      <c r="T228">
        <f>70</f>
        <v>70</v>
      </c>
      <c r="U228">
        <f>30</f>
        <v>30</v>
      </c>
      <c r="V228">
        <f t="shared" ca="1" si="65"/>
        <v>155.01175553686977</v>
      </c>
      <c r="W228">
        <f t="shared" ca="1" si="75"/>
        <v>156.97833530696352</v>
      </c>
      <c r="X228">
        <f t="shared" ca="1" si="74"/>
        <v>-1.7596227359339593</v>
      </c>
      <c r="Y228">
        <f t="shared" ca="1" si="56"/>
        <v>-1.9972700527423264</v>
      </c>
      <c r="Z228">
        <f t="shared" ca="1" si="57"/>
        <v>0.23764731680836704</v>
      </c>
      <c r="AA228">
        <f t="shared" ca="1" si="58"/>
        <v>159.68060000000003</v>
      </c>
    </row>
    <row r="229" spans="1:27" x14ac:dyDescent="0.25">
      <c r="A229" vm="671">
        <f ca="1"/>
        <v>45621</v>
      </c>
      <c r="B229" vm="672">
        <f ca="1"/>
        <v>155.78</v>
      </c>
      <c r="C229" vm="673">
        <f ca="1"/>
        <v>12256242</v>
      </c>
      <c r="D229">
        <f t="shared" ca="1" si="59"/>
        <v>1909277378.76</v>
      </c>
      <c r="E229">
        <f ca="1">SUM($D$2:D229)/SUM($C$2:C229)</f>
        <v>155.92015336374212</v>
      </c>
      <c r="F229">
        <f ca="1">_xlfn.STDEV.P($B$2:B229)</f>
        <v>6.2784108109533365</v>
      </c>
      <c r="G229">
        <f t="shared" ca="1" si="60"/>
        <v>162.19856417469546</v>
      </c>
      <c r="H229">
        <f t="shared" ca="1" si="61"/>
        <v>149.64174255278877</v>
      </c>
      <c r="I229">
        <f t="shared" ca="1" si="70"/>
        <v>156.07400000000001</v>
      </c>
      <c r="J229">
        <f t="shared" ca="1" si="71"/>
        <v>2.7668477218288472</v>
      </c>
      <c r="K229">
        <f t="shared" ca="1" si="72"/>
        <v>161.60769544365772</v>
      </c>
      <c r="L229">
        <f t="shared" ca="1" si="73"/>
        <v>150.54030455634231</v>
      </c>
      <c r="M229">
        <f t="shared" ca="1" si="62"/>
        <v>0.61000000000001364</v>
      </c>
      <c r="N229">
        <f t="shared" ca="1" si="63"/>
        <v>0.61000000000001364</v>
      </c>
      <c r="O229">
        <f t="shared" ca="1" si="64"/>
        <v>0</v>
      </c>
      <c r="P229">
        <f t="shared" ca="1" si="68"/>
        <v>0.49471873828588209</v>
      </c>
      <c r="Q229">
        <f t="shared" ca="1" si="69"/>
        <v>0.58833171143571639</v>
      </c>
      <c r="R229">
        <f t="shared" ca="1" si="66"/>
        <v>0.84088402625554737</v>
      </c>
      <c r="S229">
        <f t="shared" ca="1" si="67"/>
        <v>45.678272735406843</v>
      </c>
      <c r="T229">
        <f>70</f>
        <v>70</v>
      </c>
      <c r="U229">
        <f>30</f>
        <v>30</v>
      </c>
      <c r="V229">
        <f t="shared" ca="1" si="65"/>
        <v>155.12994699273597</v>
      </c>
      <c r="W229">
        <f t="shared" ca="1" si="75"/>
        <v>156.88956972866993</v>
      </c>
      <c r="X229">
        <f t="shared" ca="1" si="74"/>
        <v>-1.677937051211245</v>
      </c>
      <c r="Y229">
        <f t="shared" ca="1" si="56"/>
        <v>-1.9334034524361101</v>
      </c>
      <c r="Z229">
        <f t="shared" ca="1" si="57"/>
        <v>0.25546640122486508</v>
      </c>
      <c r="AA229">
        <f t="shared" ca="1" si="58"/>
        <v>159.77360000000002</v>
      </c>
    </row>
    <row r="230" spans="1:27" x14ac:dyDescent="0.25">
      <c r="A230" vm="674">
        <f ca="1"/>
        <v>45622</v>
      </c>
      <c r="B230" vm="675">
        <f ca="1"/>
        <v>154.52000000000001</v>
      </c>
      <c r="C230" vm="676">
        <f ca="1"/>
        <v>5683499</v>
      </c>
      <c r="D230">
        <f t="shared" ca="1" si="59"/>
        <v>878214265.48000002</v>
      </c>
      <c r="E230">
        <f ca="1">SUM($D$2:D230)/SUM($C$2:C230)</f>
        <v>155.91523811875069</v>
      </c>
      <c r="F230">
        <f ca="1">_xlfn.STDEV.P($B$2:B230)</f>
        <v>6.2658122869658088</v>
      </c>
      <c r="G230">
        <f t="shared" ca="1" si="60"/>
        <v>162.18105040571649</v>
      </c>
      <c r="H230">
        <f t="shared" ca="1" si="61"/>
        <v>149.6494258317849</v>
      </c>
      <c r="I230">
        <f t="shared" ca="1" si="70"/>
        <v>155.7955</v>
      </c>
      <c r="J230">
        <f t="shared" ca="1" si="71"/>
        <v>2.6176415158044772</v>
      </c>
      <c r="K230">
        <f t="shared" ca="1" si="72"/>
        <v>161.03078303160896</v>
      </c>
      <c r="L230">
        <f t="shared" ca="1" si="73"/>
        <v>150.56021696839105</v>
      </c>
      <c r="M230">
        <f t="shared" ca="1" si="62"/>
        <v>-1.2599999999999909</v>
      </c>
      <c r="N230">
        <f t="shared" ca="1" si="63"/>
        <v>0</v>
      </c>
      <c r="O230">
        <f t="shared" ca="1" si="64"/>
        <v>1.2599999999999909</v>
      </c>
      <c r="P230">
        <f t="shared" ca="1" si="68"/>
        <v>0.45938168555117626</v>
      </c>
      <c r="Q230">
        <f t="shared" ca="1" si="69"/>
        <v>0.63630801776173596</v>
      </c>
      <c r="R230">
        <f t="shared" ca="1" si="66"/>
        <v>0.72194860465075994</v>
      </c>
      <c r="S230">
        <f t="shared" ca="1" si="67"/>
        <v>41.92625742143931</v>
      </c>
      <c r="T230">
        <f>70</f>
        <v>70</v>
      </c>
      <c r="U230">
        <f>30</f>
        <v>30</v>
      </c>
      <c r="V230">
        <f t="shared" ca="1" si="65"/>
        <v>155.0361089938535</v>
      </c>
      <c r="W230">
        <f t="shared" ca="1" si="75"/>
        <v>156.71404604506475</v>
      </c>
      <c r="X230">
        <f t="shared" ca="1" si="74"/>
        <v>-1.5246170754175239</v>
      </c>
      <c r="Y230">
        <f t="shared" ref="Y230:Y293" ca="1" si="76">X230*(2/(9+1)) + Y229*(1-(2/(9+1)))</f>
        <v>-1.8516461770323929</v>
      </c>
      <c r="Z230">
        <f t="shared" ref="Z230:Z293" ca="1" si="77">X230-Y230</f>
        <v>0.32702910161486898</v>
      </c>
      <c r="AA230">
        <f t="shared" ref="AA230:AA293" ca="1" si="78">AVERAGE(B131:B230)</f>
        <v>159.864</v>
      </c>
    </row>
    <row r="231" spans="1:27" x14ac:dyDescent="0.25">
      <c r="A231" vm="677">
        <f ca="1"/>
        <v>45623</v>
      </c>
      <c r="B231" vm="678">
        <f ca="1"/>
        <v>155.4</v>
      </c>
      <c r="C231" vm="679">
        <f ca="1"/>
        <v>4140444</v>
      </c>
      <c r="D231">
        <f t="shared" ca="1" si="59"/>
        <v>643424997.60000002</v>
      </c>
      <c r="E231">
        <f ca="1">SUM($D$2:D231)/SUM($C$2:C231)</f>
        <v>155.91392380387848</v>
      </c>
      <c r="F231">
        <f ca="1">_xlfn.STDEV.P($B$2:B231)</f>
        <v>6.2524644470501158</v>
      </c>
      <c r="G231">
        <f t="shared" ca="1" si="60"/>
        <v>162.16638825092861</v>
      </c>
      <c r="H231">
        <f t="shared" ca="1" si="61"/>
        <v>149.66145935682835</v>
      </c>
      <c r="I231">
        <f t="shared" ca="1" si="70"/>
        <v>155.53500000000003</v>
      </c>
      <c r="J231">
        <f t="shared" ca="1" si="71"/>
        <v>2.3598472296672974</v>
      </c>
      <c r="K231">
        <f t="shared" ca="1" si="72"/>
        <v>160.25469445933462</v>
      </c>
      <c r="L231">
        <f t="shared" ca="1" si="73"/>
        <v>150.81530554066543</v>
      </c>
      <c r="M231">
        <f t="shared" ca="1" si="62"/>
        <v>0.87999999999999545</v>
      </c>
      <c r="N231">
        <f t="shared" ca="1" si="63"/>
        <v>0.87999999999999545</v>
      </c>
      <c r="O231">
        <f t="shared" ca="1" si="64"/>
        <v>0</v>
      </c>
      <c r="P231">
        <f t="shared" ca="1" si="68"/>
        <v>0.48942585086894902</v>
      </c>
      <c r="Q231">
        <f t="shared" ca="1" si="69"/>
        <v>0.59085744506446913</v>
      </c>
      <c r="R231">
        <f t="shared" ca="1" si="66"/>
        <v>0.82833152896219697</v>
      </c>
      <c r="S231">
        <f t="shared" ca="1" si="67"/>
        <v>45.305324326621282</v>
      </c>
      <c r="T231">
        <f>70</f>
        <v>70</v>
      </c>
      <c r="U231">
        <f>30</f>
        <v>30</v>
      </c>
      <c r="V231">
        <f t="shared" ca="1" si="65"/>
        <v>155.09209222556836</v>
      </c>
      <c r="W231">
        <f t="shared" ca="1" si="75"/>
        <v>156.61670930098589</v>
      </c>
      <c r="X231">
        <f t="shared" ca="1" si="74"/>
        <v>-1.4182311448051621</v>
      </c>
      <c r="Y231">
        <f t="shared" ca="1" si="76"/>
        <v>-1.7649631705869469</v>
      </c>
      <c r="Z231">
        <f t="shared" ca="1" si="77"/>
        <v>0.34673202578178475</v>
      </c>
      <c r="AA231">
        <f t="shared" ca="1" si="78"/>
        <v>159.94750000000002</v>
      </c>
    </row>
    <row r="232" spans="1:27" x14ac:dyDescent="0.25">
      <c r="A232" vm="680">
        <f ca="1"/>
        <v>45625</v>
      </c>
      <c r="B232" vm="681">
        <f ca="1"/>
        <v>155.01</v>
      </c>
      <c r="C232" vm="682">
        <f ca="1"/>
        <v>5687821</v>
      </c>
      <c r="D232">
        <f t="shared" ca="1" si="59"/>
        <v>881669133.20999992</v>
      </c>
      <c r="E232">
        <f ca="1">SUM($D$2:D232)/SUM($C$2:C232)</f>
        <v>155.91076732371144</v>
      </c>
      <c r="F232">
        <f ca="1">_xlfn.STDEV.P($B$2:B232)</f>
        <v>6.239498841703436</v>
      </c>
      <c r="G232">
        <f t="shared" ca="1" si="60"/>
        <v>162.15026616541488</v>
      </c>
      <c r="H232">
        <f t="shared" ca="1" si="61"/>
        <v>149.671268482008</v>
      </c>
      <c r="I232">
        <f t="shared" ca="1" si="70"/>
        <v>155.29250000000002</v>
      </c>
      <c r="J232">
        <f t="shared" ca="1" si="71"/>
        <v>2.130018223297383</v>
      </c>
      <c r="K232">
        <f t="shared" ca="1" si="72"/>
        <v>159.55253644659479</v>
      </c>
      <c r="L232">
        <f t="shared" ca="1" si="73"/>
        <v>151.03246355340525</v>
      </c>
      <c r="M232">
        <f t="shared" ca="1" si="62"/>
        <v>-0.39000000000001478</v>
      </c>
      <c r="N232">
        <f t="shared" ca="1" si="63"/>
        <v>0</v>
      </c>
      <c r="O232">
        <f t="shared" ca="1" si="64"/>
        <v>0.39000000000001478</v>
      </c>
      <c r="P232">
        <f t="shared" ca="1" si="68"/>
        <v>0.45446686152116694</v>
      </c>
      <c r="Q232">
        <f t="shared" ca="1" si="69"/>
        <v>0.57651048470272237</v>
      </c>
      <c r="R232">
        <f t="shared" ca="1" si="66"/>
        <v>0.78830632500207309</v>
      </c>
      <c r="S232">
        <f t="shared" ca="1" si="67"/>
        <v>44.081168532530874</v>
      </c>
      <c r="T232">
        <f>70</f>
        <v>70</v>
      </c>
      <c r="U232">
        <f>30</f>
        <v>30</v>
      </c>
      <c r="V232">
        <f t="shared" ca="1" si="65"/>
        <v>155.079462652404</v>
      </c>
      <c r="W232">
        <f t="shared" ca="1" si="75"/>
        <v>156.49769379720917</v>
      </c>
      <c r="X232">
        <f t="shared" ca="1" si="74"/>
        <v>-1.3354703029315829</v>
      </c>
      <c r="Y232">
        <f t="shared" ca="1" si="76"/>
        <v>-1.6790645970558742</v>
      </c>
      <c r="Z232">
        <f t="shared" ca="1" si="77"/>
        <v>0.34359429412429132</v>
      </c>
      <c r="AA232">
        <f t="shared" ca="1" si="78"/>
        <v>160.00330000000002</v>
      </c>
    </row>
    <row r="233" spans="1:27" x14ac:dyDescent="0.25">
      <c r="A233" vm="683">
        <f ca="1"/>
        <v>45628</v>
      </c>
      <c r="B233" vm="684">
        <f ca="1"/>
        <v>154.80000000000001</v>
      </c>
      <c r="C233" vm="685">
        <f ca="1"/>
        <v>6946494</v>
      </c>
      <c r="D233">
        <f t="shared" ca="1" si="59"/>
        <v>1075317271.2</v>
      </c>
      <c r="E233">
        <f ca="1">SUM($D$2:D233)/SUM($C$2:C233)</f>
        <v>155.90605032374197</v>
      </c>
      <c r="F233">
        <f ca="1">_xlfn.STDEV.P($B$2:B233)</f>
        <v>6.2268157029936857</v>
      </c>
      <c r="G233">
        <f t="shared" ca="1" si="60"/>
        <v>162.13286602673566</v>
      </c>
      <c r="H233">
        <f t="shared" ca="1" si="61"/>
        <v>149.67923462074828</v>
      </c>
      <c r="I233">
        <f t="shared" ca="1" si="70"/>
        <v>155.02600000000001</v>
      </c>
      <c r="J233">
        <f t="shared" ca="1" si="71"/>
        <v>1.800924908572199</v>
      </c>
      <c r="K233">
        <f t="shared" ca="1" si="72"/>
        <v>158.62784981714441</v>
      </c>
      <c r="L233">
        <f t="shared" ca="1" si="73"/>
        <v>151.42415018285561</v>
      </c>
      <c r="M233">
        <f t="shared" ca="1" si="62"/>
        <v>-0.20999999999997954</v>
      </c>
      <c r="N233">
        <f t="shared" ca="1" si="63"/>
        <v>0</v>
      </c>
      <c r="O233">
        <f t="shared" ca="1" si="64"/>
        <v>0.20999999999997954</v>
      </c>
      <c r="P233">
        <f t="shared" ca="1" si="68"/>
        <v>0.42200494284108359</v>
      </c>
      <c r="Q233">
        <f t="shared" ca="1" si="69"/>
        <v>0.55033116436681218</v>
      </c>
      <c r="R233">
        <f t="shared" ca="1" si="66"/>
        <v>0.76681999887581265</v>
      </c>
      <c r="S233">
        <f t="shared" ca="1" si="67"/>
        <v>43.401138733075399</v>
      </c>
      <c r="T233">
        <f>70</f>
        <v>70</v>
      </c>
      <c r="U233">
        <f>30</f>
        <v>30</v>
      </c>
      <c r="V233">
        <f t="shared" ca="1" si="65"/>
        <v>155.03646839818802</v>
      </c>
      <c r="W233">
        <f t="shared" ca="1" si="75"/>
        <v>156.3719387011196</v>
      </c>
      <c r="X233">
        <f t="shared" ca="1" si="74"/>
        <v>-1.4500540273562308</v>
      </c>
      <c r="Y233">
        <f t="shared" ca="1" si="76"/>
        <v>-1.6332624831159457</v>
      </c>
      <c r="Z233">
        <f t="shared" ca="1" si="77"/>
        <v>0.18320845575971489</v>
      </c>
      <c r="AA233">
        <f t="shared" ca="1" si="78"/>
        <v>160.05430000000001</v>
      </c>
    </row>
    <row r="234" spans="1:27" x14ac:dyDescent="0.25">
      <c r="A234" vm="686">
        <f ca="1"/>
        <v>45629</v>
      </c>
      <c r="B234" vm="687">
        <f ca="1"/>
        <v>152.36000000000001</v>
      </c>
      <c r="C234" vm="688">
        <f ca="1"/>
        <v>8674415</v>
      </c>
      <c r="D234">
        <f t="shared" ca="1" si="59"/>
        <v>1321633869.4000001</v>
      </c>
      <c r="E234">
        <f ca="1">SUM($D$2:D234)/SUM($C$2:C234)</f>
        <v>155.88734499919741</v>
      </c>
      <c r="F234">
        <f ca="1">_xlfn.STDEV.P($B$2:B234)</f>
        <v>6.2187657899925721</v>
      </c>
      <c r="G234">
        <f t="shared" ca="1" si="60"/>
        <v>162.10611078918998</v>
      </c>
      <c r="H234">
        <f t="shared" ca="1" si="61"/>
        <v>149.66857920920484</v>
      </c>
      <c r="I234">
        <f t="shared" ca="1" si="70"/>
        <v>154.73200000000003</v>
      </c>
      <c r="J234">
        <f t="shared" ca="1" si="71"/>
        <v>1.7270650492122508</v>
      </c>
      <c r="K234">
        <f t="shared" ca="1" si="72"/>
        <v>158.18613009842454</v>
      </c>
      <c r="L234">
        <f t="shared" ca="1" si="73"/>
        <v>151.27786990157551</v>
      </c>
      <c r="M234">
        <f t="shared" ca="1" si="62"/>
        <v>-2.4399999999999977</v>
      </c>
      <c r="N234">
        <f t="shared" ca="1" si="63"/>
        <v>0</v>
      </c>
      <c r="O234">
        <f t="shared" ca="1" si="64"/>
        <v>2.4399999999999977</v>
      </c>
      <c r="P234">
        <f t="shared" ca="1" si="68"/>
        <v>0.391861732638149</v>
      </c>
      <c r="Q234">
        <f t="shared" ca="1" si="69"/>
        <v>0.68530750976918253</v>
      </c>
      <c r="R234">
        <f t="shared" ca="1" si="66"/>
        <v>0.57180422956423083</v>
      </c>
      <c r="S234">
        <f t="shared" ca="1" si="67"/>
        <v>36.378845330042068</v>
      </c>
      <c r="T234">
        <f>70</f>
        <v>70</v>
      </c>
      <c r="U234">
        <f>30</f>
        <v>30</v>
      </c>
      <c r="V234">
        <f t="shared" ca="1" si="65"/>
        <v>154.624704029236</v>
      </c>
      <c r="W234">
        <f t="shared" ca="1" si="75"/>
        <v>156.07475805659223</v>
      </c>
      <c r="X234">
        <f t="shared" ca="1" si="74"/>
        <v>-1.6740719991720425</v>
      </c>
      <c r="Y234">
        <f t="shared" ca="1" si="76"/>
        <v>-1.6414243863271651</v>
      </c>
      <c r="Z234">
        <f t="shared" ca="1" si="77"/>
        <v>-3.2647612844877383E-2</v>
      </c>
      <c r="AA234">
        <f t="shared" ca="1" si="78"/>
        <v>160.07910000000001</v>
      </c>
    </row>
    <row r="235" spans="1:27" x14ac:dyDescent="0.25">
      <c r="A235" vm="689">
        <f ca="1"/>
        <v>45630</v>
      </c>
      <c r="B235" vm="690">
        <f ca="1"/>
        <v>150.47</v>
      </c>
      <c r="C235" vm="691">
        <f ca="1"/>
        <v>10333110</v>
      </c>
      <c r="D235">
        <f t="shared" ca="1" si="59"/>
        <v>1554823061.7</v>
      </c>
      <c r="E235">
        <f ca="1">SUM($D$2:D235)/SUM($C$2:C235)</f>
        <v>155.85351692358094</v>
      </c>
      <c r="F235">
        <f ca="1">_xlfn.STDEV.P($B$2:B235)</f>
        <v>6.2170251643254888</v>
      </c>
      <c r="G235">
        <f t="shared" ca="1" si="60"/>
        <v>162.07054208790643</v>
      </c>
      <c r="H235">
        <f t="shared" ca="1" si="61"/>
        <v>149.63649175925545</v>
      </c>
      <c r="I235">
        <f t="shared" ca="1" si="70"/>
        <v>154.33800000000002</v>
      </c>
      <c r="J235">
        <f t="shared" ca="1" si="71"/>
        <v>1.7568260855124032</v>
      </c>
      <c r="K235">
        <f t="shared" ca="1" si="72"/>
        <v>157.85165217102482</v>
      </c>
      <c r="L235">
        <f t="shared" ca="1" si="73"/>
        <v>150.82434782897522</v>
      </c>
      <c r="M235">
        <f t="shared" ca="1" si="62"/>
        <v>-1.8900000000000148</v>
      </c>
      <c r="N235">
        <f t="shared" ca="1" si="63"/>
        <v>0</v>
      </c>
      <c r="O235">
        <f t="shared" ca="1" si="64"/>
        <v>1.8900000000000148</v>
      </c>
      <c r="P235">
        <f t="shared" ca="1" si="68"/>
        <v>0.36387160887828118</v>
      </c>
      <c r="Q235">
        <f t="shared" ca="1" si="69"/>
        <v>0.77135697335709907</v>
      </c>
      <c r="R235">
        <f t="shared" ca="1" si="66"/>
        <v>0.47172920119544587</v>
      </c>
      <c r="S235">
        <f t="shared" ca="1" si="67"/>
        <v>32.052717362152833</v>
      </c>
      <c r="T235">
        <f>70</f>
        <v>70</v>
      </c>
      <c r="U235">
        <f>30</f>
        <v>30</v>
      </c>
      <c r="V235">
        <f t="shared" ca="1" si="65"/>
        <v>153.98551879396891</v>
      </c>
      <c r="W235">
        <f t="shared" ca="1" si="75"/>
        <v>155.65959079314095</v>
      </c>
      <c r="X235">
        <f t="shared" ca="1" si="74"/>
        <v>-1.9062903873562504</v>
      </c>
      <c r="Y235">
        <f t="shared" ca="1" si="76"/>
        <v>-1.6943975865329823</v>
      </c>
      <c r="Z235">
        <f t="shared" ca="1" si="77"/>
        <v>-0.21189280082326811</v>
      </c>
      <c r="AA235">
        <f t="shared" ca="1" si="78"/>
        <v>160.09139999999999</v>
      </c>
    </row>
    <row r="236" spans="1:27" x14ac:dyDescent="0.25">
      <c r="A236" vm="692">
        <f ca="1"/>
        <v>45631</v>
      </c>
      <c r="B236" vm="693">
        <f ca="1"/>
        <v>149.52000000000001</v>
      </c>
      <c r="C236" vm="694">
        <f ca="1"/>
        <v>7898098</v>
      </c>
      <c r="D236">
        <f t="shared" ca="1" si="59"/>
        <v>1180923612.96</v>
      </c>
      <c r="E236">
        <f ca="1">SUM($D$2:D236)/SUM($C$2:C236)</f>
        <v>155.82343128135093</v>
      </c>
      <c r="F236">
        <f ca="1">_xlfn.STDEV.P($B$2:B236)</f>
        <v>6.219253890118253</v>
      </c>
      <c r="G236">
        <f t="shared" ca="1" si="60"/>
        <v>162.0426851714692</v>
      </c>
      <c r="H236">
        <f t="shared" ca="1" si="61"/>
        <v>149.60417739123267</v>
      </c>
      <c r="I236">
        <f t="shared" ca="1" si="70"/>
        <v>153.92000000000002</v>
      </c>
      <c r="J236">
        <f t="shared" ca="1" si="71"/>
        <v>1.8611711083983735</v>
      </c>
      <c r="K236">
        <f t="shared" ca="1" si="72"/>
        <v>157.64234221679675</v>
      </c>
      <c r="L236">
        <f t="shared" ca="1" si="73"/>
        <v>150.19765778320328</v>
      </c>
      <c r="M236">
        <f t="shared" ca="1" si="62"/>
        <v>-0.94999999999998863</v>
      </c>
      <c r="N236">
        <f t="shared" ca="1" si="63"/>
        <v>0</v>
      </c>
      <c r="O236">
        <f t="shared" ca="1" si="64"/>
        <v>0.94999999999998863</v>
      </c>
      <c r="P236">
        <f t="shared" ca="1" si="68"/>
        <v>0.33788077967268965</v>
      </c>
      <c r="Q236">
        <f t="shared" ca="1" si="69"/>
        <v>0.78411718954587695</v>
      </c>
      <c r="R236">
        <f t="shared" ca="1" si="66"/>
        <v>0.43090597193561586</v>
      </c>
      <c r="S236">
        <f t="shared" ca="1" si="67"/>
        <v>30.114205991657201</v>
      </c>
      <c r="T236">
        <f>70</f>
        <v>70</v>
      </c>
      <c r="U236">
        <f>30</f>
        <v>30</v>
      </c>
      <c r="V236">
        <f t="shared" ca="1" si="65"/>
        <v>153.29851590258906</v>
      </c>
      <c r="W236">
        <f t="shared" ca="1" si="75"/>
        <v>155.20480628994531</v>
      </c>
      <c r="X236">
        <f t="shared" ca="1" si="74"/>
        <v>-2.0832559007500606</v>
      </c>
      <c r="Y236">
        <f t="shared" ca="1" si="76"/>
        <v>-1.7721692493763981</v>
      </c>
      <c r="Z236">
        <f t="shared" ca="1" si="77"/>
        <v>-0.31108665137366254</v>
      </c>
      <c r="AA236">
        <f t="shared" ca="1" si="78"/>
        <v>160.07650000000001</v>
      </c>
    </row>
    <row r="237" spans="1:27" x14ac:dyDescent="0.25">
      <c r="A237" vm="695">
        <f ca="1"/>
        <v>45632</v>
      </c>
      <c r="B237" vm="696">
        <f ca="1"/>
        <v>149.31</v>
      </c>
      <c r="C237" vm="697">
        <f ca="1"/>
        <v>8389611</v>
      </c>
      <c r="D237">
        <f t="shared" ca="1" si="59"/>
        <v>1252652818.4100001</v>
      </c>
      <c r="E237">
        <f ca="1">SUM($D$2:D237)/SUM($C$2:C237)</f>
        <v>155.7907305382416</v>
      </c>
      <c r="F237">
        <f ca="1">_xlfn.STDEV.P($B$2:B237)</f>
        <v>6.2223025874742754</v>
      </c>
      <c r="G237">
        <f t="shared" ca="1" si="60"/>
        <v>162.01303312571588</v>
      </c>
      <c r="H237">
        <f t="shared" ca="1" si="61"/>
        <v>149.56842795076733</v>
      </c>
      <c r="I237">
        <f t="shared" ca="1" si="70"/>
        <v>153.54899999999998</v>
      </c>
      <c r="J237">
        <f t="shared" ca="1" si="71"/>
        <v>2.0054974445259193</v>
      </c>
      <c r="K237">
        <f t="shared" ca="1" si="72"/>
        <v>157.55999488905181</v>
      </c>
      <c r="L237">
        <f t="shared" ca="1" si="73"/>
        <v>149.53800511094815</v>
      </c>
      <c r="M237">
        <f t="shared" ca="1" si="62"/>
        <v>-0.21000000000000796</v>
      </c>
      <c r="N237">
        <f t="shared" ca="1" si="63"/>
        <v>0</v>
      </c>
      <c r="O237">
        <f t="shared" ca="1" si="64"/>
        <v>0.21000000000000796</v>
      </c>
      <c r="P237">
        <f t="shared" ca="1" si="68"/>
        <v>0.31374643826749754</v>
      </c>
      <c r="Q237">
        <f t="shared" ca="1" si="69"/>
        <v>0.74310881886402924</v>
      </c>
      <c r="R237">
        <f t="shared" ca="1" si="66"/>
        <v>0.42220793281273855</v>
      </c>
      <c r="S237">
        <f t="shared" ca="1" si="67"/>
        <v>29.686793546266244</v>
      </c>
      <c r="T237">
        <f>70</f>
        <v>70</v>
      </c>
      <c r="U237">
        <f>30</f>
        <v>30</v>
      </c>
      <c r="V237">
        <f t="shared" ca="1" si="65"/>
        <v>152.68489807142151</v>
      </c>
      <c r="W237">
        <f t="shared" ca="1" si="75"/>
        <v>154.76815397217158</v>
      </c>
      <c r="X237">
        <f t="shared" ca="1" si="74"/>
        <v>-2.1750293838848336</v>
      </c>
      <c r="Y237">
        <f t="shared" ca="1" si="76"/>
        <v>-1.8527412762780853</v>
      </c>
      <c r="Z237">
        <f t="shared" ca="1" si="77"/>
        <v>-0.32228810760674831</v>
      </c>
      <c r="AA237">
        <f t="shared" ca="1" si="78"/>
        <v>160.00380000000001</v>
      </c>
    </row>
    <row r="238" spans="1:27" x14ac:dyDescent="0.25">
      <c r="A238" vm="698">
        <f ca="1"/>
        <v>45635</v>
      </c>
      <c r="B238" vm="699">
        <f ca="1"/>
        <v>149.6</v>
      </c>
      <c r="C238" vm="700">
        <f ca="1"/>
        <v>8410303</v>
      </c>
      <c r="D238">
        <f t="shared" ca="1" si="59"/>
        <v>1258181328.8</v>
      </c>
      <c r="E238">
        <f ca="1">SUM($D$2:D238)/SUM($C$2:C238)</f>
        <v>155.75972928646516</v>
      </c>
      <c r="F238">
        <f ca="1">_xlfn.STDEV.P($B$2:B238)</f>
        <v>6.2238681301291523</v>
      </c>
      <c r="G238">
        <f t="shared" ca="1" si="60"/>
        <v>161.98359741659431</v>
      </c>
      <c r="H238">
        <f t="shared" ca="1" si="61"/>
        <v>149.53586115633601</v>
      </c>
      <c r="I238">
        <f t="shared" ca="1" si="70"/>
        <v>153.25550000000001</v>
      </c>
      <c r="J238">
        <f t="shared" ca="1" si="71"/>
        <v>2.1349213593306695</v>
      </c>
      <c r="K238">
        <f t="shared" ca="1" si="72"/>
        <v>157.52534271866136</v>
      </c>
      <c r="L238">
        <f t="shared" ca="1" si="73"/>
        <v>148.98565728133866</v>
      </c>
      <c r="M238">
        <f t="shared" ca="1" si="62"/>
        <v>0.28999999999999204</v>
      </c>
      <c r="N238">
        <f t="shared" ca="1" si="63"/>
        <v>0.28999999999999204</v>
      </c>
      <c r="O238">
        <f t="shared" ca="1" si="64"/>
        <v>0</v>
      </c>
      <c r="P238">
        <f t="shared" ca="1" si="68"/>
        <v>0.31205026410553283</v>
      </c>
      <c r="Q238">
        <f t="shared" ca="1" si="69"/>
        <v>0.69002961751659864</v>
      </c>
      <c r="R238">
        <f t="shared" ca="1" si="66"/>
        <v>0.45222734819498739</v>
      </c>
      <c r="S238">
        <f t="shared" ca="1" si="67"/>
        <v>31.140258359482971</v>
      </c>
      <c r="T238">
        <f>70</f>
        <v>70</v>
      </c>
      <c r="U238">
        <f>30</f>
        <v>30</v>
      </c>
      <c r="V238">
        <f t="shared" ca="1" si="65"/>
        <v>152.2102983681259</v>
      </c>
      <c r="W238">
        <f t="shared" ca="1" si="75"/>
        <v>154.38532775201074</v>
      </c>
      <c r="X238">
        <f t="shared" ca="1" si="74"/>
        <v>-2.251660695356378</v>
      </c>
      <c r="Y238">
        <f t="shared" ca="1" si="76"/>
        <v>-1.9325251600937439</v>
      </c>
      <c r="Z238">
        <f t="shared" ca="1" si="77"/>
        <v>-0.31913553526263416</v>
      </c>
      <c r="AA238">
        <f t="shared" ca="1" si="78"/>
        <v>159.94560000000001</v>
      </c>
    </row>
    <row r="239" spans="1:27" x14ac:dyDescent="0.25">
      <c r="A239" vm="701">
        <f ca="1"/>
        <v>45636</v>
      </c>
      <c r="B239" vm="702">
        <f ca="1"/>
        <v>149.22999999999999</v>
      </c>
      <c r="C239" vm="703">
        <f ca="1"/>
        <v>9398671</v>
      </c>
      <c r="D239">
        <f t="shared" ca="1" si="59"/>
        <v>1402563673.3299999</v>
      </c>
      <c r="E239">
        <f ca="1">SUM($D$2:D239)/SUM($C$2:C239)</f>
        <v>155.72339106285645</v>
      </c>
      <c r="F239">
        <f ca="1">_xlfn.STDEV.P($B$2:B239)</f>
        <v>6.2269765841112097</v>
      </c>
      <c r="G239">
        <f t="shared" ca="1" si="60"/>
        <v>161.95036764696766</v>
      </c>
      <c r="H239">
        <f t="shared" ca="1" si="61"/>
        <v>149.49641447874524</v>
      </c>
      <c r="I239">
        <f t="shared" ca="1" si="70"/>
        <v>152.965</v>
      </c>
      <c r="J239">
        <f t="shared" ca="1" si="71"/>
        <v>2.2703153038614201</v>
      </c>
      <c r="K239">
        <f t="shared" ca="1" si="72"/>
        <v>157.50563060772285</v>
      </c>
      <c r="L239">
        <f t="shared" ca="1" si="73"/>
        <v>148.42436939227716</v>
      </c>
      <c r="M239">
        <f t="shared" ca="1" si="62"/>
        <v>-0.37000000000000455</v>
      </c>
      <c r="N239">
        <f t="shared" ca="1" si="63"/>
        <v>0</v>
      </c>
      <c r="O239">
        <f t="shared" ca="1" si="64"/>
        <v>0.37000000000000455</v>
      </c>
      <c r="P239">
        <f t="shared" ca="1" si="68"/>
        <v>0.28976095952656616</v>
      </c>
      <c r="Q239">
        <f t="shared" ca="1" si="69"/>
        <v>0.66717035912255618</v>
      </c>
      <c r="R239">
        <f t="shared" ca="1" si="66"/>
        <v>0.43431329879170844</v>
      </c>
      <c r="S239">
        <f t="shared" ca="1" si="67"/>
        <v>30.280225328565379</v>
      </c>
      <c r="T239">
        <f>70</f>
        <v>70</v>
      </c>
      <c r="U239">
        <f>30</f>
        <v>30</v>
      </c>
      <c r="V239">
        <f t="shared" ca="1" si="65"/>
        <v>151.75179092687577</v>
      </c>
      <c r="W239">
        <f t="shared" ca="1" si="75"/>
        <v>154.00345162223215</v>
      </c>
      <c r="X239">
        <f t="shared" ca="1" si="74"/>
        <v>-2.4926492078157878</v>
      </c>
      <c r="Y239">
        <f t="shared" ca="1" si="76"/>
        <v>-2.0445499696381528</v>
      </c>
      <c r="Z239">
        <f t="shared" ca="1" si="77"/>
        <v>-0.44809923817763497</v>
      </c>
      <c r="AA239">
        <f t="shared" ca="1" si="78"/>
        <v>159.89100000000002</v>
      </c>
    </row>
    <row r="240" spans="1:27" x14ac:dyDescent="0.25">
      <c r="A240" vm="704">
        <f ca="1"/>
        <v>45637</v>
      </c>
      <c r="B240" vm="705">
        <f ca="1"/>
        <v>146.63999999999999</v>
      </c>
      <c r="C240" vm="706">
        <f ca="1"/>
        <v>13446656</v>
      </c>
      <c r="D240">
        <f t="shared" ca="1" si="59"/>
        <v>1971817635.8399999</v>
      </c>
      <c r="E240">
        <f ca="1">SUM($D$2:D240)/SUM($C$2:C240)</f>
        <v>155.65164133432444</v>
      </c>
      <c r="F240">
        <f ca="1">_xlfn.STDEV.P($B$2:B240)</f>
        <v>6.2441190729194362</v>
      </c>
      <c r="G240">
        <f t="shared" ca="1" si="60"/>
        <v>161.89576040724387</v>
      </c>
      <c r="H240">
        <f t="shared" ca="1" si="61"/>
        <v>149.40752226140501</v>
      </c>
      <c r="I240">
        <f t="shared" ca="1" si="70"/>
        <v>152.66499999999999</v>
      </c>
      <c r="J240">
        <f t="shared" ca="1" si="71"/>
        <v>2.675741904003845</v>
      </c>
      <c r="K240">
        <f t="shared" ca="1" si="72"/>
        <v>158.01648380800768</v>
      </c>
      <c r="L240">
        <f t="shared" ca="1" si="73"/>
        <v>147.31351619199231</v>
      </c>
      <c r="M240">
        <f t="shared" ca="1" si="62"/>
        <v>-2.5900000000000034</v>
      </c>
      <c r="N240">
        <f t="shared" ca="1" si="63"/>
        <v>0</v>
      </c>
      <c r="O240">
        <f t="shared" ca="1" si="64"/>
        <v>2.5900000000000034</v>
      </c>
      <c r="P240">
        <f t="shared" ca="1" si="68"/>
        <v>0.26906374813181144</v>
      </c>
      <c r="Q240">
        <f t="shared" ca="1" si="69"/>
        <v>0.80451533347094528</v>
      </c>
      <c r="R240">
        <f t="shared" ca="1" si="66"/>
        <v>0.33444203850159254</v>
      </c>
      <c r="S240">
        <f t="shared" ca="1" si="67"/>
        <v>25.06231285077979</v>
      </c>
      <c r="T240">
        <f>70</f>
        <v>70</v>
      </c>
      <c r="U240">
        <f>30</f>
        <v>30</v>
      </c>
      <c r="V240">
        <f t="shared" ca="1" si="65"/>
        <v>150.96536155351026</v>
      </c>
      <c r="W240">
        <f t="shared" ca="1" si="75"/>
        <v>153.45801076132605</v>
      </c>
      <c r="X240">
        <f t="shared" ca="1" si="74"/>
        <v>-2.6849604445538944</v>
      </c>
      <c r="Y240">
        <f t="shared" ca="1" si="76"/>
        <v>-2.1726320646213013</v>
      </c>
      <c r="Z240">
        <f t="shared" ca="1" si="77"/>
        <v>-0.51232837993259306</v>
      </c>
      <c r="AA240">
        <f t="shared" ca="1" si="78"/>
        <v>159.81500000000003</v>
      </c>
    </row>
    <row r="241" spans="1:27" x14ac:dyDescent="0.25">
      <c r="A241" vm="707">
        <f ca="1"/>
        <v>45638</v>
      </c>
      <c r="B241" vm="708">
        <f ca="1"/>
        <v>146.24</v>
      </c>
      <c r="C241" vm="709">
        <f ca="1"/>
        <v>6176269</v>
      </c>
      <c r="D241">
        <f t="shared" ca="1" si="59"/>
        <v>903217578.56000006</v>
      </c>
      <c r="E241">
        <f ca="1">SUM($D$2:D241)/SUM($C$2:C241)</f>
        <v>155.6176180137858</v>
      </c>
      <c r="F241">
        <f ca="1">_xlfn.STDEV.P($B$2:B241)</f>
        <v>6.2633834970882338</v>
      </c>
      <c r="G241">
        <f t="shared" ca="1" si="60"/>
        <v>161.88100151087403</v>
      </c>
      <c r="H241">
        <f t="shared" ca="1" si="61"/>
        <v>149.35423451669757</v>
      </c>
      <c r="I241">
        <f t="shared" ca="1" si="70"/>
        <v>152.31499999999997</v>
      </c>
      <c r="J241">
        <f t="shared" ca="1" si="71"/>
        <v>3.0308267067445147</v>
      </c>
      <c r="K241">
        <f t="shared" ca="1" si="72"/>
        <v>158.37665341348901</v>
      </c>
      <c r="L241">
        <f t="shared" ca="1" si="73"/>
        <v>146.25334658651093</v>
      </c>
      <c r="M241">
        <f t="shared" ca="1" si="62"/>
        <v>-0.39999999999997726</v>
      </c>
      <c r="N241">
        <f t="shared" ca="1" si="63"/>
        <v>0</v>
      </c>
      <c r="O241">
        <f t="shared" ca="1" si="64"/>
        <v>0.39999999999997726</v>
      </c>
      <c r="P241">
        <f t="shared" ca="1" si="68"/>
        <v>0.2498449089795392</v>
      </c>
      <c r="Q241">
        <f t="shared" ca="1" si="69"/>
        <v>0.77562138108016188</v>
      </c>
      <c r="R241">
        <f t="shared" ca="1" si="66"/>
        <v>0.32212225587643678</v>
      </c>
      <c r="S241">
        <f t="shared" ca="1" si="67"/>
        <v>24.364029456784351</v>
      </c>
      <c r="T241">
        <f>70</f>
        <v>70</v>
      </c>
      <c r="U241">
        <f>30</f>
        <v>30</v>
      </c>
      <c r="V241">
        <f t="shared" ca="1" si="65"/>
        <v>150.23838285297023</v>
      </c>
      <c r="W241">
        <f t="shared" ca="1" si="75"/>
        <v>152.92334329752413</v>
      </c>
      <c r="X241">
        <f t="shared" ca="1" si="74"/>
        <v>-2.7747204112911277</v>
      </c>
      <c r="Y241">
        <f t="shared" ca="1" si="76"/>
        <v>-2.2930497339552667</v>
      </c>
      <c r="Z241">
        <f t="shared" ca="1" si="77"/>
        <v>-0.481670677335861</v>
      </c>
      <c r="AA241">
        <f t="shared" ca="1" si="78"/>
        <v>159.75390000000002</v>
      </c>
    </row>
    <row r="242" spans="1:27" x14ac:dyDescent="0.25">
      <c r="A242" vm="710">
        <f ca="1"/>
        <v>45639</v>
      </c>
      <c r="B242" vm="711">
        <f ca="1"/>
        <v>146.62</v>
      </c>
      <c r="C242" vm="712">
        <f ca="1"/>
        <v>8324900</v>
      </c>
      <c r="D242">
        <f t="shared" ca="1" si="59"/>
        <v>1220596838</v>
      </c>
      <c r="E242">
        <f ca="1">SUM($D$2:D242)/SUM($C$2:C242)</f>
        <v>155.57398846901813</v>
      </c>
      <c r="F242">
        <f ca="1">_xlfn.STDEV.P($B$2:B242)</f>
        <v>6.2797571431573305</v>
      </c>
      <c r="G242">
        <f t="shared" ca="1" si="60"/>
        <v>161.85374561217546</v>
      </c>
      <c r="H242">
        <f t="shared" ca="1" si="61"/>
        <v>149.29423132586081</v>
      </c>
      <c r="I242">
        <f t="shared" ca="1" si="70"/>
        <v>152.05250000000001</v>
      </c>
      <c r="J242">
        <f t="shared" ca="1" si="71"/>
        <v>3.2878498413016635</v>
      </c>
      <c r="K242">
        <f t="shared" ca="1" si="72"/>
        <v>158.62819968260334</v>
      </c>
      <c r="L242">
        <f t="shared" ca="1" si="73"/>
        <v>145.47680031739668</v>
      </c>
      <c r="M242">
        <f t="shared" ca="1" si="62"/>
        <v>0.37999999999999545</v>
      </c>
      <c r="N242">
        <f t="shared" ca="1" si="63"/>
        <v>0.37999999999999545</v>
      </c>
      <c r="O242">
        <f t="shared" ca="1" si="64"/>
        <v>0</v>
      </c>
      <c r="P242">
        <f t="shared" ca="1" si="68"/>
        <v>0.25914170119528607</v>
      </c>
      <c r="Q242">
        <f t="shared" ca="1" si="69"/>
        <v>0.72021985386015042</v>
      </c>
      <c r="R242">
        <f t="shared" ca="1" si="66"/>
        <v>0.35980916078107067</v>
      </c>
      <c r="S242">
        <f t="shared" ca="1" si="67"/>
        <v>26.460268922912491</v>
      </c>
      <c r="T242">
        <f>70</f>
        <v>70</v>
      </c>
      <c r="U242">
        <f>30</f>
        <v>30</v>
      </c>
      <c r="V242">
        <f t="shared" ca="1" si="65"/>
        <v>149.68170856789789</v>
      </c>
      <c r="W242">
        <f t="shared" ca="1" si="75"/>
        <v>152.45642897918901</v>
      </c>
      <c r="X242">
        <f t="shared" ca="1" si="74"/>
        <v>-3.0343930870961628</v>
      </c>
      <c r="Y242">
        <f t="shared" ca="1" si="76"/>
        <v>-2.4413184045834462</v>
      </c>
      <c r="Z242">
        <f t="shared" ca="1" si="77"/>
        <v>-0.59307468251271667</v>
      </c>
      <c r="AA242">
        <f t="shared" ca="1" si="78"/>
        <v>159.65730000000002</v>
      </c>
    </row>
    <row r="243" spans="1:27" x14ac:dyDescent="0.25">
      <c r="A243" vm="713">
        <f ca="1"/>
        <v>45642</v>
      </c>
      <c r="B243" vm="714">
        <f ca="1"/>
        <v>143.85</v>
      </c>
      <c r="C243" vm="715">
        <f ca="1"/>
        <v>8732378</v>
      </c>
      <c r="D243">
        <f t="shared" ca="1" si="59"/>
        <v>1256152575.3</v>
      </c>
      <c r="E243">
        <f ca="1">SUM($D$2:D243)/SUM($C$2:C243)</f>
        <v>155.51465788311492</v>
      </c>
      <c r="F243">
        <f ca="1">_xlfn.STDEV.P($B$2:B243)</f>
        <v>6.3152096209484148</v>
      </c>
      <c r="G243">
        <f t="shared" ca="1" si="60"/>
        <v>161.82986750406334</v>
      </c>
      <c r="H243">
        <f t="shared" ca="1" si="61"/>
        <v>149.1994482621665</v>
      </c>
      <c r="I243">
        <f t="shared" ca="1" si="70"/>
        <v>151.54500000000002</v>
      </c>
      <c r="J243">
        <f t="shared" ca="1" si="71"/>
        <v>3.7256317019999958</v>
      </c>
      <c r="K243">
        <f t="shared" ca="1" si="72"/>
        <v>158.99626340400002</v>
      </c>
      <c r="L243">
        <f t="shared" ca="1" si="73"/>
        <v>144.09373659600001</v>
      </c>
      <c r="M243">
        <f t="shared" ca="1" si="62"/>
        <v>-2.7700000000000102</v>
      </c>
      <c r="N243">
        <f t="shared" ca="1" si="63"/>
        <v>0</v>
      </c>
      <c r="O243">
        <f t="shared" ca="1" si="64"/>
        <v>2.7700000000000102</v>
      </c>
      <c r="P243">
        <f t="shared" ca="1" si="68"/>
        <v>0.24063157968133705</v>
      </c>
      <c r="Q243">
        <f t="shared" ca="1" si="69"/>
        <v>0.866632721441569</v>
      </c>
      <c r="R243">
        <f t="shared" ca="1" si="66"/>
        <v>0.27766269808168231</v>
      </c>
      <c r="S243">
        <f t="shared" ca="1" si="67"/>
        <v>21.732081440475071</v>
      </c>
      <c r="T243">
        <f>70</f>
        <v>70</v>
      </c>
      <c r="U243">
        <f>30</f>
        <v>30</v>
      </c>
      <c r="V243">
        <f t="shared" ca="1" si="65"/>
        <v>148.78452263437515</v>
      </c>
      <c r="W243">
        <f t="shared" ca="1" si="75"/>
        <v>151.81891572147131</v>
      </c>
      <c r="X243">
        <f t="shared" ca="1" si="74"/>
        <v>-2.9990438378027306</v>
      </c>
      <c r="Y243">
        <f t="shared" ca="1" si="76"/>
        <v>-2.5528634912273032</v>
      </c>
      <c r="Z243">
        <f t="shared" ca="1" si="77"/>
        <v>-0.44618034657542749</v>
      </c>
      <c r="AA243">
        <f t="shared" ca="1" si="78"/>
        <v>159.49940000000004</v>
      </c>
    </row>
    <row r="244" spans="1:27" x14ac:dyDescent="0.25">
      <c r="A244" vm="716">
        <f ca="1"/>
        <v>45643</v>
      </c>
      <c r="B244" vm="717">
        <f ca="1"/>
        <v>146.41</v>
      </c>
      <c r="C244" vm="718">
        <f ca="1"/>
        <v>10342958</v>
      </c>
      <c r="D244">
        <f t="shared" ca="1" si="59"/>
        <v>1514312480.78</v>
      </c>
      <c r="E244">
        <f ca="1">SUM($D$2:D244)/SUM($C$2:C244)</f>
        <v>155.46040988239437</v>
      </c>
      <c r="F244">
        <f ca="1">_xlfn.STDEV.P($B$2:B244)</f>
        <v>6.3318460843701034</v>
      </c>
      <c r="G244">
        <f t="shared" ca="1" si="60"/>
        <v>161.79225596676449</v>
      </c>
      <c r="H244">
        <f t="shared" ca="1" si="61"/>
        <v>149.12856379802426</v>
      </c>
      <c r="I244">
        <f t="shared" ca="1" si="70"/>
        <v>151.12699999999998</v>
      </c>
      <c r="J244">
        <f t="shared" ca="1" si="71"/>
        <v>3.8127170861404576</v>
      </c>
      <c r="K244">
        <f t="shared" ca="1" si="72"/>
        <v>158.75243417228089</v>
      </c>
      <c r="L244">
        <f t="shared" ca="1" si="73"/>
        <v>143.50156582771908</v>
      </c>
      <c r="M244">
        <f t="shared" ca="1" si="62"/>
        <v>2.5600000000000023</v>
      </c>
      <c r="N244">
        <f t="shared" ca="1" si="63"/>
        <v>2.5600000000000023</v>
      </c>
      <c r="O244">
        <f t="shared" ca="1" si="64"/>
        <v>0</v>
      </c>
      <c r="P244">
        <f t="shared" ca="1" si="68"/>
        <v>0.40630075256124171</v>
      </c>
      <c r="Q244">
        <f t="shared" ca="1" si="69"/>
        <v>0.80473038419574272</v>
      </c>
      <c r="R244">
        <f t="shared" ca="1" si="66"/>
        <v>0.50489053295446717</v>
      </c>
      <c r="S244">
        <f t="shared" ca="1" si="67"/>
        <v>33.549983995396929</v>
      </c>
      <c r="T244">
        <f>70</f>
        <v>70</v>
      </c>
      <c r="U244">
        <f>30</f>
        <v>30</v>
      </c>
      <c r="V244">
        <f t="shared" ca="1" si="65"/>
        <v>148.41921145985589</v>
      </c>
      <c r="W244">
        <f t="shared" ca="1" si="75"/>
        <v>151.41825529765862</v>
      </c>
      <c r="X244">
        <f t="shared" ca="1" si="74"/>
        <v>-3.0695930716861994</v>
      </c>
      <c r="Y244">
        <f t="shared" ca="1" si="76"/>
        <v>-2.6562094073190829</v>
      </c>
      <c r="Z244">
        <f t="shared" ca="1" si="77"/>
        <v>-0.41338366436711649</v>
      </c>
      <c r="AA244">
        <f t="shared" ca="1" si="78"/>
        <v>159.3571</v>
      </c>
    </row>
    <row r="245" spans="1:27" x14ac:dyDescent="0.25">
      <c r="A245" vm="719">
        <f ca="1"/>
        <v>45644</v>
      </c>
      <c r="B245" vm="720">
        <f ca="1"/>
        <v>144.75</v>
      </c>
      <c r="C245" vm="721">
        <f ca="1"/>
        <v>9336094</v>
      </c>
      <c r="D245">
        <f t="shared" ca="1" si="59"/>
        <v>1351399606.5</v>
      </c>
      <c r="E245">
        <f ca="1">SUM($D$2:D245)/SUM($C$2:C245)</f>
        <v>155.40311482373286</v>
      </c>
      <c r="F245">
        <f ca="1">_xlfn.STDEV.P($B$2:B245)</f>
        <v>6.3590997209472464</v>
      </c>
      <c r="G245">
        <f t="shared" ca="1" si="60"/>
        <v>161.76221454468012</v>
      </c>
      <c r="H245">
        <f t="shared" ca="1" si="61"/>
        <v>149.04401510278561</v>
      </c>
      <c r="I245">
        <f t="shared" ca="1" si="70"/>
        <v>150.71449999999993</v>
      </c>
      <c r="J245">
        <f t="shared" ca="1" si="71"/>
        <v>4.0389830338054695</v>
      </c>
      <c r="K245">
        <f t="shared" ca="1" si="72"/>
        <v>158.79246606761086</v>
      </c>
      <c r="L245">
        <f t="shared" ca="1" si="73"/>
        <v>142.636533932389</v>
      </c>
      <c r="M245">
        <f t="shared" ca="1" si="62"/>
        <v>-1.6599999999999966</v>
      </c>
      <c r="N245">
        <f t="shared" ca="1" si="63"/>
        <v>0</v>
      </c>
      <c r="O245">
        <f t="shared" ca="1" si="64"/>
        <v>1.6599999999999966</v>
      </c>
      <c r="P245">
        <f t="shared" ca="1" si="68"/>
        <v>0.37727927023543872</v>
      </c>
      <c r="Q245">
        <f t="shared" ca="1" si="69"/>
        <v>0.86582107103890371</v>
      </c>
      <c r="R245">
        <f t="shared" ca="1" si="66"/>
        <v>0.43574738806337798</v>
      </c>
      <c r="S245">
        <f t="shared" ca="1" si="67"/>
        <v>30.349864585241562</v>
      </c>
      <c r="T245">
        <f>70</f>
        <v>70</v>
      </c>
      <c r="U245">
        <f>30</f>
        <v>30</v>
      </c>
      <c r="V245">
        <f t="shared" ca="1" si="65"/>
        <v>147.85471738910883</v>
      </c>
      <c r="W245">
        <f t="shared" ca="1" si="75"/>
        <v>150.92431046079503</v>
      </c>
      <c r="X245">
        <f t="shared" ca="1" si="74"/>
        <v>-3.1832189036839225</v>
      </c>
      <c r="Y245">
        <f t="shared" ca="1" si="76"/>
        <v>-2.7616113065920507</v>
      </c>
      <c r="Z245">
        <f t="shared" ca="1" si="77"/>
        <v>-0.42160759709187179</v>
      </c>
      <c r="AA245">
        <f t="shared" ca="1" si="78"/>
        <v>159.21900000000002</v>
      </c>
    </row>
    <row r="246" spans="1:27" x14ac:dyDescent="0.25">
      <c r="A246" vm="722">
        <f ca="1"/>
        <v>45645</v>
      </c>
      <c r="B246" vm="723">
        <f ca="1"/>
        <v>143.58000000000001</v>
      </c>
      <c r="C246" vm="724">
        <f ca="1"/>
        <v>9516653</v>
      </c>
      <c r="D246">
        <f t="shared" ca="1" si="59"/>
        <v>1366401037.74</v>
      </c>
      <c r="E246">
        <f ca="1">SUM($D$2:D246)/SUM($C$2:C246)</f>
        <v>155.33899382799936</v>
      </c>
      <c r="F246">
        <f ca="1">_xlfn.STDEV.P($B$2:B246)</f>
        <v>6.3944138151970842</v>
      </c>
      <c r="G246">
        <f t="shared" ca="1" si="60"/>
        <v>161.73340764319644</v>
      </c>
      <c r="H246">
        <f t="shared" ca="1" si="61"/>
        <v>148.94458001280228</v>
      </c>
      <c r="I246">
        <f t="shared" ca="1" si="70"/>
        <v>150.238</v>
      </c>
      <c r="J246">
        <f t="shared" ca="1" si="71"/>
        <v>4.2955051170411043</v>
      </c>
      <c r="K246">
        <f t="shared" ca="1" si="72"/>
        <v>158.8290102340822</v>
      </c>
      <c r="L246">
        <f t="shared" ca="1" si="73"/>
        <v>141.64698976591779</v>
      </c>
      <c r="M246">
        <f t="shared" ca="1" si="62"/>
        <v>-1.1699999999999875</v>
      </c>
      <c r="N246">
        <f t="shared" ca="1" si="63"/>
        <v>0</v>
      </c>
      <c r="O246">
        <f t="shared" ca="1" si="64"/>
        <v>1.1699999999999875</v>
      </c>
      <c r="P246">
        <f t="shared" ca="1" si="68"/>
        <v>0.35033075093290739</v>
      </c>
      <c r="Q246">
        <f t="shared" ca="1" si="69"/>
        <v>0.88754813739326688</v>
      </c>
      <c r="R246">
        <f t="shared" ca="1" si="66"/>
        <v>0.39471746508513944</v>
      </c>
      <c r="S246">
        <f t="shared" ca="1" si="67"/>
        <v>28.300890679750992</v>
      </c>
      <c r="T246">
        <f>70</f>
        <v>70</v>
      </c>
      <c r="U246">
        <f>30</f>
        <v>30</v>
      </c>
      <c r="V246">
        <f t="shared" ca="1" si="65"/>
        <v>147.19706856001517</v>
      </c>
      <c r="W246">
        <f t="shared" ca="1" si="75"/>
        <v>150.38028746369909</v>
      </c>
      <c r="X246">
        <f t="shared" ca="1" si="74"/>
        <v>-3.1649688415319019</v>
      </c>
      <c r="Y246">
        <f t="shared" ca="1" si="76"/>
        <v>-2.8422828135800211</v>
      </c>
      <c r="Z246">
        <f t="shared" ca="1" si="77"/>
        <v>-0.32268602795188084</v>
      </c>
      <c r="AA246">
        <f t="shared" ca="1" si="78"/>
        <v>159.04150000000001</v>
      </c>
    </row>
    <row r="247" spans="1:27" x14ac:dyDescent="0.25">
      <c r="A247" vm="725">
        <f ca="1"/>
        <v>45646</v>
      </c>
      <c r="B247" vm="726">
        <f ca="1"/>
        <v>144.47</v>
      </c>
      <c r="C247" vm="727">
        <f ca="1"/>
        <v>17702755</v>
      </c>
      <c r="D247">
        <f t="shared" ca="1" si="59"/>
        <v>2557517014.8499999</v>
      </c>
      <c r="E247">
        <f ca="1">SUM($D$2:D247)/SUM($C$2:C247)</f>
        <v>155.23043755939307</v>
      </c>
      <c r="F247">
        <f ca="1">_xlfn.STDEV.P($B$2:B247)</f>
        <v>6.4222395366881626</v>
      </c>
      <c r="G247">
        <f t="shared" ca="1" si="60"/>
        <v>161.65267709608122</v>
      </c>
      <c r="H247">
        <f t="shared" ca="1" si="61"/>
        <v>148.80819802270491</v>
      </c>
      <c r="I247">
        <f t="shared" ca="1" si="70"/>
        <v>149.68649999999997</v>
      </c>
      <c r="J247">
        <f t="shared" ca="1" si="71"/>
        <v>4.2924294127169871</v>
      </c>
      <c r="K247">
        <f t="shared" ca="1" si="72"/>
        <v>158.27135882543394</v>
      </c>
      <c r="L247">
        <f t="shared" ca="1" si="73"/>
        <v>141.101641174566</v>
      </c>
      <c r="M247">
        <f t="shared" ca="1" si="62"/>
        <v>0.88999999999998636</v>
      </c>
      <c r="N247">
        <f t="shared" ca="1" si="63"/>
        <v>0.88999999999998636</v>
      </c>
      <c r="O247">
        <f t="shared" ca="1" si="64"/>
        <v>0</v>
      </c>
      <c r="P247">
        <f t="shared" ca="1" si="68"/>
        <v>0.38887855443769875</v>
      </c>
      <c r="Q247">
        <f t="shared" ca="1" si="69"/>
        <v>0.82415184186517643</v>
      </c>
      <c r="R247">
        <f t="shared" ca="1" si="66"/>
        <v>0.47185304295093194</v>
      </c>
      <c r="S247">
        <f t="shared" ca="1" si="67"/>
        <v>32.058434448381433</v>
      </c>
      <c r="T247">
        <f>70</f>
        <v>70</v>
      </c>
      <c r="U247">
        <f>30</f>
        <v>30</v>
      </c>
      <c r="V247">
        <f t="shared" ca="1" si="65"/>
        <v>146.77751955078207</v>
      </c>
      <c r="W247">
        <f t="shared" ca="1" si="75"/>
        <v>149.94248839231398</v>
      </c>
      <c r="X247">
        <f t="shared" ca="1" si="74"/>
        <v>-3.0507846749850955</v>
      </c>
      <c r="Y247">
        <f t="shared" ca="1" si="76"/>
        <v>-2.8839831858610361</v>
      </c>
      <c r="Z247">
        <f t="shared" ca="1" si="77"/>
        <v>-0.16680148912405945</v>
      </c>
      <c r="AA247">
        <f t="shared" ca="1" si="78"/>
        <v>158.90770000000001</v>
      </c>
    </row>
    <row r="248" spans="1:27" x14ac:dyDescent="0.25">
      <c r="A248" vm="728">
        <f ca="1"/>
        <v>45649</v>
      </c>
      <c r="B248" vm="729">
        <f ca="1"/>
        <v>145.27000000000001</v>
      </c>
      <c r="C248" vm="730">
        <f ca="1"/>
        <v>8720824</v>
      </c>
      <c r="D248">
        <f t="shared" ca="1" si="59"/>
        <v>1266874102.48</v>
      </c>
      <c r="E248">
        <f ca="1">SUM($D$2:D248)/SUM($C$2:C248)</f>
        <v>155.18167021897591</v>
      </c>
      <c r="F248">
        <f ca="1">_xlfn.STDEV.P($B$2:B248)</f>
        <v>6.4439313730002361</v>
      </c>
      <c r="G248">
        <f t="shared" ca="1" si="60"/>
        <v>161.62560159197614</v>
      </c>
      <c r="H248">
        <f t="shared" ca="1" si="61"/>
        <v>148.73773884597568</v>
      </c>
      <c r="I248">
        <f t="shared" ca="1" si="70"/>
        <v>149.19149999999996</v>
      </c>
      <c r="J248">
        <f t="shared" ca="1" si="71"/>
        <v>4.1965540688321399</v>
      </c>
      <c r="K248">
        <f t="shared" ca="1" si="72"/>
        <v>157.58460813766425</v>
      </c>
      <c r="L248">
        <f t="shared" ca="1" si="73"/>
        <v>140.79839186233568</v>
      </c>
      <c r="M248">
        <f t="shared" ca="1" si="62"/>
        <v>0.80000000000001137</v>
      </c>
      <c r="N248">
        <f t="shared" ca="1" si="63"/>
        <v>0.80000000000001137</v>
      </c>
      <c r="O248">
        <f t="shared" ca="1" si="64"/>
        <v>0</v>
      </c>
      <c r="P248">
        <f t="shared" ca="1" si="68"/>
        <v>0.41824437197786396</v>
      </c>
      <c r="Q248">
        <f t="shared" ca="1" si="69"/>
        <v>0.76528385316052094</v>
      </c>
      <c r="R248">
        <f t="shared" ca="1" si="66"/>
        <v>0.54652188237158028</v>
      </c>
      <c r="S248">
        <f t="shared" ca="1" si="67"/>
        <v>35.338774614264935</v>
      </c>
      <c r="T248">
        <f>70</f>
        <v>70</v>
      </c>
      <c r="U248">
        <f>30</f>
        <v>30</v>
      </c>
      <c r="V248">
        <f t="shared" ca="1" si="65"/>
        <v>146.54559346604637</v>
      </c>
      <c r="W248">
        <f t="shared" ca="1" si="75"/>
        <v>149.59637814103147</v>
      </c>
      <c r="X248">
        <f t="shared" ca="1" si="74"/>
        <v>-2.8802895624485814</v>
      </c>
      <c r="Y248">
        <f t="shared" ca="1" si="76"/>
        <v>-2.883244461178545</v>
      </c>
      <c r="Z248">
        <f t="shared" ca="1" si="77"/>
        <v>2.9548987299636842E-3</v>
      </c>
      <c r="AA248">
        <f t="shared" ca="1" si="78"/>
        <v>158.75280000000001</v>
      </c>
    </row>
    <row r="249" spans="1:27" x14ac:dyDescent="0.25">
      <c r="A249" vm="731">
        <f ca="1"/>
        <v>45650</v>
      </c>
      <c r="B249" vm="732">
        <f ca="1"/>
        <v>145.85</v>
      </c>
      <c r="C249" vm="733">
        <f ca="1"/>
        <v>3164071</v>
      </c>
      <c r="D249">
        <f t="shared" ca="1" si="59"/>
        <v>461479755.34999996</v>
      </c>
      <c r="E249">
        <f ca="1">SUM($D$2:D249)/SUM($C$2:C249)</f>
        <v>155.16512288847125</v>
      </c>
      <c r="F249">
        <f ca="1">_xlfn.STDEV.P($B$2:B249)</f>
        <v>6.461428588372736</v>
      </c>
      <c r="G249">
        <f t="shared" ca="1" si="60"/>
        <v>161.62655147684399</v>
      </c>
      <c r="H249">
        <f t="shared" ca="1" si="61"/>
        <v>148.7036943000985</v>
      </c>
      <c r="I249">
        <f t="shared" ca="1" si="70"/>
        <v>148.69499999999999</v>
      </c>
      <c r="J249">
        <f t="shared" ca="1" si="71"/>
        <v>3.9565887753015372</v>
      </c>
      <c r="K249">
        <f t="shared" ca="1" si="72"/>
        <v>156.60817755060307</v>
      </c>
      <c r="L249">
        <f t="shared" ca="1" si="73"/>
        <v>140.78182244939691</v>
      </c>
      <c r="M249">
        <f t="shared" ca="1" si="62"/>
        <v>0.57999999999998408</v>
      </c>
      <c r="N249">
        <f t="shared" ca="1" si="63"/>
        <v>0.57999999999998408</v>
      </c>
      <c r="O249">
        <f t="shared" ca="1" si="64"/>
        <v>0</v>
      </c>
      <c r="P249">
        <f t="shared" ca="1" si="68"/>
        <v>0.42979834540801543</v>
      </c>
      <c r="Q249">
        <f t="shared" ca="1" si="69"/>
        <v>0.7106207207919123</v>
      </c>
      <c r="R249">
        <f t="shared" ca="1" si="66"/>
        <v>0.60482101468846872</v>
      </c>
      <c r="S249">
        <f t="shared" ca="1" si="67"/>
        <v>37.687755154793876</v>
      </c>
      <c r="T249">
        <f>70</f>
        <v>70</v>
      </c>
      <c r="U249">
        <f>30</f>
        <v>30</v>
      </c>
      <c r="V249">
        <f t="shared" ca="1" si="65"/>
        <v>146.43857908665461</v>
      </c>
      <c r="W249">
        <f t="shared" ca="1" si="75"/>
        <v>149.31886864910319</v>
      </c>
      <c r="X249">
        <f t="shared" ca="1" si="74"/>
        <v>-2.7354254194362397</v>
      </c>
      <c r="Y249">
        <f t="shared" ca="1" si="76"/>
        <v>-2.853680652830084</v>
      </c>
      <c r="Z249">
        <f t="shared" ca="1" si="77"/>
        <v>0.11825523339384425</v>
      </c>
      <c r="AA249">
        <f t="shared" ca="1" si="78"/>
        <v>158.56990000000002</v>
      </c>
    </row>
    <row r="250" spans="1:27" x14ac:dyDescent="0.25">
      <c r="A250" vm="734">
        <f ca="1"/>
        <v>45652</v>
      </c>
      <c r="B250" vm="735">
        <f ca="1"/>
        <v>145.58000000000001</v>
      </c>
      <c r="C250" vm="736">
        <f ca="1"/>
        <v>4656981</v>
      </c>
      <c r="D250">
        <f t="shared" ca="1" si="59"/>
        <v>677963293.98000002</v>
      </c>
      <c r="E250">
        <f ca="1">SUM($D$2:D250)/SUM($C$2:C250)</f>
        <v>155.14017162778808</v>
      </c>
      <c r="F250">
        <f ca="1">_xlfn.STDEV.P($B$2:B250)</f>
        <v>6.4801610186500627</v>
      </c>
      <c r="G250">
        <f t="shared" ca="1" si="60"/>
        <v>161.62033264643813</v>
      </c>
      <c r="H250">
        <f t="shared" ca="1" si="61"/>
        <v>148.66001060913803</v>
      </c>
      <c r="I250">
        <f t="shared" ca="1" si="70"/>
        <v>148.24799999999996</v>
      </c>
      <c r="J250">
        <f t="shared" ca="1" si="71"/>
        <v>3.7641922317935279</v>
      </c>
      <c r="K250">
        <f t="shared" ca="1" si="72"/>
        <v>155.77638446358702</v>
      </c>
      <c r="L250">
        <f t="shared" ca="1" si="73"/>
        <v>140.7196155364129</v>
      </c>
      <c r="M250">
        <f t="shared" ca="1" si="62"/>
        <v>-0.26999999999998181</v>
      </c>
      <c r="N250">
        <f t="shared" ca="1" si="63"/>
        <v>0</v>
      </c>
      <c r="O250">
        <f t="shared" ca="1" si="64"/>
        <v>0.26999999999998181</v>
      </c>
      <c r="P250">
        <f t="shared" ca="1" si="68"/>
        <v>0.39909846359315715</v>
      </c>
      <c r="Q250">
        <f t="shared" ca="1" si="69"/>
        <v>0.67914781216391717</v>
      </c>
      <c r="R250">
        <f t="shared" ca="1" si="66"/>
        <v>0.58764595342145032</v>
      </c>
      <c r="S250">
        <f t="shared" ca="1" si="67"/>
        <v>37.013664926682566</v>
      </c>
      <c r="T250">
        <f>70</f>
        <v>70</v>
      </c>
      <c r="U250">
        <f>30</f>
        <v>30</v>
      </c>
      <c r="V250">
        <f t="shared" ca="1" si="65"/>
        <v>146.30648999640005</v>
      </c>
      <c r="W250">
        <f t="shared" ca="1" si="75"/>
        <v>149.04191541583629</v>
      </c>
      <c r="X250">
        <f t="shared" ca="1" si="74"/>
        <v>-2.6330341345184252</v>
      </c>
      <c r="Y250">
        <f t="shared" ca="1" si="76"/>
        <v>-2.8095513491677524</v>
      </c>
      <c r="Z250">
        <f t="shared" ca="1" si="77"/>
        <v>0.17651721464932724</v>
      </c>
      <c r="AA250">
        <f t="shared" ca="1" si="78"/>
        <v>158.41320000000005</v>
      </c>
    </row>
    <row r="251" spans="1:27" x14ac:dyDescent="0.25">
      <c r="A251" vm="737">
        <f ca="1"/>
        <v>45653</v>
      </c>
      <c r="B251" vm="738">
        <f ca="1"/>
        <v>145.05000000000001</v>
      </c>
      <c r="C251" vm="739">
        <f ca="1"/>
        <v>5588306</v>
      </c>
      <c r="D251">
        <f t="shared" ca="1" si="59"/>
        <v>810583785.30000007</v>
      </c>
      <c r="E251">
        <f ca="1">SUM($D$2:D251)/SUM($C$2:C251)</f>
        <v>155.10875102014995</v>
      </c>
      <c r="F251">
        <f ca="1">_xlfn.STDEV.P($B$2:B251)</f>
        <v>6.501800907440952</v>
      </c>
      <c r="G251">
        <f t="shared" ca="1" si="60"/>
        <v>161.6105519275909</v>
      </c>
      <c r="H251">
        <f t="shared" ca="1" si="61"/>
        <v>148.606950112709</v>
      </c>
      <c r="I251">
        <f t="shared" ca="1" si="70"/>
        <v>147.73050000000001</v>
      </c>
      <c r="J251">
        <f t="shared" ca="1" si="71"/>
        <v>3.4253981328337657</v>
      </c>
      <c r="K251">
        <f t="shared" ca="1" si="72"/>
        <v>154.58129626566753</v>
      </c>
      <c r="L251">
        <f t="shared" ca="1" si="73"/>
        <v>140.87970373433248</v>
      </c>
      <c r="M251">
        <f t="shared" ca="1" si="62"/>
        <v>-0.53000000000000114</v>
      </c>
      <c r="N251">
        <f t="shared" ca="1" si="63"/>
        <v>0</v>
      </c>
      <c r="O251">
        <f t="shared" ca="1" si="64"/>
        <v>0.53000000000000114</v>
      </c>
      <c r="P251">
        <f t="shared" ca="1" si="68"/>
        <v>0.37059143047936022</v>
      </c>
      <c r="Q251">
        <f t="shared" ca="1" si="69"/>
        <v>0.66849439700935176</v>
      </c>
      <c r="R251">
        <f t="shared" ca="1" si="66"/>
        <v>0.55436729483040958</v>
      </c>
      <c r="S251">
        <f t="shared" ca="1" si="67"/>
        <v>35.665141480662342</v>
      </c>
      <c r="T251">
        <f>70</f>
        <v>70</v>
      </c>
      <c r="U251">
        <f>30</f>
        <v>30</v>
      </c>
      <c r="V251">
        <f t="shared" ca="1" si="65"/>
        <v>146.11318384310775</v>
      </c>
      <c r="W251">
        <f t="shared" ca="1" si="75"/>
        <v>148.74621797762617</v>
      </c>
      <c r="X251">
        <f t="shared" ca="1" si="74"/>
        <v>-2.6592172117535995</v>
      </c>
      <c r="Y251">
        <f t="shared" ca="1" si="76"/>
        <v>-2.779484521684922</v>
      </c>
      <c r="Z251">
        <f t="shared" ca="1" si="77"/>
        <v>0.12026730993132251</v>
      </c>
      <c r="AA251">
        <f t="shared" ca="1" si="78"/>
        <v>158.274</v>
      </c>
    </row>
    <row r="252" spans="1:27" x14ac:dyDescent="0.25">
      <c r="A252" vm="740">
        <f ca="1"/>
        <v>45656</v>
      </c>
      <c r="B252" vm="741">
        <f ca="1"/>
        <v>143.34</v>
      </c>
      <c r="C252" vm="742">
        <f ca="1"/>
        <v>6268692</v>
      </c>
      <c r="D252">
        <f t="shared" ca="1" si="59"/>
        <v>898554311.27999997</v>
      </c>
      <c r="E252">
        <f ca="1">SUM($D$2:D252)/SUM($C$2:C252)</f>
        <v>155.06778452992299</v>
      </c>
      <c r="F252">
        <f ca="1">_xlfn.STDEV.P($B$2:B252)</f>
        <v>6.5348011319787345</v>
      </c>
      <c r="G252">
        <f t="shared" ca="1" si="60"/>
        <v>161.60258566190171</v>
      </c>
      <c r="H252">
        <f t="shared" ca="1" si="61"/>
        <v>148.53298339794426</v>
      </c>
      <c r="I252">
        <f t="shared" ca="1" si="70"/>
        <v>147.14699999999999</v>
      </c>
      <c r="J252">
        <f t="shared" ca="1" si="71"/>
        <v>3.0984683822478294</v>
      </c>
      <c r="K252">
        <f t="shared" ca="1" si="72"/>
        <v>153.34393676449565</v>
      </c>
      <c r="L252">
        <f t="shared" ca="1" si="73"/>
        <v>140.95006323550433</v>
      </c>
      <c r="M252">
        <f t="shared" ca="1" si="62"/>
        <v>-1.710000000000008</v>
      </c>
      <c r="N252">
        <f t="shared" ca="1" si="63"/>
        <v>0</v>
      </c>
      <c r="O252">
        <f t="shared" ca="1" si="64"/>
        <v>1.710000000000008</v>
      </c>
      <c r="P252">
        <f t="shared" ca="1" si="68"/>
        <v>0.34412061401654881</v>
      </c>
      <c r="Q252">
        <f t="shared" ca="1" si="69"/>
        <v>0.74288765436582715</v>
      </c>
      <c r="R252">
        <f t="shared" ca="1" si="66"/>
        <v>0.46322026216778434</v>
      </c>
      <c r="S252">
        <f t="shared" ca="1" si="67"/>
        <v>31.657589369458023</v>
      </c>
      <c r="T252">
        <f>70</f>
        <v>70</v>
      </c>
      <c r="U252">
        <f>30</f>
        <v>30</v>
      </c>
      <c r="V252">
        <f t="shared" ca="1" si="65"/>
        <v>145.68654017493731</v>
      </c>
      <c r="W252">
        <f t="shared" ca="1" si="75"/>
        <v>148.34575738669091</v>
      </c>
      <c r="X252">
        <f t="shared" ca="1" si="74"/>
        <v>-2.5473182869463358</v>
      </c>
      <c r="Y252">
        <f t="shared" ca="1" si="76"/>
        <v>-2.7330512747372051</v>
      </c>
      <c r="Z252">
        <f t="shared" ca="1" si="77"/>
        <v>0.18573298779086933</v>
      </c>
      <c r="AA252">
        <f t="shared" ca="1" si="78"/>
        <v>158.11840000000001</v>
      </c>
    </row>
    <row r="253" spans="1:27" x14ac:dyDescent="0.25">
      <c r="A253" vm="743">
        <f ca="1"/>
        <v>45657</v>
      </c>
      <c r="B253" vm="744">
        <f ca="1"/>
        <v>144.62</v>
      </c>
      <c r="C253" vm="745">
        <f ca="1"/>
        <v>5811401</v>
      </c>
      <c r="D253">
        <f t="shared" ca="1" si="59"/>
        <v>840444812.62</v>
      </c>
      <c r="E253">
        <f ca="1">SUM($D$2:D253)/SUM($C$2:C253)</f>
        <v>155.03417772081815</v>
      </c>
      <c r="F253">
        <f ca="1">_xlfn.STDEV.P($B$2:B253)</f>
        <v>6.5580776558136709</v>
      </c>
      <c r="G253">
        <f t="shared" ca="1" si="60"/>
        <v>161.59225537663181</v>
      </c>
      <c r="H253">
        <f t="shared" ca="1" si="61"/>
        <v>148.47610006500449</v>
      </c>
      <c r="I253">
        <f t="shared" ca="1" si="70"/>
        <v>146.63800000000001</v>
      </c>
      <c r="J253">
        <f t="shared" ca="1" si="71"/>
        <v>2.5654108114645009</v>
      </c>
      <c r="K253">
        <f t="shared" ca="1" si="72"/>
        <v>151.76882162292901</v>
      </c>
      <c r="L253">
        <f t="shared" ca="1" si="73"/>
        <v>141.507178377071</v>
      </c>
      <c r="M253">
        <f t="shared" ca="1" si="62"/>
        <v>1.2800000000000011</v>
      </c>
      <c r="N253">
        <f t="shared" ca="1" si="63"/>
        <v>1.2800000000000011</v>
      </c>
      <c r="O253">
        <f t="shared" ca="1" si="64"/>
        <v>0</v>
      </c>
      <c r="P253">
        <f t="shared" ca="1" si="68"/>
        <v>0.41096914158679537</v>
      </c>
      <c r="Q253">
        <f t="shared" ca="1" si="69"/>
        <v>0.6898242504825538</v>
      </c>
      <c r="R253">
        <f t="shared" ca="1" si="66"/>
        <v>0.59575919706984715</v>
      </c>
      <c r="S253">
        <f t="shared" ca="1" si="67"/>
        <v>37.333903396188326</v>
      </c>
      <c r="T253">
        <f>70</f>
        <v>70</v>
      </c>
      <c r="U253">
        <f>30</f>
        <v>30</v>
      </c>
      <c r="V253">
        <f t="shared" ca="1" si="65"/>
        <v>145.5224570711008</v>
      </c>
      <c r="W253">
        <f t="shared" ca="1" si="75"/>
        <v>148.06977535804714</v>
      </c>
      <c r="X253">
        <f t="shared" ca="1" si="74"/>
        <v>-2.4784821687988199</v>
      </c>
      <c r="Y253">
        <f t="shared" ca="1" si="76"/>
        <v>-2.6821374535495286</v>
      </c>
      <c r="Z253">
        <f t="shared" ca="1" si="77"/>
        <v>0.20365528475070871</v>
      </c>
      <c r="AA253">
        <f t="shared" ca="1" si="78"/>
        <v>157.9624</v>
      </c>
    </row>
    <row r="254" spans="1:27" x14ac:dyDescent="0.25">
      <c r="A254" vm="746">
        <f ca="1"/>
        <v>45659</v>
      </c>
      <c r="B254" vm="747">
        <f ca="1"/>
        <v>144.02000000000001</v>
      </c>
      <c r="C254" vm="748">
        <f ca="1"/>
        <v>6051330</v>
      </c>
      <c r="D254">
        <f t="shared" ca="1" si="59"/>
        <v>871512546.60000002</v>
      </c>
      <c r="E254">
        <f ca="1">SUM($D$2:D254)/SUM($C$2:C254)</f>
        <v>154.99740947339956</v>
      </c>
      <c r="F254">
        <f ca="1">_xlfn.STDEV.P($B$2:B254)</f>
        <v>6.5848277108205444</v>
      </c>
      <c r="G254">
        <f t="shared" ca="1" si="60"/>
        <v>161.58223718422011</v>
      </c>
      <c r="H254">
        <f t="shared" ca="1" si="61"/>
        <v>148.41258176257901</v>
      </c>
      <c r="I254">
        <f t="shared" ca="1" si="70"/>
        <v>146.221</v>
      </c>
      <c r="J254">
        <f t="shared" ca="1" si="71"/>
        <v>2.2440585882209962</v>
      </c>
      <c r="K254">
        <f t="shared" ca="1" si="72"/>
        <v>150.70911717644199</v>
      </c>
      <c r="L254">
        <f t="shared" ca="1" si="73"/>
        <v>141.73288282355801</v>
      </c>
      <c r="M254">
        <f t="shared" ca="1" si="62"/>
        <v>-0.59999999999999432</v>
      </c>
      <c r="N254">
        <f t="shared" ca="1" si="63"/>
        <v>0</v>
      </c>
      <c r="O254">
        <f t="shared" ca="1" si="64"/>
        <v>0.59999999999999432</v>
      </c>
      <c r="P254">
        <f t="shared" ca="1" si="68"/>
        <v>0.3816142029020243</v>
      </c>
      <c r="Q254">
        <f t="shared" ca="1" si="69"/>
        <v>0.68340823259094241</v>
      </c>
      <c r="R254">
        <f t="shared" ca="1" si="66"/>
        <v>0.55839860379680484</v>
      </c>
      <c r="S254">
        <f t="shared" ca="1" si="67"/>
        <v>35.831564686746404</v>
      </c>
      <c r="T254">
        <f>70</f>
        <v>70</v>
      </c>
      <c r="U254">
        <f>30</f>
        <v>30</v>
      </c>
      <c r="V254">
        <f t="shared" ca="1" si="65"/>
        <v>145.29130982939299</v>
      </c>
      <c r="W254">
        <f t="shared" ca="1" si="75"/>
        <v>147.76979199819181</v>
      </c>
      <c r="X254">
        <f t="shared" ca="1" si="74"/>
        <v>-2.3827446726000403</v>
      </c>
      <c r="Y254">
        <f t="shared" ca="1" si="76"/>
        <v>-2.622258897359631</v>
      </c>
      <c r="Z254">
        <f t="shared" ca="1" si="77"/>
        <v>0.23951422475959072</v>
      </c>
      <c r="AA254">
        <f t="shared" ca="1" si="78"/>
        <v>157.79640000000001</v>
      </c>
    </row>
    <row r="255" spans="1:27" x14ac:dyDescent="0.25">
      <c r="A255" vm="749">
        <f ca="1"/>
        <v>45660</v>
      </c>
      <c r="B255" vm="750">
        <f ca="1"/>
        <v>144.19</v>
      </c>
      <c r="C255" vm="751">
        <f ca="1"/>
        <v>5879816</v>
      </c>
      <c r="D255">
        <f t="shared" ca="1" si="59"/>
        <v>847810669.03999996</v>
      </c>
      <c r="E255">
        <f ca="1">SUM($D$2:D255)/SUM($C$2:C255)</f>
        <v>154.96246737874927</v>
      </c>
      <c r="F255">
        <f ca="1">_xlfn.STDEV.P($B$2:B255)</f>
        <v>6.6098031763393736</v>
      </c>
      <c r="G255">
        <f t="shared" ca="1" si="60"/>
        <v>161.57227055508864</v>
      </c>
      <c r="H255">
        <f t="shared" ca="1" si="61"/>
        <v>148.3526642024099</v>
      </c>
      <c r="I255">
        <f t="shared" ca="1" si="70"/>
        <v>145.90700000000001</v>
      </c>
      <c r="J255">
        <f t="shared" ca="1" si="71"/>
        <v>2.0491233041936407</v>
      </c>
      <c r="K255">
        <f t="shared" ca="1" si="72"/>
        <v>150.0052466083873</v>
      </c>
      <c r="L255">
        <f t="shared" ca="1" si="73"/>
        <v>141.80875339161273</v>
      </c>
      <c r="M255">
        <f t="shared" ca="1" si="62"/>
        <v>0.16999999999998749</v>
      </c>
      <c r="N255">
        <f t="shared" ca="1" si="63"/>
        <v>0.16999999999998749</v>
      </c>
      <c r="O255">
        <f t="shared" ca="1" si="64"/>
        <v>0</v>
      </c>
      <c r="P255">
        <f t="shared" ca="1" si="68"/>
        <v>0.36649890269473595</v>
      </c>
      <c r="Q255">
        <f t="shared" ca="1" si="69"/>
        <v>0.63459335883444645</v>
      </c>
      <c r="R255">
        <f t="shared" ca="1" si="66"/>
        <v>0.5775334670502732</v>
      </c>
      <c r="S255">
        <f t="shared" ca="1" si="67"/>
        <v>36.609902681187826</v>
      </c>
      <c r="T255">
        <f>70</f>
        <v>70</v>
      </c>
      <c r="U255">
        <f>30</f>
        <v>30</v>
      </c>
      <c r="V255">
        <f t="shared" ca="1" si="65"/>
        <v>145.12187754794792</v>
      </c>
      <c r="W255">
        <f t="shared" ca="1" si="75"/>
        <v>147.50462222054796</v>
      </c>
      <c r="X255">
        <f t="shared" ca="1" si="74"/>
        <v>-2.3228620795941879</v>
      </c>
      <c r="Y255">
        <f t="shared" ca="1" si="76"/>
        <v>-2.5623795338065425</v>
      </c>
      <c r="Z255">
        <f t="shared" ca="1" si="77"/>
        <v>0.2395174542123546</v>
      </c>
      <c r="AA255">
        <f t="shared" ca="1" si="78"/>
        <v>157.63950000000003</v>
      </c>
    </row>
    <row r="256" spans="1:27" x14ac:dyDescent="0.25">
      <c r="A256" vm="752">
        <f ca="1"/>
        <v>45663</v>
      </c>
      <c r="B256" vm="753">
        <f ca="1"/>
        <v>143.66</v>
      </c>
      <c r="C256" vm="754">
        <f ca="1"/>
        <v>7910493</v>
      </c>
      <c r="D256">
        <f t="shared" ca="1" si="59"/>
        <v>1136421424.3799999</v>
      </c>
      <c r="E256">
        <f ca="1">SUM($D$2:D256)/SUM($C$2:C256)</f>
        <v>154.91351707192399</v>
      </c>
      <c r="F256">
        <f ca="1">_xlfn.STDEV.P($B$2:B256)</f>
        <v>6.6377877349769001</v>
      </c>
      <c r="G256">
        <f t="shared" ca="1" si="60"/>
        <v>161.5513048069009</v>
      </c>
      <c r="H256">
        <f t="shared" ca="1" si="61"/>
        <v>148.27572933694708</v>
      </c>
      <c r="I256">
        <f t="shared" ca="1" si="70"/>
        <v>145.61399999999998</v>
      </c>
      <c r="J256">
        <f t="shared" ca="1" si="71"/>
        <v>1.9202176411734355</v>
      </c>
      <c r="K256">
        <f t="shared" ca="1" si="72"/>
        <v>149.45443528234685</v>
      </c>
      <c r="L256">
        <f t="shared" ca="1" si="73"/>
        <v>141.7735647176531</v>
      </c>
      <c r="M256">
        <f t="shared" ca="1" si="62"/>
        <v>-0.53000000000000114</v>
      </c>
      <c r="N256">
        <f t="shared" ca="1" si="63"/>
        <v>0</v>
      </c>
      <c r="O256">
        <f t="shared" ca="1" si="64"/>
        <v>0.53000000000000114</v>
      </c>
      <c r="P256">
        <f t="shared" ca="1" si="68"/>
        <v>0.34032040964511195</v>
      </c>
      <c r="Q256">
        <f t="shared" ca="1" si="69"/>
        <v>0.62712240463198599</v>
      </c>
      <c r="R256">
        <f t="shared" ca="1" si="66"/>
        <v>0.54266983148979031</v>
      </c>
      <c r="S256">
        <f t="shared" ca="1" si="67"/>
        <v>35.177315353715201</v>
      </c>
      <c r="T256">
        <f>70</f>
        <v>70</v>
      </c>
      <c r="U256">
        <f>30</f>
        <v>30</v>
      </c>
      <c r="V256">
        <f t="shared" ca="1" si="65"/>
        <v>144.89697330980209</v>
      </c>
      <c r="W256">
        <f t="shared" ca="1" si="75"/>
        <v>147.21983538939628</v>
      </c>
      <c r="X256">
        <f t="shared" ca="1" si="74"/>
        <v>-2.0444599103776966</v>
      </c>
      <c r="Y256">
        <f t="shared" ca="1" si="76"/>
        <v>-2.4587956091207732</v>
      </c>
      <c r="Z256">
        <f t="shared" ca="1" si="77"/>
        <v>0.41433569874307663</v>
      </c>
      <c r="AA256">
        <f t="shared" ca="1" si="78"/>
        <v>157.49220000000003</v>
      </c>
    </row>
    <row r="257" spans="1:27" x14ac:dyDescent="0.25">
      <c r="A257" vm="755">
        <f ca="1"/>
        <v>45664</v>
      </c>
      <c r="B257" vm="756">
        <f ca="1"/>
        <v>146.22999999999999</v>
      </c>
      <c r="C257" vm="757">
        <f ca="1"/>
        <v>8422010</v>
      </c>
      <c r="D257">
        <f t="shared" ca="1" si="59"/>
        <v>1231550522.3</v>
      </c>
      <c r="E257">
        <f ca="1">SUM($D$2:D257)/SUM($C$2:C257)</f>
        <v>154.8736612201451</v>
      </c>
      <c r="F257">
        <f ca="1">_xlfn.STDEV.P($B$2:B257)</f>
        <v>6.6494259689504585</v>
      </c>
      <c r="G257">
        <f t="shared" ca="1" si="60"/>
        <v>161.52308718909555</v>
      </c>
      <c r="H257">
        <f t="shared" ca="1" si="61"/>
        <v>148.22423525119464</v>
      </c>
      <c r="I257">
        <f t="shared" ca="1" si="70"/>
        <v>145.45999999999998</v>
      </c>
      <c r="J257">
        <f t="shared" ca="1" si="71"/>
        <v>1.7214161856478853</v>
      </c>
      <c r="K257">
        <f t="shared" ca="1" si="72"/>
        <v>148.90283237129574</v>
      </c>
      <c r="L257">
        <f t="shared" ca="1" si="73"/>
        <v>142.01716762870421</v>
      </c>
      <c r="M257">
        <f t="shared" ca="1" si="62"/>
        <v>2.5699999999999932</v>
      </c>
      <c r="N257">
        <f t="shared" ca="1" si="63"/>
        <v>2.5699999999999932</v>
      </c>
      <c r="O257">
        <f t="shared" ca="1" si="64"/>
        <v>0</v>
      </c>
      <c r="P257">
        <f t="shared" ca="1" si="68"/>
        <v>0.49958323752760342</v>
      </c>
      <c r="Q257">
        <f t="shared" ca="1" si="69"/>
        <v>0.58232794715827274</v>
      </c>
      <c r="R257">
        <f t="shared" ca="1" si="66"/>
        <v>0.85790702638528893</v>
      </c>
      <c r="S257">
        <f t="shared" ca="1" si="67"/>
        <v>46.175993427099407</v>
      </c>
      <c r="T257">
        <f>70</f>
        <v>70</v>
      </c>
      <c r="U257">
        <f>30</f>
        <v>30</v>
      </c>
      <c r="V257">
        <f t="shared" ca="1" si="65"/>
        <v>145.1020543390633</v>
      </c>
      <c r="W257">
        <f t="shared" ca="1" si="75"/>
        <v>147.146514249441</v>
      </c>
      <c r="X257">
        <f t="shared" ca="1" si="74"/>
        <v>-2.1189373001895149</v>
      </c>
      <c r="Y257">
        <f t="shared" ca="1" si="76"/>
        <v>-2.3908239473345216</v>
      </c>
      <c r="Z257">
        <f t="shared" ca="1" si="77"/>
        <v>0.27188664714500677</v>
      </c>
      <c r="AA257">
        <f t="shared" ca="1" si="78"/>
        <v>157.36970000000002</v>
      </c>
    </row>
    <row r="258" spans="1:27" x14ac:dyDescent="0.25">
      <c r="A258" vm="758">
        <f ca="1"/>
        <v>45665</v>
      </c>
      <c r="B258" vm="759">
        <f ca="1"/>
        <v>142.27000000000001</v>
      </c>
      <c r="C258" vm="760">
        <f ca="1"/>
        <v>11175552</v>
      </c>
      <c r="D258">
        <f t="shared" ca="1" si="59"/>
        <v>1589945783.0400002</v>
      </c>
      <c r="E258">
        <f ca="1">SUM($D$2:D258)/SUM($C$2:C258)</f>
        <v>154.79736388732414</v>
      </c>
      <c r="F258">
        <f ca="1">_xlfn.STDEV.P($B$2:B258)</f>
        <v>6.6863110257682568</v>
      </c>
      <c r="G258">
        <f t="shared" ca="1" si="60"/>
        <v>161.48367491309239</v>
      </c>
      <c r="H258">
        <f t="shared" ca="1" si="61"/>
        <v>148.11105286155589</v>
      </c>
      <c r="I258">
        <f t="shared" ca="1" si="70"/>
        <v>145.09349999999998</v>
      </c>
      <c r="J258">
        <f t="shared" ca="1" si="71"/>
        <v>1.5669658075737491</v>
      </c>
      <c r="K258">
        <f t="shared" ca="1" si="72"/>
        <v>148.22743161514748</v>
      </c>
      <c r="L258">
        <f t="shared" ca="1" si="73"/>
        <v>141.95956838485247</v>
      </c>
      <c r="M258">
        <f t="shared" ca="1" si="62"/>
        <v>-3.9599999999999795</v>
      </c>
      <c r="N258">
        <f t="shared" ca="1" si="63"/>
        <v>0</v>
      </c>
      <c r="O258">
        <f t="shared" ca="1" si="64"/>
        <v>3.9599999999999795</v>
      </c>
      <c r="P258">
        <f t="shared" ca="1" si="68"/>
        <v>0.46389872056134601</v>
      </c>
      <c r="Q258">
        <f t="shared" ca="1" si="69"/>
        <v>0.82359023664696607</v>
      </c>
      <c r="R258">
        <f t="shared" ca="1" si="66"/>
        <v>0.56326398725899096</v>
      </c>
      <c r="S258">
        <f t="shared" ca="1" si="67"/>
        <v>36.031277624875862</v>
      </c>
      <c r="T258">
        <f>70</f>
        <v>70</v>
      </c>
      <c r="U258">
        <f>30</f>
        <v>30</v>
      </c>
      <c r="V258">
        <f t="shared" ca="1" si="65"/>
        <v>144.66635367151511</v>
      </c>
      <c r="W258">
        <f t="shared" ca="1" si="75"/>
        <v>146.78529097170463</v>
      </c>
      <c r="X258">
        <f t="shared" ca="1" si="74"/>
        <v>-2.1698932346553192</v>
      </c>
      <c r="Y258">
        <f t="shared" ca="1" si="76"/>
        <v>-2.3466378047986813</v>
      </c>
      <c r="Z258">
        <f t="shared" ca="1" si="77"/>
        <v>0.17674457014336209</v>
      </c>
      <c r="AA258">
        <f t="shared" ca="1" si="78"/>
        <v>157.20150000000004</v>
      </c>
    </row>
    <row r="259" spans="1:27" x14ac:dyDescent="0.25">
      <c r="A259" vm="761">
        <f ca="1"/>
        <v>45667</v>
      </c>
      <c r="B259" vm="762">
        <f ca="1"/>
        <v>142.06</v>
      </c>
      <c r="C259" vm="763">
        <f ca="1"/>
        <v>8821541</v>
      </c>
      <c r="D259">
        <f t="shared" ref="D259:D322" ca="1" si="79">B259*C259</f>
        <v>1253188114.46</v>
      </c>
      <c r="E259">
        <f ca="1">SUM($D$2:D259)/SUM($C$2:C259)</f>
        <v>154.73678833989251</v>
      </c>
      <c r="F259">
        <f ca="1">_xlfn.STDEV.P($B$2:B259)</f>
        <v>6.723913731744541</v>
      </c>
      <c r="G259">
        <f t="shared" ref="G259:G322" ca="1" si="80">E259 + F259</f>
        <v>161.46070207163706</v>
      </c>
      <c r="H259">
        <f t="shared" ref="H259:H322" ca="1" si="81">E259 - F259</f>
        <v>148.01287460814797</v>
      </c>
      <c r="I259">
        <f t="shared" ca="1" si="70"/>
        <v>144.73499999999996</v>
      </c>
      <c r="J259">
        <f t="shared" ca="1" si="71"/>
        <v>1.3798035710697507</v>
      </c>
      <c r="K259">
        <f t="shared" ca="1" si="72"/>
        <v>147.49460714213947</v>
      </c>
      <c r="L259">
        <f t="shared" ca="1" si="73"/>
        <v>141.97539285786044</v>
      </c>
      <c r="M259">
        <f t="shared" ca="1" si="62"/>
        <v>-0.21000000000000796</v>
      </c>
      <c r="N259">
        <f t="shared" ca="1" si="63"/>
        <v>0</v>
      </c>
      <c r="O259">
        <f t="shared" ca="1" si="64"/>
        <v>0.21000000000000796</v>
      </c>
      <c r="P259">
        <f t="shared" ca="1" si="68"/>
        <v>0.43076309766410698</v>
      </c>
      <c r="Q259">
        <f t="shared" ca="1" si="69"/>
        <v>0.77976236260075471</v>
      </c>
      <c r="R259">
        <f t="shared" ca="1" si="66"/>
        <v>0.55242868638513853</v>
      </c>
      <c r="S259">
        <f t="shared" ca="1" si="67"/>
        <v>35.584802782244367</v>
      </c>
      <c r="T259">
        <f>70</f>
        <v>70</v>
      </c>
      <c r="U259">
        <f>30</f>
        <v>30</v>
      </c>
      <c r="V259">
        <f t="shared" ca="1" si="65"/>
        <v>144.26537618358969</v>
      </c>
      <c r="W259">
        <f t="shared" ca="1" si="75"/>
        <v>146.43526941824501</v>
      </c>
      <c r="X259">
        <f t="shared" ca="1" si="74"/>
        <v>-1.9928371350526959</v>
      </c>
      <c r="Y259">
        <f t="shared" ca="1" si="76"/>
        <v>-2.2758776708494843</v>
      </c>
      <c r="Z259">
        <f t="shared" ca="1" si="77"/>
        <v>0.28304053579678845</v>
      </c>
      <c r="AA259">
        <f t="shared" ca="1" si="78"/>
        <v>157.02820000000003</v>
      </c>
    </row>
    <row r="260" spans="1:27" x14ac:dyDescent="0.25">
      <c r="A260" vm="764">
        <f ca="1"/>
        <v>45670</v>
      </c>
      <c r="B260" vm="726">
        <f ca="1"/>
        <v>144.47</v>
      </c>
      <c r="C260" vm="765">
        <f ca="1"/>
        <v>10376377</v>
      </c>
      <c r="D260">
        <f t="shared" ca="1" si="79"/>
        <v>1499075185.1900001</v>
      </c>
      <c r="E260">
        <f ca="1">SUM($D$2:D260)/SUM($C$2:C260)</f>
        <v>154.67967585830527</v>
      </c>
      <c r="F260">
        <f ca="1">_xlfn.STDEV.P($B$2:B260)</f>
        <v>6.744174056530186</v>
      </c>
      <c r="G260">
        <f t="shared" ca="1" si="80"/>
        <v>161.42384991483547</v>
      </c>
      <c r="H260">
        <f t="shared" ca="1" si="81"/>
        <v>147.93550180177508</v>
      </c>
      <c r="I260">
        <f t="shared" ca="1" si="70"/>
        <v>144.62649999999996</v>
      </c>
      <c r="J260">
        <f t="shared" ca="1" si="71"/>
        <v>1.3054350958487677</v>
      </c>
      <c r="K260">
        <f t="shared" ca="1" si="72"/>
        <v>147.23737019169749</v>
      </c>
      <c r="L260">
        <f t="shared" ca="1" si="73"/>
        <v>142.01562980830244</v>
      </c>
      <c r="M260">
        <f t="shared" ref="M260:M323" ca="1" si="82">B260-B259</f>
        <v>2.4099999999999966</v>
      </c>
      <c r="N260">
        <f t="shared" ref="N260:N323" ca="1" si="83">MAX(M260,0)</f>
        <v>2.4099999999999966</v>
      </c>
      <c r="O260">
        <f t="shared" ref="O260:O323" ca="1" si="84">MAX(-M260,0)</f>
        <v>0</v>
      </c>
      <c r="P260">
        <f t="shared" ca="1" si="68"/>
        <v>0.57213716211667054</v>
      </c>
      <c r="Q260">
        <f t="shared" ca="1" si="69"/>
        <v>0.72406505098641516</v>
      </c>
      <c r="R260">
        <f t="shared" ca="1" si="66"/>
        <v>0.79017370240040063</v>
      </c>
      <c r="S260">
        <f t="shared" ca="1" si="67"/>
        <v>44.139498940291432</v>
      </c>
      <c r="T260">
        <f>70</f>
        <v>70</v>
      </c>
      <c r="U260">
        <f>30</f>
        <v>30</v>
      </c>
      <c r="V260">
        <f t="shared" ca="1" si="65"/>
        <v>144.29685677072973</v>
      </c>
      <c r="W260">
        <f t="shared" ca="1" si="75"/>
        <v>146.28969390578243</v>
      </c>
      <c r="X260">
        <f t="shared" ca="1" si="74"/>
        <v>-1.8090713916597281</v>
      </c>
      <c r="Y260">
        <f t="shared" ca="1" si="76"/>
        <v>-2.1825164150115333</v>
      </c>
      <c r="Z260">
        <f t="shared" ca="1" si="77"/>
        <v>0.37344502335180518</v>
      </c>
      <c r="AA260">
        <f t="shared" ca="1" si="78"/>
        <v>156.87660000000002</v>
      </c>
    </row>
    <row r="261" spans="1:27" x14ac:dyDescent="0.25">
      <c r="A261" vm="766">
        <f ca="1"/>
        <v>45671</v>
      </c>
      <c r="B261" vm="720">
        <f ca="1"/>
        <v>144.75</v>
      </c>
      <c r="C261" vm="767">
        <f ca="1"/>
        <v>8681741</v>
      </c>
      <c r="D261">
        <f t="shared" ca="1" si="79"/>
        <v>1256682009.75</v>
      </c>
      <c r="E261">
        <f ca="1">SUM($D$2:D261)/SUM($C$2:C261)</f>
        <v>154.63367394286794</v>
      </c>
      <c r="F261">
        <f ca="1">_xlfn.STDEV.P($B$2:B261)</f>
        <v>6.7622830625060066</v>
      </c>
      <c r="G261">
        <f t="shared" ca="1" si="80"/>
        <v>161.39595700537396</v>
      </c>
      <c r="H261">
        <f t="shared" ca="1" si="81"/>
        <v>147.87139088036193</v>
      </c>
      <c r="I261">
        <f t="shared" ca="1" si="70"/>
        <v>144.55199999999996</v>
      </c>
      <c r="J261">
        <f t="shared" ca="1" si="71"/>
        <v>1.2498404108651533</v>
      </c>
      <c r="K261">
        <f t="shared" ca="1" si="72"/>
        <v>147.05168082173026</v>
      </c>
      <c r="L261">
        <f t="shared" ca="1" si="73"/>
        <v>142.05231917826967</v>
      </c>
      <c r="M261">
        <f t="shared" ca="1" si="82"/>
        <v>0.28000000000000114</v>
      </c>
      <c r="N261">
        <f t="shared" ca="1" si="83"/>
        <v>0.28000000000000114</v>
      </c>
      <c r="O261">
        <f t="shared" ca="1" si="84"/>
        <v>0</v>
      </c>
      <c r="P261">
        <f t="shared" ca="1" si="68"/>
        <v>0.55127022196547981</v>
      </c>
      <c r="Q261">
        <f t="shared" ca="1" si="69"/>
        <v>0.6723461187730998</v>
      </c>
      <c r="R261">
        <f t="shared" ca="1" si="66"/>
        <v>0.8199202859554543</v>
      </c>
      <c r="S261">
        <f t="shared" ca="1" si="67"/>
        <v>45.052538415164584</v>
      </c>
      <c r="T261">
        <f>70</f>
        <v>70</v>
      </c>
      <c r="U261">
        <f>30</f>
        <v>30</v>
      </c>
      <c r="V261">
        <f t="shared" ca="1" si="65"/>
        <v>144.36657111369439</v>
      </c>
      <c r="W261">
        <f t="shared" ca="1" si="75"/>
        <v>146.17564250535412</v>
      </c>
      <c r="X261">
        <f t="shared" ca="1" si="74"/>
        <v>-1.6269293261334781</v>
      </c>
      <c r="Y261">
        <f t="shared" ca="1" si="76"/>
        <v>-2.0713989972359226</v>
      </c>
      <c r="Z261">
        <f t="shared" ca="1" si="77"/>
        <v>0.44446967110244451</v>
      </c>
      <c r="AA261">
        <f t="shared" ca="1" si="78"/>
        <v>156.7225</v>
      </c>
    </row>
    <row r="262" spans="1:27" x14ac:dyDescent="0.25">
      <c r="A262" vm="768">
        <f ca="1"/>
        <v>45672</v>
      </c>
      <c r="B262" vm="769">
        <f ca="1"/>
        <v>144.97</v>
      </c>
      <c r="C262" vm="770">
        <f ca="1"/>
        <v>7434562</v>
      </c>
      <c r="D262">
        <f t="shared" ca="1" si="79"/>
        <v>1077788453.1400001</v>
      </c>
      <c r="E262">
        <f ca="1">SUM($D$2:D262)/SUM($C$2:C262)</f>
        <v>154.59548724295126</v>
      </c>
      <c r="F262">
        <f ca="1">_xlfn.STDEV.P($B$2:B262)</f>
        <v>6.7786918553486384</v>
      </c>
      <c r="G262">
        <f t="shared" ca="1" si="80"/>
        <v>161.37417909829989</v>
      </c>
      <c r="H262">
        <f t="shared" ca="1" si="81"/>
        <v>147.81679538760264</v>
      </c>
      <c r="I262">
        <f t="shared" ca="1" si="70"/>
        <v>144.46949999999998</v>
      </c>
      <c r="J262">
        <f t="shared" ca="1" si="71"/>
        <v>1.1571720292433418</v>
      </c>
      <c r="K262">
        <f t="shared" ca="1" si="72"/>
        <v>146.78384405848666</v>
      </c>
      <c r="L262">
        <f t="shared" ca="1" si="73"/>
        <v>142.1551559415133</v>
      </c>
      <c r="M262">
        <f t="shared" ca="1" si="82"/>
        <v>0.21999999999999886</v>
      </c>
      <c r="N262">
        <f t="shared" ca="1" si="83"/>
        <v>0.21999999999999886</v>
      </c>
      <c r="O262">
        <f t="shared" ca="1" si="84"/>
        <v>0</v>
      </c>
      <c r="P262">
        <f t="shared" ca="1" si="68"/>
        <v>0.52760806325365972</v>
      </c>
      <c r="Q262">
        <f t="shared" ca="1" si="69"/>
        <v>0.62432139600359271</v>
      </c>
      <c r="R262">
        <f t="shared" ca="1" si="66"/>
        <v>0.84509047204049936</v>
      </c>
      <c r="S262">
        <f t="shared" ca="1" si="67"/>
        <v>45.802115660263944</v>
      </c>
      <c r="T262">
        <f>70</f>
        <v>70</v>
      </c>
      <c r="U262">
        <f>30</f>
        <v>30</v>
      </c>
      <c r="V262">
        <f t="shared" ca="1" si="65"/>
        <v>144.45940632697219</v>
      </c>
      <c r="W262">
        <f t="shared" ca="1" si="75"/>
        <v>146.08633565310566</v>
      </c>
      <c r="X262">
        <f t="shared" ca="1" si="74"/>
        <v>-1.242323100138492</v>
      </c>
      <c r="Y262">
        <f t="shared" ca="1" si="76"/>
        <v>-1.9055838178164364</v>
      </c>
      <c r="Z262">
        <f t="shared" ca="1" si="77"/>
        <v>0.66326071767794437</v>
      </c>
      <c r="AA262">
        <f t="shared" ca="1" si="78"/>
        <v>156.55789999999999</v>
      </c>
    </row>
    <row r="263" spans="1:27" x14ac:dyDescent="0.25">
      <c r="A263" vm="771">
        <f ca="1"/>
        <v>45673</v>
      </c>
      <c r="B263" vm="772">
        <f ca="1"/>
        <v>147.77000000000001</v>
      </c>
      <c r="C263" vm="773">
        <f ca="1"/>
        <v>8964016</v>
      </c>
      <c r="D263">
        <f t="shared" ca="1" si="79"/>
        <v>1324612644.3200002</v>
      </c>
      <c r="E263">
        <f ca="1">SUM($D$2:D263)/SUM($C$2:C263)</f>
        <v>154.5631214334424</v>
      </c>
      <c r="F263">
        <f ca="1">_xlfn.STDEV.P($B$2:B263)</f>
        <v>6.7809669115832882</v>
      </c>
      <c r="G263">
        <f t="shared" ca="1" si="80"/>
        <v>161.34408834502568</v>
      </c>
      <c r="H263">
        <f t="shared" ca="1" si="81"/>
        <v>147.78215452185913</v>
      </c>
      <c r="I263">
        <f t="shared" ca="1" si="70"/>
        <v>144.66550000000001</v>
      </c>
      <c r="J263">
        <f t="shared" ca="1" si="71"/>
        <v>1.3607872141173507</v>
      </c>
      <c r="K263">
        <f t="shared" ca="1" si="72"/>
        <v>147.38707442823471</v>
      </c>
      <c r="L263">
        <f t="shared" ca="1" si="73"/>
        <v>141.94392557176531</v>
      </c>
      <c r="M263">
        <f t="shared" ca="1" si="82"/>
        <v>2.8000000000000114</v>
      </c>
      <c r="N263">
        <f t="shared" ca="1" si="83"/>
        <v>2.8000000000000114</v>
      </c>
      <c r="O263">
        <f t="shared" ca="1" si="84"/>
        <v>0</v>
      </c>
      <c r="P263">
        <f t="shared" ca="1" si="68"/>
        <v>0.68992177302125623</v>
      </c>
      <c r="Q263">
        <f t="shared" ca="1" si="69"/>
        <v>0.57972701057476461</v>
      </c>
      <c r="R263">
        <f t="shared" ca="1" si="66"/>
        <v>1.1900804351641994</v>
      </c>
      <c r="S263">
        <f t="shared" ca="1" si="67"/>
        <v>54.33957657701162</v>
      </c>
      <c r="T263">
        <f>70</f>
        <v>70</v>
      </c>
      <c r="U263">
        <f>30</f>
        <v>30</v>
      </c>
      <c r="V263">
        <f t="shared" ca="1" si="65"/>
        <v>144.96872843051491</v>
      </c>
      <c r="W263">
        <f t="shared" ca="1" si="75"/>
        <v>146.21105153065341</v>
      </c>
      <c r="X263">
        <f t="shared" ca="1" si="74"/>
        <v>-0.98586724672202308</v>
      </c>
      <c r="Y263">
        <f t="shared" ca="1" si="76"/>
        <v>-1.7216405035975537</v>
      </c>
      <c r="Z263">
        <f t="shared" ca="1" si="77"/>
        <v>0.73577325687553063</v>
      </c>
      <c r="AA263">
        <f t="shared" ca="1" si="78"/>
        <v>156.41210000000001</v>
      </c>
    </row>
    <row r="264" spans="1:27" x14ac:dyDescent="0.25">
      <c r="A264" vm="774">
        <f ca="1"/>
        <v>45674</v>
      </c>
      <c r="B264" vm="775">
        <f ca="1"/>
        <v>147.03</v>
      </c>
      <c r="C264" vm="776">
        <f ca="1"/>
        <v>10773054</v>
      </c>
      <c r="D264">
        <f t="shared" ca="1" si="79"/>
        <v>1583962129.6200001</v>
      </c>
      <c r="E264">
        <f ca="1">SUM($D$2:D264)/SUM($C$2:C264)</f>
        <v>154.52043439426126</v>
      </c>
      <c r="F264">
        <f ca="1">_xlfn.STDEV.P($B$2:B264)</f>
        <v>6.7862926392948149</v>
      </c>
      <c r="G264">
        <f t="shared" ca="1" si="80"/>
        <v>161.30672703355609</v>
      </c>
      <c r="H264">
        <f t="shared" ca="1" si="81"/>
        <v>147.73414175496643</v>
      </c>
      <c r="I264">
        <f t="shared" ca="1" si="70"/>
        <v>144.69650000000001</v>
      </c>
      <c r="J264">
        <f t="shared" ca="1" si="71"/>
        <v>1.4088340644137725</v>
      </c>
      <c r="K264">
        <f t="shared" ca="1" si="72"/>
        <v>147.51416812882755</v>
      </c>
      <c r="L264">
        <f t="shared" ca="1" si="73"/>
        <v>141.87883187117248</v>
      </c>
      <c r="M264">
        <f t="shared" ca="1" si="82"/>
        <v>-0.74000000000000909</v>
      </c>
      <c r="N264">
        <f t="shared" ca="1" si="83"/>
        <v>0</v>
      </c>
      <c r="O264">
        <f t="shared" ca="1" si="84"/>
        <v>0.74000000000000909</v>
      </c>
      <c r="P264">
        <f t="shared" ca="1" si="68"/>
        <v>0.6406416463768807</v>
      </c>
      <c r="Q264">
        <f t="shared" ca="1" si="69"/>
        <v>0.59117508124799634</v>
      </c>
      <c r="R264">
        <f t="shared" ca="1" si="66"/>
        <v>1.0836749834320796</v>
      </c>
      <c r="S264">
        <f t="shared" ca="1" si="67"/>
        <v>52.007870327603975</v>
      </c>
      <c r="T264">
        <f>70</f>
        <v>70</v>
      </c>
      <c r="U264">
        <f>30</f>
        <v>30</v>
      </c>
      <c r="V264">
        <f t="shared" ca="1" si="65"/>
        <v>145.28584713351262</v>
      </c>
      <c r="W264">
        <f t="shared" ca="1" si="75"/>
        <v>146.27171438023464</v>
      </c>
      <c r="X264">
        <f t="shared" ca="1" si="74"/>
        <v>-0.68436061231625445</v>
      </c>
      <c r="Y264">
        <f t="shared" ca="1" si="76"/>
        <v>-1.514184525341294</v>
      </c>
      <c r="Z264">
        <f t="shared" ca="1" si="77"/>
        <v>0.82982391302503955</v>
      </c>
      <c r="AA264">
        <f t="shared" ca="1" si="78"/>
        <v>156.24110000000002</v>
      </c>
    </row>
    <row r="265" spans="1:27" x14ac:dyDescent="0.25">
      <c r="A265" vm="777">
        <f ca="1"/>
        <v>45678</v>
      </c>
      <c r="B265" vm="778">
        <f ca="1"/>
        <v>148.15</v>
      </c>
      <c r="C265" vm="779">
        <f ca="1"/>
        <v>11111747</v>
      </c>
      <c r="D265">
        <f t="shared" ca="1" si="79"/>
        <v>1646205318.05</v>
      </c>
      <c r="E265">
        <f ca="1">SUM($D$2:D265)/SUM($C$2:C265)</f>
        <v>154.48341727022469</v>
      </c>
      <c r="F265">
        <f ca="1">_xlfn.STDEV.P($B$2:B265)</f>
        <v>6.7867764365265222</v>
      </c>
      <c r="G265">
        <f t="shared" ca="1" si="80"/>
        <v>161.2701937067512</v>
      </c>
      <c r="H265">
        <f t="shared" ca="1" si="81"/>
        <v>147.69664083369818</v>
      </c>
      <c r="I265">
        <f t="shared" ca="1" si="70"/>
        <v>144.86650000000003</v>
      </c>
      <c r="J265">
        <f t="shared" ca="1" si="71"/>
        <v>1.6068480915984817</v>
      </c>
      <c r="K265">
        <f t="shared" ca="1" si="72"/>
        <v>148.08019618319699</v>
      </c>
      <c r="L265">
        <f t="shared" ca="1" si="73"/>
        <v>141.65280381680307</v>
      </c>
      <c r="M265">
        <f t="shared" ca="1" si="82"/>
        <v>1.1200000000000045</v>
      </c>
      <c r="N265">
        <f t="shared" ca="1" si="83"/>
        <v>1.1200000000000045</v>
      </c>
      <c r="O265">
        <f t="shared" ca="1" si="84"/>
        <v>0</v>
      </c>
      <c r="P265">
        <f t="shared" ca="1" si="68"/>
        <v>0.67488152877853236</v>
      </c>
      <c r="Q265">
        <f t="shared" ca="1" si="69"/>
        <v>0.54894828973028231</v>
      </c>
      <c r="R265">
        <f t="shared" ca="1" si="66"/>
        <v>1.2294082000148421</v>
      </c>
      <c r="S265">
        <f t="shared" ca="1" si="67"/>
        <v>55.145047013223397</v>
      </c>
      <c r="T265">
        <f>70</f>
        <v>70</v>
      </c>
      <c r="U265">
        <f>30</f>
        <v>30</v>
      </c>
      <c r="V265">
        <f t="shared" ca="1" si="65"/>
        <v>145.72648603604915</v>
      </c>
      <c r="W265">
        <f t="shared" ca="1" si="75"/>
        <v>146.41084664836541</v>
      </c>
      <c r="X265">
        <f t="shared" ca="1" si="74"/>
        <v>-0.67008207410870568</v>
      </c>
      <c r="Y265">
        <f t="shared" ca="1" si="76"/>
        <v>-1.3453640350947764</v>
      </c>
      <c r="Z265">
        <f t="shared" ca="1" si="77"/>
        <v>0.67528196098607074</v>
      </c>
      <c r="AA265">
        <f t="shared" ca="1" si="78"/>
        <v>156.07650000000001</v>
      </c>
    </row>
    <row r="266" spans="1:27" x14ac:dyDescent="0.25">
      <c r="A266" vm="780">
        <f ca="1"/>
        <v>45679</v>
      </c>
      <c r="B266" vm="729">
        <f ca="1"/>
        <v>145.27000000000001</v>
      </c>
      <c r="C266" vm="781">
        <f ca="1"/>
        <v>16834747</v>
      </c>
      <c r="D266">
        <f t="shared" ca="1" si="79"/>
        <v>2445583696.6900001</v>
      </c>
      <c r="E266">
        <f ca="1">SUM($D$2:D266)/SUM($C$2:C266)</f>
        <v>154.40301431446645</v>
      </c>
      <c r="F266">
        <f ca="1">_xlfn.STDEV.P($B$2:B266)</f>
        <v>6.8004468713761321</v>
      </c>
      <c r="G266">
        <f t="shared" ca="1" si="80"/>
        <v>161.20346118584257</v>
      </c>
      <c r="H266">
        <f t="shared" ca="1" si="81"/>
        <v>147.60256744309032</v>
      </c>
      <c r="I266">
        <f t="shared" ca="1" si="70"/>
        <v>144.95099999999999</v>
      </c>
      <c r="J266">
        <f t="shared" ca="1" si="71"/>
        <v>1.5798430968062354</v>
      </c>
      <c r="K266">
        <f t="shared" ca="1" si="72"/>
        <v>148.11068619361245</v>
      </c>
      <c r="L266">
        <f t="shared" ca="1" si="73"/>
        <v>141.79131380638754</v>
      </c>
      <c r="M266">
        <f t="shared" ca="1" si="82"/>
        <v>-2.8799999999999955</v>
      </c>
      <c r="N266">
        <f t="shared" ca="1" si="83"/>
        <v>0</v>
      </c>
      <c r="O266">
        <f t="shared" ca="1" si="84"/>
        <v>2.8799999999999955</v>
      </c>
      <c r="P266">
        <f t="shared" ca="1" si="68"/>
        <v>0.62667570529435146</v>
      </c>
      <c r="Q266">
        <f t="shared" ca="1" si="69"/>
        <v>0.71545198332097615</v>
      </c>
      <c r="R266">
        <f t="shared" ca="1" si="66"/>
        <v>0.87591581252658768</v>
      </c>
      <c r="S266">
        <f t="shared" ca="1" si="67"/>
        <v>46.692703727831777</v>
      </c>
      <c r="T266">
        <f>70</f>
        <v>70</v>
      </c>
      <c r="U266">
        <f>30</f>
        <v>30</v>
      </c>
      <c r="V266">
        <f t="shared" ca="1" si="65"/>
        <v>145.65625741511852</v>
      </c>
      <c r="W266">
        <f t="shared" ca="1" si="75"/>
        <v>146.32633948922722</v>
      </c>
      <c r="X266">
        <f t="shared" ca="1" si="74"/>
        <v>-0.54197117295910857</v>
      </c>
      <c r="Y266">
        <f t="shared" ca="1" si="76"/>
        <v>-1.1846854626676429</v>
      </c>
      <c r="Z266">
        <f t="shared" ca="1" si="77"/>
        <v>0.64271428970853428</v>
      </c>
      <c r="AA266">
        <f t="shared" ca="1" si="78"/>
        <v>155.89970000000002</v>
      </c>
    </row>
    <row r="267" spans="1:27" x14ac:dyDescent="0.25">
      <c r="A267" vm="782">
        <f ca="1"/>
        <v>45680</v>
      </c>
      <c r="B267" vm="705">
        <f ca="1"/>
        <v>146.63999999999999</v>
      </c>
      <c r="C267" vm="783">
        <f ca="1"/>
        <v>10506361</v>
      </c>
      <c r="D267">
        <f t="shared" ca="1" si="79"/>
        <v>1540652777.04</v>
      </c>
      <c r="E267">
        <f ca="1">SUM($D$2:D267)/SUM($C$2:C267)</f>
        <v>154.36096406946689</v>
      </c>
      <c r="F267">
        <f ca="1">_xlfn.STDEV.P($B$2:B267)</f>
        <v>6.806965503905591</v>
      </c>
      <c r="G267">
        <f t="shared" ca="1" si="80"/>
        <v>161.16792957337248</v>
      </c>
      <c r="H267">
        <f t="shared" ca="1" si="81"/>
        <v>147.5539985655613</v>
      </c>
      <c r="I267">
        <f t="shared" ca="1" si="70"/>
        <v>145.05950000000001</v>
      </c>
      <c r="J267">
        <f t="shared" ca="1" si="71"/>
        <v>1.6190981082721712</v>
      </c>
      <c r="K267">
        <f t="shared" ca="1" si="72"/>
        <v>148.29769621654435</v>
      </c>
      <c r="L267">
        <f t="shared" ca="1" si="73"/>
        <v>141.82130378345568</v>
      </c>
      <c r="M267">
        <f t="shared" ca="1" si="82"/>
        <v>1.3699999999999761</v>
      </c>
      <c r="N267">
        <f t="shared" ca="1" si="83"/>
        <v>1.3699999999999761</v>
      </c>
      <c r="O267">
        <f t="shared" ca="1" si="84"/>
        <v>0</v>
      </c>
      <c r="P267">
        <f t="shared" ca="1" si="68"/>
        <v>0.67977029777332465</v>
      </c>
      <c r="Q267">
        <f t="shared" ca="1" si="69"/>
        <v>0.6643482702266208</v>
      </c>
      <c r="R267">
        <f t="shared" ca="1" si="66"/>
        <v>1.0232137694005632</v>
      </c>
      <c r="S267">
        <f t="shared" ca="1" si="67"/>
        <v>50.573685533176281</v>
      </c>
      <c r="T267">
        <f>70</f>
        <v>70</v>
      </c>
      <c r="U267">
        <f>30</f>
        <v>30</v>
      </c>
      <c r="V267">
        <f t="shared" ca="1" si="65"/>
        <v>145.8076024281772</v>
      </c>
      <c r="W267">
        <f t="shared" ca="1" si="75"/>
        <v>146.34957360113631</v>
      </c>
      <c r="X267">
        <f t="shared" ca="1" si="74"/>
        <v>-0.42106410028682717</v>
      </c>
      <c r="Y267">
        <f t="shared" ca="1" si="76"/>
        <v>-1.0319611901914798</v>
      </c>
      <c r="Z267">
        <f t="shared" ca="1" si="77"/>
        <v>0.61089708990465263</v>
      </c>
      <c r="AA267">
        <f t="shared" ca="1" si="78"/>
        <v>155.7269</v>
      </c>
    </row>
    <row r="268" spans="1:27" x14ac:dyDescent="0.25">
      <c r="A268" vm="784">
        <f ca="1"/>
        <v>45681</v>
      </c>
      <c r="B268" vm="237">
        <f ca="1"/>
        <v>146.82</v>
      </c>
      <c r="C268" vm="785">
        <f ca="1"/>
        <v>9887682</v>
      </c>
      <c r="D268">
        <f t="shared" ca="1" si="79"/>
        <v>1451709471.24</v>
      </c>
      <c r="E268">
        <f ca="1">SUM($D$2:D268)/SUM($C$2:C268)</f>
        <v>154.32271693730024</v>
      </c>
      <c r="F268">
        <f ca="1">_xlfn.STDEV.P($B$2:B268)</f>
        <v>6.8124719110389451</v>
      </c>
      <c r="G268">
        <f t="shared" ca="1" si="80"/>
        <v>161.1351888483392</v>
      </c>
      <c r="H268">
        <f t="shared" ca="1" si="81"/>
        <v>147.51024502626129</v>
      </c>
      <c r="I268">
        <f t="shared" ca="1" si="70"/>
        <v>145.13700000000003</v>
      </c>
      <c r="J268">
        <f t="shared" ca="1" si="71"/>
        <v>1.6661177692626135</v>
      </c>
      <c r="K268">
        <f t="shared" ca="1" si="72"/>
        <v>148.46923553852525</v>
      </c>
      <c r="L268">
        <f t="shared" ca="1" si="73"/>
        <v>141.8047644614748</v>
      </c>
      <c r="M268">
        <f t="shared" ca="1" si="82"/>
        <v>0.18000000000000682</v>
      </c>
      <c r="N268">
        <f t="shared" ca="1" si="83"/>
        <v>0.18000000000000682</v>
      </c>
      <c r="O268">
        <f t="shared" ca="1" si="84"/>
        <v>0</v>
      </c>
      <c r="P268">
        <f t="shared" ca="1" si="68"/>
        <v>0.64407241936094473</v>
      </c>
      <c r="Q268">
        <f t="shared" ca="1" si="69"/>
        <v>0.61689482235329074</v>
      </c>
      <c r="R268">
        <f t="shared" ca="1" si="66"/>
        <v>1.0440554791884598</v>
      </c>
      <c r="S268">
        <f t="shared" ca="1" si="67"/>
        <v>51.077648812300119</v>
      </c>
      <c r="T268">
        <f>70</f>
        <v>70</v>
      </c>
      <c r="U268">
        <f>30</f>
        <v>30</v>
      </c>
      <c r="V268">
        <f t="shared" ca="1" si="65"/>
        <v>145.96335590076532</v>
      </c>
      <c r="W268">
        <f t="shared" ca="1" si="75"/>
        <v>146.38442000105215</v>
      </c>
      <c r="X268">
        <f t="shared" ca="1" si="74"/>
        <v>0.16267863870470478</v>
      </c>
      <c r="Y268">
        <f t="shared" ca="1" si="76"/>
        <v>-0.793033224412243</v>
      </c>
      <c r="Z268">
        <f t="shared" ca="1" si="77"/>
        <v>0.95571186311694778</v>
      </c>
      <c r="AA268">
        <f t="shared" ca="1" si="78"/>
        <v>155.55280000000002</v>
      </c>
    </row>
    <row r="269" spans="1:27" x14ac:dyDescent="0.25">
      <c r="A269" vm="786">
        <f ca="1"/>
        <v>45684</v>
      </c>
      <c r="B269" vm="787">
        <f ca="1"/>
        <v>152.88999999999999</v>
      </c>
      <c r="C269" vm="788">
        <f ca="1"/>
        <v>15152314</v>
      </c>
      <c r="D269">
        <f t="shared" ca="1" si="79"/>
        <v>2316637287.4599996</v>
      </c>
      <c r="E269">
        <f ca="1">SUM($D$2:D269)/SUM($C$2:C269)</f>
        <v>154.311667137722</v>
      </c>
      <c r="F269">
        <f ca="1">_xlfn.STDEV.P($B$2:B269)</f>
        <v>6.8009109709923585</v>
      </c>
      <c r="G269">
        <f t="shared" ca="1" si="80"/>
        <v>161.11257810871436</v>
      </c>
      <c r="H269">
        <f t="shared" ca="1" si="81"/>
        <v>147.51075616672964</v>
      </c>
      <c r="I269">
        <f t="shared" ca="1" si="70"/>
        <v>145.48899999999998</v>
      </c>
      <c r="J269">
        <f t="shared" ca="1" si="71"/>
        <v>2.4046619195571766</v>
      </c>
      <c r="K269">
        <f t="shared" ca="1" si="72"/>
        <v>150.29832383911432</v>
      </c>
      <c r="L269">
        <f t="shared" ca="1" si="73"/>
        <v>140.67967616088563</v>
      </c>
      <c r="M269">
        <f t="shared" ca="1" si="82"/>
        <v>6.0699999999999932</v>
      </c>
      <c r="N269">
        <f t="shared" ca="1" si="83"/>
        <v>6.0699999999999932</v>
      </c>
      <c r="O269">
        <f t="shared" ca="1" si="84"/>
        <v>0</v>
      </c>
      <c r="P269">
        <f t="shared" ca="1" si="68"/>
        <v>1.0316386751208768</v>
      </c>
      <c r="Q269">
        <f t="shared" ca="1" si="69"/>
        <v>0.57283090647091284</v>
      </c>
      <c r="R269">
        <f t="shared" ca="1" si="66"/>
        <v>1.8009479996052924</v>
      </c>
      <c r="S269">
        <f t="shared" ca="1" si="67"/>
        <v>64.297802024853041</v>
      </c>
      <c r="T269">
        <f>70</f>
        <v>70</v>
      </c>
      <c r="U269">
        <f>30</f>
        <v>30</v>
      </c>
      <c r="V269">
        <f t="shared" ca="1" si="65"/>
        <v>147.02899345449373</v>
      </c>
      <c r="W269">
        <f t="shared" ca="1" si="75"/>
        <v>146.86631481578902</v>
      </c>
      <c r="X269">
        <f t="shared" ca="1" si="74"/>
        <v>0.41794513063589989</v>
      </c>
      <c r="Y269">
        <f t="shared" ca="1" si="76"/>
        <v>-0.55083755340261442</v>
      </c>
      <c r="Z269">
        <f t="shared" ca="1" si="77"/>
        <v>0.96878268403851431</v>
      </c>
      <c r="AA269">
        <f t="shared" ca="1" si="78"/>
        <v>155.42310000000001</v>
      </c>
    </row>
    <row r="270" spans="1:27" x14ac:dyDescent="0.25">
      <c r="A270" vm="789">
        <f ca="1"/>
        <v>45685</v>
      </c>
      <c r="B270" vm="790">
        <f ca="1"/>
        <v>150.38</v>
      </c>
      <c r="C270" vm="791">
        <f ca="1"/>
        <v>10320613</v>
      </c>
      <c r="D270">
        <f t="shared" ca="1" si="79"/>
        <v>1552013782.9400001</v>
      </c>
      <c r="E270">
        <f ca="1">SUM($D$2:D270)/SUM($C$2:C270)</f>
        <v>154.29112139556733</v>
      </c>
      <c r="F270">
        <f ca="1">_xlfn.STDEV.P($B$2:B270)</f>
        <v>6.7939358974288515</v>
      </c>
      <c r="G270">
        <f t="shared" ca="1" si="80"/>
        <v>161.08505729299617</v>
      </c>
      <c r="H270">
        <f t="shared" ca="1" si="81"/>
        <v>147.49718549813849</v>
      </c>
      <c r="I270">
        <f t="shared" ca="1" si="70"/>
        <v>145.72899999999998</v>
      </c>
      <c r="J270">
        <f t="shared" ca="1" si="71"/>
        <v>2.642040479390281</v>
      </c>
      <c r="K270">
        <f t="shared" ca="1" si="72"/>
        <v>151.01308095878053</v>
      </c>
      <c r="L270">
        <f t="shared" ca="1" si="73"/>
        <v>140.44491904121944</v>
      </c>
      <c r="M270">
        <f t="shared" ca="1" si="82"/>
        <v>-2.5099999999999909</v>
      </c>
      <c r="N270">
        <f t="shared" ca="1" si="83"/>
        <v>0</v>
      </c>
      <c r="O270">
        <f t="shared" ca="1" si="84"/>
        <v>2.5099999999999909</v>
      </c>
      <c r="P270">
        <f t="shared" ca="1" si="68"/>
        <v>0.9579501983265285</v>
      </c>
      <c r="Q270">
        <f t="shared" ca="1" si="69"/>
        <v>0.71120012743727556</v>
      </c>
      <c r="R270">
        <f t="shared" ca="1" si="66"/>
        <v>1.3469488564047187</v>
      </c>
      <c r="S270">
        <f t="shared" ca="1" si="67"/>
        <v>57.391487365775163</v>
      </c>
      <c r="T270">
        <f>70</f>
        <v>70</v>
      </c>
      <c r="U270">
        <f>30</f>
        <v>30</v>
      </c>
      <c r="V270">
        <f t="shared" ca="1" si="65"/>
        <v>147.54453292303316</v>
      </c>
      <c r="W270">
        <f t="shared" ca="1" si="75"/>
        <v>147.12658779239726</v>
      </c>
      <c r="X270">
        <f t="shared" ca="1" si="74"/>
        <v>0.67460183934969109</v>
      </c>
      <c r="Y270">
        <f t="shared" ca="1" si="76"/>
        <v>-0.30574967485215332</v>
      </c>
      <c r="Z270">
        <f t="shared" ca="1" si="77"/>
        <v>0.98035151420184441</v>
      </c>
      <c r="AA270">
        <f t="shared" ca="1" si="78"/>
        <v>155.25530000000001</v>
      </c>
    </row>
    <row r="271" spans="1:27" x14ac:dyDescent="0.25">
      <c r="A271" vm="792">
        <f ca="1"/>
        <v>45686</v>
      </c>
      <c r="B271" vm="793">
        <f ca="1"/>
        <v>151.15</v>
      </c>
      <c r="C271" vm="794">
        <f ca="1"/>
        <v>7156421</v>
      </c>
      <c r="D271">
        <f t="shared" ca="1" si="79"/>
        <v>1081693034.1500001</v>
      </c>
      <c r="E271">
        <f ca="1">SUM($D$2:D271)/SUM($C$2:C271)</f>
        <v>154.27978044774747</v>
      </c>
      <c r="F271">
        <f ca="1">_xlfn.STDEV.P($B$2:B271)</f>
        <v>6.7852212371676863</v>
      </c>
      <c r="G271">
        <f t="shared" ca="1" si="80"/>
        <v>161.06500168491516</v>
      </c>
      <c r="H271">
        <f t="shared" ca="1" si="81"/>
        <v>147.49455921057978</v>
      </c>
      <c r="I271">
        <f t="shared" ca="1" si="70"/>
        <v>146.03400000000002</v>
      </c>
      <c r="J271">
        <f t="shared" ca="1" si="71"/>
        <v>2.8991185593301658</v>
      </c>
      <c r="K271">
        <f t="shared" ca="1" si="72"/>
        <v>151.83223711866034</v>
      </c>
      <c r="L271">
        <f t="shared" ca="1" si="73"/>
        <v>140.2357628813397</v>
      </c>
      <c r="M271">
        <f t="shared" ca="1" si="82"/>
        <v>0.77000000000001023</v>
      </c>
      <c r="N271">
        <f t="shared" ca="1" si="83"/>
        <v>0.77000000000001023</v>
      </c>
      <c r="O271">
        <f t="shared" ca="1" si="84"/>
        <v>0</v>
      </c>
      <c r="P271">
        <f t="shared" ca="1" si="68"/>
        <v>0.9445251841603487</v>
      </c>
      <c r="Q271">
        <f t="shared" ca="1" si="69"/>
        <v>0.6604001183346131</v>
      </c>
      <c r="R271">
        <f t="shared" ca="1" si="66"/>
        <v>1.4302317003549876</v>
      </c>
      <c r="S271">
        <f t="shared" ca="1" si="67"/>
        <v>58.851660117266654</v>
      </c>
      <c r="T271">
        <f>70</f>
        <v>70</v>
      </c>
      <c r="U271">
        <f>30</f>
        <v>30</v>
      </c>
      <c r="V271">
        <f t="shared" ref="V271:V334" ca="1" si="85">B271*(2/(12+1)) + V270*(1-(2/(12+1)))</f>
        <v>148.09922016564343</v>
      </c>
      <c r="W271">
        <f t="shared" ca="1" si="75"/>
        <v>147.42461832629374</v>
      </c>
      <c r="X271">
        <f t="shared" ca="1" si="74"/>
        <v>1.0052063622525509</v>
      </c>
      <c r="Y271">
        <f t="shared" ca="1" si="76"/>
        <v>-4.35584674312125E-2</v>
      </c>
      <c r="Z271">
        <f t="shared" ca="1" si="77"/>
        <v>1.0487648296837633</v>
      </c>
      <c r="AA271">
        <f t="shared" ca="1" si="78"/>
        <v>155.0932</v>
      </c>
    </row>
    <row r="272" spans="1:27" x14ac:dyDescent="0.25">
      <c r="A272" vm="795">
        <f ca="1"/>
        <v>45687</v>
      </c>
      <c r="B272" vm="796">
        <f ca="1"/>
        <v>152.87</v>
      </c>
      <c r="C272" vm="797">
        <f ca="1"/>
        <v>8910983</v>
      </c>
      <c r="D272">
        <f t="shared" ca="1" si="79"/>
        <v>1362221971.21</v>
      </c>
      <c r="E272">
        <f ca="1">SUM($D$2:D272)/SUM($C$2:C272)</f>
        <v>154.27347090656653</v>
      </c>
      <c r="F272">
        <f ca="1">_xlfn.STDEV.P($B$2:B272)</f>
        <v>6.7738226150644989</v>
      </c>
      <c r="G272">
        <f t="shared" ca="1" si="80"/>
        <v>161.04729352163102</v>
      </c>
      <c r="H272">
        <f t="shared" ca="1" si="81"/>
        <v>147.49964829150204</v>
      </c>
      <c r="I272">
        <f t="shared" ca="1" si="70"/>
        <v>146.51050000000001</v>
      </c>
      <c r="J272">
        <f t="shared" ca="1" si="71"/>
        <v>3.200535275954878</v>
      </c>
      <c r="K272">
        <f t="shared" ca="1" si="72"/>
        <v>152.91157055190976</v>
      </c>
      <c r="L272">
        <f t="shared" ca="1" si="73"/>
        <v>140.10942944809025</v>
      </c>
      <c r="M272">
        <f t="shared" ca="1" si="82"/>
        <v>1.7199999999999989</v>
      </c>
      <c r="N272">
        <f t="shared" ca="1" si="83"/>
        <v>1.7199999999999989</v>
      </c>
      <c r="O272">
        <f t="shared" ca="1" si="84"/>
        <v>0</v>
      </c>
      <c r="P272">
        <f t="shared" ca="1" si="68"/>
        <v>0.99991624243460941</v>
      </c>
      <c r="Q272">
        <f t="shared" ca="1" si="69"/>
        <v>0.61322868131071218</v>
      </c>
      <c r="R272">
        <f t="shared" ref="R272:R335" ca="1" si="86">IF(Q272=0,NA(),P272/Q272)</f>
        <v>1.6305764438437436</v>
      </c>
      <c r="S272">
        <f t="shared" ref="S272:S335" ca="1" si="87">100-(100/(1+R272))</f>
        <v>61.985518332292948</v>
      </c>
      <c r="T272">
        <f>70</f>
        <v>70</v>
      </c>
      <c r="U272">
        <f>30</f>
        <v>30</v>
      </c>
      <c r="V272">
        <f t="shared" ca="1" si="85"/>
        <v>148.833186294006</v>
      </c>
      <c r="W272">
        <f t="shared" ca="1" si="75"/>
        <v>147.82797993175345</v>
      </c>
      <c r="X272">
        <f t="shared" ca="1" si="74"/>
        <v>1.1953357592590237</v>
      </c>
      <c r="Y272">
        <f t="shared" ca="1" si="76"/>
        <v>0.20422037790683473</v>
      </c>
      <c r="Z272">
        <f t="shared" ca="1" si="77"/>
        <v>0.99111538135218891</v>
      </c>
      <c r="AA272">
        <f t="shared" ca="1" si="78"/>
        <v>154.97200000000001</v>
      </c>
    </row>
    <row r="273" spans="1:27" x14ac:dyDescent="0.25">
      <c r="A273" vm="798">
        <f ca="1"/>
        <v>45688</v>
      </c>
      <c r="B273" vm="799">
        <f ca="1"/>
        <v>152.15</v>
      </c>
      <c r="C273" vm="800">
        <f ca="1"/>
        <v>8458715</v>
      </c>
      <c r="D273">
        <f t="shared" ca="1" si="79"/>
        <v>1286993487.25</v>
      </c>
      <c r="E273">
        <f ca="1">SUM($D$2:D273)/SUM($C$2:C273)</f>
        <v>154.26448772367706</v>
      </c>
      <c r="F273">
        <f ca="1">_xlfn.STDEV.P($B$2:B273)</f>
        <v>6.7634143200375947</v>
      </c>
      <c r="G273">
        <f t="shared" ca="1" si="80"/>
        <v>161.02790204371465</v>
      </c>
      <c r="H273">
        <f t="shared" ca="1" si="81"/>
        <v>147.50107340363948</v>
      </c>
      <c r="I273">
        <f t="shared" ca="1" si="70"/>
        <v>146.887</v>
      </c>
      <c r="J273">
        <f t="shared" ca="1" si="71"/>
        <v>3.4029400600997328</v>
      </c>
      <c r="K273">
        <f t="shared" ca="1" si="72"/>
        <v>153.69288012019948</v>
      </c>
      <c r="L273">
        <f t="shared" ca="1" si="73"/>
        <v>140.08111987980053</v>
      </c>
      <c r="M273">
        <f t="shared" ca="1" si="82"/>
        <v>-0.71999999999999886</v>
      </c>
      <c r="N273">
        <f t="shared" ca="1" si="83"/>
        <v>0</v>
      </c>
      <c r="O273">
        <f t="shared" ca="1" si="84"/>
        <v>0.71999999999999886</v>
      </c>
      <c r="P273">
        <f t="shared" ref="P273:P336" ca="1" si="88">(P272*13+N273)/14</f>
        <v>0.92849365368928016</v>
      </c>
      <c r="Q273">
        <f t="shared" ref="Q273:Q336" ca="1" si="89">(Q272*13+O273)/14</f>
        <v>0.62085520407423267</v>
      </c>
      <c r="R273">
        <f t="shared" ca="1" si="86"/>
        <v>1.4955075637543735</v>
      </c>
      <c r="S273">
        <f t="shared" ca="1" si="87"/>
        <v>59.927991622852588</v>
      </c>
      <c r="T273">
        <f>70</f>
        <v>70</v>
      </c>
      <c r="U273">
        <f>30</f>
        <v>30</v>
      </c>
      <c r="V273">
        <f t="shared" ca="1" si="85"/>
        <v>149.34346532569739</v>
      </c>
      <c r="W273">
        <f t="shared" ca="1" si="75"/>
        <v>148.14812956643837</v>
      </c>
      <c r="X273">
        <f t="shared" ca="1" si="74"/>
        <v>1.3083392952696897</v>
      </c>
      <c r="Y273">
        <f t="shared" ca="1" si="76"/>
        <v>0.42504416137940576</v>
      </c>
      <c r="Z273">
        <f t="shared" ca="1" si="77"/>
        <v>0.88329513389028391</v>
      </c>
      <c r="AA273">
        <f t="shared" ca="1" si="78"/>
        <v>154.84969999999998</v>
      </c>
    </row>
    <row r="274" spans="1:27" x14ac:dyDescent="0.25">
      <c r="A274" vm="801">
        <f ca="1"/>
        <v>45691</v>
      </c>
      <c r="B274" vm="651">
        <f ca="1"/>
        <v>151.87</v>
      </c>
      <c r="C274" vm="802">
        <f ca="1"/>
        <v>6687487</v>
      </c>
      <c r="D274">
        <f t="shared" ca="1" si="79"/>
        <v>1015628650.6900001</v>
      </c>
      <c r="E274">
        <f ca="1">SUM($D$2:D274)/SUM($C$2:C274)</f>
        <v>154.25650584747612</v>
      </c>
      <c r="F274">
        <f ca="1">_xlfn.STDEV.P($B$2:B274)</f>
        <v>6.753487860745091</v>
      </c>
      <c r="G274">
        <f t="shared" ca="1" si="80"/>
        <v>161.0099937082212</v>
      </c>
      <c r="H274">
        <f t="shared" ca="1" si="81"/>
        <v>147.50301798673104</v>
      </c>
      <c r="I274">
        <f t="shared" ca="1" si="70"/>
        <v>147.27950000000001</v>
      </c>
      <c r="J274">
        <f t="shared" ca="1" si="71"/>
        <v>3.5060060873036889</v>
      </c>
      <c r="K274">
        <f t="shared" ca="1" si="72"/>
        <v>154.29151217460739</v>
      </c>
      <c r="L274">
        <f t="shared" ca="1" si="73"/>
        <v>140.26748782539264</v>
      </c>
      <c r="M274">
        <f t="shared" ca="1" si="82"/>
        <v>-0.28000000000000114</v>
      </c>
      <c r="N274">
        <f t="shared" ca="1" si="83"/>
        <v>0</v>
      </c>
      <c r="O274">
        <f t="shared" ca="1" si="84"/>
        <v>0.28000000000000114</v>
      </c>
      <c r="P274">
        <f t="shared" ca="1" si="88"/>
        <v>0.86217267842576018</v>
      </c>
      <c r="Q274">
        <f t="shared" ca="1" si="89"/>
        <v>0.59650840378321612</v>
      </c>
      <c r="R274">
        <f t="shared" ca="1" si="86"/>
        <v>1.4453655186710364</v>
      </c>
      <c r="S274">
        <f t="shared" ca="1" si="87"/>
        <v>59.106317956774738</v>
      </c>
      <c r="T274">
        <f>70</f>
        <v>70</v>
      </c>
      <c r="U274">
        <f>30</f>
        <v>30</v>
      </c>
      <c r="V274">
        <f t="shared" ca="1" si="85"/>
        <v>149.73216296789781</v>
      </c>
      <c r="W274">
        <f t="shared" ca="1" si="75"/>
        <v>148.42382367262812</v>
      </c>
      <c r="X274">
        <f t="shared" ca="1" si="74"/>
        <v>1.5111957488932148</v>
      </c>
      <c r="Y274">
        <f t="shared" ca="1" si="76"/>
        <v>0.6422744788821676</v>
      </c>
      <c r="Z274">
        <f t="shared" ca="1" si="77"/>
        <v>0.86892127001104724</v>
      </c>
      <c r="AA274">
        <f t="shared" ca="1" si="78"/>
        <v>154.70230000000001</v>
      </c>
    </row>
    <row r="275" spans="1:27" x14ac:dyDescent="0.25">
      <c r="A275" vm="803">
        <f ca="1"/>
        <v>45692</v>
      </c>
      <c r="B275" vm="804">
        <f ca="1"/>
        <v>153.49</v>
      </c>
      <c r="C275" vm="805">
        <f ca="1"/>
        <v>9645289</v>
      </c>
      <c r="D275">
        <f t="shared" ca="1" si="79"/>
        <v>1480455408.6100001</v>
      </c>
      <c r="E275">
        <f ca="1">SUM($D$2:D275)/SUM($C$2:C275)</f>
        <v>154.25283828813258</v>
      </c>
      <c r="F275">
        <f ca="1">_xlfn.STDEV.P($B$2:B275)</f>
        <v>6.741676356903433</v>
      </c>
      <c r="G275">
        <f t="shared" ca="1" si="80"/>
        <v>160.99451464503602</v>
      </c>
      <c r="H275">
        <f t="shared" ca="1" si="81"/>
        <v>147.51116193122914</v>
      </c>
      <c r="I275">
        <f t="shared" ca="1" si="70"/>
        <v>147.74450000000002</v>
      </c>
      <c r="J275">
        <f t="shared" ca="1" si="71"/>
        <v>3.6867493526782762</v>
      </c>
      <c r="K275">
        <f t="shared" ca="1" si="72"/>
        <v>155.11799870535657</v>
      </c>
      <c r="L275">
        <f t="shared" ca="1" si="73"/>
        <v>140.37100129464346</v>
      </c>
      <c r="M275">
        <f t="shared" ca="1" si="82"/>
        <v>1.6200000000000045</v>
      </c>
      <c r="N275">
        <f t="shared" ca="1" si="83"/>
        <v>1.6200000000000045</v>
      </c>
      <c r="O275">
        <f t="shared" ca="1" si="84"/>
        <v>0</v>
      </c>
      <c r="P275">
        <f t="shared" ca="1" si="88"/>
        <v>0.91630320139534915</v>
      </c>
      <c r="Q275">
        <f t="shared" ca="1" si="89"/>
        <v>0.55390066065584354</v>
      </c>
      <c r="R275">
        <f t="shared" ca="1" si="86"/>
        <v>1.6542735304023732</v>
      </c>
      <c r="S275">
        <f t="shared" ca="1" si="87"/>
        <v>62.324907793191706</v>
      </c>
      <c r="T275">
        <f>70</f>
        <v>70</v>
      </c>
      <c r="U275">
        <f>30</f>
        <v>30</v>
      </c>
      <c r="V275">
        <f t="shared" ca="1" si="85"/>
        <v>150.31029174206739</v>
      </c>
      <c r="W275">
        <f t="shared" ca="1" si="75"/>
        <v>148.79909599317418</v>
      </c>
      <c r="X275">
        <f t="shared" ca="1" si="74"/>
        <v>1.7486337595794623</v>
      </c>
      <c r="Y275">
        <f t="shared" ca="1" si="76"/>
        <v>0.86354633502162659</v>
      </c>
      <c r="Z275">
        <f t="shared" ca="1" si="77"/>
        <v>0.88508742455783573</v>
      </c>
      <c r="AA275">
        <f t="shared" ca="1" si="78"/>
        <v>154.56339999999997</v>
      </c>
    </row>
    <row r="276" spans="1:27" x14ac:dyDescent="0.25">
      <c r="A276" vm="806">
        <f ca="1"/>
        <v>45693</v>
      </c>
      <c r="B276" vm="407">
        <f ca="1"/>
        <v>154.69</v>
      </c>
      <c r="C276" vm="807">
        <f ca="1"/>
        <v>8946957</v>
      </c>
      <c r="D276">
        <f t="shared" ca="1" si="79"/>
        <v>1384004778.3299999</v>
      </c>
      <c r="E276">
        <f ca="1">SUM($D$2:D276)/SUM($C$2:C276)</f>
        <v>154.2547699922859</v>
      </c>
      <c r="F276">
        <f ca="1">_xlfn.STDEV.P($B$2:B276)</f>
        <v>6.7294171471603601</v>
      </c>
      <c r="G276">
        <f t="shared" ca="1" si="80"/>
        <v>160.98418713944625</v>
      </c>
      <c r="H276">
        <f t="shared" ca="1" si="81"/>
        <v>147.52535284512555</v>
      </c>
      <c r="I276">
        <f t="shared" ca="1" si="70"/>
        <v>148.29600000000002</v>
      </c>
      <c r="J276">
        <f t="shared" ca="1" si="71"/>
        <v>3.8643041179220705</v>
      </c>
      <c r="K276">
        <f t="shared" ca="1" si="72"/>
        <v>156.02460823584417</v>
      </c>
      <c r="L276">
        <f t="shared" ca="1" si="73"/>
        <v>140.56739176415587</v>
      </c>
      <c r="M276">
        <f t="shared" ca="1" si="82"/>
        <v>1.1999999999999886</v>
      </c>
      <c r="N276">
        <f t="shared" ca="1" si="83"/>
        <v>1.1999999999999886</v>
      </c>
      <c r="O276">
        <f t="shared" ca="1" si="84"/>
        <v>0</v>
      </c>
      <c r="P276">
        <f t="shared" ca="1" si="88"/>
        <v>0.93656725843853761</v>
      </c>
      <c r="Q276">
        <f t="shared" ca="1" si="89"/>
        <v>0.51433632775185478</v>
      </c>
      <c r="R276">
        <f t="shared" ca="1" si="86"/>
        <v>1.8209237961709583</v>
      </c>
      <c r="S276">
        <f t="shared" ca="1" si="87"/>
        <v>64.550619858736638</v>
      </c>
      <c r="T276">
        <f>70</f>
        <v>70</v>
      </c>
      <c r="U276">
        <f>30</f>
        <v>30</v>
      </c>
      <c r="V276">
        <f t="shared" ca="1" si="85"/>
        <v>150.98409301251854</v>
      </c>
      <c r="W276">
        <f t="shared" ca="1" si="75"/>
        <v>149.23545925293908</v>
      </c>
      <c r="X276">
        <f t="shared" ca="1" si="74"/>
        <v>1.8206021866461697</v>
      </c>
      <c r="Y276">
        <f t="shared" ca="1" si="76"/>
        <v>1.0549575053465352</v>
      </c>
      <c r="Z276">
        <f t="shared" ca="1" si="77"/>
        <v>0.76564468129963448</v>
      </c>
      <c r="AA276">
        <f t="shared" ca="1" si="78"/>
        <v>154.46209999999999</v>
      </c>
    </row>
    <row r="277" spans="1:27" x14ac:dyDescent="0.25">
      <c r="A277" vm="808">
        <f ca="1"/>
        <v>45694</v>
      </c>
      <c r="B277" vm="809">
        <f ca="1"/>
        <v>153.51</v>
      </c>
      <c r="C277" vm="810">
        <f ca="1"/>
        <v>7418468</v>
      </c>
      <c r="D277">
        <f t="shared" ca="1" si="79"/>
        <v>1138809022.6799998</v>
      </c>
      <c r="E277">
        <f ca="1">SUM($D$2:D277)/SUM($C$2:C277)</f>
        <v>154.25205122983982</v>
      </c>
      <c r="F277">
        <f ca="1">_xlfn.STDEV.P($B$2:B277)</f>
        <v>6.7177177089530389</v>
      </c>
      <c r="G277">
        <f t="shared" ca="1" si="80"/>
        <v>160.96976893879287</v>
      </c>
      <c r="H277">
        <f t="shared" ca="1" si="81"/>
        <v>147.53433352088678</v>
      </c>
      <c r="I277">
        <f t="shared" ca="1" si="70"/>
        <v>148.66</v>
      </c>
      <c r="J277">
        <f t="shared" ca="1" si="71"/>
        <v>3.9999447364603467</v>
      </c>
      <c r="K277">
        <f t="shared" ca="1" si="72"/>
        <v>156.6598894729207</v>
      </c>
      <c r="L277">
        <f t="shared" ca="1" si="73"/>
        <v>140.6601105270793</v>
      </c>
      <c r="M277">
        <f t="shared" ca="1" si="82"/>
        <v>-1.1800000000000068</v>
      </c>
      <c r="N277">
        <f t="shared" ca="1" si="83"/>
        <v>0</v>
      </c>
      <c r="O277">
        <f t="shared" ca="1" si="84"/>
        <v>1.1800000000000068</v>
      </c>
      <c r="P277">
        <f t="shared" ca="1" si="88"/>
        <v>0.86966959712149916</v>
      </c>
      <c r="Q277">
        <f t="shared" ca="1" si="89"/>
        <v>0.56188373291243709</v>
      </c>
      <c r="R277">
        <f t="shared" ca="1" si="86"/>
        <v>1.547775004294397</v>
      </c>
      <c r="S277">
        <f t="shared" ca="1" si="87"/>
        <v>60.750066300420876</v>
      </c>
      <c r="T277">
        <f>70</f>
        <v>70</v>
      </c>
      <c r="U277">
        <f>30</f>
        <v>30</v>
      </c>
      <c r="V277">
        <f t="shared" ca="1" si="85"/>
        <v>151.3726940875157</v>
      </c>
      <c r="W277">
        <f t="shared" ca="1" si="75"/>
        <v>149.55209190086953</v>
      </c>
      <c r="X277">
        <f t="shared" ca="1" si="74"/>
        <v>1.825128992050054</v>
      </c>
      <c r="Y277">
        <f t="shared" ca="1" si="76"/>
        <v>1.208991802687239</v>
      </c>
      <c r="Z277">
        <f t="shared" ca="1" si="77"/>
        <v>0.61613718936281492</v>
      </c>
      <c r="AA277">
        <f t="shared" ca="1" si="78"/>
        <v>154.35079999999999</v>
      </c>
    </row>
    <row r="278" spans="1:27" x14ac:dyDescent="0.25">
      <c r="A278" vm="811">
        <f ca="1"/>
        <v>45695</v>
      </c>
      <c r="B278" vm="812">
        <f ca="1"/>
        <v>153.12</v>
      </c>
      <c r="C278" vm="813">
        <f ca="1"/>
        <v>6204916</v>
      </c>
      <c r="D278">
        <f t="shared" ca="1" si="79"/>
        <v>950096737.92000008</v>
      </c>
      <c r="E278">
        <f ca="1">SUM($D$2:D278)/SUM($C$2:C278)</f>
        <v>154.24860524916878</v>
      </c>
      <c r="F278">
        <f ca="1">_xlfn.STDEV.P($B$2:B278)</f>
        <v>6.70640477786029</v>
      </c>
      <c r="G278">
        <f t="shared" ca="1" si="80"/>
        <v>160.95501002702906</v>
      </c>
      <c r="H278">
        <f t="shared" ca="1" si="81"/>
        <v>147.54220047130849</v>
      </c>
      <c r="I278">
        <f t="shared" ref="I278:I341" ca="1" si="90">AVERAGE(B259:B278)</f>
        <v>149.20250000000001</v>
      </c>
      <c r="J278">
        <f t="shared" ref="J278:J341" ca="1" si="91">_xlfn.STDEV.S(B259:B278)</f>
        <v>3.8193756378703956</v>
      </c>
      <c r="K278">
        <f t="shared" ref="K278:K341" ca="1" si="92">I278 + 2*J278</f>
        <v>156.8412512757408</v>
      </c>
      <c r="L278">
        <f t="shared" ref="L278:L341" ca="1" si="93">I278-2*J278</f>
        <v>141.56374872425923</v>
      </c>
      <c r="M278">
        <f t="shared" ca="1" si="82"/>
        <v>-0.38999999999998636</v>
      </c>
      <c r="N278">
        <f t="shared" ca="1" si="83"/>
        <v>0</v>
      </c>
      <c r="O278">
        <f t="shared" ca="1" si="84"/>
        <v>0.38999999999998636</v>
      </c>
      <c r="P278">
        <f t="shared" ca="1" si="88"/>
        <v>0.80755034018424932</v>
      </c>
      <c r="Q278">
        <f t="shared" ca="1" si="89"/>
        <v>0.54960632341869065</v>
      </c>
      <c r="R278">
        <f t="shared" ca="1" si="86"/>
        <v>1.4693250528143154</v>
      </c>
      <c r="S278">
        <f t="shared" ca="1" si="87"/>
        <v>59.503103940880941</v>
      </c>
      <c r="T278">
        <f>70</f>
        <v>70</v>
      </c>
      <c r="U278">
        <f>30</f>
        <v>30</v>
      </c>
      <c r="V278">
        <f t="shared" ca="1" si="85"/>
        <v>151.64151038174407</v>
      </c>
      <c r="W278">
        <f t="shared" ca="1" si="75"/>
        <v>149.81638138969402</v>
      </c>
      <c r="X278">
        <f t="shared" ca="1" si="74"/>
        <v>1.8972211730126389</v>
      </c>
      <c r="Y278">
        <f t="shared" ca="1" si="76"/>
        <v>1.3466376767523192</v>
      </c>
      <c r="Z278">
        <f t="shared" ca="1" si="77"/>
        <v>0.55058349626031977</v>
      </c>
      <c r="AA278">
        <f t="shared" ca="1" si="78"/>
        <v>154.2268</v>
      </c>
    </row>
    <row r="279" spans="1:27" x14ac:dyDescent="0.25">
      <c r="A279" vm="814">
        <f ca="1"/>
        <v>45698</v>
      </c>
      <c r="B279" vm="410">
        <f ca="1"/>
        <v>154.24</v>
      </c>
      <c r="C279" vm="815">
        <f ca="1"/>
        <v>6936561</v>
      </c>
      <c r="D279">
        <f t="shared" ca="1" si="79"/>
        <v>1069895168.6400001</v>
      </c>
      <c r="E279">
        <f ca="1">SUM($D$2:D279)/SUM($C$2:C279)</f>
        <v>154.24857606528161</v>
      </c>
      <c r="F279">
        <f ca="1">_xlfn.STDEV.P($B$2:B279)</f>
        <v>6.6944370562913607</v>
      </c>
      <c r="G279">
        <f t="shared" ca="1" si="80"/>
        <v>160.94301312157296</v>
      </c>
      <c r="H279">
        <f t="shared" ca="1" si="81"/>
        <v>147.55413900899026</v>
      </c>
      <c r="I279">
        <f t="shared" ca="1" si="90"/>
        <v>149.81149999999997</v>
      </c>
      <c r="J279">
        <f t="shared" ca="1" si="91"/>
        <v>3.5843846642140176</v>
      </c>
      <c r="K279">
        <f t="shared" ca="1" si="92"/>
        <v>156.98026932842799</v>
      </c>
      <c r="L279">
        <f t="shared" ca="1" si="93"/>
        <v>142.64273067157194</v>
      </c>
      <c r="M279">
        <f t="shared" ca="1" si="82"/>
        <v>1.1200000000000045</v>
      </c>
      <c r="N279">
        <f t="shared" ca="1" si="83"/>
        <v>1.1200000000000045</v>
      </c>
      <c r="O279">
        <f t="shared" ca="1" si="84"/>
        <v>0</v>
      </c>
      <c r="P279">
        <f t="shared" ca="1" si="88"/>
        <v>0.8298681730282319</v>
      </c>
      <c r="Q279">
        <f t="shared" ca="1" si="89"/>
        <v>0.51034872888878413</v>
      </c>
      <c r="R279">
        <f t="shared" ca="1" si="86"/>
        <v>1.6260806112619473</v>
      </c>
      <c r="S279">
        <f t="shared" ca="1" si="87"/>
        <v>61.920437791913173</v>
      </c>
      <c r="T279">
        <f>70</f>
        <v>70</v>
      </c>
      <c r="U279">
        <f>30</f>
        <v>30</v>
      </c>
      <c r="V279">
        <f t="shared" ca="1" si="85"/>
        <v>152.04127801532192</v>
      </c>
      <c r="W279">
        <f t="shared" ca="1" si="75"/>
        <v>150.14405684230928</v>
      </c>
      <c r="X279">
        <f t="shared" ca="1" si="74"/>
        <v>2.0828521276356184</v>
      </c>
      <c r="Y279">
        <f t="shared" ca="1" si="76"/>
        <v>1.493880566928979</v>
      </c>
      <c r="Z279">
        <f t="shared" ca="1" si="77"/>
        <v>0.58897156070663947</v>
      </c>
      <c r="AA279">
        <f t="shared" ca="1" si="78"/>
        <v>154.0993</v>
      </c>
    </row>
    <row r="280" spans="1:27" x14ac:dyDescent="0.25">
      <c r="A280" vm="816">
        <f ca="1"/>
        <v>45699</v>
      </c>
      <c r="B280" vm="817">
        <f ca="1"/>
        <v>156.13</v>
      </c>
      <c r="C280" vm="818">
        <f ca="1"/>
        <v>7554811</v>
      </c>
      <c r="D280">
        <f t="shared" ca="1" si="79"/>
        <v>1179532641.4300001</v>
      </c>
      <c r="E280">
        <f ca="1">SUM($D$2:D280)/SUM($C$2:C280)</f>
        <v>154.2554998659719</v>
      </c>
      <c r="F280">
        <f ca="1">_xlfn.STDEV.P($B$2:B280)</f>
        <v>6.6828572974051506</v>
      </c>
      <c r="G280">
        <f t="shared" ca="1" si="80"/>
        <v>160.93835716337705</v>
      </c>
      <c r="H280">
        <f t="shared" ca="1" si="81"/>
        <v>147.57264256856675</v>
      </c>
      <c r="I280">
        <f t="shared" ca="1" si="90"/>
        <v>150.39449999999997</v>
      </c>
      <c r="J280">
        <f t="shared" ca="1" si="91"/>
        <v>3.6179559146015032</v>
      </c>
      <c r="K280">
        <f t="shared" ca="1" si="92"/>
        <v>157.63041182920298</v>
      </c>
      <c r="L280">
        <f t="shared" ca="1" si="93"/>
        <v>143.15858817079695</v>
      </c>
      <c r="M280">
        <f t="shared" ca="1" si="82"/>
        <v>1.8899999999999864</v>
      </c>
      <c r="N280">
        <f t="shared" ca="1" si="83"/>
        <v>1.8899999999999864</v>
      </c>
      <c r="O280">
        <f t="shared" ca="1" si="84"/>
        <v>0</v>
      </c>
      <c r="P280">
        <f t="shared" ca="1" si="88"/>
        <v>0.90559187495478588</v>
      </c>
      <c r="Q280">
        <f t="shared" ca="1" si="89"/>
        <v>0.47389524825387097</v>
      </c>
      <c r="R280">
        <f t="shared" ca="1" si="86"/>
        <v>1.9109536934408133</v>
      </c>
      <c r="S280">
        <f t="shared" ca="1" si="87"/>
        <v>65.646997331036985</v>
      </c>
      <c r="T280">
        <f>70</f>
        <v>70</v>
      </c>
      <c r="U280">
        <f>30</f>
        <v>30</v>
      </c>
      <c r="V280">
        <f t="shared" ca="1" si="85"/>
        <v>152.67031216681087</v>
      </c>
      <c r="W280">
        <f t="shared" ca="1" si="75"/>
        <v>150.58746003917526</v>
      </c>
      <c r="X280">
        <f t="shared" ca="1" si="74"/>
        <v>2.1351515692617227</v>
      </c>
      <c r="Y280">
        <f t="shared" ca="1" si="76"/>
        <v>1.6221347673955278</v>
      </c>
      <c r="Z280">
        <f t="shared" ca="1" si="77"/>
        <v>0.51301680186619492</v>
      </c>
      <c r="AA280">
        <f t="shared" ca="1" si="78"/>
        <v>153.98989999999998</v>
      </c>
    </row>
    <row r="281" spans="1:27" x14ac:dyDescent="0.25">
      <c r="A281" vm="819">
        <f ca="1"/>
        <v>45700</v>
      </c>
      <c r="B281" vm="820">
        <f ca="1"/>
        <v>155.26</v>
      </c>
      <c r="C281" vm="821">
        <f ca="1"/>
        <v>7746014</v>
      </c>
      <c r="D281">
        <f t="shared" ca="1" si="79"/>
        <v>1202646133.6399999</v>
      </c>
      <c r="E281">
        <f ca="1">SUM($D$2:D281)/SUM($C$2:C281)</f>
        <v>154.25927582226984</v>
      </c>
      <c r="F281">
        <f ca="1">_xlfn.STDEV.P($B$2:B281)</f>
        <v>6.6709538029866167</v>
      </c>
      <c r="G281">
        <f t="shared" ca="1" si="80"/>
        <v>160.93022962525646</v>
      </c>
      <c r="H281">
        <f t="shared" ca="1" si="81"/>
        <v>147.58832201928323</v>
      </c>
      <c r="I281">
        <f t="shared" ca="1" si="90"/>
        <v>150.91999999999999</v>
      </c>
      <c r="J281">
        <f t="shared" ca="1" si="91"/>
        <v>3.5168182390217133</v>
      </c>
      <c r="K281">
        <f t="shared" ca="1" si="92"/>
        <v>157.95363647804342</v>
      </c>
      <c r="L281">
        <f t="shared" ca="1" si="93"/>
        <v>143.88636352195655</v>
      </c>
      <c r="M281">
        <f t="shared" ca="1" si="82"/>
        <v>-0.87000000000000455</v>
      </c>
      <c r="N281">
        <f t="shared" ca="1" si="83"/>
        <v>0</v>
      </c>
      <c r="O281">
        <f t="shared" ca="1" si="84"/>
        <v>0.87000000000000455</v>
      </c>
      <c r="P281">
        <f t="shared" ca="1" si="88"/>
        <v>0.84090674102944407</v>
      </c>
      <c r="Q281">
        <f t="shared" ca="1" si="89"/>
        <v>0.50218844480716629</v>
      </c>
      <c r="R281">
        <f t="shared" ca="1" si="86"/>
        <v>1.6744844484670314</v>
      </c>
      <c r="S281">
        <f t="shared" ca="1" si="87"/>
        <v>62.609616198247743</v>
      </c>
      <c r="T281">
        <f>70</f>
        <v>70</v>
      </c>
      <c r="U281">
        <f>30</f>
        <v>30</v>
      </c>
      <c r="V281">
        <f t="shared" ca="1" si="85"/>
        <v>153.0687256796092</v>
      </c>
      <c r="W281">
        <f t="shared" ca="1" si="75"/>
        <v>150.93357411034748</v>
      </c>
      <c r="X281">
        <f t="shared" ca="1" si="74"/>
        <v>2.3105411423960049</v>
      </c>
      <c r="Y281">
        <f t="shared" ca="1" si="76"/>
        <v>1.7598160423956233</v>
      </c>
      <c r="Z281">
        <f t="shared" ca="1" si="77"/>
        <v>0.55072510000038166</v>
      </c>
      <c r="AA281">
        <f t="shared" ca="1" si="78"/>
        <v>153.88099999999997</v>
      </c>
    </row>
    <row r="282" spans="1:27" x14ac:dyDescent="0.25">
      <c r="A282" vm="822">
        <f ca="1"/>
        <v>45701</v>
      </c>
      <c r="B282" vm="823">
        <f ca="1"/>
        <v>157.25</v>
      </c>
      <c r="C282" vm="824">
        <f ca="1"/>
        <v>10705077</v>
      </c>
      <c r="D282">
        <f t="shared" ca="1" si="79"/>
        <v>1683373358.25</v>
      </c>
      <c r="E282">
        <f ca="1">SUM($D$2:D282)/SUM($C$2:C282)</f>
        <v>154.27473244137954</v>
      </c>
      <c r="F282">
        <f ca="1">_xlfn.STDEV.P($B$2:B282)</f>
        <v>6.6605811712062932</v>
      </c>
      <c r="G282">
        <f t="shared" ca="1" si="80"/>
        <v>160.93531361258584</v>
      </c>
      <c r="H282">
        <f t="shared" ca="1" si="81"/>
        <v>147.61415127017324</v>
      </c>
      <c r="I282">
        <f t="shared" ca="1" si="90"/>
        <v>151.53400000000002</v>
      </c>
      <c r="J282">
        <f t="shared" ca="1" si="91"/>
        <v>3.4952500098818309</v>
      </c>
      <c r="K282">
        <f t="shared" ca="1" si="92"/>
        <v>158.52450001976368</v>
      </c>
      <c r="L282">
        <f t="shared" ca="1" si="93"/>
        <v>144.54349998023636</v>
      </c>
      <c r="M282">
        <f t="shared" ca="1" si="82"/>
        <v>1.9900000000000091</v>
      </c>
      <c r="N282">
        <f t="shared" ca="1" si="83"/>
        <v>1.9900000000000091</v>
      </c>
      <c r="O282">
        <f t="shared" ca="1" si="84"/>
        <v>0</v>
      </c>
      <c r="P282">
        <f t="shared" ca="1" si="88"/>
        <v>0.9229848309559131</v>
      </c>
      <c r="Q282">
        <f t="shared" ca="1" si="89"/>
        <v>0.4663178416066544</v>
      </c>
      <c r="R282">
        <f t="shared" ca="1" si="86"/>
        <v>1.9793041325115406</v>
      </c>
      <c r="S282">
        <f t="shared" ca="1" si="87"/>
        <v>66.435115197285882</v>
      </c>
      <c r="T282">
        <f>70</f>
        <v>70</v>
      </c>
      <c r="U282">
        <f>30</f>
        <v>30</v>
      </c>
      <c r="V282">
        <f t="shared" ca="1" si="85"/>
        <v>153.71199865197701</v>
      </c>
      <c r="W282">
        <f t="shared" ca="1" si="75"/>
        <v>151.40145750958101</v>
      </c>
      <c r="X282">
        <f t="shared" ca="1" si="74"/>
        <v>2.3338743846819057</v>
      </c>
      <c r="Y282">
        <f t="shared" ca="1" si="76"/>
        <v>1.8746277108528797</v>
      </c>
      <c r="Z282">
        <f t="shared" ca="1" si="77"/>
        <v>0.45924667382902595</v>
      </c>
      <c r="AA282">
        <f t="shared" ca="1" si="78"/>
        <v>153.80529999999999</v>
      </c>
    </row>
    <row r="283" spans="1:27" x14ac:dyDescent="0.25">
      <c r="A283" vm="825">
        <f ca="1"/>
        <v>45702</v>
      </c>
      <c r="B283" vm="826">
        <f ca="1"/>
        <v>156.15</v>
      </c>
      <c r="C283" vm="827">
        <f ca="1"/>
        <v>6411840</v>
      </c>
      <c r="D283">
        <f t="shared" ca="1" si="79"/>
        <v>1001208816</v>
      </c>
      <c r="E283">
        <f ca="1">SUM($D$2:D283)/SUM($C$2:C283)</f>
        <v>154.28051942138839</v>
      </c>
      <c r="F283">
        <f ca="1">_xlfn.STDEV.P($B$2:B283)</f>
        <v>6.6491907303515623</v>
      </c>
      <c r="G283">
        <f t="shared" ca="1" si="80"/>
        <v>160.92971015173995</v>
      </c>
      <c r="H283">
        <f t="shared" ca="1" si="81"/>
        <v>147.63132869103683</v>
      </c>
      <c r="I283">
        <f t="shared" ca="1" si="90"/>
        <v>151.95300000000003</v>
      </c>
      <c r="J283">
        <f t="shared" ca="1" si="91"/>
        <v>3.5224634023723556</v>
      </c>
      <c r="K283">
        <f t="shared" ca="1" si="92"/>
        <v>158.99792680474474</v>
      </c>
      <c r="L283">
        <f t="shared" ca="1" si="93"/>
        <v>144.90807319525533</v>
      </c>
      <c r="M283">
        <f t="shared" ca="1" si="82"/>
        <v>-1.0999999999999943</v>
      </c>
      <c r="N283">
        <f t="shared" ca="1" si="83"/>
        <v>0</v>
      </c>
      <c r="O283">
        <f t="shared" ca="1" si="84"/>
        <v>1.0999999999999943</v>
      </c>
      <c r="P283">
        <f t="shared" ca="1" si="88"/>
        <v>0.85705734303049075</v>
      </c>
      <c r="Q283">
        <f t="shared" ca="1" si="89"/>
        <v>0.5115808529204644</v>
      </c>
      <c r="R283">
        <f t="shared" ca="1" si="86"/>
        <v>1.675311611327521</v>
      </c>
      <c r="S283">
        <f t="shared" ca="1" si="87"/>
        <v>62.621176697103024</v>
      </c>
      <c r="T283">
        <f>70</f>
        <v>70</v>
      </c>
      <c r="U283">
        <f>30</f>
        <v>30</v>
      </c>
      <c r="V283">
        <f t="shared" ca="1" si="85"/>
        <v>154.0870757824421</v>
      </c>
      <c r="W283">
        <f t="shared" ca="1" si="75"/>
        <v>151.75320139776019</v>
      </c>
      <c r="X283">
        <f t="shared" ca="1" si="74"/>
        <v>2.2330229433425473</v>
      </c>
      <c r="Y283">
        <f t="shared" ca="1" si="76"/>
        <v>1.9463067573508133</v>
      </c>
      <c r="Z283">
        <f t="shared" ca="1" si="77"/>
        <v>0.28671618599173399</v>
      </c>
      <c r="AA283">
        <f t="shared" ca="1" si="78"/>
        <v>153.72519999999997</v>
      </c>
    </row>
    <row r="284" spans="1:27" x14ac:dyDescent="0.25">
      <c r="A284" vm="828">
        <f ca="1"/>
        <v>45706</v>
      </c>
      <c r="B284" vm="829">
        <f ca="1"/>
        <v>154.99</v>
      </c>
      <c r="C284" vm="830">
        <f ca="1"/>
        <v>9670657</v>
      </c>
      <c r="D284">
        <f t="shared" ca="1" si="79"/>
        <v>1498855128.4300001</v>
      </c>
      <c r="E284">
        <f ca="1">SUM($D$2:D284)/SUM($C$2:C284)</f>
        <v>154.28380631671251</v>
      </c>
      <c r="F284">
        <f ca="1">_xlfn.STDEV.P($B$2:B284)</f>
        <v>6.6374356833342594</v>
      </c>
      <c r="G284">
        <f t="shared" ca="1" si="80"/>
        <v>160.92124200004676</v>
      </c>
      <c r="H284">
        <f t="shared" ca="1" si="81"/>
        <v>147.64637063337827</v>
      </c>
      <c r="I284">
        <f t="shared" ca="1" si="90"/>
        <v>152.35100000000003</v>
      </c>
      <c r="J284">
        <f t="shared" ca="1" si="91"/>
        <v>3.3839138038045458</v>
      </c>
      <c r="K284">
        <f t="shared" ca="1" si="92"/>
        <v>159.11882760760912</v>
      </c>
      <c r="L284">
        <f t="shared" ca="1" si="93"/>
        <v>145.58317239239094</v>
      </c>
      <c r="M284">
        <f t="shared" ca="1" si="82"/>
        <v>-1.1599999999999966</v>
      </c>
      <c r="N284">
        <f t="shared" ca="1" si="83"/>
        <v>0</v>
      </c>
      <c r="O284">
        <f t="shared" ca="1" si="84"/>
        <v>1.1599999999999966</v>
      </c>
      <c r="P284">
        <f t="shared" ca="1" si="88"/>
        <v>0.79583896138545562</v>
      </c>
      <c r="Q284">
        <f t="shared" ca="1" si="89"/>
        <v>0.55789650628328813</v>
      </c>
      <c r="R284">
        <f t="shared" ca="1" si="86"/>
        <v>1.4264992743678258</v>
      </c>
      <c r="S284">
        <f t="shared" ca="1" si="87"/>
        <v>58.788365998562711</v>
      </c>
      <c r="T284">
        <f>70</f>
        <v>70</v>
      </c>
      <c r="U284">
        <f>30</f>
        <v>30</v>
      </c>
      <c r="V284">
        <f t="shared" ca="1" si="85"/>
        <v>154.22598720052792</v>
      </c>
      <c r="W284">
        <f t="shared" ca="1" si="75"/>
        <v>151.99296425718538</v>
      </c>
      <c r="X284">
        <f t="shared" ref="X284:X347" ca="1" si="94">V285-W285</f>
        <v>2.3598997577536807</v>
      </c>
      <c r="Y284">
        <f t="shared" ca="1" si="76"/>
        <v>2.0290253574313866</v>
      </c>
      <c r="Z284">
        <f t="shared" ca="1" si="77"/>
        <v>0.33087440032229409</v>
      </c>
      <c r="AA284">
        <f t="shared" ca="1" si="78"/>
        <v>153.6429</v>
      </c>
    </row>
    <row r="285" spans="1:27" x14ac:dyDescent="0.25">
      <c r="A285" vm="831">
        <f ca="1"/>
        <v>45707</v>
      </c>
      <c r="B285" vm="832">
        <f ca="1"/>
        <v>157.88999999999999</v>
      </c>
      <c r="C285" vm="833">
        <f ca="1"/>
        <v>7974736</v>
      </c>
      <c r="D285">
        <f t="shared" ca="1" si="79"/>
        <v>1259131067.04</v>
      </c>
      <c r="E285">
        <f ca="1">SUM($D$2:D285)/SUM($C$2:C285)</f>
        <v>154.29753088650003</v>
      </c>
      <c r="F285">
        <f ca="1">_xlfn.STDEV.P($B$2:B285)</f>
        <v>6.6281328505138353</v>
      </c>
      <c r="G285">
        <f t="shared" ca="1" si="80"/>
        <v>160.92566373701385</v>
      </c>
      <c r="H285">
        <f t="shared" ca="1" si="81"/>
        <v>147.66939803598621</v>
      </c>
      <c r="I285">
        <f t="shared" ca="1" si="90"/>
        <v>152.83800000000002</v>
      </c>
      <c r="J285">
        <f t="shared" ca="1" si="91"/>
        <v>3.4477705992805201</v>
      </c>
      <c r="K285">
        <f t="shared" ca="1" si="92"/>
        <v>159.73354119856106</v>
      </c>
      <c r="L285">
        <f t="shared" ca="1" si="93"/>
        <v>145.94245880143899</v>
      </c>
      <c r="M285">
        <f t="shared" ca="1" si="82"/>
        <v>2.8999999999999773</v>
      </c>
      <c r="N285">
        <f t="shared" ca="1" si="83"/>
        <v>2.8999999999999773</v>
      </c>
      <c r="O285">
        <f t="shared" ca="1" si="84"/>
        <v>0</v>
      </c>
      <c r="P285">
        <f t="shared" ca="1" si="88"/>
        <v>0.94613617842934994</v>
      </c>
      <c r="Q285">
        <f t="shared" ca="1" si="89"/>
        <v>0.5180467558344819</v>
      </c>
      <c r="R285">
        <f t="shared" ca="1" si="86"/>
        <v>1.8263528682952401</v>
      </c>
      <c r="S285">
        <f t="shared" ca="1" si="87"/>
        <v>64.618713706361575</v>
      </c>
      <c r="T285">
        <f>70</f>
        <v>70</v>
      </c>
      <c r="U285">
        <f>30</f>
        <v>30</v>
      </c>
      <c r="V285">
        <f t="shared" ca="1" si="85"/>
        <v>154.78968147736978</v>
      </c>
      <c r="W285">
        <f t="shared" ref="W285:W348" ca="1" si="95">B285*(2/(26+1)) + W284*(1-(2/(26+1)))</f>
        <v>152.4297817196161</v>
      </c>
      <c r="X285">
        <f t="shared" ca="1" si="94"/>
        <v>2.5752032475885471</v>
      </c>
      <c r="Y285">
        <f t="shared" ca="1" si="76"/>
        <v>2.1382609354628186</v>
      </c>
      <c r="Z285">
        <f t="shared" ca="1" si="77"/>
        <v>0.43694231212572854</v>
      </c>
      <c r="AA285">
        <f t="shared" ca="1" si="78"/>
        <v>153.59399999999999</v>
      </c>
    </row>
    <row r="286" spans="1:27" x14ac:dyDescent="0.25">
      <c r="A286" vm="834">
        <f ca="1"/>
        <v>45708</v>
      </c>
      <c r="B286" vm="835">
        <f ca="1"/>
        <v>159.68</v>
      </c>
      <c r="C286" vm="836">
        <f ca="1"/>
        <v>7224030</v>
      </c>
      <c r="D286">
        <f t="shared" ca="1" si="79"/>
        <v>1153533110.4000001</v>
      </c>
      <c r="E286">
        <f ca="1">SUM($D$2:D286)/SUM($C$2:C286)</f>
        <v>154.31602356327679</v>
      </c>
      <c r="F286">
        <f ca="1">_xlfn.STDEV.P($B$2:B286)</f>
        <v>6.6225438559078293</v>
      </c>
      <c r="G286">
        <f t="shared" ca="1" si="80"/>
        <v>160.93856741918461</v>
      </c>
      <c r="H286">
        <f t="shared" ca="1" si="81"/>
        <v>147.69347970736897</v>
      </c>
      <c r="I286">
        <f t="shared" ca="1" si="90"/>
        <v>153.55850000000001</v>
      </c>
      <c r="J286">
        <f t="shared" ca="1" si="91"/>
        <v>3.2848235953596641</v>
      </c>
      <c r="K286">
        <f t="shared" ca="1" si="92"/>
        <v>160.12814719071935</v>
      </c>
      <c r="L286">
        <f t="shared" ca="1" si="93"/>
        <v>146.98885280928067</v>
      </c>
      <c r="M286">
        <f t="shared" ca="1" si="82"/>
        <v>1.7900000000000205</v>
      </c>
      <c r="N286">
        <f t="shared" ca="1" si="83"/>
        <v>1.7900000000000205</v>
      </c>
      <c r="O286">
        <f t="shared" ca="1" si="84"/>
        <v>0</v>
      </c>
      <c r="P286">
        <f t="shared" ca="1" si="88"/>
        <v>1.0064121656843978</v>
      </c>
      <c r="Q286">
        <f t="shared" ca="1" si="89"/>
        <v>0.4810434161320189</v>
      </c>
      <c r="R286">
        <f t="shared" ca="1" si="86"/>
        <v>2.0921441431976593</v>
      </c>
      <c r="S286">
        <f t="shared" ca="1" si="87"/>
        <v>67.659981110522352</v>
      </c>
      <c r="T286">
        <f>70</f>
        <v>70</v>
      </c>
      <c r="U286">
        <f>30</f>
        <v>30</v>
      </c>
      <c r="V286">
        <f t="shared" ca="1" si="85"/>
        <v>155.54203817315903</v>
      </c>
      <c r="W286">
        <f t="shared" ca="1" si="95"/>
        <v>152.96683492557048</v>
      </c>
      <c r="X286">
        <f t="shared" ca="1" si="94"/>
        <v>2.9235441214183027</v>
      </c>
      <c r="Y286">
        <f t="shared" ca="1" si="76"/>
        <v>2.2953175726539157</v>
      </c>
      <c r="Z286">
        <f t="shared" ca="1" si="77"/>
        <v>0.62822654876438699</v>
      </c>
      <c r="AA286">
        <f t="shared" ca="1" si="78"/>
        <v>153.5848</v>
      </c>
    </row>
    <row r="287" spans="1:27" x14ac:dyDescent="0.25">
      <c r="A287" vm="837">
        <f ca="1"/>
        <v>45709</v>
      </c>
      <c r="B287" vm="838">
        <f ca="1"/>
        <v>162.30000000000001</v>
      </c>
      <c r="C287" vm="839">
        <f ca="1"/>
        <v>12546930</v>
      </c>
      <c r="D287">
        <f t="shared" ca="1" si="79"/>
        <v>2036366739.0000002</v>
      </c>
      <c r="E287">
        <f ca="1">SUM($D$2:D287)/SUM($C$2:C287)</f>
        <v>154.36338354865811</v>
      </c>
      <c r="F287">
        <f ca="1">_xlfn.STDEV.P($B$2:B287)</f>
        <v>6.6253287582077895</v>
      </c>
      <c r="G287">
        <f t="shared" ca="1" si="80"/>
        <v>160.98871230686589</v>
      </c>
      <c r="H287">
        <f t="shared" ca="1" si="81"/>
        <v>147.73805479045032</v>
      </c>
      <c r="I287">
        <f t="shared" ca="1" si="90"/>
        <v>154.3415</v>
      </c>
      <c r="J287">
        <f t="shared" ca="1" si="91"/>
        <v>3.4128060302337739</v>
      </c>
      <c r="K287">
        <f t="shared" ca="1" si="92"/>
        <v>161.16711206046753</v>
      </c>
      <c r="L287">
        <f t="shared" ca="1" si="93"/>
        <v>147.51588793953246</v>
      </c>
      <c r="M287">
        <f t="shared" ca="1" si="82"/>
        <v>2.6200000000000045</v>
      </c>
      <c r="N287">
        <f t="shared" ca="1" si="83"/>
        <v>2.6200000000000045</v>
      </c>
      <c r="O287">
        <f t="shared" ca="1" si="84"/>
        <v>0</v>
      </c>
      <c r="P287">
        <f t="shared" ca="1" si="88"/>
        <v>1.1216684395640841</v>
      </c>
      <c r="Q287">
        <f t="shared" ca="1" si="89"/>
        <v>0.44668317212258896</v>
      </c>
      <c r="R287">
        <f t="shared" ca="1" si="86"/>
        <v>2.5111052073755991</v>
      </c>
      <c r="S287">
        <f t="shared" ca="1" si="87"/>
        <v>71.518939452473504</v>
      </c>
      <c r="T287">
        <f>70</f>
        <v>70</v>
      </c>
      <c r="U287">
        <f>30</f>
        <v>30</v>
      </c>
      <c r="V287">
        <f t="shared" ca="1" si="85"/>
        <v>156.58172460805764</v>
      </c>
      <c r="W287">
        <f t="shared" ca="1" si="95"/>
        <v>153.65818048663934</v>
      </c>
      <c r="X287">
        <f t="shared" ca="1" si="94"/>
        <v>3.2780158132060819</v>
      </c>
      <c r="Y287">
        <f t="shared" ca="1" si="76"/>
        <v>2.491857220764349</v>
      </c>
      <c r="Z287">
        <f t="shared" ca="1" si="77"/>
        <v>0.78615859244173292</v>
      </c>
      <c r="AA287">
        <f t="shared" ca="1" si="78"/>
        <v>153.59389999999999</v>
      </c>
    </row>
    <row r="288" spans="1:27" x14ac:dyDescent="0.25">
      <c r="A288" vm="840">
        <f ca="1"/>
        <v>45712</v>
      </c>
      <c r="B288" vm="841">
        <f ca="1"/>
        <v>163.74</v>
      </c>
      <c r="C288" vm="842">
        <f ca="1"/>
        <v>10201917</v>
      </c>
      <c r="D288">
        <f t="shared" ca="1" si="79"/>
        <v>1670461889.5800002</v>
      </c>
      <c r="E288">
        <f ca="1">SUM($D$2:D288)/SUM($C$2:C288)</f>
        <v>154.40839190107258</v>
      </c>
      <c r="F288">
        <f ca="1">_xlfn.STDEV.P($B$2:B288)</f>
        <v>6.6340884751377898</v>
      </c>
      <c r="G288">
        <f t="shared" ca="1" si="80"/>
        <v>161.04248037621036</v>
      </c>
      <c r="H288">
        <f t="shared" ca="1" si="81"/>
        <v>147.77430342593479</v>
      </c>
      <c r="I288">
        <f t="shared" ca="1" si="90"/>
        <v>155.1875</v>
      </c>
      <c r="J288">
        <f t="shared" ca="1" si="91"/>
        <v>3.5447676414088076</v>
      </c>
      <c r="K288">
        <f t="shared" ca="1" si="92"/>
        <v>162.27703528281762</v>
      </c>
      <c r="L288">
        <f t="shared" ca="1" si="93"/>
        <v>148.09796471718238</v>
      </c>
      <c r="M288">
        <f t="shared" ca="1" si="82"/>
        <v>1.4399999999999977</v>
      </c>
      <c r="N288">
        <f t="shared" ca="1" si="83"/>
        <v>1.4399999999999977</v>
      </c>
      <c r="O288">
        <f t="shared" ca="1" si="84"/>
        <v>0</v>
      </c>
      <c r="P288">
        <f t="shared" ca="1" si="88"/>
        <v>1.1444064081666494</v>
      </c>
      <c r="Q288">
        <f t="shared" ca="1" si="89"/>
        <v>0.41477723125668975</v>
      </c>
      <c r="R288">
        <f t="shared" ca="1" si="86"/>
        <v>2.7590868589853237</v>
      </c>
      <c r="S288">
        <f t="shared" ca="1" si="87"/>
        <v>73.397794796635097</v>
      </c>
      <c r="T288">
        <f>70</f>
        <v>70</v>
      </c>
      <c r="U288">
        <f>30</f>
        <v>30</v>
      </c>
      <c r="V288">
        <f t="shared" ca="1" si="85"/>
        <v>157.68299774527955</v>
      </c>
      <c r="W288">
        <f t="shared" ca="1" si="95"/>
        <v>154.40498193207347</v>
      </c>
      <c r="X288">
        <f t="shared" ca="1" si="94"/>
        <v>3.7058438815502939</v>
      </c>
      <c r="Y288">
        <f t="shared" ca="1" si="76"/>
        <v>2.7346545529215383</v>
      </c>
      <c r="Z288">
        <f t="shared" ca="1" si="77"/>
        <v>0.97118932862875562</v>
      </c>
      <c r="AA288">
        <f t="shared" ca="1" si="78"/>
        <v>153.6173</v>
      </c>
    </row>
    <row r="289" spans="1:27" x14ac:dyDescent="0.25">
      <c r="A289" vm="843">
        <f ca="1"/>
        <v>45713</v>
      </c>
      <c r="B289" vm="844">
        <f ca="1"/>
        <v>166.09</v>
      </c>
      <c r="C289" vm="845">
        <f ca="1"/>
        <v>12303697</v>
      </c>
      <c r="D289">
        <f t="shared" ca="1" si="79"/>
        <v>2043521034.73</v>
      </c>
      <c r="E289">
        <f ca="1">SUM($D$2:D289)/SUM($C$2:C289)</f>
        <v>154.47562708102024</v>
      </c>
      <c r="F289">
        <f ca="1">_xlfn.STDEV.P($B$2:B289)</f>
        <v>6.6548018287126096</v>
      </c>
      <c r="G289">
        <f t="shared" ca="1" si="80"/>
        <v>161.13042890973284</v>
      </c>
      <c r="H289">
        <f t="shared" ca="1" si="81"/>
        <v>147.82082525230763</v>
      </c>
      <c r="I289">
        <f t="shared" ca="1" si="90"/>
        <v>155.8475</v>
      </c>
      <c r="J289">
        <f t="shared" ca="1" si="91"/>
        <v>4.2526535060013151</v>
      </c>
      <c r="K289">
        <f t="shared" ca="1" si="92"/>
        <v>164.35280701200261</v>
      </c>
      <c r="L289">
        <f t="shared" ca="1" si="93"/>
        <v>147.34219298799738</v>
      </c>
      <c r="M289">
        <f t="shared" ca="1" si="82"/>
        <v>2.3499999999999943</v>
      </c>
      <c r="N289">
        <f t="shared" ca="1" si="83"/>
        <v>2.3499999999999943</v>
      </c>
      <c r="O289">
        <f t="shared" ca="1" si="84"/>
        <v>0</v>
      </c>
      <c r="P289">
        <f t="shared" ca="1" si="88"/>
        <v>1.2305202361547454</v>
      </c>
      <c r="Q289">
        <f t="shared" ca="1" si="89"/>
        <v>0.38515028616692615</v>
      </c>
      <c r="R289">
        <f t="shared" ca="1" si="86"/>
        <v>3.1949093129361756</v>
      </c>
      <c r="S289">
        <f t="shared" ca="1" si="87"/>
        <v>76.161582399023018</v>
      </c>
      <c r="T289">
        <f>70</f>
        <v>70</v>
      </c>
      <c r="U289">
        <f>30</f>
        <v>30</v>
      </c>
      <c r="V289">
        <f t="shared" ca="1" si="85"/>
        <v>158.97638270754425</v>
      </c>
      <c r="W289">
        <f t="shared" ca="1" si="95"/>
        <v>155.27053882599395</v>
      </c>
      <c r="X289">
        <f t="shared" ca="1" si="94"/>
        <v>3.7586910133692299</v>
      </c>
      <c r="Y289">
        <f t="shared" ca="1" si="76"/>
        <v>2.9394618450110768</v>
      </c>
      <c r="Z289">
        <f t="shared" ca="1" si="77"/>
        <v>0.81922916835815318</v>
      </c>
      <c r="AA289">
        <f t="shared" ca="1" si="78"/>
        <v>153.6576</v>
      </c>
    </row>
    <row r="290" spans="1:27" x14ac:dyDescent="0.25">
      <c r="A290" vm="846">
        <f ca="1"/>
        <v>45714</v>
      </c>
      <c r="B290" vm="847">
        <f ca="1"/>
        <v>163.08000000000001</v>
      </c>
      <c r="C290" vm="848">
        <f ca="1"/>
        <v>11396410</v>
      </c>
      <c r="D290">
        <f t="shared" ca="1" si="79"/>
        <v>1858526542.8000002</v>
      </c>
      <c r="E290">
        <f ca="1">SUM($D$2:D290)/SUM($C$2:C290)</f>
        <v>154.52125560640621</v>
      </c>
      <c r="F290">
        <f ca="1">_xlfn.STDEV.P($B$2:B290)</f>
        <v>6.6601757712078999</v>
      </c>
      <c r="G290">
        <f t="shared" ca="1" si="80"/>
        <v>161.1814313776141</v>
      </c>
      <c r="H290">
        <f t="shared" ca="1" si="81"/>
        <v>147.86107983519832</v>
      </c>
      <c r="I290">
        <f t="shared" ca="1" si="90"/>
        <v>156.48249999999999</v>
      </c>
      <c r="J290">
        <f t="shared" ca="1" si="91"/>
        <v>4.3405503834858274</v>
      </c>
      <c r="K290">
        <f t="shared" ca="1" si="92"/>
        <v>165.16360076697165</v>
      </c>
      <c r="L290">
        <f t="shared" ca="1" si="93"/>
        <v>147.80139923302832</v>
      </c>
      <c r="M290">
        <f t="shared" ca="1" si="82"/>
        <v>-3.0099999999999909</v>
      </c>
      <c r="N290">
        <f t="shared" ca="1" si="83"/>
        <v>0</v>
      </c>
      <c r="O290">
        <f t="shared" ca="1" si="84"/>
        <v>3.0099999999999909</v>
      </c>
      <c r="P290">
        <f t="shared" ca="1" si="88"/>
        <v>1.1426259335722635</v>
      </c>
      <c r="Q290">
        <f t="shared" ca="1" si="89"/>
        <v>0.57263955144071654</v>
      </c>
      <c r="R290">
        <f t="shared" ca="1" si="86"/>
        <v>1.9953667725142379</v>
      </c>
      <c r="S290">
        <f t="shared" ca="1" si="87"/>
        <v>66.615106731633261</v>
      </c>
      <c r="T290">
        <f>70</f>
        <v>70</v>
      </c>
      <c r="U290">
        <f>30</f>
        <v>30</v>
      </c>
      <c r="V290">
        <f t="shared" ca="1" si="85"/>
        <v>159.60770844484512</v>
      </c>
      <c r="W290">
        <f t="shared" ca="1" si="95"/>
        <v>155.84901743147589</v>
      </c>
      <c r="X290">
        <f t="shared" ca="1" si="94"/>
        <v>3.8091132276049393</v>
      </c>
      <c r="Y290">
        <f t="shared" ca="1" si="76"/>
        <v>3.1133921215298495</v>
      </c>
      <c r="Z290">
        <f t="shared" ca="1" si="77"/>
        <v>0.69572110607508986</v>
      </c>
      <c r="AA290">
        <f t="shared" ca="1" si="78"/>
        <v>153.66849999999999</v>
      </c>
    </row>
    <row r="291" spans="1:27" x14ac:dyDescent="0.25">
      <c r="A291" vm="849">
        <f ca="1"/>
        <v>45715</v>
      </c>
      <c r="B291" vm="850">
        <f ca="1"/>
        <v>163.72999999999999</v>
      </c>
      <c r="C291" vm="851">
        <f ca="1"/>
        <v>8364573</v>
      </c>
      <c r="D291">
        <f t="shared" ca="1" si="79"/>
        <v>1369531537.29</v>
      </c>
      <c r="E291">
        <f ca="1">SUM($D$2:D291)/SUM($C$2:C291)</f>
        <v>154.55695873438393</v>
      </c>
      <c r="F291">
        <f ca="1">_xlfn.STDEV.P($B$2:B291)</f>
        <v>6.6681971537004125</v>
      </c>
      <c r="G291">
        <f t="shared" ca="1" si="80"/>
        <v>161.22515588808434</v>
      </c>
      <c r="H291">
        <f t="shared" ca="1" si="81"/>
        <v>147.88876158068351</v>
      </c>
      <c r="I291">
        <f t="shared" ca="1" si="90"/>
        <v>157.11150000000001</v>
      </c>
      <c r="J291">
        <f t="shared" ca="1" si="91"/>
        <v>4.4375494363443444</v>
      </c>
      <c r="K291">
        <f t="shared" ca="1" si="92"/>
        <v>165.98659887268869</v>
      </c>
      <c r="L291">
        <f t="shared" ca="1" si="93"/>
        <v>148.23640112731132</v>
      </c>
      <c r="M291">
        <f t="shared" ca="1" si="82"/>
        <v>0.64999999999997726</v>
      </c>
      <c r="N291">
        <f t="shared" ca="1" si="83"/>
        <v>0.64999999999997726</v>
      </c>
      <c r="O291">
        <f t="shared" ca="1" si="84"/>
        <v>0</v>
      </c>
      <c r="P291">
        <f t="shared" ca="1" si="88"/>
        <v>1.1074383668885288</v>
      </c>
      <c r="Q291">
        <f t="shared" ca="1" si="89"/>
        <v>0.53173672633780822</v>
      </c>
      <c r="R291">
        <f t="shared" ca="1" si="86"/>
        <v>2.0826817333376777</v>
      </c>
      <c r="S291">
        <f t="shared" ca="1" si="87"/>
        <v>67.560712181686</v>
      </c>
      <c r="T291">
        <f>70</f>
        <v>70</v>
      </c>
      <c r="U291">
        <f>30</f>
        <v>30</v>
      </c>
      <c r="V291">
        <f t="shared" ca="1" si="85"/>
        <v>160.24190714563815</v>
      </c>
      <c r="W291">
        <f t="shared" ca="1" si="95"/>
        <v>156.43279391803321</v>
      </c>
      <c r="X291">
        <f t="shared" ca="1" si="94"/>
        <v>3.9081150965633356</v>
      </c>
      <c r="Y291">
        <f t="shared" ca="1" si="76"/>
        <v>3.2723367165365471</v>
      </c>
      <c r="Z291">
        <f t="shared" ca="1" si="77"/>
        <v>0.63577838002678844</v>
      </c>
      <c r="AA291">
        <f t="shared" ca="1" si="78"/>
        <v>153.69409999999999</v>
      </c>
    </row>
    <row r="292" spans="1:27" x14ac:dyDescent="0.25">
      <c r="A292" vm="852">
        <f ca="1"/>
        <v>45716</v>
      </c>
      <c r="B292" vm="853">
        <f ca="1"/>
        <v>165.02</v>
      </c>
      <c r="C292" vm="854">
        <f ca="1"/>
        <v>12037415</v>
      </c>
      <c r="D292">
        <f t="shared" ca="1" si="79"/>
        <v>1986414223.3000002</v>
      </c>
      <c r="E292">
        <f ca="1">SUM($D$2:D292)/SUM($C$2:C292)</f>
        <v>154.6150133605461</v>
      </c>
      <c r="F292">
        <f ca="1">_xlfn.STDEV.P($B$2:B292)</f>
        <v>6.6821792501358077</v>
      </c>
      <c r="G292">
        <f t="shared" ca="1" si="80"/>
        <v>161.29719261068192</v>
      </c>
      <c r="H292">
        <f t="shared" ca="1" si="81"/>
        <v>147.93283411041028</v>
      </c>
      <c r="I292">
        <f t="shared" ca="1" si="90"/>
        <v>157.71899999999999</v>
      </c>
      <c r="J292">
        <f t="shared" ca="1" si="91"/>
        <v>4.652774950160615</v>
      </c>
      <c r="K292">
        <f t="shared" ca="1" si="92"/>
        <v>167.02454990032123</v>
      </c>
      <c r="L292">
        <f t="shared" ca="1" si="93"/>
        <v>148.41345009967876</v>
      </c>
      <c r="M292">
        <f t="shared" ca="1" si="82"/>
        <v>1.2900000000000205</v>
      </c>
      <c r="N292">
        <f t="shared" ca="1" si="83"/>
        <v>1.2900000000000205</v>
      </c>
      <c r="O292">
        <f t="shared" ca="1" si="84"/>
        <v>0</v>
      </c>
      <c r="P292">
        <f t="shared" ca="1" si="88"/>
        <v>1.1204784835393498</v>
      </c>
      <c r="Q292">
        <f t="shared" ca="1" si="89"/>
        <v>0.49375553159939339</v>
      </c>
      <c r="R292">
        <f t="shared" ca="1" si="86"/>
        <v>2.2692980874763049</v>
      </c>
      <c r="S292">
        <f t="shared" ca="1" si="87"/>
        <v>69.412394549438659</v>
      </c>
      <c r="T292">
        <f>70</f>
        <v>70</v>
      </c>
      <c r="U292">
        <f>30</f>
        <v>30</v>
      </c>
      <c r="V292">
        <f t="shared" ca="1" si="85"/>
        <v>160.97699835400149</v>
      </c>
      <c r="W292">
        <f t="shared" ca="1" si="95"/>
        <v>157.06888325743816</v>
      </c>
      <c r="X292">
        <f t="shared" ca="1" si="94"/>
        <v>4.1214286395186264</v>
      </c>
      <c r="Y292">
        <f t="shared" ca="1" si="76"/>
        <v>3.4421551011329634</v>
      </c>
      <c r="Z292">
        <f t="shared" ca="1" si="77"/>
        <v>0.67927353838566296</v>
      </c>
      <c r="AA292">
        <f t="shared" ca="1" si="78"/>
        <v>153.73929999999999</v>
      </c>
    </row>
    <row r="293" spans="1:27" x14ac:dyDescent="0.25">
      <c r="A293" vm="855">
        <f ca="1"/>
        <v>45719</v>
      </c>
      <c r="B293" vm="856">
        <f ca="1"/>
        <v>167.28</v>
      </c>
      <c r="C293" vm="857">
        <f ca="1"/>
        <v>9191464</v>
      </c>
      <c r="D293">
        <f t="shared" ca="1" si="79"/>
        <v>1537548097.9200001</v>
      </c>
      <c r="E293">
        <f ca="1">SUM($D$2:D293)/SUM($C$2:C293)</f>
        <v>154.66844506003449</v>
      </c>
      <c r="F293">
        <f ca="1">_xlfn.STDEV.P($B$2:B293)</f>
        <v>6.7085827472557904</v>
      </c>
      <c r="G293">
        <f t="shared" ca="1" si="80"/>
        <v>161.37702780729029</v>
      </c>
      <c r="H293">
        <f t="shared" ca="1" si="81"/>
        <v>147.95986231277868</v>
      </c>
      <c r="I293">
        <f t="shared" ca="1" si="90"/>
        <v>158.47550000000004</v>
      </c>
      <c r="J293">
        <f t="shared" ca="1" si="91"/>
        <v>4.9218690020849012</v>
      </c>
      <c r="K293">
        <f t="shared" ca="1" si="92"/>
        <v>168.31923800416985</v>
      </c>
      <c r="L293">
        <f t="shared" ca="1" si="93"/>
        <v>148.63176199583023</v>
      </c>
      <c r="M293">
        <f t="shared" ca="1" si="82"/>
        <v>2.2599999999999909</v>
      </c>
      <c r="N293">
        <f t="shared" ca="1" si="83"/>
        <v>2.2599999999999909</v>
      </c>
      <c r="O293">
        <f t="shared" ca="1" si="84"/>
        <v>0</v>
      </c>
      <c r="P293">
        <f t="shared" ca="1" si="88"/>
        <v>1.2018728775722527</v>
      </c>
      <c r="Q293">
        <f t="shared" ca="1" si="89"/>
        <v>0.45848727934229389</v>
      </c>
      <c r="R293">
        <f t="shared" ca="1" si="86"/>
        <v>2.6213876190771428</v>
      </c>
      <c r="S293">
        <f t="shared" ca="1" si="87"/>
        <v>72.386275505773256</v>
      </c>
      <c r="T293">
        <f>70</f>
        <v>70</v>
      </c>
      <c r="U293">
        <f>30</f>
        <v>30</v>
      </c>
      <c r="V293">
        <f t="shared" ca="1" si="85"/>
        <v>161.94669091492435</v>
      </c>
      <c r="W293">
        <f t="shared" ca="1" si="95"/>
        <v>157.82526227540572</v>
      </c>
      <c r="X293">
        <f t="shared" ca="1" si="94"/>
        <v>4.0932107185916493</v>
      </c>
      <c r="Y293">
        <f t="shared" ca="1" si="76"/>
        <v>3.5723662246247008</v>
      </c>
      <c r="Z293">
        <f t="shared" ca="1" si="77"/>
        <v>0.52084449396694854</v>
      </c>
      <c r="AA293">
        <f t="shared" ca="1" si="78"/>
        <v>153.8092</v>
      </c>
    </row>
    <row r="294" spans="1:27" x14ac:dyDescent="0.25">
      <c r="A294" vm="858">
        <f ca="1"/>
        <v>45720</v>
      </c>
      <c r="B294" vm="859">
        <f ca="1"/>
        <v>165.42</v>
      </c>
      <c r="C294" vm="860">
        <f ca="1"/>
        <v>11999962</v>
      </c>
      <c r="D294">
        <f t="shared" ca="1" si="79"/>
        <v>1985033714.04</v>
      </c>
      <c r="E294">
        <f ca="1">SUM($D$2:D294)/SUM($C$2:C294)</f>
        <v>154.72733962321919</v>
      </c>
      <c r="F294">
        <f ca="1">_xlfn.STDEV.P($B$2:B294)</f>
        <v>6.7239084192407761</v>
      </c>
      <c r="G294">
        <f t="shared" ca="1" si="80"/>
        <v>161.45124804245998</v>
      </c>
      <c r="H294">
        <f t="shared" ca="1" si="81"/>
        <v>148.00343120397841</v>
      </c>
      <c r="I294">
        <f t="shared" ca="1" si="90"/>
        <v>159.15300000000005</v>
      </c>
      <c r="J294">
        <f t="shared" ca="1" si="91"/>
        <v>4.8972839948603957</v>
      </c>
      <c r="K294">
        <f t="shared" ca="1" si="92"/>
        <v>168.94756798972085</v>
      </c>
      <c r="L294">
        <f t="shared" ca="1" si="93"/>
        <v>149.35843201027924</v>
      </c>
      <c r="M294">
        <f t="shared" ca="1" si="82"/>
        <v>-1.8600000000000136</v>
      </c>
      <c r="N294">
        <f t="shared" ca="1" si="83"/>
        <v>0</v>
      </c>
      <c r="O294">
        <f t="shared" ca="1" si="84"/>
        <v>1.8600000000000136</v>
      </c>
      <c r="P294">
        <f t="shared" ca="1" si="88"/>
        <v>1.1160248148885203</v>
      </c>
      <c r="Q294">
        <f t="shared" ca="1" si="89"/>
        <v>0.55859533081784529</v>
      </c>
      <c r="R294">
        <f t="shared" ca="1" si="86"/>
        <v>1.9979128956458276</v>
      </c>
      <c r="S294">
        <f t="shared" ca="1" si="87"/>
        <v>66.643460473704849</v>
      </c>
      <c r="T294">
        <f>70</f>
        <v>70</v>
      </c>
      <c r="U294">
        <f>30</f>
        <v>30</v>
      </c>
      <c r="V294">
        <f t="shared" ca="1" si="85"/>
        <v>162.48104615878214</v>
      </c>
      <c r="W294">
        <f t="shared" ca="1" si="95"/>
        <v>158.38783544019049</v>
      </c>
      <c r="X294">
        <f t="shared" ca="1" si="94"/>
        <v>4.0005247609583421</v>
      </c>
      <c r="Y294">
        <f t="shared" ref="Y294:Y357" ca="1" si="96">X294*(2/(9+1)) + Y293*(1-(2/(9+1)))</f>
        <v>3.6579979318914293</v>
      </c>
      <c r="Z294">
        <f t="shared" ref="Z294:Z357" ca="1" si="97">X294-Y294</f>
        <v>0.34252682906691279</v>
      </c>
      <c r="AA294">
        <f t="shared" ref="AA294:AA357" ca="1" si="98">AVERAGE(B195:B294)</f>
        <v>153.8681</v>
      </c>
    </row>
    <row r="295" spans="1:27" x14ac:dyDescent="0.25">
      <c r="A295" vm="861">
        <f ca="1"/>
        <v>45721</v>
      </c>
      <c r="B295" vm="596">
        <f ca="1"/>
        <v>165.12</v>
      </c>
      <c r="C295" vm="862">
        <f ca="1"/>
        <v>8745050</v>
      </c>
      <c r="D295">
        <f t="shared" ca="1" si="79"/>
        <v>1443982656</v>
      </c>
      <c r="E295">
        <f ca="1">SUM($D$2:D295)/SUM($C$2:C295)</f>
        <v>154.76866176772663</v>
      </c>
      <c r="F295">
        <f ca="1">_xlfn.STDEV.P($B$2:B295)</f>
        <v>6.7373909397993756</v>
      </c>
      <c r="G295">
        <f t="shared" ca="1" si="80"/>
        <v>161.50605270752601</v>
      </c>
      <c r="H295">
        <f t="shared" ca="1" si="81"/>
        <v>148.03127082792724</v>
      </c>
      <c r="I295">
        <f t="shared" ca="1" si="90"/>
        <v>159.7345</v>
      </c>
      <c r="J295">
        <f t="shared" ca="1" si="91"/>
        <v>4.8799109946585588</v>
      </c>
      <c r="K295">
        <f t="shared" ca="1" si="92"/>
        <v>169.49432198931711</v>
      </c>
      <c r="L295">
        <f t="shared" ca="1" si="93"/>
        <v>149.97467801068288</v>
      </c>
      <c r="M295">
        <f t="shared" ca="1" si="82"/>
        <v>-0.29999999999998295</v>
      </c>
      <c r="N295">
        <f t="shared" ca="1" si="83"/>
        <v>0</v>
      </c>
      <c r="O295">
        <f t="shared" ca="1" si="84"/>
        <v>0.29999999999998295</v>
      </c>
      <c r="P295">
        <f t="shared" ca="1" si="88"/>
        <v>1.0363087566821974</v>
      </c>
      <c r="Q295">
        <f t="shared" ca="1" si="89"/>
        <v>0.54012423575942659</v>
      </c>
      <c r="R295">
        <f t="shared" ca="1" si="86"/>
        <v>1.9186488738560756</v>
      </c>
      <c r="S295">
        <f t="shared" ca="1" si="87"/>
        <v>65.737570937102319</v>
      </c>
      <c r="T295">
        <f>70</f>
        <v>70</v>
      </c>
      <c r="U295">
        <f>30</f>
        <v>30</v>
      </c>
      <c r="V295">
        <f t="shared" ca="1" si="85"/>
        <v>162.88703905743102</v>
      </c>
      <c r="W295">
        <f t="shared" ca="1" si="95"/>
        <v>158.88651429647268</v>
      </c>
      <c r="X295">
        <f t="shared" ca="1" si="94"/>
        <v>3.9389557085566764</v>
      </c>
      <c r="Y295">
        <f t="shared" ca="1" si="96"/>
        <v>3.7141894872244792</v>
      </c>
      <c r="Z295">
        <f t="shared" ca="1" si="97"/>
        <v>0.22476622133219726</v>
      </c>
      <c r="AA295">
        <f t="shared" ca="1" si="98"/>
        <v>153.92240000000001</v>
      </c>
    </row>
    <row r="296" spans="1:27" x14ac:dyDescent="0.25">
      <c r="A296" vm="863">
        <f ca="1"/>
        <v>45722</v>
      </c>
      <c r="B296" vm="864">
        <f ca="1"/>
        <v>165.83</v>
      </c>
      <c r="C296" vm="865">
        <f ca="1"/>
        <v>8037888</v>
      </c>
      <c r="D296">
        <f t="shared" ca="1" si="79"/>
        <v>1332922967.0400002</v>
      </c>
      <c r="E296">
        <f ca="1">SUM($D$2:D296)/SUM($C$2:C296)</f>
        <v>154.80893895907781</v>
      </c>
      <c r="F296">
        <f ca="1">_xlfn.STDEV.P($B$2:B296)</f>
        <v>6.7542344644955064</v>
      </c>
      <c r="G296">
        <f t="shared" ca="1" si="80"/>
        <v>161.56317342357332</v>
      </c>
      <c r="H296">
        <f t="shared" ca="1" si="81"/>
        <v>148.0547044945823</v>
      </c>
      <c r="I296">
        <f t="shared" ca="1" si="90"/>
        <v>160.29149999999998</v>
      </c>
      <c r="J296">
        <f t="shared" ca="1" si="91"/>
        <v>4.9094980716759107</v>
      </c>
      <c r="K296">
        <f t="shared" ca="1" si="92"/>
        <v>170.11049614335181</v>
      </c>
      <c r="L296">
        <f t="shared" ca="1" si="93"/>
        <v>150.47250385664816</v>
      </c>
      <c r="M296">
        <f t="shared" ca="1" si="82"/>
        <v>0.71000000000000796</v>
      </c>
      <c r="N296">
        <f t="shared" ca="1" si="83"/>
        <v>0.71000000000000796</v>
      </c>
      <c r="O296">
        <f t="shared" ca="1" si="84"/>
        <v>0</v>
      </c>
      <c r="P296">
        <f t="shared" ca="1" si="88"/>
        <v>1.0130009883477553</v>
      </c>
      <c r="Q296">
        <f t="shared" ca="1" si="89"/>
        <v>0.50154393320518176</v>
      </c>
      <c r="R296">
        <f t="shared" ca="1" si="86"/>
        <v>2.0197652115419693</v>
      </c>
      <c r="S296">
        <f t="shared" ca="1" si="87"/>
        <v>66.884842696450079</v>
      </c>
      <c r="T296">
        <f>70</f>
        <v>70</v>
      </c>
      <c r="U296">
        <f>30</f>
        <v>30</v>
      </c>
      <c r="V296">
        <f t="shared" ca="1" si="85"/>
        <v>163.33980227936473</v>
      </c>
      <c r="W296">
        <f t="shared" ca="1" si="95"/>
        <v>159.40084657080806</v>
      </c>
      <c r="X296">
        <f t="shared" ca="1" si="94"/>
        <v>3.9144334514492698</v>
      </c>
      <c r="Y296">
        <f t="shared" ca="1" si="96"/>
        <v>3.7542382800694378</v>
      </c>
      <c r="Z296">
        <f t="shared" ca="1" si="97"/>
        <v>0.16019517137983197</v>
      </c>
      <c r="AA296">
        <f t="shared" ca="1" si="98"/>
        <v>153.9742</v>
      </c>
    </row>
    <row r="297" spans="1:27" x14ac:dyDescent="0.25">
      <c r="A297" vm="866">
        <f ca="1"/>
        <v>45723</v>
      </c>
      <c r="B297" vm="867">
        <f ca="1"/>
        <v>166.69</v>
      </c>
      <c r="C297" vm="868">
        <f ca="1"/>
        <v>9637593</v>
      </c>
      <c r="D297">
        <f t="shared" ca="1" si="79"/>
        <v>1606490377.1700001</v>
      </c>
      <c r="E297">
        <f ca="1">SUM($D$2:D297)/SUM($C$2:C297)</f>
        <v>154.86058551746729</v>
      </c>
      <c r="F297">
        <f ca="1">_xlfn.STDEV.P($B$2:B297)</f>
        <v>6.7754423882821291</v>
      </c>
      <c r="G297">
        <f t="shared" ca="1" si="80"/>
        <v>161.63602790574942</v>
      </c>
      <c r="H297">
        <f t="shared" ca="1" si="81"/>
        <v>148.08514312918516</v>
      </c>
      <c r="I297">
        <f t="shared" ca="1" si="90"/>
        <v>160.95049999999998</v>
      </c>
      <c r="J297">
        <f t="shared" ca="1" si="91"/>
        <v>4.8353233985351025</v>
      </c>
      <c r="K297">
        <f t="shared" ca="1" si="92"/>
        <v>170.6211467970702</v>
      </c>
      <c r="L297">
        <f t="shared" ca="1" si="93"/>
        <v>151.27985320292976</v>
      </c>
      <c r="M297">
        <f t="shared" ca="1" si="82"/>
        <v>0.85999999999998522</v>
      </c>
      <c r="N297">
        <f t="shared" ca="1" si="83"/>
        <v>0.85999999999998522</v>
      </c>
      <c r="O297">
        <f t="shared" ca="1" si="84"/>
        <v>0</v>
      </c>
      <c r="P297">
        <f t="shared" ca="1" si="88"/>
        <v>1.0020723463229146</v>
      </c>
      <c r="Q297">
        <f t="shared" ca="1" si="89"/>
        <v>0.46571936654766877</v>
      </c>
      <c r="R297">
        <f t="shared" ca="1" si="86"/>
        <v>2.1516656130303899</v>
      </c>
      <c r="S297">
        <f t="shared" ca="1" si="87"/>
        <v>68.270745606210426</v>
      </c>
      <c r="T297">
        <f>70</f>
        <v>70</v>
      </c>
      <c r="U297">
        <f>30</f>
        <v>30</v>
      </c>
      <c r="V297">
        <f t="shared" ca="1" si="85"/>
        <v>163.8552173133086</v>
      </c>
      <c r="W297">
        <f t="shared" ca="1" si="95"/>
        <v>159.94078386185933</v>
      </c>
      <c r="X297">
        <f t="shared" ca="1" si="94"/>
        <v>3.9311817291976467</v>
      </c>
      <c r="Y297">
        <f t="shared" ca="1" si="96"/>
        <v>3.78962696989508</v>
      </c>
      <c r="Z297">
        <f t="shared" ca="1" si="97"/>
        <v>0.14155475930256678</v>
      </c>
      <c r="AA297">
        <f t="shared" ca="1" si="98"/>
        <v>154.03600000000003</v>
      </c>
    </row>
    <row r="298" spans="1:27" x14ac:dyDescent="0.25">
      <c r="A298" vm="869">
        <f ca="1"/>
        <v>45726</v>
      </c>
      <c r="B298" vm="870">
        <f ca="1"/>
        <v>167.7</v>
      </c>
      <c r="C298" vm="871">
        <f ca="1"/>
        <v>17558982</v>
      </c>
      <c r="D298">
        <f t="shared" ca="1" si="79"/>
        <v>2944641281.3999996</v>
      </c>
      <c r="E298">
        <f ca="1">SUM($D$2:D298)/SUM($C$2:C298)</f>
        <v>154.9614727321412</v>
      </c>
      <c r="F298">
        <f ca="1">_xlfn.STDEV.P($B$2:B298)</f>
        <v>6.8021618711865637</v>
      </c>
      <c r="G298">
        <f t="shared" ca="1" si="80"/>
        <v>161.76363460332777</v>
      </c>
      <c r="H298">
        <f t="shared" ca="1" si="81"/>
        <v>148.15931086095463</v>
      </c>
      <c r="I298">
        <f t="shared" ca="1" si="90"/>
        <v>161.67949999999999</v>
      </c>
      <c r="J298">
        <f t="shared" ca="1" si="91"/>
        <v>4.6895005625669546</v>
      </c>
      <c r="K298">
        <f t="shared" ca="1" si="92"/>
        <v>171.05850112513389</v>
      </c>
      <c r="L298">
        <f t="shared" ca="1" si="93"/>
        <v>152.30049887486609</v>
      </c>
      <c r="M298">
        <f t="shared" ca="1" si="82"/>
        <v>1.0099999999999909</v>
      </c>
      <c r="N298">
        <f t="shared" ca="1" si="83"/>
        <v>1.0099999999999909</v>
      </c>
      <c r="O298">
        <f t="shared" ca="1" si="84"/>
        <v>0</v>
      </c>
      <c r="P298">
        <f t="shared" ca="1" si="88"/>
        <v>1.0026386072998485</v>
      </c>
      <c r="Q298">
        <f t="shared" ca="1" si="89"/>
        <v>0.43245369750854962</v>
      </c>
      <c r="R298">
        <f t="shared" ca="1" si="86"/>
        <v>2.3184877666123467</v>
      </c>
      <c r="S298">
        <f t="shared" ca="1" si="87"/>
        <v>69.865792182176932</v>
      </c>
      <c r="T298">
        <f>70</f>
        <v>70</v>
      </c>
      <c r="U298">
        <f>30</f>
        <v>30</v>
      </c>
      <c r="V298">
        <f t="shared" ca="1" si="85"/>
        <v>164.44672234203037</v>
      </c>
      <c r="W298">
        <f t="shared" ca="1" si="95"/>
        <v>160.51554061283272</v>
      </c>
      <c r="X298">
        <f t="shared" ca="1" si="94"/>
        <v>3.7527231806620591</v>
      </c>
      <c r="Y298">
        <f t="shared" ca="1" si="96"/>
        <v>3.7822462120484759</v>
      </c>
      <c r="Z298">
        <f t="shared" ca="1" si="97"/>
        <v>-2.9523031386416765E-2</v>
      </c>
      <c r="AA298">
        <f t="shared" ca="1" si="98"/>
        <v>154.09840000000003</v>
      </c>
    </row>
    <row r="299" spans="1:27" x14ac:dyDescent="0.25">
      <c r="A299" vm="872">
        <f ca="1"/>
        <v>45727</v>
      </c>
      <c r="B299" vm="495">
        <f ca="1"/>
        <v>165.86</v>
      </c>
      <c r="C299" vm="873">
        <f ca="1"/>
        <v>9890648</v>
      </c>
      <c r="D299">
        <f t="shared" ca="1" si="79"/>
        <v>1640462877.2800002</v>
      </c>
      <c r="E299">
        <f ca="1">SUM($D$2:D299)/SUM($C$2:C299)</f>
        <v>155.0094975993587</v>
      </c>
      <c r="F299">
        <f ca="1">_xlfn.STDEV.P($B$2:B299)</f>
        <v>6.8180140942642584</v>
      </c>
      <c r="G299">
        <f t="shared" ca="1" si="80"/>
        <v>161.82751169362297</v>
      </c>
      <c r="H299">
        <f t="shared" ca="1" si="81"/>
        <v>148.19148350509442</v>
      </c>
      <c r="I299">
        <f t="shared" ca="1" si="90"/>
        <v>162.26050000000001</v>
      </c>
      <c r="J299">
        <f t="shared" ca="1" si="91"/>
        <v>4.4320370450190349</v>
      </c>
      <c r="K299">
        <f t="shared" ca="1" si="92"/>
        <v>171.12457409003807</v>
      </c>
      <c r="L299">
        <f t="shared" ca="1" si="93"/>
        <v>153.39642590996195</v>
      </c>
      <c r="M299">
        <f t="shared" ca="1" si="82"/>
        <v>-1.839999999999975</v>
      </c>
      <c r="N299">
        <f t="shared" ca="1" si="83"/>
        <v>0</v>
      </c>
      <c r="O299">
        <f t="shared" ca="1" si="84"/>
        <v>1.839999999999975</v>
      </c>
      <c r="P299">
        <f t="shared" ca="1" si="88"/>
        <v>0.93102156392128788</v>
      </c>
      <c r="Q299">
        <f t="shared" ca="1" si="89"/>
        <v>0.53299271911507995</v>
      </c>
      <c r="R299">
        <f t="shared" ca="1" si="86"/>
        <v>1.7467810169471909</v>
      </c>
      <c r="S299">
        <f t="shared" ca="1" si="87"/>
        <v>63.593748688731893</v>
      </c>
      <c r="T299">
        <f>70</f>
        <v>70</v>
      </c>
      <c r="U299">
        <f>30</f>
        <v>30</v>
      </c>
      <c r="V299">
        <f t="shared" ca="1" si="85"/>
        <v>164.66414967402571</v>
      </c>
      <c r="W299">
        <f t="shared" ca="1" si="95"/>
        <v>160.91142649336365</v>
      </c>
      <c r="X299">
        <f t="shared" ca="1" si="94"/>
        <v>3.3300251932833476</v>
      </c>
      <c r="Y299">
        <f t="shared" ca="1" si="96"/>
        <v>3.6918020082954506</v>
      </c>
      <c r="Z299">
        <f t="shared" ca="1" si="97"/>
        <v>-0.36177681501210301</v>
      </c>
      <c r="AA299">
        <f t="shared" ca="1" si="98"/>
        <v>154.14100000000005</v>
      </c>
    </row>
    <row r="300" spans="1:27" x14ac:dyDescent="0.25">
      <c r="A300" vm="874">
        <f ca="1"/>
        <v>45728</v>
      </c>
      <c r="B300" vm="875">
        <f ca="1"/>
        <v>162.85</v>
      </c>
      <c r="C300" vm="876">
        <f ca="1"/>
        <v>8010692</v>
      </c>
      <c r="D300">
        <f t="shared" ca="1" si="79"/>
        <v>1304541192.2</v>
      </c>
      <c r="E300">
        <f ca="1">SUM($D$2:D300)/SUM($C$2:C300)</f>
        <v>155.03738065148045</v>
      </c>
      <c r="F300">
        <f ca="1">_xlfn.STDEV.P($B$2:B300)</f>
        <v>6.8203240401903908</v>
      </c>
      <c r="G300">
        <f t="shared" ca="1" si="80"/>
        <v>161.85770469167085</v>
      </c>
      <c r="H300">
        <f t="shared" ca="1" si="81"/>
        <v>148.21705661129005</v>
      </c>
      <c r="I300">
        <f t="shared" ca="1" si="90"/>
        <v>162.59649999999999</v>
      </c>
      <c r="J300">
        <f t="shared" ca="1" si="91"/>
        <v>4.190984402638346</v>
      </c>
      <c r="K300">
        <f t="shared" ca="1" si="92"/>
        <v>170.97846880527669</v>
      </c>
      <c r="L300">
        <f t="shared" ca="1" si="93"/>
        <v>154.21453119472329</v>
      </c>
      <c r="M300">
        <f t="shared" ca="1" si="82"/>
        <v>-3.0100000000000193</v>
      </c>
      <c r="N300">
        <f t="shared" ca="1" si="83"/>
        <v>0</v>
      </c>
      <c r="O300">
        <f t="shared" ca="1" si="84"/>
        <v>3.0100000000000193</v>
      </c>
      <c r="P300">
        <f t="shared" ca="1" si="88"/>
        <v>0.86452002364119596</v>
      </c>
      <c r="Q300">
        <f t="shared" ca="1" si="89"/>
        <v>0.70992181060686133</v>
      </c>
      <c r="R300">
        <f t="shared" ca="1" si="86"/>
        <v>1.2177679439122735</v>
      </c>
      <c r="S300">
        <f t="shared" ca="1" si="87"/>
        <v>54.909619703676434</v>
      </c>
      <c r="T300">
        <f>70</f>
        <v>70</v>
      </c>
      <c r="U300">
        <f>30</f>
        <v>30</v>
      </c>
      <c r="V300">
        <f t="shared" ca="1" si="85"/>
        <v>164.38504972417562</v>
      </c>
      <c r="W300">
        <f t="shared" ca="1" si="95"/>
        <v>161.05502453089227</v>
      </c>
      <c r="X300">
        <f t="shared" ca="1" si="94"/>
        <v>2.9720706425646028</v>
      </c>
      <c r="Y300">
        <f t="shared" ca="1" si="96"/>
        <v>3.5478557351492812</v>
      </c>
      <c r="Z300">
        <f t="shared" ca="1" si="97"/>
        <v>-0.57578509258467836</v>
      </c>
      <c r="AA300">
        <f t="shared" ca="1" si="98"/>
        <v>154.12850000000003</v>
      </c>
    </row>
    <row r="301" spans="1:27" x14ac:dyDescent="0.25">
      <c r="A301" vm="877">
        <f ca="1"/>
        <v>45729</v>
      </c>
      <c r="B301" vm="878">
        <f ca="1"/>
        <v>162.99</v>
      </c>
      <c r="C301" vm="879">
        <f ca="1"/>
        <v>5286734</v>
      </c>
      <c r="D301">
        <f t="shared" ca="1" si="79"/>
        <v>861684774.66000009</v>
      </c>
      <c r="E301">
        <f ca="1">SUM($D$2:D301)/SUM($C$2:C301)</f>
        <v>155.05600177765447</v>
      </c>
      <c r="F301">
        <f ca="1">_xlfn.STDEV.P($B$2:B301)</f>
        <v>6.823040391936722</v>
      </c>
      <c r="G301">
        <f t="shared" ca="1" si="80"/>
        <v>161.8790421695912</v>
      </c>
      <c r="H301">
        <f t="shared" ca="1" si="81"/>
        <v>148.23296138571774</v>
      </c>
      <c r="I301">
        <f t="shared" ca="1" si="90"/>
        <v>162.983</v>
      </c>
      <c r="J301">
        <f t="shared" ca="1" si="91"/>
        <v>3.8186910129822724</v>
      </c>
      <c r="K301">
        <f t="shared" ca="1" si="92"/>
        <v>170.62038202596455</v>
      </c>
      <c r="L301">
        <f t="shared" ca="1" si="93"/>
        <v>155.34561797403546</v>
      </c>
      <c r="M301">
        <f t="shared" ca="1" si="82"/>
        <v>0.14000000000001478</v>
      </c>
      <c r="N301">
        <f t="shared" ca="1" si="83"/>
        <v>0.14000000000001478</v>
      </c>
      <c r="O301">
        <f t="shared" ca="1" si="84"/>
        <v>0</v>
      </c>
      <c r="P301">
        <f t="shared" ca="1" si="88"/>
        <v>0.81276859338111163</v>
      </c>
      <c r="Q301">
        <f t="shared" ca="1" si="89"/>
        <v>0.65921310984922843</v>
      </c>
      <c r="R301">
        <f t="shared" ca="1" si="86"/>
        <v>1.2329375451392397</v>
      </c>
      <c r="S301">
        <f t="shared" ca="1" si="87"/>
        <v>55.215944029565648</v>
      </c>
      <c r="T301">
        <f>70</f>
        <v>70</v>
      </c>
      <c r="U301">
        <f>30</f>
        <v>30</v>
      </c>
      <c r="V301">
        <f t="shared" ca="1" si="85"/>
        <v>164.17042668968708</v>
      </c>
      <c r="W301">
        <f t="shared" ca="1" si="95"/>
        <v>161.19835604712247</v>
      </c>
      <c r="X301">
        <f t="shared" ca="1" si="94"/>
        <v>2.6433931952200851</v>
      </c>
      <c r="Y301">
        <f t="shared" ca="1" si="96"/>
        <v>3.366963227163442</v>
      </c>
      <c r="Z301">
        <f t="shared" ca="1" si="97"/>
        <v>-0.72357003194335689</v>
      </c>
      <c r="AA301">
        <f t="shared" ca="1" si="98"/>
        <v>154.11560000000003</v>
      </c>
    </row>
    <row r="302" spans="1:27" x14ac:dyDescent="0.25">
      <c r="A302" vm="880">
        <f ca="1"/>
        <v>45730</v>
      </c>
      <c r="B302" vm="881">
        <f ca="1"/>
        <v>162.81</v>
      </c>
      <c r="C302" vm="882">
        <f ca="1"/>
        <v>6235797</v>
      </c>
      <c r="D302">
        <f t="shared" ca="1" si="79"/>
        <v>1015250109.5700001</v>
      </c>
      <c r="E302">
        <f ca="1">SUM($D$2:D302)/SUM($C$2:C302)</f>
        <v>155.07735818275611</v>
      </c>
      <c r="F302">
        <f ca="1">_xlfn.STDEV.P($B$2:B302)</f>
        <v>6.8249904421457206</v>
      </c>
      <c r="G302">
        <f t="shared" ca="1" si="80"/>
        <v>161.90234862490183</v>
      </c>
      <c r="H302">
        <f t="shared" ca="1" si="81"/>
        <v>148.2523677406104</v>
      </c>
      <c r="I302">
        <f t="shared" ca="1" si="90"/>
        <v>163.261</v>
      </c>
      <c r="J302">
        <f t="shared" ca="1" si="91"/>
        <v>3.5739008615826275</v>
      </c>
      <c r="K302">
        <f t="shared" ca="1" si="92"/>
        <v>170.40880172316525</v>
      </c>
      <c r="L302">
        <f t="shared" ca="1" si="93"/>
        <v>156.11319827683474</v>
      </c>
      <c r="M302">
        <f t="shared" ca="1" si="82"/>
        <v>-0.18000000000000682</v>
      </c>
      <c r="N302">
        <f t="shared" ca="1" si="83"/>
        <v>0</v>
      </c>
      <c r="O302">
        <f t="shared" ca="1" si="84"/>
        <v>0.18000000000000682</v>
      </c>
      <c r="P302">
        <f t="shared" ca="1" si="88"/>
        <v>0.75471369385388942</v>
      </c>
      <c r="Q302">
        <f t="shared" ca="1" si="89"/>
        <v>0.62498360200285552</v>
      </c>
      <c r="R302">
        <f t="shared" ca="1" si="86"/>
        <v>1.2075735930275515</v>
      </c>
      <c r="S302">
        <f t="shared" ca="1" si="87"/>
        <v>54.701396902081918</v>
      </c>
      <c r="T302">
        <f>70</f>
        <v>70</v>
      </c>
      <c r="U302">
        <f>30</f>
        <v>30</v>
      </c>
      <c r="V302">
        <f t="shared" ca="1" si="85"/>
        <v>163.96113027588905</v>
      </c>
      <c r="W302">
        <f t="shared" ca="1" si="95"/>
        <v>161.31773708066896</v>
      </c>
      <c r="X302">
        <f t="shared" ca="1" si="94"/>
        <v>2.3581513980673208</v>
      </c>
      <c r="Y302">
        <f t="shared" ca="1" si="96"/>
        <v>3.1652008613442177</v>
      </c>
      <c r="Z302">
        <f t="shared" ca="1" si="97"/>
        <v>-0.80704946327689697</v>
      </c>
      <c r="AA302">
        <f t="shared" ca="1" si="98"/>
        <v>154.09900000000002</v>
      </c>
    </row>
    <row r="303" spans="1:27" x14ac:dyDescent="0.25">
      <c r="A303" vm="883">
        <f ca="1"/>
        <v>45733</v>
      </c>
      <c r="B303" vm="884">
        <f ca="1"/>
        <v>162.84</v>
      </c>
      <c r="C303" vm="885">
        <f ca="1"/>
        <v>6669815</v>
      </c>
      <c r="D303">
        <f t="shared" ca="1" si="79"/>
        <v>1086112674.5999999</v>
      </c>
      <c r="E303">
        <f ca="1">SUM($D$2:D303)/SUM($C$2:C303)</f>
        <v>155.10015930873956</v>
      </c>
      <c r="F303">
        <f ca="1">_xlfn.STDEV.P($B$2:B303)</f>
        <v>6.8269465603407467</v>
      </c>
      <c r="G303">
        <f t="shared" ca="1" si="80"/>
        <v>161.92710586908032</v>
      </c>
      <c r="H303">
        <f t="shared" ca="1" si="81"/>
        <v>148.27321274839881</v>
      </c>
      <c r="I303">
        <f t="shared" ca="1" si="90"/>
        <v>163.59550000000002</v>
      </c>
      <c r="J303">
        <f t="shared" ca="1" si="91"/>
        <v>3.1627411079298713</v>
      </c>
      <c r="K303">
        <f t="shared" ca="1" si="92"/>
        <v>169.92098221585977</v>
      </c>
      <c r="L303">
        <f t="shared" ca="1" si="93"/>
        <v>157.27001778414026</v>
      </c>
      <c r="M303">
        <f t="shared" ca="1" si="82"/>
        <v>3.0000000000001137E-2</v>
      </c>
      <c r="N303">
        <f t="shared" ca="1" si="83"/>
        <v>3.0000000000001137E-2</v>
      </c>
      <c r="O303">
        <f t="shared" ca="1" si="84"/>
        <v>0</v>
      </c>
      <c r="P303">
        <f t="shared" ca="1" si="88"/>
        <v>0.7029484300071831</v>
      </c>
      <c r="Q303">
        <f t="shared" ca="1" si="89"/>
        <v>0.58034191614550867</v>
      </c>
      <c r="R303">
        <f t="shared" ca="1" si="86"/>
        <v>1.2112659975967226</v>
      </c>
      <c r="S303">
        <f t="shared" ca="1" si="87"/>
        <v>54.77703717748868</v>
      </c>
      <c r="T303">
        <f>70</f>
        <v>70</v>
      </c>
      <c r="U303">
        <f>30</f>
        <v>30</v>
      </c>
      <c r="V303">
        <f t="shared" ca="1" si="85"/>
        <v>163.78864869498304</v>
      </c>
      <c r="W303">
        <f t="shared" ca="1" si="95"/>
        <v>161.43049729691572</v>
      </c>
      <c r="X303">
        <f t="shared" ca="1" si="94"/>
        <v>2.2202764698357669</v>
      </c>
      <c r="Y303">
        <f t="shared" ca="1" si="96"/>
        <v>2.9762159830425277</v>
      </c>
      <c r="Z303">
        <f t="shared" ca="1" si="97"/>
        <v>-0.75593951320676078</v>
      </c>
      <c r="AA303">
        <f t="shared" ca="1" si="98"/>
        <v>154.07620000000003</v>
      </c>
    </row>
    <row r="304" spans="1:27" x14ac:dyDescent="0.25">
      <c r="A304" vm="886">
        <f ca="1"/>
        <v>45734</v>
      </c>
      <c r="B304" vm="887">
        <f ca="1"/>
        <v>164.25</v>
      </c>
      <c r="C304" vm="888">
        <f ca="1"/>
        <v>7348974</v>
      </c>
      <c r="D304">
        <f t="shared" ca="1" si="79"/>
        <v>1207068979.5</v>
      </c>
      <c r="E304">
        <f ca="1">SUM($D$2:D304)/SUM($C$2:C304)</f>
        <v>155.12967615336225</v>
      </c>
      <c r="F304">
        <f ca="1">_xlfn.STDEV.P($B$2:B304)</f>
        <v>6.8342911595400526</v>
      </c>
      <c r="G304">
        <f t="shared" ca="1" si="80"/>
        <v>161.9639673129023</v>
      </c>
      <c r="H304">
        <f t="shared" ca="1" si="81"/>
        <v>148.29538499382221</v>
      </c>
      <c r="I304">
        <f t="shared" ca="1" si="90"/>
        <v>164.05849999999998</v>
      </c>
      <c r="J304">
        <f t="shared" ca="1" si="91"/>
        <v>2.4294471430868039</v>
      </c>
      <c r="K304">
        <f t="shared" ca="1" si="92"/>
        <v>168.91739428617359</v>
      </c>
      <c r="L304">
        <f t="shared" ca="1" si="93"/>
        <v>159.19960571382637</v>
      </c>
      <c r="M304">
        <f t="shared" ca="1" si="82"/>
        <v>1.4099999999999966</v>
      </c>
      <c r="N304">
        <f t="shared" ca="1" si="83"/>
        <v>1.4099999999999966</v>
      </c>
      <c r="O304">
        <f t="shared" ca="1" si="84"/>
        <v>0</v>
      </c>
      <c r="P304">
        <f t="shared" ca="1" si="88"/>
        <v>0.75345211357809838</v>
      </c>
      <c r="Q304">
        <f t="shared" ca="1" si="89"/>
        <v>0.53888892213511519</v>
      </c>
      <c r="R304">
        <f t="shared" ca="1" si="86"/>
        <v>1.3981584750209171</v>
      </c>
      <c r="S304">
        <f t="shared" ca="1" si="87"/>
        <v>58.30133786336711</v>
      </c>
      <c r="T304">
        <f>70</f>
        <v>70</v>
      </c>
      <c r="U304">
        <f>30</f>
        <v>30</v>
      </c>
      <c r="V304">
        <f t="shared" ca="1" si="85"/>
        <v>163.8596258188318</v>
      </c>
      <c r="W304">
        <f t="shared" ca="1" si="95"/>
        <v>161.63934934899603</v>
      </c>
      <c r="X304">
        <f t="shared" ca="1" si="94"/>
        <v>1.9864396859525186</v>
      </c>
      <c r="Y304">
        <f t="shared" ca="1" si="96"/>
        <v>2.778260723624526</v>
      </c>
      <c r="Z304">
        <f t="shared" ca="1" si="97"/>
        <v>-0.7918210376720074</v>
      </c>
      <c r="AA304">
        <f t="shared" ca="1" si="98"/>
        <v>154.09040000000002</v>
      </c>
    </row>
    <row r="305" spans="1:27" x14ac:dyDescent="0.25">
      <c r="A305" vm="889">
        <f ca="1"/>
        <v>45735</v>
      </c>
      <c r="B305" vm="878">
        <f ca="1"/>
        <v>162.99</v>
      </c>
      <c r="C305" vm="890">
        <f ca="1"/>
        <v>5936637</v>
      </c>
      <c r="D305">
        <f t="shared" ca="1" si="79"/>
        <v>967612464.63</v>
      </c>
      <c r="E305">
        <f ca="1">SUM($D$2:D305)/SUM($C$2:C305)</f>
        <v>155.15010671620959</v>
      </c>
      <c r="F305">
        <f ca="1">_xlfn.STDEV.P($B$2:B305)</f>
        <v>6.8365463045284214</v>
      </c>
      <c r="G305">
        <f t="shared" ca="1" si="80"/>
        <v>161.986653020738</v>
      </c>
      <c r="H305">
        <f t="shared" ca="1" si="81"/>
        <v>148.31356041168118</v>
      </c>
      <c r="I305">
        <f t="shared" ca="1" si="90"/>
        <v>164.31350000000003</v>
      </c>
      <c r="J305">
        <f t="shared" ca="1" si="91"/>
        <v>1.9726132146816904</v>
      </c>
      <c r="K305">
        <f t="shared" ca="1" si="92"/>
        <v>168.25872642936341</v>
      </c>
      <c r="L305">
        <f t="shared" ca="1" si="93"/>
        <v>160.36827357063666</v>
      </c>
      <c r="M305">
        <f t="shared" ca="1" si="82"/>
        <v>-1.2599999999999909</v>
      </c>
      <c r="N305">
        <f t="shared" ca="1" si="83"/>
        <v>0</v>
      </c>
      <c r="O305">
        <f t="shared" ca="1" si="84"/>
        <v>1.2599999999999909</v>
      </c>
      <c r="P305">
        <f t="shared" ca="1" si="88"/>
        <v>0.69963410546537708</v>
      </c>
      <c r="Q305">
        <f t="shared" ca="1" si="89"/>
        <v>0.59039685626832061</v>
      </c>
      <c r="R305">
        <f t="shared" ca="1" si="86"/>
        <v>1.185023426255188</v>
      </c>
      <c r="S305">
        <f t="shared" ca="1" si="87"/>
        <v>54.233900287565589</v>
      </c>
      <c r="T305">
        <f>70</f>
        <v>70</v>
      </c>
      <c r="U305">
        <f>30</f>
        <v>30</v>
      </c>
      <c r="V305">
        <f t="shared" ca="1" si="85"/>
        <v>163.72583723131922</v>
      </c>
      <c r="W305">
        <f t="shared" ca="1" si="95"/>
        <v>161.7393975453667</v>
      </c>
      <c r="X305">
        <f t="shared" ca="1" si="94"/>
        <v>1.7829899015887065</v>
      </c>
      <c r="Y305">
        <f t="shared" ca="1" si="96"/>
        <v>2.5792065592173623</v>
      </c>
      <c r="Z305">
        <f t="shared" ca="1" si="97"/>
        <v>-0.79621665762865579</v>
      </c>
      <c r="AA305">
        <f t="shared" ca="1" si="98"/>
        <v>154.08580000000003</v>
      </c>
    </row>
    <row r="306" spans="1:27" x14ac:dyDescent="0.25">
      <c r="A306" vm="891">
        <f ca="1"/>
        <v>45736</v>
      </c>
      <c r="B306" vm="892">
        <f ca="1"/>
        <v>163.02000000000001</v>
      </c>
      <c r="C306" vm="893">
        <f ca="1"/>
        <v>7485930</v>
      </c>
      <c r="D306">
        <f t="shared" ca="1" si="79"/>
        <v>1220356308.6000001</v>
      </c>
      <c r="E306">
        <f ca="1">SUM($D$2:D306)/SUM($C$2:C306)</f>
        <v>155.17581617425481</v>
      </c>
      <c r="F306">
        <f ca="1">_xlfn.STDEV.P($B$2:B306)</f>
        <v>6.8388051668144447</v>
      </c>
      <c r="G306">
        <f t="shared" ca="1" si="80"/>
        <v>162.01462134106924</v>
      </c>
      <c r="H306">
        <f t="shared" ca="1" si="81"/>
        <v>148.33701100744037</v>
      </c>
      <c r="I306">
        <f t="shared" ca="1" si="90"/>
        <v>164.48050000000001</v>
      </c>
      <c r="J306">
        <f t="shared" ca="1" si="91"/>
        <v>1.6792682460242181</v>
      </c>
      <c r="K306">
        <f t="shared" ca="1" si="92"/>
        <v>167.83903649204845</v>
      </c>
      <c r="L306">
        <f t="shared" ca="1" si="93"/>
        <v>161.12196350795156</v>
      </c>
      <c r="M306">
        <f t="shared" ca="1" si="82"/>
        <v>3.0000000000001137E-2</v>
      </c>
      <c r="N306">
        <f t="shared" ca="1" si="83"/>
        <v>3.0000000000001137E-2</v>
      </c>
      <c r="O306">
        <f t="shared" ca="1" si="84"/>
        <v>0</v>
      </c>
      <c r="P306">
        <f t="shared" ca="1" si="88"/>
        <v>0.65180309793213598</v>
      </c>
      <c r="Q306">
        <f t="shared" ca="1" si="89"/>
        <v>0.54822565224915487</v>
      </c>
      <c r="R306">
        <f t="shared" ca="1" si="86"/>
        <v>1.1889321400011901</v>
      </c>
      <c r="S306">
        <f t="shared" ca="1" si="87"/>
        <v>54.315623507659019</v>
      </c>
      <c r="T306">
        <f>70</f>
        <v>70</v>
      </c>
      <c r="U306">
        <f>30</f>
        <v>30</v>
      </c>
      <c r="V306">
        <f t="shared" ca="1" si="85"/>
        <v>163.61724688803935</v>
      </c>
      <c r="W306">
        <f t="shared" ca="1" si="95"/>
        <v>161.83425698645064</v>
      </c>
      <c r="X306">
        <f t="shared" ca="1" si="94"/>
        <v>1.6519339178097709</v>
      </c>
      <c r="Y306">
        <f t="shared" ca="1" si="96"/>
        <v>2.3937520309358442</v>
      </c>
      <c r="Z306">
        <f t="shared" ca="1" si="97"/>
        <v>-0.74181811312607326</v>
      </c>
      <c r="AA306">
        <f t="shared" ca="1" si="98"/>
        <v>154.05740000000006</v>
      </c>
    </row>
    <row r="307" spans="1:27" x14ac:dyDescent="0.25">
      <c r="A307" vm="894">
        <f ca="1"/>
        <v>45737</v>
      </c>
      <c r="B307" vm="895">
        <f ca="1"/>
        <v>163.63</v>
      </c>
      <c r="C307" vm="896">
        <f ca="1"/>
        <v>17047106</v>
      </c>
      <c r="D307">
        <f t="shared" ca="1" si="79"/>
        <v>2789417954.7799997</v>
      </c>
      <c r="E307">
        <f ca="1">SUM($D$2:D307)/SUM($C$2:C307)</f>
        <v>155.23824451603963</v>
      </c>
      <c r="F307">
        <f ca="1">_xlfn.STDEV.P($B$2:B307)</f>
        <v>6.8432221200204948</v>
      </c>
      <c r="G307">
        <f t="shared" ca="1" si="80"/>
        <v>162.08146663606013</v>
      </c>
      <c r="H307">
        <f t="shared" ca="1" si="81"/>
        <v>148.39502239601913</v>
      </c>
      <c r="I307">
        <f t="shared" ca="1" si="90"/>
        <v>164.547</v>
      </c>
      <c r="J307">
        <f t="shared" ca="1" si="91"/>
        <v>1.6134177518873583</v>
      </c>
      <c r="K307">
        <f t="shared" ca="1" si="92"/>
        <v>167.77383550377471</v>
      </c>
      <c r="L307">
        <f t="shared" ca="1" si="93"/>
        <v>161.32016449622529</v>
      </c>
      <c r="M307">
        <f t="shared" ca="1" si="82"/>
        <v>0.60999999999998522</v>
      </c>
      <c r="N307">
        <f t="shared" ca="1" si="83"/>
        <v>0.60999999999998522</v>
      </c>
      <c r="O307">
        <f t="shared" ca="1" si="84"/>
        <v>0</v>
      </c>
      <c r="P307">
        <f t="shared" ca="1" si="88"/>
        <v>0.64881716236555387</v>
      </c>
      <c r="Q307">
        <f t="shared" ca="1" si="89"/>
        <v>0.50906667708850095</v>
      </c>
      <c r="R307">
        <f t="shared" ca="1" si="86"/>
        <v>1.2745229486956919</v>
      </c>
      <c r="S307">
        <f t="shared" ca="1" si="87"/>
        <v>56.034736841259729</v>
      </c>
      <c r="T307">
        <f>70</f>
        <v>70</v>
      </c>
      <c r="U307">
        <f>30</f>
        <v>30</v>
      </c>
      <c r="V307">
        <f t="shared" ca="1" si="85"/>
        <v>163.61920890526406</v>
      </c>
      <c r="W307">
        <f t="shared" ca="1" si="95"/>
        <v>161.96727498745429</v>
      </c>
      <c r="X307">
        <f t="shared" ca="1" si="94"/>
        <v>1.5033067633640371</v>
      </c>
      <c r="Y307">
        <f t="shared" ca="1" si="96"/>
        <v>2.2156629774214829</v>
      </c>
      <c r="Z307">
        <f t="shared" ca="1" si="97"/>
        <v>-0.71235621405744576</v>
      </c>
      <c r="AA307">
        <f t="shared" ca="1" si="98"/>
        <v>154.05700000000004</v>
      </c>
    </row>
    <row r="308" spans="1:27" x14ac:dyDescent="0.25">
      <c r="A308" vm="897">
        <f ca="1"/>
        <v>45740</v>
      </c>
      <c r="B308" vm="898">
        <f ca="1"/>
        <v>163.29</v>
      </c>
      <c r="C308" vm="899">
        <f ca="1"/>
        <v>8046565</v>
      </c>
      <c r="D308">
        <f t="shared" ca="1" si="79"/>
        <v>1313923598.8499999</v>
      </c>
      <c r="E308">
        <f ca="1">SUM($D$2:D308)/SUM($C$2:C308)</f>
        <v>155.26621174475818</v>
      </c>
      <c r="F308">
        <f ca="1">_xlfn.STDEV.P($B$2:B308)</f>
        <v>6.8462334438946044</v>
      </c>
      <c r="G308">
        <f t="shared" ca="1" si="80"/>
        <v>162.11244518865277</v>
      </c>
      <c r="H308">
        <f t="shared" ca="1" si="81"/>
        <v>148.41997830086359</v>
      </c>
      <c r="I308">
        <f t="shared" ca="1" si="90"/>
        <v>164.52450000000002</v>
      </c>
      <c r="J308">
        <f t="shared" ca="1" si="91"/>
        <v>1.6283329382821965</v>
      </c>
      <c r="K308">
        <f t="shared" ca="1" si="92"/>
        <v>167.78116587656442</v>
      </c>
      <c r="L308">
        <f t="shared" ca="1" si="93"/>
        <v>161.26783412343562</v>
      </c>
      <c r="M308">
        <f t="shared" ca="1" si="82"/>
        <v>-0.34000000000000341</v>
      </c>
      <c r="N308">
        <f t="shared" ca="1" si="83"/>
        <v>0</v>
      </c>
      <c r="O308">
        <f t="shared" ca="1" si="84"/>
        <v>0.34000000000000341</v>
      </c>
      <c r="P308">
        <f t="shared" ca="1" si="88"/>
        <v>0.60247307933944294</v>
      </c>
      <c r="Q308">
        <f t="shared" ca="1" si="89"/>
        <v>0.49699048586789402</v>
      </c>
      <c r="R308">
        <f t="shared" ca="1" si="86"/>
        <v>1.2122426816427778</v>
      </c>
      <c r="S308">
        <f t="shared" ca="1" si="87"/>
        <v>54.797002684288898</v>
      </c>
      <c r="T308">
        <f>70</f>
        <v>70</v>
      </c>
      <c r="U308">
        <f>30</f>
        <v>30</v>
      </c>
      <c r="V308">
        <f t="shared" ca="1" si="85"/>
        <v>163.56856138137726</v>
      </c>
      <c r="W308">
        <f t="shared" ca="1" si="95"/>
        <v>162.06525461801323</v>
      </c>
      <c r="X308">
        <f t="shared" ca="1" si="94"/>
        <v>1.1886466649992826</v>
      </c>
      <c r="Y308">
        <f t="shared" ca="1" si="96"/>
        <v>2.0102597149370429</v>
      </c>
      <c r="Z308">
        <f t="shared" ca="1" si="97"/>
        <v>-0.8216130499377603</v>
      </c>
      <c r="AA308">
        <f t="shared" ca="1" si="98"/>
        <v>154.08110000000005</v>
      </c>
    </row>
    <row r="309" spans="1:27" x14ac:dyDescent="0.25">
      <c r="A309" vm="900">
        <f ca="1"/>
        <v>45741</v>
      </c>
      <c r="B309" vm="901">
        <f ca="1"/>
        <v>161.02000000000001</v>
      </c>
      <c r="C309" vm="902">
        <f ca="1"/>
        <v>7456197</v>
      </c>
      <c r="D309">
        <f t="shared" ca="1" si="79"/>
        <v>1200596840.9400001</v>
      </c>
      <c r="E309">
        <f ca="1">SUM($D$2:D309)/SUM($C$2:C309)</f>
        <v>155.2846714180568</v>
      </c>
      <c r="F309">
        <f ca="1">_xlfn.STDEV.P($B$2:B309)</f>
        <v>6.8420871741228577</v>
      </c>
      <c r="G309">
        <f t="shared" ca="1" si="80"/>
        <v>162.12675859217967</v>
      </c>
      <c r="H309">
        <f t="shared" ca="1" si="81"/>
        <v>148.44258424393394</v>
      </c>
      <c r="I309">
        <f t="shared" ca="1" si="90"/>
        <v>164.27100000000002</v>
      </c>
      <c r="J309">
        <f t="shared" ca="1" si="91"/>
        <v>1.7610310974868619</v>
      </c>
      <c r="K309">
        <f t="shared" ca="1" si="92"/>
        <v>167.79306219497374</v>
      </c>
      <c r="L309">
        <f t="shared" ca="1" si="93"/>
        <v>160.74893780502629</v>
      </c>
      <c r="M309">
        <f t="shared" ca="1" si="82"/>
        <v>-2.2699999999999818</v>
      </c>
      <c r="N309">
        <f t="shared" ca="1" si="83"/>
        <v>0</v>
      </c>
      <c r="O309">
        <f t="shared" ca="1" si="84"/>
        <v>2.2699999999999818</v>
      </c>
      <c r="P309">
        <f t="shared" ca="1" si="88"/>
        <v>0.5594392879580542</v>
      </c>
      <c r="Q309">
        <f t="shared" ca="1" si="89"/>
        <v>0.6236340225916146</v>
      </c>
      <c r="R309">
        <f t="shared" ca="1" si="86"/>
        <v>0.89706345018382971</v>
      </c>
      <c r="S309">
        <f t="shared" ca="1" si="87"/>
        <v>47.286950264995205</v>
      </c>
      <c r="T309">
        <f>70</f>
        <v>70</v>
      </c>
      <c r="U309">
        <f>30</f>
        <v>30</v>
      </c>
      <c r="V309">
        <f t="shared" ca="1" si="85"/>
        <v>163.17647501501153</v>
      </c>
      <c r="W309">
        <f t="shared" ca="1" si="95"/>
        <v>161.98782835001225</v>
      </c>
      <c r="X309">
        <f t="shared" ca="1" si="94"/>
        <v>0.98441272280467729</v>
      </c>
      <c r="Y309">
        <f t="shared" ca="1" si="96"/>
        <v>1.8050903165105698</v>
      </c>
      <c r="Z309">
        <f t="shared" ca="1" si="97"/>
        <v>-0.82067759370589255</v>
      </c>
      <c r="AA309">
        <f t="shared" ca="1" si="98"/>
        <v>154.07530000000006</v>
      </c>
    </row>
    <row r="310" spans="1:27" x14ac:dyDescent="0.25">
      <c r="A310" vm="903">
        <f ca="1"/>
        <v>45742</v>
      </c>
      <c r="B310" vm="904">
        <f ca="1"/>
        <v>161.72</v>
      </c>
      <c r="C310" vm="905">
        <f ca="1"/>
        <v>7223773</v>
      </c>
      <c r="D310">
        <f t="shared" ca="1" si="79"/>
        <v>1168228569.5599999</v>
      </c>
      <c r="E310">
        <f ca="1">SUM($D$2:D310)/SUM($C$2:C310)</f>
        <v>155.30461208927147</v>
      </c>
      <c r="F310">
        <f ca="1">_xlfn.STDEV.P($B$2:B310)</f>
        <v>6.8398228725126229</v>
      </c>
      <c r="G310">
        <f t="shared" ca="1" si="80"/>
        <v>162.1444349617841</v>
      </c>
      <c r="H310">
        <f t="shared" ca="1" si="81"/>
        <v>148.46478921675885</v>
      </c>
      <c r="I310">
        <f t="shared" ca="1" si="90"/>
        <v>164.203</v>
      </c>
      <c r="J310">
        <f t="shared" ca="1" si="91"/>
        <v>1.8341787205578859</v>
      </c>
      <c r="K310">
        <f t="shared" ca="1" si="92"/>
        <v>167.87135744111578</v>
      </c>
      <c r="L310">
        <f t="shared" ca="1" si="93"/>
        <v>160.53464255888423</v>
      </c>
      <c r="M310">
        <f t="shared" ca="1" si="82"/>
        <v>0.69999999999998863</v>
      </c>
      <c r="N310">
        <f t="shared" ca="1" si="83"/>
        <v>0.69999999999998863</v>
      </c>
      <c r="O310">
        <f t="shared" ca="1" si="84"/>
        <v>0</v>
      </c>
      <c r="P310">
        <f t="shared" ca="1" si="88"/>
        <v>0.56947933881819235</v>
      </c>
      <c r="Q310">
        <f t="shared" ca="1" si="89"/>
        <v>0.57908873526364213</v>
      </c>
      <c r="R310">
        <f t="shared" ca="1" si="86"/>
        <v>0.98340600350121665</v>
      </c>
      <c r="S310">
        <f t="shared" ca="1" si="87"/>
        <v>49.581679281259341</v>
      </c>
      <c r="T310">
        <f>70</f>
        <v>70</v>
      </c>
      <c r="U310">
        <f>30</f>
        <v>30</v>
      </c>
      <c r="V310">
        <f t="shared" ca="1" si="85"/>
        <v>162.95240193577899</v>
      </c>
      <c r="W310">
        <f t="shared" ca="1" si="95"/>
        <v>161.96798921297432</v>
      </c>
      <c r="X310">
        <f t="shared" ca="1" si="94"/>
        <v>0.92566062880260347</v>
      </c>
      <c r="Y310">
        <f t="shared" ca="1" si="96"/>
        <v>1.6292043789689767</v>
      </c>
      <c r="Z310">
        <f t="shared" ca="1" si="97"/>
        <v>-0.70354375016637327</v>
      </c>
      <c r="AA310">
        <f t="shared" ca="1" si="98"/>
        <v>154.09160000000003</v>
      </c>
    </row>
    <row r="311" spans="1:27" x14ac:dyDescent="0.25">
      <c r="A311" vm="906">
        <f ca="1"/>
        <v>45743</v>
      </c>
      <c r="B311" vm="907">
        <f ca="1"/>
        <v>163.13</v>
      </c>
      <c r="C311" vm="908">
        <f ca="1"/>
        <v>6752466</v>
      </c>
      <c r="D311">
        <f t="shared" ca="1" si="79"/>
        <v>1101529778.5799999</v>
      </c>
      <c r="E311">
        <f ca="1">SUM($D$2:D311)/SUM($C$2:C311)</f>
        <v>155.32721254202531</v>
      </c>
      <c r="F311">
        <f ca="1">_xlfn.STDEV.P($B$2:B311)</f>
        <v>6.8420215809551497</v>
      </c>
      <c r="G311">
        <f t="shared" ca="1" si="80"/>
        <v>162.16923412298047</v>
      </c>
      <c r="H311">
        <f t="shared" ca="1" si="81"/>
        <v>148.48519096107015</v>
      </c>
      <c r="I311">
        <f t="shared" ca="1" si="90"/>
        <v>164.17299999999997</v>
      </c>
      <c r="J311">
        <f t="shared" ca="1" si="91"/>
        <v>1.8471830616259692</v>
      </c>
      <c r="K311">
        <f t="shared" ca="1" si="92"/>
        <v>167.86736612325191</v>
      </c>
      <c r="L311">
        <f t="shared" ca="1" si="93"/>
        <v>160.47863387674803</v>
      </c>
      <c r="M311">
        <f t="shared" ca="1" si="82"/>
        <v>1.4099999999999966</v>
      </c>
      <c r="N311">
        <f t="shared" ca="1" si="83"/>
        <v>1.4099999999999966</v>
      </c>
      <c r="O311">
        <f t="shared" ca="1" si="84"/>
        <v>0</v>
      </c>
      <c r="P311">
        <f t="shared" ca="1" si="88"/>
        <v>0.6295165289026069</v>
      </c>
      <c r="Q311">
        <f t="shared" ca="1" si="89"/>
        <v>0.53772525417338202</v>
      </c>
      <c r="R311">
        <f t="shared" ca="1" si="86"/>
        <v>1.170702926851243</v>
      </c>
      <c r="S311">
        <f t="shared" ca="1" si="87"/>
        <v>53.931973480564189</v>
      </c>
      <c r="T311">
        <f>70</f>
        <v>70</v>
      </c>
      <c r="U311">
        <f>30</f>
        <v>30</v>
      </c>
      <c r="V311">
        <f t="shared" ca="1" si="85"/>
        <v>162.97972471488993</v>
      </c>
      <c r="W311">
        <f t="shared" ca="1" si="95"/>
        <v>162.05406408608732</v>
      </c>
      <c r="X311">
        <f t="shared" ca="1" si="94"/>
        <v>0.91534875311660358</v>
      </c>
      <c r="Y311">
        <f t="shared" ca="1" si="96"/>
        <v>1.4864332537985023</v>
      </c>
      <c r="Z311">
        <f t="shared" ca="1" si="97"/>
        <v>-0.57108450068189875</v>
      </c>
      <c r="AA311">
        <f t="shared" ca="1" si="98"/>
        <v>154.11680000000001</v>
      </c>
    </row>
    <row r="312" spans="1:27" x14ac:dyDescent="0.25">
      <c r="A312" vm="909">
        <f ca="1"/>
        <v>45744</v>
      </c>
      <c r="B312" vm="910">
        <f ca="1"/>
        <v>163.71</v>
      </c>
      <c r="C312" vm="911">
        <f ca="1"/>
        <v>5760545</v>
      </c>
      <c r="D312">
        <f t="shared" ca="1" si="79"/>
        <v>943058821.95000005</v>
      </c>
      <c r="E312">
        <f ca="1">SUM($D$2:D312)/SUM($C$2:C312)</f>
        <v>155.34781562306901</v>
      </c>
      <c r="F312">
        <f ca="1">_xlfn.STDEV.P($B$2:B312)</f>
        <v>6.8462303900356405</v>
      </c>
      <c r="G312">
        <f t="shared" ca="1" si="80"/>
        <v>162.19404601310464</v>
      </c>
      <c r="H312">
        <f t="shared" ca="1" si="81"/>
        <v>148.50158523303338</v>
      </c>
      <c r="I312">
        <f t="shared" ca="1" si="90"/>
        <v>164.10750000000002</v>
      </c>
      <c r="J312">
        <f t="shared" ca="1" si="91"/>
        <v>1.8387749783626666</v>
      </c>
      <c r="K312">
        <f t="shared" ca="1" si="92"/>
        <v>167.78504995672535</v>
      </c>
      <c r="L312">
        <f t="shared" ca="1" si="93"/>
        <v>160.42995004327469</v>
      </c>
      <c r="M312">
        <f t="shared" ca="1" si="82"/>
        <v>0.58000000000001251</v>
      </c>
      <c r="N312">
        <f t="shared" ca="1" si="83"/>
        <v>0.58000000000001251</v>
      </c>
      <c r="O312">
        <f t="shared" ca="1" si="84"/>
        <v>0</v>
      </c>
      <c r="P312">
        <f t="shared" ca="1" si="88"/>
        <v>0.62597963398099299</v>
      </c>
      <c r="Q312">
        <f t="shared" ca="1" si="89"/>
        <v>0.4993163074467119</v>
      </c>
      <c r="R312">
        <f t="shared" ca="1" si="86"/>
        <v>1.2536735224651137</v>
      </c>
      <c r="S312">
        <f t="shared" ca="1" si="87"/>
        <v>55.628000682806103</v>
      </c>
      <c r="T312">
        <f>70</f>
        <v>70</v>
      </c>
      <c r="U312">
        <f>30</f>
        <v>30</v>
      </c>
      <c r="V312">
        <f t="shared" ca="1" si="85"/>
        <v>163.092074758753</v>
      </c>
      <c r="W312">
        <f t="shared" ca="1" si="95"/>
        <v>162.1767260056364</v>
      </c>
      <c r="X312">
        <f t="shared" ca="1" si="94"/>
        <v>1.0667528533271025</v>
      </c>
      <c r="Y312">
        <f t="shared" ca="1" si="96"/>
        <v>1.4024971737042224</v>
      </c>
      <c r="Z312">
        <f t="shared" ca="1" si="97"/>
        <v>-0.33574432037711999</v>
      </c>
      <c r="AA312">
        <f t="shared" ca="1" si="98"/>
        <v>154.15530000000001</v>
      </c>
    </row>
    <row r="313" spans="1:27" x14ac:dyDescent="0.25">
      <c r="A313" vm="912">
        <f ca="1"/>
        <v>45747</v>
      </c>
      <c r="B313" vm="913">
        <f ca="1"/>
        <v>165.84</v>
      </c>
      <c r="C313" vm="914">
        <f ca="1"/>
        <v>12481400</v>
      </c>
      <c r="D313">
        <f t="shared" ca="1" si="79"/>
        <v>2069915376</v>
      </c>
      <c r="E313">
        <f ca="1">SUM($D$2:D313)/SUM($C$2:C313)</f>
        <v>155.40339360187983</v>
      </c>
      <c r="F313">
        <f ca="1">_xlfn.STDEV.P($B$2:B313)</f>
        <v>6.8593440854101546</v>
      </c>
      <c r="G313">
        <f t="shared" ca="1" si="80"/>
        <v>162.26273768728998</v>
      </c>
      <c r="H313">
        <f t="shared" ca="1" si="81"/>
        <v>148.54404951646967</v>
      </c>
      <c r="I313">
        <f t="shared" ca="1" si="90"/>
        <v>164.03550000000001</v>
      </c>
      <c r="J313">
        <f t="shared" ca="1" si="91"/>
        <v>1.7331731623026911</v>
      </c>
      <c r="K313">
        <f t="shared" ca="1" si="92"/>
        <v>167.5018463246054</v>
      </c>
      <c r="L313">
        <f t="shared" ca="1" si="93"/>
        <v>160.56915367539463</v>
      </c>
      <c r="M313">
        <f t="shared" ca="1" si="82"/>
        <v>2.1299999999999955</v>
      </c>
      <c r="N313">
        <f t="shared" ca="1" si="83"/>
        <v>2.1299999999999955</v>
      </c>
      <c r="O313">
        <f t="shared" ca="1" si="84"/>
        <v>0</v>
      </c>
      <c r="P313">
        <f t="shared" ca="1" si="88"/>
        <v>0.73340966012520747</v>
      </c>
      <c r="Q313">
        <f t="shared" ca="1" si="89"/>
        <v>0.4636508569148039</v>
      </c>
      <c r="R313">
        <f t="shared" ca="1" si="86"/>
        <v>1.5818145252775235</v>
      </c>
      <c r="S313">
        <f t="shared" ca="1" si="87"/>
        <v>61.267550778361645</v>
      </c>
      <c r="T313">
        <f>70</f>
        <v>70</v>
      </c>
      <c r="U313">
        <f>30</f>
        <v>30</v>
      </c>
      <c r="V313">
        <f t="shared" ca="1" si="85"/>
        <v>163.51483248817561</v>
      </c>
      <c r="W313">
        <f t="shared" ca="1" si="95"/>
        <v>162.44807963484851</v>
      </c>
      <c r="X313">
        <f t="shared" ca="1" si="94"/>
        <v>0.16888708735723412</v>
      </c>
      <c r="Y313">
        <f t="shared" ca="1" si="96"/>
        <v>1.1557751564348249</v>
      </c>
      <c r="Z313">
        <f t="shared" ca="1" si="97"/>
        <v>-0.98688806907759075</v>
      </c>
      <c r="AA313">
        <f t="shared" ca="1" si="98"/>
        <v>154.21240000000003</v>
      </c>
    </row>
    <row r="314" spans="1:27" x14ac:dyDescent="0.25">
      <c r="A314" vm="915">
        <f ca="1"/>
        <v>45748</v>
      </c>
      <c r="B314" vm="916">
        <f ca="1"/>
        <v>153.25</v>
      </c>
      <c r="C314" vm="917">
        <f ca="1"/>
        <v>23303065</v>
      </c>
      <c r="D314">
        <f t="shared" ca="1" si="79"/>
        <v>3571194711.25</v>
      </c>
      <c r="E314">
        <f ca="1">SUM($D$2:D314)/SUM($C$2:C314)</f>
        <v>155.3823055713442</v>
      </c>
      <c r="F314">
        <f ca="1">_xlfn.STDEV.P($B$2:B314)</f>
        <v>6.8497848350840842</v>
      </c>
      <c r="G314">
        <f t="shared" ca="1" si="80"/>
        <v>162.23209040642828</v>
      </c>
      <c r="H314">
        <f t="shared" ca="1" si="81"/>
        <v>148.53252073626012</v>
      </c>
      <c r="I314">
        <f t="shared" ca="1" si="90"/>
        <v>163.42699999999999</v>
      </c>
      <c r="J314">
        <f t="shared" ca="1" si="91"/>
        <v>2.9386590210681578</v>
      </c>
      <c r="K314">
        <f t="shared" ca="1" si="92"/>
        <v>169.30431804213632</v>
      </c>
      <c r="L314">
        <f t="shared" ca="1" si="93"/>
        <v>157.54968195786367</v>
      </c>
      <c r="M314">
        <f t="shared" ca="1" si="82"/>
        <v>-12.590000000000003</v>
      </c>
      <c r="N314">
        <f t="shared" ca="1" si="83"/>
        <v>0</v>
      </c>
      <c r="O314">
        <f t="shared" ca="1" si="84"/>
        <v>12.590000000000003</v>
      </c>
      <c r="P314">
        <f t="shared" ca="1" si="88"/>
        <v>0.6810232558305499</v>
      </c>
      <c r="Q314">
        <f t="shared" ca="1" si="89"/>
        <v>1.3298186528494611</v>
      </c>
      <c r="R314">
        <f t="shared" ca="1" si="86"/>
        <v>0.51211738861632849</v>
      </c>
      <c r="S314">
        <f t="shared" ca="1" si="87"/>
        <v>33.867568250434857</v>
      </c>
      <c r="T314">
        <f>70</f>
        <v>70</v>
      </c>
      <c r="U314">
        <f>30</f>
        <v>30</v>
      </c>
      <c r="V314">
        <f t="shared" ca="1" si="85"/>
        <v>161.93562748999474</v>
      </c>
      <c r="W314">
        <f t="shared" ca="1" si="95"/>
        <v>161.76674040263751</v>
      </c>
      <c r="X314">
        <f t="shared" ca="1" si="94"/>
        <v>-0.36817454794513083</v>
      </c>
      <c r="Y314">
        <f t="shared" ca="1" si="96"/>
        <v>0.85098521555883377</v>
      </c>
      <c r="Z314">
        <f t="shared" ca="1" si="97"/>
        <v>-1.2191597635039646</v>
      </c>
      <c r="AA314">
        <f t="shared" ca="1" si="98"/>
        <v>154.16250000000002</v>
      </c>
    </row>
    <row r="315" spans="1:27" x14ac:dyDescent="0.25">
      <c r="A315" vm="918">
        <f ca="1"/>
        <v>45749</v>
      </c>
      <c r="B315" vm="919">
        <f ca="1"/>
        <v>155.36000000000001</v>
      </c>
      <c r="C315" vm="920">
        <f ca="1"/>
        <v>10356920</v>
      </c>
      <c r="D315">
        <f t="shared" ca="1" si="79"/>
        <v>1609051091.2</v>
      </c>
      <c r="E315">
        <f ca="1">SUM($D$2:D315)/SUM($C$2:C315)</f>
        <v>155.38220890898228</v>
      </c>
      <c r="F315">
        <f ca="1">_xlfn.STDEV.P($B$2:B315)</f>
        <v>6.8388960057176904</v>
      </c>
      <c r="G315">
        <f t="shared" ca="1" si="80"/>
        <v>162.22110491469996</v>
      </c>
      <c r="H315">
        <f t="shared" ca="1" si="81"/>
        <v>148.54331290326459</v>
      </c>
      <c r="I315">
        <f t="shared" ca="1" si="90"/>
        <v>162.93900000000002</v>
      </c>
      <c r="J315">
        <f t="shared" ca="1" si="91"/>
        <v>3.4145661664790077</v>
      </c>
      <c r="K315">
        <f t="shared" ca="1" si="92"/>
        <v>169.76813233295803</v>
      </c>
      <c r="L315">
        <f t="shared" ca="1" si="93"/>
        <v>156.10986766704201</v>
      </c>
      <c r="M315">
        <f t="shared" ca="1" si="82"/>
        <v>2.1100000000000136</v>
      </c>
      <c r="N315">
        <f t="shared" ca="1" si="83"/>
        <v>2.1100000000000136</v>
      </c>
      <c r="O315">
        <f t="shared" ca="1" si="84"/>
        <v>0</v>
      </c>
      <c r="P315">
        <f t="shared" ca="1" si="88"/>
        <v>0.78309302327122587</v>
      </c>
      <c r="Q315">
        <f t="shared" ca="1" si="89"/>
        <v>1.2348316062173568</v>
      </c>
      <c r="R315">
        <f t="shared" ca="1" si="86"/>
        <v>0.63416988950425746</v>
      </c>
      <c r="S315">
        <f t="shared" ca="1" si="87"/>
        <v>38.80685194222</v>
      </c>
      <c r="T315">
        <f>70</f>
        <v>70</v>
      </c>
      <c r="U315">
        <f>30</f>
        <v>30</v>
      </c>
      <c r="V315">
        <f t="shared" ca="1" si="85"/>
        <v>160.92399249153402</v>
      </c>
      <c r="W315">
        <f t="shared" ca="1" si="95"/>
        <v>161.29216703947915</v>
      </c>
      <c r="X315">
        <f t="shared" ca="1" si="94"/>
        <v>-0.42897013631090886</v>
      </c>
      <c r="Y315">
        <f t="shared" ca="1" si="96"/>
        <v>0.59499414518488525</v>
      </c>
      <c r="Z315">
        <f t="shared" ca="1" si="97"/>
        <v>-1.0239642814957941</v>
      </c>
      <c r="AA315">
        <f t="shared" ca="1" si="98"/>
        <v>154.13260000000002</v>
      </c>
    </row>
    <row r="316" spans="1:27" x14ac:dyDescent="0.25">
      <c r="A316" vm="921">
        <f ca="1"/>
        <v>45750</v>
      </c>
      <c r="B316" vm="922">
        <f ca="1"/>
        <v>159.82</v>
      </c>
      <c r="C316" vm="923">
        <f ca="1"/>
        <v>13249313</v>
      </c>
      <c r="D316">
        <f t="shared" ca="1" si="79"/>
        <v>2117505203.6599998</v>
      </c>
      <c r="E316">
        <f ca="1">SUM($D$2:D316)/SUM($C$2:C316)</f>
        <v>155.40667545450006</v>
      </c>
      <c r="F316">
        <f ca="1">_xlfn.STDEV.P($B$2:B316)</f>
        <v>6.8319623328300354</v>
      </c>
      <c r="G316">
        <f t="shared" ca="1" si="80"/>
        <v>162.23863778733011</v>
      </c>
      <c r="H316">
        <f t="shared" ca="1" si="81"/>
        <v>148.57471312167002</v>
      </c>
      <c r="I316">
        <f t="shared" ca="1" si="90"/>
        <v>162.63850000000002</v>
      </c>
      <c r="J316">
        <f t="shared" ca="1" si="91"/>
        <v>3.4112064157019732</v>
      </c>
      <c r="K316">
        <f t="shared" ca="1" si="92"/>
        <v>169.46091283140396</v>
      </c>
      <c r="L316">
        <f t="shared" ca="1" si="93"/>
        <v>155.81608716859608</v>
      </c>
      <c r="M316">
        <f t="shared" ca="1" si="82"/>
        <v>4.4599999999999795</v>
      </c>
      <c r="N316">
        <f t="shared" ca="1" si="83"/>
        <v>4.4599999999999795</v>
      </c>
      <c r="O316">
        <f t="shared" ca="1" si="84"/>
        <v>0</v>
      </c>
      <c r="P316">
        <f t="shared" ca="1" si="88"/>
        <v>1.0457292358947083</v>
      </c>
      <c r="Q316">
        <f t="shared" ca="1" si="89"/>
        <v>1.1466293486304029</v>
      </c>
      <c r="R316">
        <f t="shared" ca="1" si="86"/>
        <v>0.91200285178796858</v>
      </c>
      <c r="S316">
        <f t="shared" ca="1" si="87"/>
        <v>47.698822778173614</v>
      </c>
      <c r="T316">
        <f>70</f>
        <v>70</v>
      </c>
      <c r="U316">
        <f>30</f>
        <v>30</v>
      </c>
      <c r="V316">
        <f t="shared" ca="1" si="85"/>
        <v>160.75414749283647</v>
      </c>
      <c r="W316">
        <f t="shared" ca="1" si="95"/>
        <v>161.18311762914738</v>
      </c>
      <c r="X316">
        <f t="shared" ca="1" si="94"/>
        <v>-0.99661374387596879</v>
      </c>
      <c r="Y316">
        <f t="shared" ca="1" si="96"/>
        <v>0.27667256737271451</v>
      </c>
      <c r="Z316">
        <f t="shared" ca="1" si="97"/>
        <v>-1.2732863112486834</v>
      </c>
      <c r="AA316">
        <f t="shared" ca="1" si="98"/>
        <v>154.15200000000004</v>
      </c>
    </row>
    <row r="317" spans="1:27" x14ac:dyDescent="0.25">
      <c r="A317" vm="924">
        <f ca="1"/>
        <v>45751</v>
      </c>
      <c r="B317" vm="648">
        <f ca="1"/>
        <v>153.24</v>
      </c>
      <c r="C317" vm="925">
        <f ca="1"/>
        <v>16601728</v>
      </c>
      <c r="D317">
        <f t="shared" ca="1" si="79"/>
        <v>2544048798.7200003</v>
      </c>
      <c r="E317">
        <f ca="1">SUM($D$2:D317)/SUM($C$2:C317)</f>
        <v>155.39181029015387</v>
      </c>
      <c r="F317">
        <f ca="1">_xlfn.STDEV.P($B$2:B317)</f>
        <v>6.8225589987378914</v>
      </c>
      <c r="G317">
        <f t="shared" ca="1" si="80"/>
        <v>162.21436928889176</v>
      </c>
      <c r="H317">
        <f t="shared" ca="1" si="81"/>
        <v>148.56925129141598</v>
      </c>
      <c r="I317">
        <f t="shared" ca="1" si="90"/>
        <v>161.96600000000004</v>
      </c>
      <c r="J317">
        <f t="shared" ca="1" si="91"/>
        <v>3.865925912106273</v>
      </c>
      <c r="K317">
        <f t="shared" ca="1" si="92"/>
        <v>169.69785182421259</v>
      </c>
      <c r="L317">
        <f t="shared" ca="1" si="93"/>
        <v>154.23414817578748</v>
      </c>
      <c r="M317">
        <f t="shared" ca="1" si="82"/>
        <v>-6.5799999999999841</v>
      </c>
      <c r="N317">
        <f t="shared" ca="1" si="83"/>
        <v>0</v>
      </c>
      <c r="O317">
        <f t="shared" ca="1" si="84"/>
        <v>6.5799999999999841</v>
      </c>
      <c r="P317">
        <f t="shared" ca="1" si="88"/>
        <v>0.97103429047365775</v>
      </c>
      <c r="Q317">
        <f t="shared" ca="1" si="89"/>
        <v>1.5347272522996587</v>
      </c>
      <c r="R317">
        <f t="shared" ca="1" si="86"/>
        <v>0.6327080522083941</v>
      </c>
      <c r="S317">
        <f t="shared" ca="1" si="87"/>
        <v>38.752062951646245</v>
      </c>
      <c r="T317">
        <f>70</f>
        <v>70</v>
      </c>
      <c r="U317">
        <f>30</f>
        <v>30</v>
      </c>
      <c r="V317">
        <f t="shared" ca="1" si="85"/>
        <v>159.59812480163086</v>
      </c>
      <c r="W317">
        <f t="shared" ca="1" si="95"/>
        <v>160.59473854550683</v>
      </c>
      <c r="X317">
        <f t="shared" ca="1" si="94"/>
        <v>-1.6389941914682424</v>
      </c>
      <c r="Y317">
        <f t="shared" ca="1" si="96"/>
        <v>-0.1064607843954769</v>
      </c>
      <c r="Z317">
        <f t="shared" ca="1" si="97"/>
        <v>-1.5325334070727656</v>
      </c>
      <c r="AA317">
        <f t="shared" ca="1" si="98"/>
        <v>154.11710000000002</v>
      </c>
    </row>
    <row r="318" spans="1:27" x14ac:dyDescent="0.25">
      <c r="A318" vm="926">
        <f ca="1"/>
        <v>45754</v>
      </c>
      <c r="B318" vm="927">
        <f ca="1"/>
        <v>150.62</v>
      </c>
      <c r="C318" vm="928">
        <f ca="1"/>
        <v>18083040</v>
      </c>
      <c r="D318">
        <f t="shared" ca="1" si="79"/>
        <v>2723667484.8000002</v>
      </c>
      <c r="E318">
        <f ca="1">SUM($D$2:D318)/SUM($C$2:C318)</f>
        <v>155.3564151398318</v>
      </c>
      <c r="F318">
        <f ca="1">_xlfn.STDEV.P($B$2:B318)</f>
        <v>6.8177582140795385</v>
      </c>
      <c r="G318">
        <f t="shared" ca="1" si="80"/>
        <v>162.17417335391133</v>
      </c>
      <c r="H318">
        <f t="shared" ca="1" si="81"/>
        <v>148.53865692575226</v>
      </c>
      <c r="I318">
        <f t="shared" ca="1" si="90"/>
        <v>161.11200000000002</v>
      </c>
      <c r="J318">
        <f t="shared" ca="1" si="91"/>
        <v>4.3843556809230355</v>
      </c>
      <c r="K318">
        <f t="shared" ca="1" si="92"/>
        <v>169.8807113618461</v>
      </c>
      <c r="L318">
        <f t="shared" ca="1" si="93"/>
        <v>152.34328863815395</v>
      </c>
      <c r="M318">
        <f t="shared" ca="1" si="82"/>
        <v>-2.6200000000000045</v>
      </c>
      <c r="N318">
        <f t="shared" ca="1" si="83"/>
        <v>0</v>
      </c>
      <c r="O318">
        <f t="shared" ca="1" si="84"/>
        <v>2.6200000000000045</v>
      </c>
      <c r="P318">
        <f t="shared" ca="1" si="88"/>
        <v>0.90167469829696789</v>
      </c>
      <c r="Q318">
        <f t="shared" ca="1" si="89"/>
        <v>1.6122467342782549</v>
      </c>
      <c r="R318">
        <f t="shared" ca="1" si="86"/>
        <v>0.55926594802539042</v>
      </c>
      <c r="S318">
        <f t="shared" ca="1" si="87"/>
        <v>35.867258483623587</v>
      </c>
      <c r="T318">
        <f>70</f>
        <v>70</v>
      </c>
      <c r="U318">
        <f>30</f>
        <v>30</v>
      </c>
      <c r="V318">
        <f t="shared" ca="1" si="85"/>
        <v>158.21687483214919</v>
      </c>
      <c r="W318">
        <f t="shared" ca="1" si="95"/>
        <v>159.85586902361743</v>
      </c>
      <c r="X318">
        <f t="shared" ca="1" si="94"/>
        <v>-2.1730644089098519</v>
      </c>
      <c r="Y318">
        <f t="shared" ca="1" si="96"/>
        <v>-0.51978150929835187</v>
      </c>
      <c r="Z318">
        <f t="shared" ca="1" si="97"/>
        <v>-1.6532828996114999</v>
      </c>
      <c r="AA318">
        <f t="shared" ca="1" si="98"/>
        <v>154.06860000000003</v>
      </c>
    </row>
    <row r="319" spans="1:27" x14ac:dyDescent="0.25">
      <c r="A319" vm="929">
        <f ca="1"/>
        <v>45755</v>
      </c>
      <c r="B319" vm="930">
        <f ca="1"/>
        <v>150</v>
      </c>
      <c r="C319" vm="931">
        <f ca="1"/>
        <v>12018391</v>
      </c>
      <c r="D319">
        <f t="shared" ca="1" si="79"/>
        <v>1802758650</v>
      </c>
      <c r="E319">
        <f ca="1">SUM($D$2:D319)/SUM($C$2:C319)</f>
        <v>155.33013825053092</v>
      </c>
      <c r="F319">
        <f ca="1">_xlfn.STDEV.P($B$2:B319)</f>
        <v>6.8144815117512954</v>
      </c>
      <c r="G319">
        <f t="shared" ca="1" si="80"/>
        <v>162.14461976228222</v>
      </c>
      <c r="H319">
        <f t="shared" ca="1" si="81"/>
        <v>148.51565673877963</v>
      </c>
      <c r="I319">
        <f t="shared" ca="1" si="90"/>
        <v>160.31900000000002</v>
      </c>
      <c r="J319">
        <f t="shared" ca="1" si="91"/>
        <v>4.8859895296869515</v>
      </c>
      <c r="K319">
        <f t="shared" ca="1" si="92"/>
        <v>170.09097905937392</v>
      </c>
      <c r="L319">
        <f t="shared" ca="1" si="93"/>
        <v>150.54702094062611</v>
      </c>
      <c r="M319">
        <f t="shared" ca="1" si="82"/>
        <v>-0.62000000000000455</v>
      </c>
      <c r="N319">
        <f t="shared" ca="1" si="83"/>
        <v>0</v>
      </c>
      <c r="O319">
        <f t="shared" ca="1" si="84"/>
        <v>0.62000000000000455</v>
      </c>
      <c r="P319">
        <f t="shared" ca="1" si="88"/>
        <v>0.83726936270432728</v>
      </c>
      <c r="Q319">
        <f t="shared" ca="1" si="89"/>
        <v>1.5413719675440942</v>
      </c>
      <c r="R319">
        <f t="shared" ca="1" si="86"/>
        <v>0.54319747623175552</v>
      </c>
      <c r="S319">
        <f t="shared" ca="1" si="87"/>
        <v>35.199479301777885</v>
      </c>
      <c r="T319">
        <f>70</f>
        <v>70</v>
      </c>
      <c r="U319">
        <f>30</f>
        <v>30</v>
      </c>
      <c r="V319">
        <f t="shared" ca="1" si="85"/>
        <v>156.95274024258777</v>
      </c>
      <c r="W319">
        <f t="shared" ca="1" si="95"/>
        <v>159.12580465149762</v>
      </c>
      <c r="X319">
        <f t="shared" ca="1" si="94"/>
        <v>-2.4893523068038803</v>
      </c>
      <c r="Y319">
        <f t="shared" ca="1" si="96"/>
        <v>-0.91369566879945752</v>
      </c>
      <c r="Z319">
        <f t="shared" ca="1" si="97"/>
        <v>-1.5756566380044228</v>
      </c>
      <c r="AA319">
        <f t="shared" ca="1" si="98"/>
        <v>154.01820000000004</v>
      </c>
    </row>
    <row r="320" spans="1:27" x14ac:dyDescent="0.25">
      <c r="A320" vm="932">
        <f ca="1"/>
        <v>45756</v>
      </c>
      <c r="B320" vm="933">
        <f ca="1"/>
        <v>150.97</v>
      </c>
      <c r="C320" vm="934">
        <f ca="1"/>
        <v>18773742</v>
      </c>
      <c r="D320">
        <f t="shared" ca="1" si="79"/>
        <v>2834271829.7399998</v>
      </c>
      <c r="E320">
        <f ca="1">SUM($D$2:D320)/SUM($C$2:C320)</f>
        <v>155.29698018805564</v>
      </c>
      <c r="F320">
        <f ca="1">_xlfn.STDEV.P($B$2:B320)</f>
        <v>6.8088682696850427</v>
      </c>
      <c r="G320">
        <f t="shared" ca="1" si="80"/>
        <v>162.10584845774068</v>
      </c>
      <c r="H320">
        <f t="shared" ca="1" si="81"/>
        <v>148.48811191837061</v>
      </c>
      <c r="I320">
        <f t="shared" ca="1" si="90"/>
        <v>159.72500000000002</v>
      </c>
      <c r="J320">
        <f t="shared" ca="1" si="91"/>
        <v>5.269205972340365</v>
      </c>
      <c r="K320">
        <f t="shared" ca="1" si="92"/>
        <v>170.26341194468074</v>
      </c>
      <c r="L320">
        <f t="shared" ca="1" si="93"/>
        <v>149.18658805531931</v>
      </c>
      <c r="M320">
        <f t="shared" ca="1" si="82"/>
        <v>0.96999999999999886</v>
      </c>
      <c r="N320">
        <f t="shared" ca="1" si="83"/>
        <v>0.96999999999999886</v>
      </c>
      <c r="O320">
        <f t="shared" ca="1" si="84"/>
        <v>0</v>
      </c>
      <c r="P320">
        <f t="shared" ca="1" si="88"/>
        <v>0.846750122511161</v>
      </c>
      <c r="Q320">
        <f t="shared" ca="1" si="89"/>
        <v>1.4312739698623731</v>
      </c>
      <c r="R320">
        <f t="shared" ca="1" si="86"/>
        <v>0.59160589820031584</v>
      </c>
      <c r="S320">
        <f t="shared" ca="1" si="87"/>
        <v>37.170376088029407</v>
      </c>
      <c r="T320">
        <f>70</f>
        <v>70</v>
      </c>
      <c r="U320">
        <f>30</f>
        <v>30</v>
      </c>
      <c r="V320">
        <f t="shared" ca="1" si="85"/>
        <v>156.03231866680503</v>
      </c>
      <c r="W320">
        <f t="shared" ca="1" si="95"/>
        <v>158.52167097360891</v>
      </c>
      <c r="X320">
        <f t="shared" ca="1" si="94"/>
        <v>-2.8906678700336386</v>
      </c>
      <c r="Y320">
        <f t="shared" ca="1" si="96"/>
        <v>-1.3090901090462936</v>
      </c>
      <c r="Z320">
        <f t="shared" ca="1" si="97"/>
        <v>-1.5815777609873449</v>
      </c>
      <c r="AA320">
        <f t="shared" ca="1" si="98"/>
        <v>154.00150000000002</v>
      </c>
    </row>
    <row r="321" spans="1:27" x14ac:dyDescent="0.25">
      <c r="A321" vm="935">
        <f ca="1"/>
        <v>45757</v>
      </c>
      <c r="B321" vm="936">
        <f ca="1"/>
        <v>148.69</v>
      </c>
      <c r="C321" vm="937">
        <f ca="1"/>
        <v>13830474</v>
      </c>
      <c r="D321">
        <f t="shared" ca="1" si="79"/>
        <v>2056453179.0599999</v>
      </c>
      <c r="E321">
        <f ca="1">SUM($D$2:D321)/SUM($C$2:C321)</f>
        <v>155.2601713759075</v>
      </c>
      <c r="F321">
        <f ca="1">_xlfn.STDEV.P($B$2:B321)</f>
        <v>6.8093353136033699</v>
      </c>
      <c r="G321">
        <f t="shared" ca="1" si="80"/>
        <v>162.06950668951089</v>
      </c>
      <c r="H321">
        <f t="shared" ca="1" si="81"/>
        <v>148.45083606230412</v>
      </c>
      <c r="I321">
        <f t="shared" ca="1" si="90"/>
        <v>159.01</v>
      </c>
      <c r="J321">
        <f t="shared" ca="1" si="91"/>
        <v>5.7510301136771176</v>
      </c>
      <c r="K321">
        <f t="shared" ca="1" si="92"/>
        <v>170.51206022735423</v>
      </c>
      <c r="L321">
        <f t="shared" ca="1" si="93"/>
        <v>147.50793977264576</v>
      </c>
      <c r="M321">
        <f t="shared" ca="1" si="82"/>
        <v>-2.2800000000000011</v>
      </c>
      <c r="N321">
        <f t="shared" ca="1" si="83"/>
        <v>0</v>
      </c>
      <c r="O321">
        <f t="shared" ca="1" si="84"/>
        <v>2.2800000000000011</v>
      </c>
      <c r="P321">
        <f t="shared" ca="1" si="88"/>
        <v>0.78626797090322087</v>
      </c>
      <c r="Q321">
        <f t="shared" ca="1" si="89"/>
        <v>1.4918972577293466</v>
      </c>
      <c r="R321">
        <f t="shared" ca="1" si="86"/>
        <v>0.52702554872975182</v>
      </c>
      <c r="S321">
        <f t="shared" ca="1" si="87"/>
        <v>34.51321093927703</v>
      </c>
      <c r="T321">
        <f>70</f>
        <v>70</v>
      </c>
      <c r="U321">
        <f>30</f>
        <v>30</v>
      </c>
      <c r="V321">
        <f t="shared" ca="1" si="85"/>
        <v>154.90273117960425</v>
      </c>
      <c r="W321">
        <f t="shared" ca="1" si="95"/>
        <v>157.79339904963788</v>
      </c>
      <c r="X321">
        <f t="shared" ca="1" si="94"/>
        <v>-2.9296396888599645</v>
      </c>
      <c r="Y321">
        <f t="shared" ca="1" si="96"/>
        <v>-1.6332000250090277</v>
      </c>
      <c r="Z321">
        <f t="shared" ca="1" si="97"/>
        <v>-1.2964396638509368</v>
      </c>
      <c r="AA321">
        <f t="shared" ca="1" si="98"/>
        <v>153.95599999999999</v>
      </c>
    </row>
    <row r="322" spans="1:27" x14ac:dyDescent="0.25">
      <c r="A322" vm="938">
        <f ca="1"/>
        <v>45758</v>
      </c>
      <c r="B322" vm="939">
        <f ca="1"/>
        <v>151.72999999999999</v>
      </c>
      <c r="C322" vm="940">
        <f ca="1"/>
        <v>9943851</v>
      </c>
      <c r="D322">
        <f t="shared" ca="1" si="79"/>
        <v>1508780512.2299998</v>
      </c>
      <c r="E322">
        <f ca="1">SUM($D$2:D322)/SUM($C$2:C322)</f>
        <v>155.24608737641839</v>
      </c>
      <c r="F322">
        <f ca="1">_xlfn.STDEV.P($B$2:B322)</f>
        <v>6.8022039818206608</v>
      </c>
      <c r="G322">
        <f t="shared" ca="1" si="80"/>
        <v>162.04829135823906</v>
      </c>
      <c r="H322">
        <f t="shared" ca="1" si="81"/>
        <v>148.44388339459772</v>
      </c>
      <c r="I322">
        <f t="shared" ca="1" si="90"/>
        <v>158.45599999999996</v>
      </c>
      <c r="J322">
        <f t="shared" ca="1" si="91"/>
        <v>5.8975136598757496</v>
      </c>
      <c r="K322">
        <f t="shared" ca="1" si="92"/>
        <v>170.25102731975147</v>
      </c>
      <c r="L322">
        <f t="shared" ca="1" si="93"/>
        <v>146.66097268024845</v>
      </c>
      <c r="M322">
        <f t="shared" ca="1" si="82"/>
        <v>3.039999999999992</v>
      </c>
      <c r="N322">
        <f t="shared" ca="1" si="83"/>
        <v>3.039999999999992</v>
      </c>
      <c r="O322">
        <f t="shared" ca="1" si="84"/>
        <v>0</v>
      </c>
      <c r="P322">
        <f t="shared" ca="1" si="88"/>
        <v>0.94724883012441885</v>
      </c>
      <c r="Q322">
        <f t="shared" ca="1" si="89"/>
        <v>1.3853331678915362</v>
      </c>
      <c r="R322">
        <f t="shared" ca="1" si="86"/>
        <v>0.68376968954415673</v>
      </c>
      <c r="S322">
        <f t="shared" ca="1" si="87"/>
        <v>40.609454712851623</v>
      </c>
      <c r="T322">
        <f>70</f>
        <v>70</v>
      </c>
      <c r="U322">
        <f>30</f>
        <v>30</v>
      </c>
      <c r="V322">
        <f t="shared" ca="1" si="85"/>
        <v>154.41461869043437</v>
      </c>
      <c r="W322">
        <f t="shared" ca="1" si="95"/>
        <v>157.34425837929433</v>
      </c>
      <c r="X322">
        <f t="shared" ca="1" si="94"/>
        <v>-2.7169863880673404</v>
      </c>
      <c r="Y322">
        <f t="shared" ca="1" si="96"/>
        <v>-1.8499572976206904</v>
      </c>
      <c r="Z322">
        <f t="shared" ca="1" si="97"/>
        <v>-0.86702909044665</v>
      </c>
      <c r="AA322">
        <f t="shared" ca="1" si="98"/>
        <v>153.9546</v>
      </c>
    </row>
    <row r="323" spans="1:27" x14ac:dyDescent="0.25">
      <c r="A323" vm="941">
        <f ca="1"/>
        <v>45761</v>
      </c>
      <c r="B323" vm="942">
        <f ca="1"/>
        <v>154.36000000000001</v>
      </c>
      <c r="C323" vm="943">
        <f ca="1"/>
        <v>10685338</v>
      </c>
      <c r="D323">
        <f t="shared" ref="D323:D386" ca="1" si="99">B323*C323</f>
        <v>1649388773.6800001</v>
      </c>
      <c r="E323">
        <f ca="1">SUM($D$2:D323)/SUM($C$2:C323)</f>
        <v>155.2423048451065</v>
      </c>
      <c r="F323">
        <f ca="1">_xlfn.STDEV.P($B$2:B323)</f>
        <v>6.7919972958965884</v>
      </c>
      <c r="G323">
        <f t="shared" ref="G323:G386" ca="1" si="100">E323 + F323</f>
        <v>162.03430214100308</v>
      </c>
      <c r="H323">
        <f t="shared" ref="H323:H386" ca="1" si="101">E323 - F323</f>
        <v>148.45030754920992</v>
      </c>
      <c r="I323">
        <f t="shared" ca="1" si="90"/>
        <v>158.03199999999998</v>
      </c>
      <c r="J323">
        <f t="shared" ca="1" si="91"/>
        <v>5.8705102441198234</v>
      </c>
      <c r="K323">
        <f t="shared" ca="1" si="92"/>
        <v>169.77302048823964</v>
      </c>
      <c r="L323">
        <f t="shared" ca="1" si="93"/>
        <v>146.29097951176033</v>
      </c>
      <c r="M323">
        <f t="shared" ca="1" si="82"/>
        <v>2.6300000000000239</v>
      </c>
      <c r="N323">
        <f t="shared" ca="1" si="83"/>
        <v>2.6300000000000239</v>
      </c>
      <c r="O323">
        <f t="shared" ca="1" si="84"/>
        <v>0</v>
      </c>
      <c r="P323">
        <f t="shared" ca="1" si="88"/>
        <v>1.0674453422583905</v>
      </c>
      <c r="Q323">
        <f t="shared" ca="1" si="89"/>
        <v>1.2863807987564264</v>
      </c>
      <c r="R323">
        <f t="shared" ca="1" si="86"/>
        <v>0.82980509604178965</v>
      </c>
      <c r="S323">
        <f t="shared" ca="1" si="87"/>
        <v>45.349370697284265</v>
      </c>
      <c r="T323">
        <f>70</f>
        <v>70</v>
      </c>
      <c r="U323">
        <f>30</f>
        <v>30</v>
      </c>
      <c r="V323">
        <f t="shared" ca="1" si="85"/>
        <v>154.40621581498294</v>
      </c>
      <c r="W323">
        <f t="shared" ca="1" si="95"/>
        <v>157.12320220305028</v>
      </c>
      <c r="X323">
        <f t="shared" ca="1" si="94"/>
        <v>-2.5784462078102877</v>
      </c>
      <c r="Y323">
        <f t="shared" ca="1" si="96"/>
        <v>-1.9956550796586099</v>
      </c>
      <c r="Z323">
        <f t="shared" ca="1" si="97"/>
        <v>-0.58279112815167777</v>
      </c>
      <c r="AA323">
        <f t="shared" ca="1" si="98"/>
        <v>153.95820000000001</v>
      </c>
    </row>
    <row r="324" spans="1:27" x14ac:dyDescent="0.25">
      <c r="A324" vm="944">
        <f ca="1"/>
        <v>45762</v>
      </c>
      <c r="B324" vm="945">
        <f ca="1"/>
        <v>153.62</v>
      </c>
      <c r="C324" vm="946">
        <f ca="1"/>
        <v>10847653</v>
      </c>
      <c r="D324">
        <f t="shared" ca="1" si="99"/>
        <v>1666416453.8600001</v>
      </c>
      <c r="E324">
        <f ca="1">SUM($D$2:D324)/SUM($C$2:C324)</f>
        <v>155.23530468529285</v>
      </c>
      <c r="F324">
        <f ca="1">_xlfn.STDEV.P($B$2:B324)</f>
        <v>6.782385172198957</v>
      </c>
      <c r="G324">
        <f t="shared" ca="1" si="100"/>
        <v>162.0176898574918</v>
      </c>
      <c r="H324">
        <f t="shared" ca="1" si="101"/>
        <v>148.45291951309389</v>
      </c>
      <c r="I324">
        <f t="shared" ca="1" si="90"/>
        <v>157.50049999999999</v>
      </c>
      <c r="J324">
        <f t="shared" ca="1" si="91"/>
        <v>5.7580483490045209</v>
      </c>
      <c r="K324">
        <f t="shared" ca="1" si="92"/>
        <v>169.01659669800904</v>
      </c>
      <c r="L324">
        <f t="shared" ca="1" si="93"/>
        <v>145.98440330199094</v>
      </c>
      <c r="M324">
        <f t="shared" ref="M324:M387" ca="1" si="102">B324-B323</f>
        <v>-0.74000000000000909</v>
      </c>
      <c r="N324">
        <f t="shared" ref="N324:N387" ca="1" si="103">MAX(M324,0)</f>
        <v>0</v>
      </c>
      <c r="O324">
        <f t="shared" ref="O324:O387" ca="1" si="104">MAX(-M324,0)</f>
        <v>0.74000000000000909</v>
      </c>
      <c r="P324">
        <f t="shared" ca="1" si="88"/>
        <v>0.99119924638279122</v>
      </c>
      <c r="Q324">
        <f t="shared" ca="1" si="89"/>
        <v>1.2473535988452535</v>
      </c>
      <c r="R324">
        <f t="shared" ca="1" si="86"/>
        <v>0.79464174978161839</v>
      </c>
      <c r="S324">
        <f t="shared" ca="1" si="87"/>
        <v>44.278572582985696</v>
      </c>
      <c r="T324">
        <f>70</f>
        <v>70</v>
      </c>
      <c r="U324">
        <f>30</f>
        <v>30</v>
      </c>
      <c r="V324">
        <f t="shared" ca="1" si="85"/>
        <v>154.28525953575479</v>
      </c>
      <c r="W324">
        <f t="shared" ca="1" si="95"/>
        <v>156.86370574356508</v>
      </c>
      <c r="X324">
        <f t="shared" ca="1" si="94"/>
        <v>-2.4173854260383791</v>
      </c>
      <c r="Y324">
        <f t="shared" ca="1" si="96"/>
        <v>-2.080001148934564</v>
      </c>
      <c r="Z324">
        <f t="shared" ca="1" si="97"/>
        <v>-0.33738427710381513</v>
      </c>
      <c r="AA324">
        <f t="shared" ca="1" si="98"/>
        <v>153.94669999999999</v>
      </c>
    </row>
    <row r="325" spans="1:27" x14ac:dyDescent="0.25">
      <c r="A325" vm="947">
        <f ca="1"/>
        <v>45763</v>
      </c>
      <c r="B325" vm="948">
        <f ca="1"/>
        <v>153.91</v>
      </c>
      <c r="C325" vm="949">
        <f ca="1"/>
        <v>7987296</v>
      </c>
      <c r="D325">
        <f t="shared" ca="1" si="99"/>
        <v>1229324727.3599999</v>
      </c>
      <c r="E325">
        <f ca="1">SUM($D$2:D325)/SUM($C$2:C325)</f>
        <v>155.23110731213362</v>
      </c>
      <c r="F325">
        <f ca="1">_xlfn.STDEV.P($B$2:B325)</f>
        <v>6.7725697127051196</v>
      </c>
      <c r="G325">
        <f t="shared" ca="1" si="100"/>
        <v>162.00367702483874</v>
      </c>
      <c r="H325">
        <f t="shared" ca="1" si="101"/>
        <v>148.4585375994285</v>
      </c>
      <c r="I325">
        <f t="shared" ca="1" si="90"/>
        <v>157.04649999999998</v>
      </c>
      <c r="J325">
        <f t="shared" ca="1" si="91"/>
        <v>5.6595613322663283</v>
      </c>
      <c r="K325">
        <f t="shared" ca="1" si="92"/>
        <v>168.36562266453262</v>
      </c>
      <c r="L325">
        <f t="shared" ca="1" si="93"/>
        <v>145.72737733546734</v>
      </c>
      <c r="M325">
        <f t="shared" ca="1" si="102"/>
        <v>0.28999999999999204</v>
      </c>
      <c r="N325">
        <f t="shared" ca="1" si="103"/>
        <v>0.28999999999999204</v>
      </c>
      <c r="O325">
        <f t="shared" ca="1" si="104"/>
        <v>0</v>
      </c>
      <c r="P325">
        <f t="shared" ca="1" si="88"/>
        <v>0.94111358592687699</v>
      </c>
      <c r="Q325">
        <f t="shared" ca="1" si="89"/>
        <v>1.1582569132134497</v>
      </c>
      <c r="R325">
        <f t="shared" ca="1" si="86"/>
        <v>0.81252576625324546</v>
      </c>
      <c r="S325">
        <f t="shared" ca="1" si="87"/>
        <v>44.828370519270159</v>
      </c>
      <c r="T325">
        <f>70</f>
        <v>70</v>
      </c>
      <c r="U325">
        <f>30</f>
        <v>30</v>
      </c>
      <c r="V325">
        <f t="shared" ca="1" si="85"/>
        <v>154.22752729948482</v>
      </c>
      <c r="W325">
        <f t="shared" ca="1" si="95"/>
        <v>156.6449127255232</v>
      </c>
      <c r="X325">
        <f t="shared" ca="1" si="94"/>
        <v>-1.9796610480001675</v>
      </c>
      <c r="Y325">
        <f t="shared" ca="1" si="96"/>
        <v>-2.0599331287476845</v>
      </c>
      <c r="Z325">
        <f t="shared" ca="1" si="97"/>
        <v>8.0272080747517016E-2</v>
      </c>
      <c r="AA325">
        <f t="shared" ca="1" si="98"/>
        <v>153.95580000000001</v>
      </c>
    </row>
    <row r="326" spans="1:27" x14ac:dyDescent="0.25">
      <c r="A326" vm="950">
        <f ca="1"/>
        <v>45764</v>
      </c>
      <c r="B326" vm="951">
        <f ca="1"/>
        <v>157.47</v>
      </c>
      <c r="C326" vm="952">
        <f ca="1"/>
        <v>10981067</v>
      </c>
      <c r="D326">
        <f t="shared" ca="1" si="99"/>
        <v>1729188620.49</v>
      </c>
      <c r="E326">
        <f ca="1">SUM($D$2:D326)/SUM($C$2:C326)</f>
        <v>155.24081359615801</v>
      </c>
      <c r="F326">
        <f ca="1">_xlfn.STDEV.P($B$2:B326)</f>
        <v>6.7629284097923419</v>
      </c>
      <c r="G326">
        <f t="shared" ca="1" si="100"/>
        <v>162.00374200595036</v>
      </c>
      <c r="H326">
        <f t="shared" ca="1" si="101"/>
        <v>148.47788518636565</v>
      </c>
      <c r="I326">
        <f t="shared" ca="1" si="90"/>
        <v>156.76899999999995</v>
      </c>
      <c r="J326">
        <f t="shared" ca="1" si="91"/>
        <v>5.484612829975954</v>
      </c>
      <c r="K326">
        <f t="shared" ca="1" si="92"/>
        <v>167.73822565995187</v>
      </c>
      <c r="L326">
        <f t="shared" ca="1" si="93"/>
        <v>145.79977434004803</v>
      </c>
      <c r="M326">
        <f t="shared" ca="1" si="102"/>
        <v>3.5600000000000023</v>
      </c>
      <c r="N326">
        <f t="shared" ca="1" si="103"/>
        <v>3.5600000000000023</v>
      </c>
      <c r="O326">
        <f t="shared" ca="1" si="104"/>
        <v>0</v>
      </c>
      <c r="P326">
        <f t="shared" ca="1" si="88"/>
        <v>1.1281769012178144</v>
      </c>
      <c r="Q326">
        <f t="shared" ca="1" si="89"/>
        <v>1.0755242765553461</v>
      </c>
      <c r="R326">
        <f t="shared" ca="1" si="86"/>
        <v>1.048955310270729</v>
      </c>
      <c r="S326">
        <f t="shared" ca="1" si="87"/>
        <v>51.194640752419836</v>
      </c>
      <c r="T326">
        <f>70</f>
        <v>70</v>
      </c>
      <c r="U326">
        <f>30</f>
        <v>30</v>
      </c>
      <c r="V326">
        <f t="shared" ca="1" si="85"/>
        <v>154.72636925341021</v>
      </c>
      <c r="W326">
        <f t="shared" ca="1" si="95"/>
        <v>156.70603030141038</v>
      </c>
      <c r="X326">
        <f t="shared" ca="1" si="94"/>
        <v>-1.6580290019816175</v>
      </c>
      <c r="Y326">
        <f t="shared" ca="1" si="96"/>
        <v>-1.9795523033944713</v>
      </c>
      <c r="Z326">
        <f t="shared" ca="1" si="97"/>
        <v>0.32152330141285379</v>
      </c>
      <c r="AA326">
        <f t="shared" ca="1" si="98"/>
        <v>153.99940000000001</v>
      </c>
    </row>
    <row r="327" spans="1:27" x14ac:dyDescent="0.25">
      <c r="A327" vm="953">
        <f ca="1"/>
        <v>45768</v>
      </c>
      <c r="B327" vm="954">
        <f ca="1"/>
        <v>156.91999999999999</v>
      </c>
      <c r="C327" vm="955">
        <f ca="1"/>
        <v>6285438</v>
      </c>
      <c r="D327">
        <f t="shared" ca="1" si="99"/>
        <v>986310930.95999992</v>
      </c>
      <c r="E327">
        <f ca="1">SUM($D$2:D327)/SUM($C$2:C327)</f>
        <v>155.24497014869468</v>
      </c>
      <c r="F327">
        <f ca="1">_xlfn.STDEV.P($B$2:B327)</f>
        <v>6.7529340461590399</v>
      </c>
      <c r="G327">
        <f t="shared" ca="1" si="100"/>
        <v>161.9979041948537</v>
      </c>
      <c r="H327">
        <f t="shared" ca="1" si="101"/>
        <v>148.49203610253565</v>
      </c>
      <c r="I327">
        <f t="shared" ca="1" si="90"/>
        <v>156.43349999999998</v>
      </c>
      <c r="J327">
        <f t="shared" ca="1" si="91"/>
        <v>5.242723553951504</v>
      </c>
      <c r="K327">
        <f t="shared" ca="1" si="92"/>
        <v>166.91894710790299</v>
      </c>
      <c r="L327">
        <f t="shared" ca="1" si="93"/>
        <v>145.94805289209697</v>
      </c>
      <c r="M327">
        <f t="shared" ca="1" si="102"/>
        <v>-0.55000000000001137</v>
      </c>
      <c r="N327">
        <f t="shared" ca="1" si="103"/>
        <v>0</v>
      </c>
      <c r="O327">
        <f t="shared" ca="1" si="104"/>
        <v>0.55000000000001137</v>
      </c>
      <c r="P327">
        <f t="shared" ca="1" si="88"/>
        <v>1.0475928368451135</v>
      </c>
      <c r="Q327">
        <f t="shared" ca="1" si="89"/>
        <v>1.0379868282299651</v>
      </c>
      <c r="R327">
        <f t="shared" ca="1" si="86"/>
        <v>1.0092544609949714</v>
      </c>
      <c r="S327">
        <f t="shared" ca="1" si="87"/>
        <v>50.230295892696155</v>
      </c>
      <c r="T327">
        <f>70</f>
        <v>70</v>
      </c>
      <c r="U327">
        <f>30</f>
        <v>30</v>
      </c>
      <c r="V327">
        <f t="shared" ca="1" si="85"/>
        <v>155.06385090673172</v>
      </c>
      <c r="W327">
        <f t="shared" ca="1" si="95"/>
        <v>156.72187990871333</v>
      </c>
      <c r="X327">
        <f t="shared" ca="1" si="94"/>
        <v>-1.3209323391239707</v>
      </c>
      <c r="Y327">
        <f t="shared" ca="1" si="96"/>
        <v>-1.8478283105403714</v>
      </c>
      <c r="Z327">
        <f t="shared" ca="1" si="97"/>
        <v>0.52689597141640077</v>
      </c>
      <c r="AA327">
        <f t="shared" ca="1" si="98"/>
        <v>154.0136</v>
      </c>
    </row>
    <row r="328" spans="1:27" x14ac:dyDescent="0.25">
      <c r="A328" vm="956">
        <f ca="1"/>
        <v>45769</v>
      </c>
      <c r="B328" vm="957">
        <f ca="1"/>
        <v>157.75</v>
      </c>
      <c r="C328" vm="958">
        <f ca="1"/>
        <v>7136321</v>
      </c>
      <c r="D328">
        <f t="shared" ca="1" si="99"/>
        <v>1125754637.75</v>
      </c>
      <c r="E328">
        <f ca="1">SUM($D$2:D328)/SUM($C$2:C328)</f>
        <v>155.25199063597844</v>
      </c>
      <c r="F328">
        <f ca="1">_xlfn.STDEV.P($B$2:B328)</f>
        <v>6.7436280743081785</v>
      </c>
      <c r="G328">
        <f t="shared" ca="1" si="100"/>
        <v>161.99561871028664</v>
      </c>
      <c r="H328">
        <f t="shared" ca="1" si="101"/>
        <v>148.50836256167025</v>
      </c>
      <c r="I328">
        <f t="shared" ca="1" si="90"/>
        <v>156.15649999999999</v>
      </c>
      <c r="J328">
        <f t="shared" ca="1" si="91"/>
        <v>5.0022303183574763</v>
      </c>
      <c r="K328">
        <f t="shared" ca="1" si="92"/>
        <v>166.16096063671495</v>
      </c>
      <c r="L328">
        <f t="shared" ca="1" si="93"/>
        <v>146.15203936328504</v>
      </c>
      <c r="M328">
        <f t="shared" ca="1" si="102"/>
        <v>0.83000000000001251</v>
      </c>
      <c r="N328">
        <f t="shared" ca="1" si="103"/>
        <v>0.83000000000001251</v>
      </c>
      <c r="O328">
        <f t="shared" ca="1" si="104"/>
        <v>0</v>
      </c>
      <c r="P328">
        <f t="shared" ca="1" si="88"/>
        <v>1.0320504913561777</v>
      </c>
      <c r="Q328">
        <f t="shared" ca="1" si="89"/>
        <v>0.96384491192782473</v>
      </c>
      <c r="R328">
        <f t="shared" ca="1" si="86"/>
        <v>1.0707640602593753</v>
      </c>
      <c r="S328">
        <f t="shared" ca="1" si="87"/>
        <v>51.708646137370948</v>
      </c>
      <c r="T328">
        <f>70</f>
        <v>70</v>
      </c>
      <c r="U328">
        <f>30</f>
        <v>30</v>
      </c>
      <c r="V328">
        <f t="shared" ca="1" si="85"/>
        <v>155.47710461338838</v>
      </c>
      <c r="W328">
        <f t="shared" ca="1" si="95"/>
        <v>156.79803695251235</v>
      </c>
      <c r="X328">
        <f t="shared" ca="1" si="94"/>
        <v>-1.2308317361543288</v>
      </c>
      <c r="Y328">
        <f t="shared" ca="1" si="96"/>
        <v>-1.7244289956631629</v>
      </c>
      <c r="Z328">
        <f t="shared" ca="1" si="97"/>
        <v>0.49359725950883404</v>
      </c>
      <c r="AA328">
        <f t="shared" ca="1" si="98"/>
        <v>154.0394</v>
      </c>
    </row>
    <row r="329" spans="1:27" x14ac:dyDescent="0.25">
      <c r="A329" vm="959">
        <f ca="1"/>
        <v>45770</v>
      </c>
      <c r="B329" vm="960">
        <f ca="1"/>
        <v>155.38</v>
      </c>
      <c r="C329" vm="961">
        <f ca="1"/>
        <v>9099438</v>
      </c>
      <c r="D329">
        <f t="shared" ca="1" si="99"/>
        <v>1413870676.4400001</v>
      </c>
      <c r="E329">
        <f ca="1">SUM($D$2:D329)/SUM($C$2:C329)</f>
        <v>155.25244644938755</v>
      </c>
      <c r="F329">
        <f ca="1">_xlfn.STDEV.P($B$2:B329)</f>
        <v>6.7333538050714212</v>
      </c>
      <c r="G329">
        <f t="shared" ca="1" si="100"/>
        <v>161.98580025445898</v>
      </c>
      <c r="H329">
        <f t="shared" ca="1" si="101"/>
        <v>148.51909264431612</v>
      </c>
      <c r="I329">
        <f t="shared" ca="1" si="90"/>
        <v>155.87449999999998</v>
      </c>
      <c r="J329">
        <f t="shared" ca="1" si="91"/>
        <v>4.8708731250156783</v>
      </c>
      <c r="K329">
        <f t="shared" ca="1" si="92"/>
        <v>165.61624625003134</v>
      </c>
      <c r="L329">
        <f t="shared" ca="1" si="93"/>
        <v>146.13275374996863</v>
      </c>
      <c r="M329">
        <f t="shared" ca="1" si="102"/>
        <v>-2.3700000000000045</v>
      </c>
      <c r="N329">
        <f t="shared" ca="1" si="103"/>
        <v>0</v>
      </c>
      <c r="O329">
        <f t="shared" ca="1" si="104"/>
        <v>2.3700000000000045</v>
      </c>
      <c r="P329">
        <f t="shared" ca="1" si="88"/>
        <v>0.95833259911645075</v>
      </c>
      <c r="Q329">
        <f t="shared" ca="1" si="89"/>
        <v>1.0642845610758376</v>
      </c>
      <c r="R329">
        <f t="shared" ca="1" si="86"/>
        <v>0.90044771310758775</v>
      </c>
      <c r="S329">
        <f t="shared" ca="1" si="87"/>
        <v>47.380820156066662</v>
      </c>
      <c r="T329">
        <f>70</f>
        <v>70</v>
      </c>
      <c r="U329">
        <f>30</f>
        <v>30</v>
      </c>
      <c r="V329">
        <f t="shared" ca="1" si="85"/>
        <v>155.46216544209787</v>
      </c>
      <c r="W329">
        <f t="shared" ca="1" si="95"/>
        <v>156.6929971782522</v>
      </c>
      <c r="X329">
        <f t="shared" ca="1" si="94"/>
        <v>-1.1821109590566721</v>
      </c>
      <c r="Y329">
        <f t="shared" ca="1" si="96"/>
        <v>-1.615965388341865</v>
      </c>
      <c r="Z329">
        <f t="shared" ca="1" si="97"/>
        <v>0.43385442928519291</v>
      </c>
      <c r="AA329">
        <f t="shared" ca="1" si="98"/>
        <v>154.03540000000001</v>
      </c>
    </row>
    <row r="330" spans="1:27" x14ac:dyDescent="0.25">
      <c r="A330" vm="962">
        <f ca="1"/>
        <v>45771</v>
      </c>
      <c r="B330" vm="963">
        <f ca="1"/>
        <v>154.93</v>
      </c>
      <c r="C330" vm="964">
        <f ca="1"/>
        <v>8310425</v>
      </c>
      <c r="D330">
        <f t="shared" ca="1" si="99"/>
        <v>1287534145.25</v>
      </c>
      <c r="E330">
        <f ca="1">SUM($D$2:D330)/SUM($C$2:C330)</f>
        <v>155.2514012441556</v>
      </c>
      <c r="F330">
        <f ca="1">_xlfn.STDEV.P($B$2:B330)</f>
        <v>6.7232214395521597</v>
      </c>
      <c r="G330">
        <f t="shared" ca="1" si="100"/>
        <v>161.97462268370776</v>
      </c>
      <c r="H330">
        <f t="shared" ca="1" si="101"/>
        <v>148.52817980460344</v>
      </c>
      <c r="I330">
        <f t="shared" ca="1" si="90"/>
        <v>155.535</v>
      </c>
      <c r="J330">
        <f t="shared" ca="1" si="91"/>
        <v>4.6746781482230073</v>
      </c>
      <c r="K330">
        <f t="shared" ca="1" si="92"/>
        <v>164.88435629644601</v>
      </c>
      <c r="L330">
        <f t="shared" ca="1" si="93"/>
        <v>146.18564370355398</v>
      </c>
      <c r="M330">
        <f t="shared" ca="1" si="102"/>
        <v>-0.44999999999998863</v>
      </c>
      <c r="N330">
        <f t="shared" ca="1" si="103"/>
        <v>0</v>
      </c>
      <c r="O330">
        <f t="shared" ca="1" si="104"/>
        <v>0.44999999999998863</v>
      </c>
      <c r="P330">
        <f t="shared" ca="1" si="88"/>
        <v>0.88988027060813291</v>
      </c>
      <c r="Q330">
        <f t="shared" ca="1" si="89"/>
        <v>1.0204070924275626</v>
      </c>
      <c r="R330">
        <f t="shared" ca="1" si="86"/>
        <v>0.87208358037878342</v>
      </c>
      <c r="S330">
        <f t="shared" ca="1" si="87"/>
        <v>46.583581498125874</v>
      </c>
      <c r="T330">
        <f>70</f>
        <v>70</v>
      </c>
      <c r="U330">
        <f>30</f>
        <v>30</v>
      </c>
      <c r="V330">
        <f t="shared" ca="1" si="85"/>
        <v>155.38029383562127</v>
      </c>
      <c r="W330">
        <f t="shared" ca="1" si="95"/>
        <v>156.56240479467795</v>
      </c>
      <c r="X330">
        <f t="shared" ca="1" si="94"/>
        <v>-1.1583882880079841</v>
      </c>
      <c r="Y330">
        <f t="shared" ca="1" si="96"/>
        <v>-1.5244499682750889</v>
      </c>
      <c r="Z330">
        <f t="shared" ca="1" si="97"/>
        <v>0.36606168026710484</v>
      </c>
      <c r="AA330">
        <f t="shared" ca="1" si="98"/>
        <v>154.0395</v>
      </c>
    </row>
    <row r="331" spans="1:27" x14ac:dyDescent="0.25">
      <c r="A331" vm="965">
        <f ca="1"/>
        <v>45772</v>
      </c>
      <c r="B331" vm="966">
        <f ca="1"/>
        <v>154.58000000000001</v>
      </c>
      <c r="C331" vm="967">
        <f ca="1"/>
        <v>8643927</v>
      </c>
      <c r="D331">
        <f t="shared" ca="1" si="99"/>
        <v>1336178235.6600001</v>
      </c>
      <c r="E331">
        <f ca="1">SUM($D$2:D331)/SUM($C$2:C331)</f>
        <v>155.24914517616622</v>
      </c>
      <c r="F331">
        <f ca="1">_xlfn.STDEV.P($B$2:B331)</f>
        <v>6.7132711851607523</v>
      </c>
      <c r="G331">
        <f t="shared" ca="1" si="100"/>
        <v>161.96241636132697</v>
      </c>
      <c r="H331">
        <f t="shared" ca="1" si="101"/>
        <v>148.53587399100547</v>
      </c>
      <c r="I331">
        <f t="shared" ca="1" si="90"/>
        <v>155.10749999999999</v>
      </c>
      <c r="J331">
        <f t="shared" ca="1" si="91"/>
        <v>4.3211388301550429</v>
      </c>
      <c r="K331">
        <f t="shared" ca="1" si="92"/>
        <v>163.74977766031009</v>
      </c>
      <c r="L331">
        <f t="shared" ca="1" si="93"/>
        <v>146.46522233968989</v>
      </c>
      <c r="M331">
        <f t="shared" ca="1" si="102"/>
        <v>-0.34999999999999432</v>
      </c>
      <c r="N331">
        <f t="shared" ca="1" si="103"/>
        <v>0</v>
      </c>
      <c r="O331">
        <f t="shared" ca="1" si="104"/>
        <v>0.34999999999999432</v>
      </c>
      <c r="P331">
        <f t="shared" ca="1" si="88"/>
        <v>0.82631739413612337</v>
      </c>
      <c r="Q331">
        <f t="shared" ca="1" si="89"/>
        <v>0.97252087153987909</v>
      </c>
      <c r="R331">
        <f t="shared" ca="1" si="86"/>
        <v>0.84966546047257707</v>
      </c>
      <c r="S331">
        <f t="shared" ca="1" si="87"/>
        <v>45.936169465774277</v>
      </c>
      <c r="T331">
        <f>70</f>
        <v>70</v>
      </c>
      <c r="U331">
        <f>30</f>
        <v>30</v>
      </c>
      <c r="V331">
        <f t="shared" ca="1" si="85"/>
        <v>155.25717170706417</v>
      </c>
      <c r="W331">
        <f t="shared" ca="1" si="95"/>
        <v>156.41555999507216</v>
      </c>
      <c r="X331">
        <f t="shared" ca="1" si="94"/>
        <v>-1.0651766421663638</v>
      </c>
      <c r="Y331">
        <f t="shared" ca="1" si="96"/>
        <v>-1.4325953030533438</v>
      </c>
      <c r="Z331">
        <f t="shared" ca="1" si="97"/>
        <v>0.36741866088698005</v>
      </c>
      <c r="AA331">
        <f t="shared" ca="1" si="98"/>
        <v>154.03130000000002</v>
      </c>
    </row>
    <row r="332" spans="1:27" x14ac:dyDescent="0.25">
      <c r="A332" vm="968">
        <f ca="1"/>
        <v>45775</v>
      </c>
      <c r="B332" vm="969">
        <f ca="1"/>
        <v>155.35</v>
      </c>
      <c r="C332" vm="970">
        <f ca="1"/>
        <v>5815179</v>
      </c>
      <c r="D332">
        <f t="shared" ca="1" si="99"/>
        <v>903388057.64999998</v>
      </c>
      <c r="E332">
        <f ca="1">SUM($D$2:D332)/SUM($C$2:C332)</f>
        <v>155.24937265346352</v>
      </c>
      <c r="F332">
        <f ca="1">_xlfn.STDEV.P($B$2:B332)</f>
        <v>6.703138823898839</v>
      </c>
      <c r="G332">
        <f t="shared" ca="1" si="100"/>
        <v>161.95251147736235</v>
      </c>
      <c r="H332">
        <f t="shared" ca="1" si="101"/>
        <v>148.5462338295647</v>
      </c>
      <c r="I332">
        <f t="shared" ca="1" si="90"/>
        <v>154.68950000000001</v>
      </c>
      <c r="J332">
        <f t="shared" ca="1" si="91"/>
        <v>3.8205393322767511</v>
      </c>
      <c r="K332">
        <f t="shared" ca="1" si="92"/>
        <v>162.33057866455351</v>
      </c>
      <c r="L332">
        <f t="shared" ca="1" si="93"/>
        <v>147.04842133544651</v>
      </c>
      <c r="M332">
        <f t="shared" ca="1" si="102"/>
        <v>0.76999999999998181</v>
      </c>
      <c r="N332">
        <f t="shared" ca="1" si="103"/>
        <v>0.76999999999998181</v>
      </c>
      <c r="O332">
        <f t="shared" ca="1" si="104"/>
        <v>0</v>
      </c>
      <c r="P332">
        <f t="shared" ca="1" si="88"/>
        <v>0.82229472312639895</v>
      </c>
      <c r="Q332">
        <f t="shared" ca="1" si="89"/>
        <v>0.90305509500131631</v>
      </c>
      <c r="R332">
        <f t="shared" ca="1" si="86"/>
        <v>0.91056982866056513</v>
      </c>
      <c r="S332">
        <f t="shared" ca="1" si="87"/>
        <v>47.659594273972935</v>
      </c>
      <c r="T332">
        <f>70</f>
        <v>70</v>
      </c>
      <c r="U332">
        <f>30</f>
        <v>30</v>
      </c>
      <c r="V332">
        <f t="shared" ca="1" si="85"/>
        <v>155.27145298290046</v>
      </c>
      <c r="W332">
        <f t="shared" ca="1" si="95"/>
        <v>156.33662962506682</v>
      </c>
      <c r="X332">
        <f t="shared" ca="1" si="94"/>
        <v>-0.93533644508627845</v>
      </c>
      <c r="Y332">
        <f t="shared" ca="1" si="96"/>
        <v>-1.3331435314599309</v>
      </c>
      <c r="Z332">
        <f t="shared" ca="1" si="97"/>
        <v>0.39780708637365247</v>
      </c>
      <c r="AA332">
        <f t="shared" ca="1" si="98"/>
        <v>154.03470000000002</v>
      </c>
    </row>
    <row r="333" spans="1:27" x14ac:dyDescent="0.25">
      <c r="A333" vm="971">
        <f ca="1"/>
        <v>45776</v>
      </c>
      <c r="B333" vm="972">
        <f ca="1"/>
        <v>155.91</v>
      </c>
      <c r="C333" vm="973">
        <f ca="1"/>
        <v>5246725</v>
      </c>
      <c r="D333">
        <f t="shared" ca="1" si="99"/>
        <v>818016894.75</v>
      </c>
      <c r="E333">
        <f ca="1">SUM($D$2:D333)/SUM($C$2:C333)</f>
        <v>155.25071430660054</v>
      </c>
      <c r="F333">
        <f ca="1">_xlfn.STDEV.P($B$2:B333)</f>
        <v>6.6930552847058076</v>
      </c>
      <c r="G333">
        <f t="shared" ca="1" si="100"/>
        <v>161.94376959130636</v>
      </c>
      <c r="H333">
        <f t="shared" ca="1" si="101"/>
        <v>148.55765902189472</v>
      </c>
      <c r="I333">
        <f t="shared" ca="1" si="90"/>
        <v>154.19299999999998</v>
      </c>
      <c r="J333">
        <f t="shared" ca="1" si="91"/>
        <v>2.8056298664236552</v>
      </c>
      <c r="K333">
        <f t="shared" ca="1" si="92"/>
        <v>159.8042597328473</v>
      </c>
      <c r="L333">
        <f t="shared" ca="1" si="93"/>
        <v>148.58174026715267</v>
      </c>
      <c r="M333">
        <f t="shared" ca="1" si="102"/>
        <v>0.56000000000000227</v>
      </c>
      <c r="N333">
        <f t="shared" ca="1" si="103"/>
        <v>0.56000000000000227</v>
      </c>
      <c r="O333">
        <f t="shared" ca="1" si="104"/>
        <v>0</v>
      </c>
      <c r="P333">
        <f t="shared" ca="1" si="88"/>
        <v>0.80355938576022778</v>
      </c>
      <c r="Q333">
        <f t="shared" ca="1" si="89"/>
        <v>0.83855115964407945</v>
      </c>
      <c r="R333">
        <f t="shared" ca="1" si="86"/>
        <v>0.95827115199661306</v>
      </c>
      <c r="S333">
        <f t="shared" ca="1" si="87"/>
        <v>48.93454877377831</v>
      </c>
      <c r="T333">
        <f>70</f>
        <v>70</v>
      </c>
      <c r="U333">
        <f>30</f>
        <v>30</v>
      </c>
      <c r="V333">
        <f t="shared" ca="1" si="85"/>
        <v>155.36969098553115</v>
      </c>
      <c r="W333">
        <f t="shared" ca="1" si="95"/>
        <v>156.30502743061743</v>
      </c>
      <c r="X333">
        <f t="shared" ca="1" si="94"/>
        <v>-0.79104185825616469</v>
      </c>
      <c r="Y333">
        <f t="shared" ca="1" si="96"/>
        <v>-1.2247231968191779</v>
      </c>
      <c r="Z333">
        <f t="shared" ca="1" si="97"/>
        <v>0.43368133856301316</v>
      </c>
      <c r="AA333">
        <f t="shared" ca="1" si="98"/>
        <v>154.04580000000001</v>
      </c>
    </row>
    <row r="334" spans="1:27" x14ac:dyDescent="0.25">
      <c r="A334" vm="974">
        <f ca="1"/>
        <v>45777</v>
      </c>
      <c r="B334" vm="975">
        <f ca="1"/>
        <v>156.31</v>
      </c>
      <c r="C334" vm="976">
        <f ca="1"/>
        <v>9598156</v>
      </c>
      <c r="D334">
        <f t="shared" ca="1" si="99"/>
        <v>1500287764.3600001</v>
      </c>
      <c r="E334">
        <f ca="1">SUM($D$2:D334)/SUM($C$2:C334)</f>
        <v>155.25463520697625</v>
      </c>
      <c r="F334">
        <f ca="1">_xlfn.STDEV.P($B$2:B334)</f>
        <v>6.6831051703636657</v>
      </c>
      <c r="G334">
        <f t="shared" ca="1" si="100"/>
        <v>161.93774037733991</v>
      </c>
      <c r="H334">
        <f t="shared" ca="1" si="101"/>
        <v>148.57153003661259</v>
      </c>
      <c r="I334">
        <f t="shared" ca="1" si="90"/>
        <v>154.34599999999998</v>
      </c>
      <c r="J334">
        <f t="shared" ca="1" si="91"/>
        <v>2.834782828403354</v>
      </c>
      <c r="K334">
        <f t="shared" ca="1" si="92"/>
        <v>160.01556565680667</v>
      </c>
      <c r="L334">
        <f t="shared" ca="1" si="93"/>
        <v>148.67643434319328</v>
      </c>
      <c r="M334">
        <f t="shared" ca="1" si="102"/>
        <v>0.40000000000000568</v>
      </c>
      <c r="N334">
        <f t="shared" ca="1" si="103"/>
        <v>0.40000000000000568</v>
      </c>
      <c r="O334">
        <f t="shared" ca="1" si="104"/>
        <v>0</v>
      </c>
      <c r="P334">
        <f t="shared" ca="1" si="88"/>
        <v>0.77473371534878333</v>
      </c>
      <c r="Q334">
        <f t="shared" ca="1" si="89"/>
        <v>0.77865464824093089</v>
      </c>
      <c r="R334">
        <f t="shared" ca="1" si="86"/>
        <v>0.99496447763972717</v>
      </c>
      <c r="S334">
        <f t="shared" ca="1" si="87"/>
        <v>49.873794184891196</v>
      </c>
      <c r="T334">
        <f>70</f>
        <v>70</v>
      </c>
      <c r="U334">
        <f>30</f>
        <v>30</v>
      </c>
      <c r="V334">
        <f t="shared" ca="1" si="85"/>
        <v>155.51435391083405</v>
      </c>
      <c r="W334">
        <f t="shared" ca="1" si="95"/>
        <v>156.30539576909021</v>
      </c>
      <c r="X334">
        <f t="shared" ca="1" si="94"/>
        <v>-0.81655416933503489</v>
      </c>
      <c r="Y334">
        <f t="shared" ca="1" si="96"/>
        <v>-1.1430893913223494</v>
      </c>
      <c r="Z334">
        <f t="shared" ca="1" si="97"/>
        <v>0.32653522198731455</v>
      </c>
      <c r="AA334">
        <f t="shared" ca="1" si="98"/>
        <v>154.08530000000002</v>
      </c>
    </row>
    <row r="335" spans="1:27" x14ac:dyDescent="0.25">
      <c r="A335" vm="977">
        <f ca="1"/>
        <v>45778</v>
      </c>
      <c r="B335" vm="978">
        <f ca="1"/>
        <v>154.46</v>
      </c>
      <c r="C335" vm="979">
        <f ca="1"/>
        <v>7325849</v>
      </c>
      <c r="D335">
        <f t="shared" ca="1" si="99"/>
        <v>1131550636.54</v>
      </c>
      <c r="E335">
        <f ca="1">SUM($D$2:D335)/SUM($C$2:C335)</f>
        <v>155.25239656088419</v>
      </c>
      <c r="F335">
        <f ca="1">_xlfn.STDEV.P($B$2:B335)</f>
        <v>6.6733943347851126</v>
      </c>
      <c r="G335">
        <f t="shared" ca="1" si="100"/>
        <v>161.92579089566931</v>
      </c>
      <c r="H335">
        <f t="shared" ca="1" si="101"/>
        <v>148.57900222609908</v>
      </c>
      <c r="I335">
        <f t="shared" ca="1" si="90"/>
        <v>154.30099999999999</v>
      </c>
      <c r="J335">
        <f t="shared" ca="1" si="91"/>
        <v>2.8249655796692075</v>
      </c>
      <c r="K335">
        <f t="shared" ca="1" si="92"/>
        <v>159.95093115933841</v>
      </c>
      <c r="L335">
        <f t="shared" ca="1" si="93"/>
        <v>148.65106884066157</v>
      </c>
      <c r="M335">
        <f t="shared" ca="1" si="102"/>
        <v>-1.8499999999999943</v>
      </c>
      <c r="N335">
        <f t="shared" ca="1" si="103"/>
        <v>0</v>
      </c>
      <c r="O335">
        <f t="shared" ca="1" si="104"/>
        <v>1.8499999999999943</v>
      </c>
      <c r="P335">
        <f t="shared" ca="1" si="88"/>
        <v>0.71939559282387022</v>
      </c>
      <c r="Q335">
        <f t="shared" ca="1" si="89"/>
        <v>0.85517931622372123</v>
      </c>
      <c r="R335">
        <f t="shared" ca="1" si="86"/>
        <v>0.84122192758421555</v>
      </c>
      <c r="S335">
        <f t="shared" ca="1" si="87"/>
        <v>45.688241867070587</v>
      </c>
      <c r="T335">
        <f>70</f>
        <v>70</v>
      </c>
      <c r="U335">
        <f>30</f>
        <v>30</v>
      </c>
      <c r="V335">
        <f t="shared" ref="V335:V398" ca="1" si="105">B335*(2/(12+1)) + V334*(1-(2/(12+1)))</f>
        <v>155.35214561685959</v>
      </c>
      <c r="W335">
        <f t="shared" ca="1" si="95"/>
        <v>156.16869978619462</v>
      </c>
      <c r="X335">
        <f t="shared" ca="1" si="94"/>
        <v>-0.69481533420500341</v>
      </c>
      <c r="Y335">
        <f t="shared" ca="1" si="96"/>
        <v>-1.0534345798988802</v>
      </c>
      <c r="Z335">
        <f t="shared" ca="1" si="97"/>
        <v>0.35861924569387682</v>
      </c>
      <c r="AA335">
        <f t="shared" ca="1" si="98"/>
        <v>154.12520000000001</v>
      </c>
    </row>
    <row r="336" spans="1:27" x14ac:dyDescent="0.25">
      <c r="A336" vm="980">
        <f ca="1"/>
        <v>45779</v>
      </c>
      <c r="B336" vm="981">
        <f ca="1"/>
        <v>156.12</v>
      </c>
      <c r="C336" vm="982">
        <f ca="1"/>
        <v>5974539</v>
      </c>
      <c r="D336">
        <f t="shared" ca="1" si="99"/>
        <v>932745028.68000007</v>
      </c>
      <c r="E336">
        <f ca="1">SUM($D$2:D336)/SUM($C$2:C336)</f>
        <v>155.25438534972369</v>
      </c>
      <c r="F336">
        <f ca="1">_xlfn.STDEV.P($B$2:B336)</f>
        <v>6.6634830540880454</v>
      </c>
      <c r="G336">
        <f t="shared" ca="1" si="100"/>
        <v>161.91786840381172</v>
      </c>
      <c r="H336">
        <f t="shared" ca="1" si="101"/>
        <v>148.59090229563566</v>
      </c>
      <c r="I336">
        <f t="shared" ca="1" si="90"/>
        <v>154.11599999999999</v>
      </c>
      <c r="J336">
        <f t="shared" ca="1" si="91"/>
        <v>2.5525331071619606</v>
      </c>
      <c r="K336">
        <f t="shared" ca="1" si="92"/>
        <v>159.22106621432391</v>
      </c>
      <c r="L336">
        <f t="shared" ca="1" si="93"/>
        <v>149.01093378567606</v>
      </c>
      <c r="M336">
        <f t="shared" ca="1" si="102"/>
        <v>1.6599999999999966</v>
      </c>
      <c r="N336">
        <f t="shared" ca="1" si="103"/>
        <v>1.6599999999999966</v>
      </c>
      <c r="O336">
        <f t="shared" ca="1" si="104"/>
        <v>0</v>
      </c>
      <c r="P336">
        <f t="shared" ca="1" si="88"/>
        <v>0.78658162190787917</v>
      </c>
      <c r="Q336">
        <f t="shared" ca="1" si="89"/>
        <v>0.79409507935059831</v>
      </c>
      <c r="R336">
        <f t="shared" ref="R336:R399" ca="1" si="106">IF(Q336=0,NA(),P336/Q336)</f>
        <v>0.99053834025912424</v>
      </c>
      <c r="S336">
        <f t="shared" ref="S336:S399" ca="1" si="107">100-(100/(1+R336))</f>
        <v>49.762334149774681</v>
      </c>
      <c r="T336">
        <f>70</f>
        <v>70</v>
      </c>
      <c r="U336">
        <f>30</f>
        <v>30</v>
      </c>
      <c r="V336">
        <f t="shared" ca="1" si="105"/>
        <v>155.47027706041965</v>
      </c>
      <c r="W336">
        <f t="shared" ca="1" si="95"/>
        <v>156.16509239462465</v>
      </c>
      <c r="X336">
        <f t="shared" ca="1" si="94"/>
        <v>-0.68086251085006211</v>
      </c>
      <c r="Y336">
        <f t="shared" ca="1" si="96"/>
        <v>-0.97892016608911669</v>
      </c>
      <c r="Z336">
        <f t="shared" ca="1" si="97"/>
        <v>0.29805765523905459</v>
      </c>
      <c r="AA336">
        <f t="shared" ca="1" si="98"/>
        <v>154.19120000000001</v>
      </c>
    </row>
    <row r="337" spans="1:27" x14ac:dyDescent="0.25">
      <c r="A337" vm="983">
        <f ca="1"/>
        <v>45782</v>
      </c>
      <c r="B337" vm="984">
        <f ca="1"/>
        <v>155</v>
      </c>
      <c r="C337" vm="985">
        <f ca="1"/>
        <v>5464496</v>
      </c>
      <c r="D337">
        <f t="shared" ca="1" si="99"/>
        <v>846996880</v>
      </c>
      <c r="E337">
        <f ca="1">SUM($D$2:D337)/SUM($C$2:C337)</f>
        <v>155.25385312427827</v>
      </c>
      <c r="F337">
        <f ca="1">_xlfn.STDEV.P($B$2:B337)</f>
        <v>6.6536451294147412</v>
      </c>
      <c r="G337">
        <f t="shared" ca="1" si="100"/>
        <v>161.90749825369301</v>
      </c>
      <c r="H337">
        <f t="shared" ca="1" si="101"/>
        <v>148.60020799486352</v>
      </c>
      <c r="I337">
        <f t="shared" ca="1" si="90"/>
        <v>154.20400000000001</v>
      </c>
      <c r="J337">
        <f t="shared" ca="1" si="91"/>
        <v>2.5510810917809148</v>
      </c>
      <c r="K337">
        <f t="shared" ca="1" si="92"/>
        <v>159.30616218356184</v>
      </c>
      <c r="L337">
        <f t="shared" ca="1" si="93"/>
        <v>149.10183781643818</v>
      </c>
      <c r="M337">
        <f t="shared" ca="1" si="102"/>
        <v>-1.1200000000000045</v>
      </c>
      <c r="N337">
        <f t="shared" ca="1" si="103"/>
        <v>0</v>
      </c>
      <c r="O337">
        <f t="shared" ca="1" si="104"/>
        <v>1.1200000000000045</v>
      </c>
      <c r="P337">
        <f t="shared" ref="P337:P400" ca="1" si="108">(P336*13+N337)/14</f>
        <v>0.73039722034303067</v>
      </c>
      <c r="Q337">
        <f t="shared" ref="Q337:Q400" ca="1" si="109">(Q336*13+O337)/14</f>
        <v>0.81737400225412737</v>
      </c>
      <c r="R337">
        <f t="shared" ca="1" si="106"/>
        <v>0.89358998246673493</v>
      </c>
      <c r="S337">
        <f t="shared" ca="1" si="107"/>
        <v>47.19025716975311</v>
      </c>
      <c r="T337">
        <f>70</f>
        <v>70</v>
      </c>
      <c r="U337">
        <f>30</f>
        <v>30</v>
      </c>
      <c r="V337">
        <f t="shared" ca="1" si="105"/>
        <v>155.39792674343201</v>
      </c>
      <c r="W337">
        <f t="shared" ca="1" si="95"/>
        <v>156.07878925428207</v>
      </c>
      <c r="X337">
        <f t="shared" ca="1" si="94"/>
        <v>-0.70445089698679908</v>
      </c>
      <c r="Y337">
        <f t="shared" ca="1" si="96"/>
        <v>-0.92402631226865317</v>
      </c>
      <c r="Z337">
        <f t="shared" ca="1" si="97"/>
        <v>0.21957541528185409</v>
      </c>
      <c r="AA337">
        <f t="shared" ca="1" si="98"/>
        <v>154.24809999999999</v>
      </c>
    </row>
    <row r="338" spans="1:27" x14ac:dyDescent="0.25">
      <c r="A338" vm="986">
        <f ca="1"/>
        <v>45783</v>
      </c>
      <c r="B338" vm="987">
        <f ca="1"/>
        <v>154.47</v>
      </c>
      <c r="C338" vm="988">
        <f ca="1"/>
        <v>8644189</v>
      </c>
      <c r="D338">
        <f t="shared" ca="1" si="99"/>
        <v>1335267874.8299999</v>
      </c>
      <c r="E338">
        <f ca="1">SUM($D$2:D338)/SUM($C$2:C338)</f>
        <v>155.25126742866811</v>
      </c>
      <c r="F338">
        <f ca="1">_xlfn.STDEV.P($B$2:B338)</f>
        <v>6.6440587765802777</v>
      </c>
      <c r="G338">
        <f t="shared" ca="1" si="100"/>
        <v>161.89532620524838</v>
      </c>
      <c r="H338">
        <f t="shared" ca="1" si="101"/>
        <v>148.60720865208785</v>
      </c>
      <c r="I338">
        <f t="shared" ca="1" si="90"/>
        <v>154.3965</v>
      </c>
      <c r="J338">
        <f t="shared" ca="1" si="91"/>
        <v>2.4076288291485812</v>
      </c>
      <c r="K338">
        <f t="shared" ca="1" si="92"/>
        <v>159.21175765829716</v>
      </c>
      <c r="L338">
        <f t="shared" ca="1" si="93"/>
        <v>149.58124234170285</v>
      </c>
      <c r="M338">
        <f t="shared" ca="1" si="102"/>
        <v>-0.53000000000000114</v>
      </c>
      <c r="N338">
        <f t="shared" ca="1" si="103"/>
        <v>0</v>
      </c>
      <c r="O338">
        <f t="shared" ca="1" si="104"/>
        <v>0.53000000000000114</v>
      </c>
      <c r="P338">
        <f t="shared" ca="1" si="108"/>
        <v>0.67822599031852848</v>
      </c>
      <c r="Q338">
        <f t="shared" ca="1" si="109"/>
        <v>0.7968472878074041</v>
      </c>
      <c r="R338">
        <f t="shared" ca="1" si="106"/>
        <v>0.8511367243085276</v>
      </c>
      <c r="S338">
        <f t="shared" ca="1" si="107"/>
        <v>45.979138824900183</v>
      </c>
      <c r="T338">
        <f>70</f>
        <v>70</v>
      </c>
      <c r="U338">
        <f>30</f>
        <v>30</v>
      </c>
      <c r="V338">
        <f t="shared" ca="1" si="105"/>
        <v>155.25516878290401</v>
      </c>
      <c r="W338">
        <f t="shared" ca="1" si="95"/>
        <v>155.95961967989081</v>
      </c>
      <c r="X338">
        <f t="shared" ca="1" si="94"/>
        <v>-0.48914891009121675</v>
      </c>
      <c r="Y338">
        <f t="shared" ca="1" si="96"/>
        <v>-0.83705083183316586</v>
      </c>
      <c r="Z338">
        <f t="shared" ca="1" si="97"/>
        <v>0.34790192174194912</v>
      </c>
      <c r="AA338">
        <f t="shared" ca="1" si="98"/>
        <v>154.29679999999999</v>
      </c>
    </row>
    <row r="339" spans="1:27" x14ac:dyDescent="0.25">
      <c r="A339" vm="989">
        <f ca="1"/>
        <v>45784</v>
      </c>
      <c r="B339" vm="990">
        <f ca="1"/>
        <v>157.30000000000001</v>
      </c>
      <c r="C339" vm="991">
        <f ca="1"/>
        <v>7854106</v>
      </c>
      <c r="D339">
        <f t="shared" ca="1" si="99"/>
        <v>1235450873.8000002</v>
      </c>
      <c r="E339">
        <f ca="1">SUM($D$2:D339)/SUM($C$2:C339)</f>
        <v>155.25738953349656</v>
      </c>
      <c r="F339">
        <f ca="1">_xlfn.STDEV.P($B$2:B339)</f>
        <v>6.6348553356831932</v>
      </c>
      <c r="G339">
        <f t="shared" ca="1" si="100"/>
        <v>161.89224486917976</v>
      </c>
      <c r="H339">
        <f t="shared" ca="1" si="101"/>
        <v>148.62253419781337</v>
      </c>
      <c r="I339">
        <f t="shared" ca="1" si="90"/>
        <v>154.76150000000001</v>
      </c>
      <c r="J339">
        <f t="shared" ca="1" si="91"/>
        <v>2.2545095743980852</v>
      </c>
      <c r="K339">
        <f t="shared" ca="1" si="92"/>
        <v>159.27051914879618</v>
      </c>
      <c r="L339">
        <f t="shared" ca="1" si="93"/>
        <v>150.25248085120384</v>
      </c>
      <c r="M339">
        <f t="shared" ca="1" si="102"/>
        <v>2.8300000000000125</v>
      </c>
      <c r="N339">
        <f t="shared" ca="1" si="103"/>
        <v>2.8300000000000125</v>
      </c>
      <c r="O339">
        <f t="shared" ca="1" si="104"/>
        <v>0</v>
      </c>
      <c r="P339">
        <f t="shared" ca="1" si="108"/>
        <v>0.83192413386720598</v>
      </c>
      <c r="Q339">
        <f t="shared" ca="1" si="109"/>
        <v>0.73992962439258947</v>
      </c>
      <c r="R339">
        <f t="shared" ca="1" si="106"/>
        <v>1.124328728627584</v>
      </c>
      <c r="S339">
        <f t="shared" ca="1" si="107"/>
        <v>52.926306247995491</v>
      </c>
      <c r="T339">
        <f>70</f>
        <v>70</v>
      </c>
      <c r="U339">
        <f>30</f>
        <v>30</v>
      </c>
      <c r="V339">
        <f t="shared" ca="1" si="105"/>
        <v>155.56975820091878</v>
      </c>
      <c r="W339">
        <f t="shared" ca="1" si="95"/>
        <v>156.05890711101</v>
      </c>
      <c r="X339">
        <f t="shared" ca="1" si="94"/>
        <v>-0.44571688149679289</v>
      </c>
      <c r="Y339">
        <f t="shared" ca="1" si="96"/>
        <v>-0.75878404176589132</v>
      </c>
      <c r="Z339">
        <f t="shared" ca="1" si="97"/>
        <v>0.31306716026909842</v>
      </c>
      <c r="AA339">
        <f t="shared" ca="1" si="98"/>
        <v>154.37749999999997</v>
      </c>
    </row>
    <row r="340" spans="1:27" x14ac:dyDescent="0.25">
      <c r="A340" vm="992">
        <f ca="1"/>
        <v>45785</v>
      </c>
      <c r="B340" vm="993">
        <f ca="1"/>
        <v>155.66</v>
      </c>
      <c r="C340" vm="994">
        <f ca="1"/>
        <v>7606095</v>
      </c>
      <c r="D340">
        <f t="shared" ca="1" si="99"/>
        <v>1183964747.7</v>
      </c>
      <c r="E340">
        <f ca="1">SUM($D$2:D340)/SUM($C$2:C340)</f>
        <v>155.25855127781378</v>
      </c>
      <c r="F340">
        <f ca="1">_xlfn.STDEV.P($B$2:B340)</f>
        <v>6.6250625689379063</v>
      </c>
      <c r="G340">
        <f t="shared" ca="1" si="100"/>
        <v>161.8836138467517</v>
      </c>
      <c r="H340">
        <f t="shared" ca="1" si="101"/>
        <v>148.63348870887586</v>
      </c>
      <c r="I340">
        <f t="shared" ca="1" si="90"/>
        <v>154.99599999999998</v>
      </c>
      <c r="J340">
        <f t="shared" ca="1" si="91"/>
        <v>2.0762501623942402</v>
      </c>
      <c r="K340">
        <f t="shared" ca="1" si="92"/>
        <v>159.14850032478847</v>
      </c>
      <c r="L340">
        <f t="shared" ca="1" si="93"/>
        <v>150.84349967521149</v>
      </c>
      <c r="M340">
        <f t="shared" ca="1" si="102"/>
        <v>-1.6400000000000148</v>
      </c>
      <c r="N340">
        <f t="shared" ca="1" si="103"/>
        <v>0</v>
      </c>
      <c r="O340">
        <f t="shared" ca="1" si="104"/>
        <v>1.6400000000000148</v>
      </c>
      <c r="P340">
        <f t="shared" ca="1" si="108"/>
        <v>0.77250098144811985</v>
      </c>
      <c r="Q340">
        <f t="shared" ca="1" si="109"/>
        <v>0.80422036550740561</v>
      </c>
      <c r="R340">
        <f t="shared" ca="1" si="106"/>
        <v>0.96055884006459713</v>
      </c>
      <c r="S340">
        <f t="shared" ca="1" si="107"/>
        <v>48.994134755626533</v>
      </c>
      <c r="T340">
        <f>70</f>
        <v>70</v>
      </c>
      <c r="U340">
        <f>30</f>
        <v>30</v>
      </c>
      <c r="V340">
        <f t="shared" ca="1" si="105"/>
        <v>155.5836415546236</v>
      </c>
      <c r="W340">
        <f t="shared" ca="1" si="95"/>
        <v>156.02935843612039</v>
      </c>
      <c r="X340">
        <f t="shared" ca="1" si="94"/>
        <v>-0.52148133907670058</v>
      </c>
      <c r="Y340">
        <f t="shared" ca="1" si="96"/>
        <v>-0.71132350122805321</v>
      </c>
      <c r="Z340">
        <f t="shared" ca="1" si="97"/>
        <v>0.18984216215135263</v>
      </c>
      <c r="AA340">
        <f t="shared" ca="1" si="98"/>
        <v>154.46769999999998</v>
      </c>
    </row>
    <row r="341" spans="1:27" x14ac:dyDescent="0.25">
      <c r="A341" vm="995">
        <f ca="1"/>
        <v>45786</v>
      </c>
      <c r="B341" vm="996">
        <f ca="1"/>
        <v>154.22</v>
      </c>
      <c r="C341" vm="997">
        <f ca="1"/>
        <v>6520449</v>
      </c>
      <c r="D341">
        <f t="shared" ca="1" si="99"/>
        <v>1005583644.78</v>
      </c>
      <c r="E341">
        <f ca="1">SUM($D$2:D341)/SUM($C$2:C341)</f>
        <v>155.25598858693093</v>
      </c>
      <c r="F341">
        <f ca="1">_xlfn.STDEV.P($B$2:B341)</f>
        <v>6.6157461907860124</v>
      </c>
      <c r="G341">
        <f t="shared" ca="1" si="100"/>
        <v>161.87173477771694</v>
      </c>
      <c r="H341">
        <f t="shared" ca="1" si="101"/>
        <v>148.64024239614491</v>
      </c>
      <c r="I341">
        <f t="shared" ca="1" si="90"/>
        <v>155.27249999999998</v>
      </c>
      <c r="J341">
        <f t="shared" ca="1" si="91"/>
        <v>1.4727878147813493</v>
      </c>
      <c r="K341">
        <f t="shared" ca="1" si="92"/>
        <v>158.21807562956269</v>
      </c>
      <c r="L341">
        <f t="shared" ca="1" si="93"/>
        <v>152.32692437043727</v>
      </c>
      <c r="M341">
        <f t="shared" ca="1" si="102"/>
        <v>-1.4399999999999977</v>
      </c>
      <c r="N341">
        <f t="shared" ca="1" si="103"/>
        <v>0</v>
      </c>
      <c r="O341">
        <f t="shared" ca="1" si="104"/>
        <v>1.4399999999999977</v>
      </c>
      <c r="P341">
        <f t="shared" ca="1" si="108"/>
        <v>0.71732233991611127</v>
      </c>
      <c r="Q341">
        <f t="shared" ca="1" si="109"/>
        <v>0.84963319654259073</v>
      </c>
      <c r="R341">
        <f t="shared" ca="1" si="106"/>
        <v>0.84427296724646406</v>
      </c>
      <c r="S341">
        <f t="shared" ca="1" si="107"/>
        <v>45.778091542868523</v>
      </c>
      <c r="T341">
        <f>70</f>
        <v>70</v>
      </c>
      <c r="U341">
        <f>30</f>
        <v>30</v>
      </c>
      <c r="V341">
        <f t="shared" ca="1" si="105"/>
        <v>155.37385054621996</v>
      </c>
      <c r="W341">
        <f t="shared" ca="1" si="95"/>
        <v>155.89533188529666</v>
      </c>
      <c r="X341">
        <f t="shared" ca="1" si="94"/>
        <v>-0.58127991593755723</v>
      </c>
      <c r="Y341">
        <f t="shared" ca="1" si="96"/>
        <v>-0.68531478416995406</v>
      </c>
      <c r="Z341">
        <f t="shared" ca="1" si="97"/>
        <v>0.10403486823239683</v>
      </c>
      <c r="AA341">
        <f t="shared" ca="1" si="98"/>
        <v>154.54749999999996</v>
      </c>
    </row>
    <row r="342" spans="1:27" x14ac:dyDescent="0.25">
      <c r="A342" vm="998">
        <f ca="1"/>
        <v>45789</v>
      </c>
      <c r="B342" vm="999">
        <f ca="1"/>
        <v>154.13999999999999</v>
      </c>
      <c r="C342" vm="1000">
        <f ca="1"/>
        <v>9023782</v>
      </c>
      <c r="D342">
        <f t="shared" ca="1" si="99"/>
        <v>1390925757.4799998</v>
      </c>
      <c r="E342">
        <f ca="1">SUM($D$2:D342)/SUM($C$2:C342)</f>
        <v>155.25219055532321</v>
      </c>
      <c r="F342">
        <f ca="1">_xlfn.STDEV.P($B$2:B342)</f>
        <v>6.6065196832024524</v>
      </c>
      <c r="G342">
        <f t="shared" ca="1" si="100"/>
        <v>161.85871023852567</v>
      </c>
      <c r="H342">
        <f t="shared" ca="1" si="101"/>
        <v>148.64567087212075</v>
      </c>
      <c r="I342">
        <f t="shared" ref="I342:I405" ca="1" si="110">AVERAGE(B323:B342)</f>
        <v>155.39299999999997</v>
      </c>
      <c r="J342">
        <f t="shared" ref="J342:J405" ca="1" si="111">_xlfn.STDEV.S(B323:B342)</f>
        <v>1.2493328746090635</v>
      </c>
      <c r="K342">
        <f t="shared" ref="K342:K405" ca="1" si="112">I342 + 2*J342</f>
        <v>157.89166574921811</v>
      </c>
      <c r="L342">
        <f t="shared" ref="L342:L405" ca="1" si="113">I342-2*J342</f>
        <v>152.89433425078184</v>
      </c>
      <c r="M342">
        <f t="shared" ca="1" si="102"/>
        <v>-8.0000000000012506E-2</v>
      </c>
      <c r="N342">
        <f t="shared" ca="1" si="103"/>
        <v>0</v>
      </c>
      <c r="O342">
        <f t="shared" ca="1" si="104"/>
        <v>8.0000000000012506E-2</v>
      </c>
      <c r="P342">
        <f t="shared" ca="1" si="108"/>
        <v>0.66608502992210339</v>
      </c>
      <c r="Q342">
        <f t="shared" ca="1" si="109"/>
        <v>0.79465939678954933</v>
      </c>
      <c r="R342">
        <f t="shared" ca="1" si="106"/>
        <v>0.83820191721523618</v>
      </c>
      <c r="S342">
        <f t="shared" ca="1" si="107"/>
        <v>45.599012239366012</v>
      </c>
      <c r="T342">
        <f>70</f>
        <v>70</v>
      </c>
      <c r="U342">
        <f>30</f>
        <v>30</v>
      </c>
      <c r="V342">
        <f t="shared" ca="1" si="105"/>
        <v>155.18402738526305</v>
      </c>
      <c r="W342">
        <f t="shared" ca="1" si="95"/>
        <v>155.76530730120061</v>
      </c>
      <c r="X342">
        <f t="shared" ca="1" si="94"/>
        <v>-1.076207234948896</v>
      </c>
      <c r="Y342">
        <f t="shared" ca="1" si="96"/>
        <v>-0.76349327432574243</v>
      </c>
      <c r="Z342">
        <f t="shared" ca="1" si="97"/>
        <v>-0.3127139606231536</v>
      </c>
      <c r="AA342">
        <f t="shared" ca="1" si="98"/>
        <v>154.62269999999998</v>
      </c>
    </row>
    <row r="343" spans="1:27" x14ac:dyDescent="0.25">
      <c r="A343" vm="1001">
        <f ca="1"/>
        <v>45790</v>
      </c>
      <c r="B343" vm="1002">
        <f ca="1"/>
        <v>148.44</v>
      </c>
      <c r="C343" vm="1003">
        <f ca="1"/>
        <v>10549609</v>
      </c>
      <c r="D343">
        <f t="shared" ca="1" si="99"/>
        <v>1565983959.96</v>
      </c>
      <c r="E343">
        <f ca="1">SUM($D$2:D343)/SUM($C$2:C343)</f>
        <v>155.22519396863362</v>
      </c>
      <c r="F343">
        <f ca="1">_xlfn.STDEV.P($B$2:B343)</f>
        <v>6.6082045342109055</v>
      </c>
      <c r="G343">
        <f t="shared" ca="1" si="100"/>
        <v>161.83339850284452</v>
      </c>
      <c r="H343">
        <f t="shared" ca="1" si="101"/>
        <v>148.61698943442272</v>
      </c>
      <c r="I343">
        <f t="shared" ca="1" si="110"/>
        <v>155.09699999999998</v>
      </c>
      <c r="J343">
        <f t="shared" ca="1" si="111"/>
        <v>1.989189467306246</v>
      </c>
      <c r="K343">
        <f t="shared" ca="1" si="112"/>
        <v>159.07537893461247</v>
      </c>
      <c r="L343">
        <f t="shared" ca="1" si="113"/>
        <v>151.11862106538749</v>
      </c>
      <c r="M343">
        <f t="shared" ca="1" si="102"/>
        <v>-5.6999999999999886</v>
      </c>
      <c r="N343">
        <f t="shared" ca="1" si="103"/>
        <v>0</v>
      </c>
      <c r="O343">
        <f t="shared" ca="1" si="104"/>
        <v>5.6999999999999886</v>
      </c>
      <c r="P343">
        <f t="shared" ca="1" si="108"/>
        <v>0.61850752778481033</v>
      </c>
      <c r="Q343">
        <f t="shared" ca="1" si="109"/>
        <v>1.1450408684474378</v>
      </c>
      <c r="R343">
        <f t="shared" ca="1" si="106"/>
        <v>0.54016196699026597</v>
      </c>
      <c r="S343">
        <f t="shared" ca="1" si="107"/>
        <v>35.071763786365452</v>
      </c>
      <c r="T343">
        <f>70</f>
        <v>70</v>
      </c>
      <c r="U343">
        <f>30</f>
        <v>30</v>
      </c>
      <c r="V343">
        <f t="shared" ca="1" si="105"/>
        <v>154.14648471060721</v>
      </c>
      <c r="W343">
        <f t="shared" ca="1" si="95"/>
        <v>155.22269194555611</v>
      </c>
      <c r="X343">
        <f t="shared" ca="1" si="94"/>
        <v>-1.6176322599868627</v>
      </c>
      <c r="Y343">
        <f t="shared" ca="1" si="96"/>
        <v>-0.93432107145796661</v>
      </c>
      <c r="Z343">
        <f t="shared" ca="1" si="97"/>
        <v>-0.68331118852889605</v>
      </c>
      <c r="AA343">
        <f t="shared" ca="1" si="98"/>
        <v>154.66859999999997</v>
      </c>
    </row>
    <row r="344" spans="1:27" x14ac:dyDescent="0.25">
      <c r="A344" vm="1004">
        <f ca="1"/>
        <v>45791</v>
      </c>
      <c r="B344" vm="1005">
        <f ca="1"/>
        <v>146.36000000000001</v>
      </c>
      <c r="C344" vm="1006">
        <f ca="1"/>
        <v>10215952</v>
      </c>
      <c r="D344">
        <f t="shared" ca="1" si="99"/>
        <v>1495206734.72</v>
      </c>
      <c r="E344">
        <f ca="1">SUM($D$2:D344)/SUM($C$2:C344)</f>
        <v>155.19130258379525</v>
      </c>
      <c r="F344">
        <f ca="1">_xlfn.STDEV.P($B$2:B344)</f>
        <v>6.6173001960073483</v>
      </c>
      <c r="G344">
        <f t="shared" ca="1" si="100"/>
        <v>161.80860277980258</v>
      </c>
      <c r="H344">
        <f t="shared" ca="1" si="101"/>
        <v>148.57400238778791</v>
      </c>
      <c r="I344">
        <f t="shared" ca="1" si="110"/>
        <v>154.73399999999998</v>
      </c>
      <c r="J344">
        <f t="shared" ca="1" si="111"/>
        <v>2.7786676095226857</v>
      </c>
      <c r="K344">
        <f t="shared" ca="1" si="112"/>
        <v>160.29133521904535</v>
      </c>
      <c r="L344">
        <f t="shared" ca="1" si="113"/>
        <v>149.17666478095461</v>
      </c>
      <c r="M344">
        <f t="shared" ca="1" si="102"/>
        <v>-2.0799999999999841</v>
      </c>
      <c r="N344">
        <f t="shared" ca="1" si="103"/>
        <v>0</v>
      </c>
      <c r="O344">
        <f t="shared" ca="1" si="104"/>
        <v>2.0799999999999841</v>
      </c>
      <c r="P344">
        <f t="shared" ca="1" si="108"/>
        <v>0.57432841865732398</v>
      </c>
      <c r="Q344">
        <f t="shared" ca="1" si="109"/>
        <v>1.2118236635583339</v>
      </c>
      <c r="R344">
        <f t="shared" ca="1" si="106"/>
        <v>0.47393728636301496</v>
      </c>
      <c r="S344">
        <f t="shared" ca="1" si="107"/>
        <v>32.154508251329304</v>
      </c>
      <c r="T344">
        <f>70</f>
        <v>70</v>
      </c>
      <c r="U344">
        <f>30</f>
        <v>30</v>
      </c>
      <c r="V344">
        <f t="shared" ca="1" si="105"/>
        <v>152.94856398589843</v>
      </c>
      <c r="W344">
        <f t="shared" ca="1" si="95"/>
        <v>154.56619624588529</v>
      </c>
      <c r="X344">
        <f t="shared" ca="1" si="94"/>
        <v>-1.7641318407432607</v>
      </c>
      <c r="Y344">
        <f t="shared" ca="1" si="96"/>
        <v>-1.1002832253150254</v>
      </c>
      <c r="Z344">
        <f t="shared" ca="1" si="97"/>
        <v>-0.66384861542823526</v>
      </c>
      <c r="AA344">
        <f t="shared" ca="1" si="98"/>
        <v>154.66809999999995</v>
      </c>
    </row>
    <row r="345" spans="1:27" x14ac:dyDescent="0.25">
      <c r="A345" vm="1007">
        <f ca="1"/>
        <v>45792</v>
      </c>
      <c r="B345" vm="1008">
        <f ca="1"/>
        <v>149.61000000000001</v>
      </c>
      <c r="C345" vm="1009">
        <f ca="1"/>
        <v>7945768</v>
      </c>
      <c r="D345">
        <f t="shared" ca="1" si="99"/>
        <v>1188766350.48</v>
      </c>
      <c r="E345">
        <f ca="1">SUM($D$2:D345)/SUM($C$2:C345)</f>
        <v>155.17475615602237</v>
      </c>
      <c r="F345">
        <f ca="1">_xlfn.STDEV.P($B$2:B345)</f>
        <v>6.6154412392411617</v>
      </c>
      <c r="G345">
        <f t="shared" ca="1" si="100"/>
        <v>161.79019739526353</v>
      </c>
      <c r="H345">
        <f t="shared" ca="1" si="101"/>
        <v>148.5593149167812</v>
      </c>
      <c r="I345">
        <f t="shared" ca="1" si="110"/>
        <v>154.51900000000001</v>
      </c>
      <c r="J345">
        <f t="shared" ca="1" si="111"/>
        <v>3.0030754411541416</v>
      </c>
      <c r="K345">
        <f t="shared" ca="1" si="112"/>
        <v>160.52515088230828</v>
      </c>
      <c r="L345">
        <f t="shared" ca="1" si="113"/>
        <v>148.51284911769173</v>
      </c>
      <c r="M345">
        <f t="shared" ca="1" si="102"/>
        <v>3.25</v>
      </c>
      <c r="N345">
        <f t="shared" ca="1" si="103"/>
        <v>3.25</v>
      </c>
      <c r="O345">
        <f t="shared" ca="1" si="104"/>
        <v>0</v>
      </c>
      <c r="P345">
        <f t="shared" ca="1" si="108"/>
        <v>0.76544781732465794</v>
      </c>
      <c r="Q345">
        <f t="shared" ca="1" si="109"/>
        <v>1.1252648304470243</v>
      </c>
      <c r="R345">
        <f t="shared" ca="1" si="106"/>
        <v>0.68023792854218601</v>
      </c>
      <c r="S345">
        <f t="shared" ca="1" si="107"/>
        <v>40.484619290339225</v>
      </c>
      <c r="T345">
        <f>70</f>
        <v>70</v>
      </c>
      <c r="U345">
        <f>30</f>
        <v>30</v>
      </c>
      <c r="V345">
        <f t="shared" ca="1" si="105"/>
        <v>152.43493875729868</v>
      </c>
      <c r="W345">
        <f t="shared" ca="1" si="95"/>
        <v>154.19907059804194</v>
      </c>
      <c r="X345">
        <f t="shared" ca="1" si="94"/>
        <v>-1.7215986707861077</v>
      </c>
      <c r="Y345">
        <f t="shared" ca="1" si="96"/>
        <v>-1.2245463144092419</v>
      </c>
      <c r="Z345">
        <f t="shared" ca="1" si="97"/>
        <v>-0.49705235637686584</v>
      </c>
      <c r="AA345">
        <f t="shared" ca="1" si="98"/>
        <v>154.71669999999997</v>
      </c>
    </row>
    <row r="346" spans="1:27" x14ac:dyDescent="0.25">
      <c r="A346" vm="1010">
        <f ca="1"/>
        <v>45793</v>
      </c>
      <c r="B346" vm="1011">
        <f ca="1"/>
        <v>151.33000000000001</v>
      </c>
      <c r="C346" vm="1012">
        <f ca="1"/>
        <v>8051150</v>
      </c>
      <c r="D346">
        <f t="shared" ca="1" si="99"/>
        <v>1218380529.5</v>
      </c>
      <c r="E346">
        <f ca="1">SUM($D$2:D346)/SUM($C$2:C346)</f>
        <v>155.16324134324222</v>
      </c>
      <c r="F346">
        <f ca="1">_xlfn.STDEV.P($B$2:B346)</f>
        <v>6.6097319737932967</v>
      </c>
      <c r="G346">
        <f t="shared" ca="1" si="100"/>
        <v>161.77297331703551</v>
      </c>
      <c r="H346">
        <f t="shared" ca="1" si="101"/>
        <v>148.55350936944893</v>
      </c>
      <c r="I346">
        <f t="shared" ca="1" si="110"/>
        <v>154.21199999999999</v>
      </c>
      <c r="J346">
        <f t="shared" ca="1" si="111"/>
        <v>2.999360633622822</v>
      </c>
      <c r="K346">
        <f t="shared" ca="1" si="112"/>
        <v>160.21072126724565</v>
      </c>
      <c r="L346">
        <f t="shared" ca="1" si="113"/>
        <v>148.21327873275433</v>
      </c>
      <c r="M346">
        <f t="shared" ca="1" si="102"/>
        <v>1.7199999999999989</v>
      </c>
      <c r="N346">
        <f t="shared" ca="1" si="103"/>
        <v>1.7199999999999989</v>
      </c>
      <c r="O346">
        <f t="shared" ca="1" si="104"/>
        <v>0</v>
      </c>
      <c r="P346">
        <f t="shared" ca="1" si="108"/>
        <v>0.83363011608718229</v>
      </c>
      <c r="Q346">
        <f t="shared" ca="1" si="109"/>
        <v>1.0448887711293797</v>
      </c>
      <c r="R346">
        <f t="shared" ca="1" si="106"/>
        <v>0.79781708744572288</v>
      </c>
      <c r="S346">
        <f t="shared" ca="1" si="107"/>
        <v>44.376988794740747</v>
      </c>
      <c r="T346">
        <f>70</f>
        <v>70</v>
      </c>
      <c r="U346">
        <f>30</f>
        <v>30</v>
      </c>
      <c r="V346">
        <f t="shared" ca="1" si="105"/>
        <v>152.26494817925274</v>
      </c>
      <c r="W346">
        <f t="shared" ca="1" si="95"/>
        <v>153.98654685003885</v>
      </c>
      <c r="X346">
        <f t="shared" ca="1" si="94"/>
        <v>-1.5761199915229724</v>
      </c>
      <c r="Y346">
        <f t="shared" ca="1" si="96"/>
        <v>-1.2948610498319881</v>
      </c>
      <c r="Z346">
        <f t="shared" ca="1" si="97"/>
        <v>-0.28125894169098431</v>
      </c>
      <c r="AA346">
        <f t="shared" ca="1" si="98"/>
        <v>154.79419999999993</v>
      </c>
    </row>
    <row r="347" spans="1:27" x14ac:dyDescent="0.25">
      <c r="A347" vm="1013">
        <f ca="1"/>
        <v>45796</v>
      </c>
      <c r="B347" vm="1014">
        <f ca="1"/>
        <v>152.49</v>
      </c>
      <c r="C347" vm="1015">
        <f ca="1"/>
        <v>12639948</v>
      </c>
      <c r="D347">
        <f t="shared" ca="1" si="99"/>
        <v>1927465670.5200002</v>
      </c>
      <c r="E347">
        <f ca="1">SUM($D$2:D347)/SUM($C$2:C347)</f>
        <v>155.15073079374886</v>
      </c>
      <c r="F347">
        <f ca="1">_xlfn.STDEV.P($B$2:B347)</f>
        <v>6.602194344323145</v>
      </c>
      <c r="G347">
        <f t="shared" ca="1" si="100"/>
        <v>161.75292513807202</v>
      </c>
      <c r="H347">
        <f t="shared" ca="1" si="101"/>
        <v>148.54853644942571</v>
      </c>
      <c r="I347">
        <f t="shared" ca="1" si="110"/>
        <v>153.99050000000003</v>
      </c>
      <c r="J347">
        <f t="shared" ca="1" si="111"/>
        <v>2.9520545477059805</v>
      </c>
      <c r="K347">
        <f t="shared" ca="1" si="112"/>
        <v>159.89460909541199</v>
      </c>
      <c r="L347">
        <f t="shared" ca="1" si="113"/>
        <v>148.08639090458806</v>
      </c>
      <c r="M347">
        <f t="shared" ca="1" si="102"/>
        <v>1.1599999999999966</v>
      </c>
      <c r="N347">
        <f t="shared" ca="1" si="103"/>
        <v>1.1599999999999966</v>
      </c>
      <c r="O347">
        <f t="shared" ca="1" si="104"/>
        <v>0</v>
      </c>
      <c r="P347">
        <f t="shared" ca="1" si="108"/>
        <v>0.85694225065238327</v>
      </c>
      <c r="Q347">
        <f t="shared" ca="1" si="109"/>
        <v>0.97025385890585258</v>
      </c>
      <c r="R347">
        <f t="shared" ca="1" si="106"/>
        <v>0.88321447298210198</v>
      </c>
      <c r="S347">
        <f t="shared" ca="1" si="107"/>
        <v>46.89930359251737</v>
      </c>
      <c r="T347">
        <f>70</f>
        <v>70</v>
      </c>
      <c r="U347">
        <f>30</f>
        <v>30</v>
      </c>
      <c r="V347">
        <f t="shared" ca="1" si="105"/>
        <v>152.29957153629078</v>
      </c>
      <c r="W347">
        <f t="shared" ca="1" si="95"/>
        <v>153.87569152781376</v>
      </c>
      <c r="X347">
        <f t="shared" ca="1" si="94"/>
        <v>-1.350846154590073</v>
      </c>
      <c r="Y347">
        <f t="shared" ca="1" si="96"/>
        <v>-1.3060580707836051</v>
      </c>
      <c r="Z347">
        <f t="shared" ca="1" si="97"/>
        <v>-4.4788083806467816E-2</v>
      </c>
      <c r="AA347">
        <f t="shared" ca="1" si="98"/>
        <v>154.87439999999998</v>
      </c>
    </row>
    <row r="348" spans="1:27" x14ac:dyDescent="0.25">
      <c r="A348" vm="1016">
        <f ca="1"/>
        <v>45797</v>
      </c>
      <c r="B348" vm="1017">
        <f ca="1"/>
        <v>153.66</v>
      </c>
      <c r="C348" vm="1018">
        <f ca="1"/>
        <v>7351451</v>
      </c>
      <c r="D348">
        <f t="shared" ca="1" si="99"/>
        <v>1129623960.6600001</v>
      </c>
      <c r="E348">
        <f ca="1">SUM($D$2:D348)/SUM($C$2:C348)</f>
        <v>155.14668424538885</v>
      </c>
      <c r="F348">
        <f ca="1">_xlfn.STDEV.P($B$2:B348)</f>
        <v>6.5934313675844498</v>
      </c>
      <c r="G348">
        <f t="shared" ca="1" si="100"/>
        <v>161.74011561297331</v>
      </c>
      <c r="H348">
        <f t="shared" ca="1" si="101"/>
        <v>148.5532528778044</v>
      </c>
      <c r="I348">
        <f t="shared" ca="1" si="110"/>
        <v>153.786</v>
      </c>
      <c r="J348">
        <f t="shared" ca="1" si="111"/>
        <v>2.8164636281019213</v>
      </c>
      <c r="K348">
        <f t="shared" ca="1" si="112"/>
        <v>159.41892725620386</v>
      </c>
      <c r="L348">
        <f t="shared" ca="1" si="113"/>
        <v>148.15307274379614</v>
      </c>
      <c r="M348">
        <f t="shared" ca="1" si="102"/>
        <v>1.1699999999999875</v>
      </c>
      <c r="N348">
        <f t="shared" ca="1" si="103"/>
        <v>1.1699999999999875</v>
      </c>
      <c r="O348">
        <f t="shared" ca="1" si="104"/>
        <v>0</v>
      </c>
      <c r="P348">
        <f t="shared" ca="1" si="108"/>
        <v>0.87930351846292643</v>
      </c>
      <c r="Q348">
        <f t="shared" ca="1" si="109"/>
        <v>0.90095001184114876</v>
      </c>
      <c r="R348">
        <f t="shared" ca="1" si="106"/>
        <v>0.97597370209920264</v>
      </c>
      <c r="S348">
        <f t="shared" ca="1" si="107"/>
        <v>49.392039026752414</v>
      </c>
      <c r="T348">
        <f>70</f>
        <v>70</v>
      </c>
      <c r="U348">
        <f>30</f>
        <v>30</v>
      </c>
      <c r="V348">
        <f t="shared" ca="1" si="105"/>
        <v>152.50886822301527</v>
      </c>
      <c r="W348">
        <f t="shared" ca="1" si="95"/>
        <v>153.85971437760534</v>
      </c>
      <c r="X348">
        <f t="shared" ref="X348:X411" ca="1" si="114">V349-W349</f>
        <v>-1.1972458988210803</v>
      </c>
      <c r="Y348">
        <f t="shared" ca="1" si="96"/>
        <v>-1.2842956363911004</v>
      </c>
      <c r="Z348">
        <f t="shared" ca="1" si="97"/>
        <v>8.7049737570020103E-2</v>
      </c>
      <c r="AA348">
        <f t="shared" ca="1" si="98"/>
        <v>154.95829999999995</v>
      </c>
    </row>
    <row r="349" spans="1:27" x14ac:dyDescent="0.25">
      <c r="A349" vm="1019">
        <f ca="1"/>
        <v>45798</v>
      </c>
      <c r="B349" vm="1020">
        <f ca="1"/>
        <v>153.18</v>
      </c>
      <c r="C349" vm="1021">
        <f ca="1"/>
        <v>7032225</v>
      </c>
      <c r="D349">
        <f t="shared" ca="1" si="99"/>
        <v>1077196225.5</v>
      </c>
      <c r="E349">
        <f ca="1">SUM($D$2:D349)/SUM($C$2:C349)</f>
        <v>155.14159077701271</v>
      </c>
      <c r="F349">
        <f ca="1">_xlfn.STDEV.P($B$2:B349)</f>
        <v>6.585141164389813</v>
      </c>
      <c r="G349">
        <f t="shared" ca="1" si="100"/>
        <v>161.72673194140253</v>
      </c>
      <c r="H349">
        <f t="shared" ca="1" si="101"/>
        <v>148.55644961262288</v>
      </c>
      <c r="I349">
        <f t="shared" ca="1" si="110"/>
        <v>153.67599999999999</v>
      </c>
      <c r="J349">
        <f t="shared" ca="1" si="111"/>
        <v>2.7938021630594703</v>
      </c>
      <c r="K349">
        <f t="shared" ca="1" si="112"/>
        <v>159.26360432611892</v>
      </c>
      <c r="L349">
        <f t="shared" ca="1" si="113"/>
        <v>148.08839567388105</v>
      </c>
      <c r="M349">
        <f t="shared" ca="1" si="102"/>
        <v>-0.47999999999998977</v>
      </c>
      <c r="N349">
        <f t="shared" ca="1" si="103"/>
        <v>0</v>
      </c>
      <c r="O349">
        <f t="shared" ca="1" si="104"/>
        <v>0.47999999999998977</v>
      </c>
      <c r="P349">
        <f t="shared" ca="1" si="108"/>
        <v>0.81649612428700302</v>
      </c>
      <c r="Q349">
        <f t="shared" ca="1" si="109"/>
        <v>0.87088215385249446</v>
      </c>
      <c r="R349">
        <f t="shared" ca="1" si="106"/>
        <v>0.93755064410849887</v>
      </c>
      <c r="S349">
        <f t="shared" ca="1" si="107"/>
        <v>48.388445843173429</v>
      </c>
      <c r="T349">
        <f>70</f>
        <v>70</v>
      </c>
      <c r="U349">
        <f>30</f>
        <v>30</v>
      </c>
      <c r="V349">
        <f t="shared" ca="1" si="105"/>
        <v>152.61211926562831</v>
      </c>
      <c r="W349">
        <f t="shared" ref="W349:W412" ca="1" si="115">B349*(2/(26+1)) + W348*(1-(2/(26+1)))</f>
        <v>153.80936516444939</v>
      </c>
      <c r="X349">
        <f t="shared" ca="1" si="114"/>
        <v>-1.108730075653682</v>
      </c>
      <c r="Y349">
        <f t="shared" ca="1" si="96"/>
        <v>-1.2491825242436168</v>
      </c>
      <c r="Z349">
        <f t="shared" ca="1" si="97"/>
        <v>0.14045244858993478</v>
      </c>
      <c r="AA349">
        <f t="shared" ca="1" si="98"/>
        <v>155.03159999999997</v>
      </c>
    </row>
    <row r="350" spans="1:27" x14ac:dyDescent="0.25">
      <c r="A350" vm="1022">
        <f ca="1"/>
        <v>45799</v>
      </c>
      <c r="B350" vm="1023">
        <f ca="1"/>
        <v>152.61000000000001</v>
      </c>
      <c r="C350" vm="1024">
        <f ca="1"/>
        <v>7535335</v>
      </c>
      <c r="D350">
        <f t="shared" ca="1" si="99"/>
        <v>1149967474.3500001</v>
      </c>
      <c r="E350">
        <f ca="1">SUM($D$2:D350)/SUM($C$2:C350)</f>
        <v>155.13458463852743</v>
      </c>
      <c r="F350">
        <f ca="1">_xlfn.STDEV.P($B$2:B350)</f>
        <v>6.5775292550514921</v>
      </c>
      <c r="G350">
        <f t="shared" ca="1" si="100"/>
        <v>161.71211389357893</v>
      </c>
      <c r="H350">
        <f t="shared" ca="1" si="101"/>
        <v>148.55705538347593</v>
      </c>
      <c r="I350">
        <f t="shared" ca="1" si="110"/>
        <v>153.56</v>
      </c>
      <c r="J350">
        <f t="shared" ca="1" si="111"/>
        <v>2.7871509694158605</v>
      </c>
      <c r="K350">
        <f t="shared" ca="1" si="112"/>
        <v>159.13430193883173</v>
      </c>
      <c r="L350">
        <f t="shared" ca="1" si="113"/>
        <v>147.98569806116828</v>
      </c>
      <c r="M350">
        <f t="shared" ca="1" si="102"/>
        <v>-0.56999999999999318</v>
      </c>
      <c r="N350">
        <f t="shared" ca="1" si="103"/>
        <v>0</v>
      </c>
      <c r="O350">
        <f t="shared" ca="1" si="104"/>
        <v>0.56999999999999318</v>
      </c>
      <c r="P350">
        <f t="shared" ca="1" si="108"/>
        <v>0.75817497255221711</v>
      </c>
      <c r="Q350">
        <f t="shared" ca="1" si="109"/>
        <v>0.84939057143445862</v>
      </c>
      <c r="R350">
        <f t="shared" ca="1" si="106"/>
        <v>0.89261053518854605</v>
      </c>
      <c r="S350">
        <f t="shared" ca="1" si="107"/>
        <v>47.162927532770084</v>
      </c>
      <c r="T350">
        <f>70</f>
        <v>70</v>
      </c>
      <c r="U350">
        <f>30</f>
        <v>30</v>
      </c>
      <c r="V350">
        <f t="shared" ca="1" si="105"/>
        <v>152.61179322476241</v>
      </c>
      <c r="W350">
        <f t="shared" ca="1" si="115"/>
        <v>153.72052330041609</v>
      </c>
      <c r="X350">
        <f t="shared" ca="1" si="114"/>
        <v>-1.0004201848455807</v>
      </c>
      <c r="Y350">
        <f t="shared" ca="1" si="96"/>
        <v>-1.1994300563640095</v>
      </c>
      <c r="Z350">
        <f t="shared" ca="1" si="97"/>
        <v>0.19900987151842875</v>
      </c>
      <c r="AA350">
        <f t="shared" ca="1" si="98"/>
        <v>155.10189999999997</v>
      </c>
    </row>
    <row r="351" spans="1:27" x14ac:dyDescent="0.25">
      <c r="A351" vm="1025">
        <f ca="1"/>
        <v>45800</v>
      </c>
      <c r="B351" vm="1026">
        <f ca="1"/>
        <v>152.94</v>
      </c>
      <c r="C351" vm="1027">
        <f ca="1"/>
        <v>6727539</v>
      </c>
      <c r="D351">
        <f t="shared" ca="1" si="99"/>
        <v>1028909814.66</v>
      </c>
      <c r="E351">
        <f ca="1">SUM($D$2:D351)/SUM($C$2:C351)</f>
        <v>155.12917560750105</v>
      </c>
      <c r="F351">
        <f ca="1">_xlfn.STDEV.P($B$2:B351)</f>
        <v>6.5695511961764712</v>
      </c>
      <c r="G351">
        <f t="shared" ca="1" si="100"/>
        <v>161.69872680367752</v>
      </c>
      <c r="H351">
        <f t="shared" ca="1" si="101"/>
        <v>148.55962441132459</v>
      </c>
      <c r="I351">
        <f t="shared" ca="1" si="110"/>
        <v>153.47800000000001</v>
      </c>
      <c r="J351">
        <f t="shared" ca="1" si="111"/>
        <v>2.7796773762056377</v>
      </c>
      <c r="K351">
        <f t="shared" ca="1" si="112"/>
        <v>159.03735475241129</v>
      </c>
      <c r="L351">
        <f t="shared" ca="1" si="113"/>
        <v>147.91864524758873</v>
      </c>
      <c r="M351">
        <f t="shared" ca="1" si="102"/>
        <v>0.32999999999998408</v>
      </c>
      <c r="N351">
        <f t="shared" ca="1" si="103"/>
        <v>0.32999999999998408</v>
      </c>
      <c r="O351">
        <f t="shared" ca="1" si="104"/>
        <v>0</v>
      </c>
      <c r="P351">
        <f t="shared" ca="1" si="108"/>
        <v>0.72759104594134338</v>
      </c>
      <c r="Q351">
        <f t="shared" ca="1" si="109"/>
        <v>0.78871981633199728</v>
      </c>
      <c r="R351">
        <f t="shared" ca="1" si="106"/>
        <v>0.922496215861625</v>
      </c>
      <c r="S351">
        <f t="shared" ca="1" si="107"/>
        <v>47.98429293387089</v>
      </c>
      <c r="T351">
        <f>70</f>
        <v>70</v>
      </c>
      <c r="U351">
        <f>30</f>
        <v>30</v>
      </c>
      <c r="V351">
        <f t="shared" ca="1" si="105"/>
        <v>152.66228657479894</v>
      </c>
      <c r="W351">
        <f t="shared" ca="1" si="115"/>
        <v>153.66270675964452</v>
      </c>
      <c r="X351">
        <f t="shared" ca="1" si="114"/>
        <v>-0.87943186372987725</v>
      </c>
      <c r="Y351">
        <f t="shared" ca="1" si="96"/>
        <v>-1.135430417837183</v>
      </c>
      <c r="Z351">
        <f t="shared" ca="1" si="97"/>
        <v>0.25599855410730576</v>
      </c>
      <c r="AA351">
        <f t="shared" ca="1" si="98"/>
        <v>155.18079999999998</v>
      </c>
    </row>
    <row r="352" spans="1:27" x14ac:dyDescent="0.25">
      <c r="A352" vm="1028">
        <f ca="1"/>
        <v>45804</v>
      </c>
      <c r="B352" vm="916">
        <f ca="1"/>
        <v>153.25</v>
      </c>
      <c r="C352" vm="1029">
        <f ca="1"/>
        <v>6990694</v>
      </c>
      <c r="D352">
        <f t="shared" ca="1" si="99"/>
        <v>1071323855.5</v>
      </c>
      <c r="E352">
        <f ca="1">SUM($D$2:D352)/SUM($C$2:C352)</f>
        <v>155.12437509383025</v>
      </c>
      <c r="F352">
        <f ca="1">_xlfn.STDEV.P($B$2:B352)</f>
        <v>6.5612785803497244</v>
      </c>
      <c r="G352">
        <f t="shared" ca="1" si="100"/>
        <v>161.68565367417997</v>
      </c>
      <c r="H352">
        <f t="shared" ca="1" si="101"/>
        <v>148.56309651348053</v>
      </c>
      <c r="I352">
        <f t="shared" ca="1" si="110"/>
        <v>153.37300000000002</v>
      </c>
      <c r="J352">
        <f t="shared" ca="1" si="111"/>
        <v>2.744685007332111</v>
      </c>
      <c r="K352">
        <f t="shared" ca="1" si="112"/>
        <v>158.86237001466424</v>
      </c>
      <c r="L352">
        <f t="shared" ca="1" si="113"/>
        <v>147.8836299853358</v>
      </c>
      <c r="M352">
        <f t="shared" ca="1" si="102"/>
        <v>0.31000000000000227</v>
      </c>
      <c r="N352">
        <f t="shared" ca="1" si="103"/>
        <v>0.31000000000000227</v>
      </c>
      <c r="O352">
        <f t="shared" ca="1" si="104"/>
        <v>0</v>
      </c>
      <c r="P352">
        <f t="shared" ca="1" si="108"/>
        <v>0.69776311408839042</v>
      </c>
      <c r="Q352">
        <f t="shared" ca="1" si="109"/>
        <v>0.73238268659399741</v>
      </c>
      <c r="R352">
        <f t="shared" ca="1" si="106"/>
        <v>0.95273021449126827</v>
      </c>
      <c r="S352">
        <f t="shared" ca="1" si="107"/>
        <v>48.789648842478563</v>
      </c>
      <c r="T352">
        <f>70</f>
        <v>70</v>
      </c>
      <c r="U352">
        <f>30</f>
        <v>30</v>
      </c>
      <c r="V352">
        <f t="shared" ca="1" si="105"/>
        <v>152.75270402482985</v>
      </c>
      <c r="W352">
        <f t="shared" ca="1" si="115"/>
        <v>153.63213588855973</v>
      </c>
      <c r="X352">
        <f t="shared" ca="1" si="114"/>
        <v>-0.8400315339243889</v>
      </c>
      <c r="Y352">
        <f t="shared" ca="1" si="96"/>
        <v>-1.0763506410546242</v>
      </c>
      <c r="Z352">
        <f t="shared" ca="1" si="97"/>
        <v>0.2363191071302353</v>
      </c>
      <c r="AA352">
        <f t="shared" ca="1" si="98"/>
        <v>155.27989999999997</v>
      </c>
    </row>
    <row r="353" spans="1:27" x14ac:dyDescent="0.25">
      <c r="A353" vm="1030">
        <f ca="1"/>
        <v>45805</v>
      </c>
      <c r="B353" vm="1031">
        <f ca="1"/>
        <v>152.43</v>
      </c>
      <c r="C353" vm="1032">
        <f ca="1"/>
        <v>8459310</v>
      </c>
      <c r="D353">
        <f t="shared" ca="1" si="99"/>
        <v>1289452623.3</v>
      </c>
      <c r="E353">
        <f ca="1">SUM($D$2:D353)/SUM($C$2:C353)</f>
        <v>155.11607175800907</v>
      </c>
      <c r="F353">
        <f ca="1">_xlfn.STDEV.P($B$2:B353)</f>
        <v>6.5539756639868756</v>
      </c>
      <c r="G353">
        <f t="shared" ca="1" si="100"/>
        <v>161.67004742199595</v>
      </c>
      <c r="H353">
        <f t="shared" ca="1" si="101"/>
        <v>148.56209609402219</v>
      </c>
      <c r="I353">
        <f t="shared" ca="1" si="110"/>
        <v>153.19900000000001</v>
      </c>
      <c r="J353">
        <f t="shared" ca="1" si="111"/>
        <v>2.6850461134920822</v>
      </c>
      <c r="K353">
        <f t="shared" ca="1" si="112"/>
        <v>158.56909222698417</v>
      </c>
      <c r="L353">
        <f t="shared" ca="1" si="113"/>
        <v>147.82890777301586</v>
      </c>
      <c r="M353">
        <f t="shared" ca="1" si="102"/>
        <v>-0.81999999999999318</v>
      </c>
      <c r="N353">
        <f t="shared" ca="1" si="103"/>
        <v>0</v>
      </c>
      <c r="O353">
        <f t="shared" ca="1" si="104"/>
        <v>0.81999999999999318</v>
      </c>
      <c r="P353">
        <f t="shared" ca="1" si="108"/>
        <v>0.64792289165350536</v>
      </c>
      <c r="Q353">
        <f t="shared" ca="1" si="109"/>
        <v>0.73864106612299707</v>
      </c>
      <c r="R353">
        <f t="shared" ca="1" si="106"/>
        <v>0.87718233032228199</v>
      </c>
      <c r="S353">
        <f t="shared" ca="1" si="107"/>
        <v>46.7286696743882</v>
      </c>
      <c r="T353">
        <f>70</f>
        <v>70</v>
      </c>
      <c r="U353">
        <f>30</f>
        <v>30</v>
      </c>
      <c r="V353">
        <f t="shared" ca="1" si="105"/>
        <v>152.70305725177909</v>
      </c>
      <c r="W353">
        <f t="shared" ca="1" si="115"/>
        <v>153.54308878570347</v>
      </c>
      <c r="X353">
        <f t="shared" ca="1" si="114"/>
        <v>-0.70785142898927234</v>
      </c>
      <c r="Y353">
        <f t="shared" ca="1" si="96"/>
        <v>-1.0026507986415538</v>
      </c>
      <c r="Z353">
        <f t="shared" ca="1" si="97"/>
        <v>0.29479936965228148</v>
      </c>
      <c r="AA353">
        <f t="shared" ca="1" si="98"/>
        <v>155.35799999999998</v>
      </c>
    </row>
    <row r="354" spans="1:27" x14ac:dyDescent="0.25">
      <c r="A354" vm="1033">
        <f ca="1"/>
        <v>45806</v>
      </c>
      <c r="B354" vm="1034">
        <f ca="1"/>
        <v>153.58000000000001</v>
      </c>
      <c r="C354" vm="1035">
        <f ca="1"/>
        <v>6810982</v>
      </c>
      <c r="D354">
        <f t="shared" ca="1" si="99"/>
        <v>1046030615.5600001</v>
      </c>
      <c r="E354">
        <f ca="1">SUM($D$2:D354)/SUM($C$2:C354)</f>
        <v>155.11226982387686</v>
      </c>
      <c r="F354">
        <f ca="1">_xlfn.STDEV.P($B$2:B354)</f>
        <v>6.5454657934660636</v>
      </c>
      <c r="G354">
        <f t="shared" ca="1" si="100"/>
        <v>161.65773561734292</v>
      </c>
      <c r="H354">
        <f t="shared" ca="1" si="101"/>
        <v>148.56680403041079</v>
      </c>
      <c r="I354">
        <f t="shared" ca="1" si="110"/>
        <v>153.0625</v>
      </c>
      <c r="J354">
        <f t="shared" ca="1" si="111"/>
        <v>2.5861389122945808</v>
      </c>
      <c r="K354">
        <f t="shared" ca="1" si="112"/>
        <v>158.23477782458917</v>
      </c>
      <c r="L354">
        <f t="shared" ca="1" si="113"/>
        <v>147.89022217541083</v>
      </c>
      <c r="M354">
        <f t="shared" ca="1" si="102"/>
        <v>1.1500000000000057</v>
      </c>
      <c r="N354">
        <f t="shared" ca="1" si="103"/>
        <v>1.1500000000000057</v>
      </c>
      <c r="O354">
        <f t="shared" ca="1" si="104"/>
        <v>0</v>
      </c>
      <c r="P354">
        <f t="shared" ca="1" si="108"/>
        <v>0.68378554224968391</v>
      </c>
      <c r="Q354">
        <f t="shared" ca="1" si="109"/>
        <v>0.68588098997135449</v>
      </c>
      <c r="R354">
        <f t="shared" ca="1" si="106"/>
        <v>0.99694488147024152</v>
      </c>
      <c r="S354">
        <f t="shared" ca="1" si="107"/>
        <v>49.923505186394799</v>
      </c>
      <c r="T354">
        <f>70</f>
        <v>70</v>
      </c>
      <c r="U354">
        <f>30</f>
        <v>30</v>
      </c>
      <c r="V354">
        <f t="shared" ca="1" si="105"/>
        <v>152.83797152073615</v>
      </c>
      <c r="W354">
        <f t="shared" ca="1" si="115"/>
        <v>153.54582294972542</v>
      </c>
      <c r="X354">
        <f t="shared" ca="1" si="114"/>
        <v>-0.46619634473540827</v>
      </c>
      <c r="Y354">
        <f t="shared" ca="1" si="96"/>
        <v>-0.89535990786032482</v>
      </c>
      <c r="Z354">
        <f t="shared" ca="1" si="97"/>
        <v>0.42916356312491655</v>
      </c>
      <c r="AA354">
        <f t="shared" ca="1" si="98"/>
        <v>155.45359999999999</v>
      </c>
    </row>
    <row r="355" spans="1:27" x14ac:dyDescent="0.25">
      <c r="A355" vm="1036">
        <f ca="1"/>
        <v>45807</v>
      </c>
      <c r="B355" vm="1037">
        <f ca="1"/>
        <v>155.21</v>
      </c>
      <c r="C355" vm="1038">
        <f ca="1"/>
        <v>15529716</v>
      </c>
      <c r="D355">
        <f t="shared" ca="1" si="99"/>
        <v>2410367220.3600001</v>
      </c>
      <c r="E355">
        <f ca="1">SUM($D$2:D355)/SUM($C$2:C355)</f>
        <v>155.11281826688619</v>
      </c>
      <c r="F355">
        <f ca="1">_xlfn.STDEV.P($B$2:B355)</f>
        <v>6.5362294651785993</v>
      </c>
      <c r="G355">
        <f t="shared" ca="1" si="100"/>
        <v>161.64904773206479</v>
      </c>
      <c r="H355">
        <f t="shared" ca="1" si="101"/>
        <v>148.5765888017076</v>
      </c>
      <c r="I355">
        <f t="shared" ca="1" si="110"/>
        <v>153.1</v>
      </c>
      <c r="J355">
        <f t="shared" ca="1" si="111"/>
        <v>2.6127702579929641</v>
      </c>
      <c r="K355">
        <f t="shared" ca="1" si="112"/>
        <v>158.32554051598592</v>
      </c>
      <c r="L355">
        <f t="shared" ca="1" si="113"/>
        <v>147.87445948401407</v>
      </c>
      <c r="M355">
        <f t="shared" ca="1" si="102"/>
        <v>1.6299999999999955</v>
      </c>
      <c r="N355">
        <f t="shared" ca="1" si="103"/>
        <v>1.6299999999999955</v>
      </c>
      <c r="O355">
        <f t="shared" ca="1" si="104"/>
        <v>0</v>
      </c>
      <c r="P355">
        <f t="shared" ca="1" si="108"/>
        <v>0.75137228923184907</v>
      </c>
      <c r="Q355">
        <f t="shared" ca="1" si="109"/>
        <v>0.6368894906876863</v>
      </c>
      <c r="R355">
        <f t="shared" ca="1" si="106"/>
        <v>1.1797530030218415</v>
      </c>
      <c r="S355">
        <f t="shared" ca="1" si="107"/>
        <v>54.123242467670551</v>
      </c>
      <c r="T355">
        <f>70</f>
        <v>70</v>
      </c>
      <c r="U355">
        <f>30</f>
        <v>30</v>
      </c>
      <c r="V355">
        <f t="shared" ca="1" si="105"/>
        <v>153.20289897908444</v>
      </c>
      <c r="W355">
        <f t="shared" ca="1" si="115"/>
        <v>153.66909532381985</v>
      </c>
      <c r="X355">
        <f t="shared" ca="1" si="114"/>
        <v>-0.25639596425463651</v>
      </c>
      <c r="Y355">
        <f t="shared" ca="1" si="96"/>
        <v>-0.76756711913918718</v>
      </c>
      <c r="Z355">
        <f t="shared" ca="1" si="97"/>
        <v>0.51117115488455067</v>
      </c>
      <c r="AA355">
        <f t="shared" ca="1" si="98"/>
        <v>155.56379999999999</v>
      </c>
    </row>
    <row r="356" spans="1:27" x14ac:dyDescent="0.25">
      <c r="A356" vm="1039">
        <f ca="1"/>
        <v>45810</v>
      </c>
      <c r="B356" vm="678">
        <f ca="1"/>
        <v>155.4</v>
      </c>
      <c r="C356" vm="1040">
        <f ca="1"/>
        <v>6669669</v>
      </c>
      <c r="D356">
        <f t="shared" ca="1" si="99"/>
        <v>1036466562.6</v>
      </c>
      <c r="E356">
        <f ca="1">SUM($D$2:D356)/SUM($C$2:C356)</f>
        <v>155.11350875300042</v>
      </c>
      <c r="F356">
        <f ca="1">_xlfn.STDEV.P($B$2:B356)</f>
        <v>6.527018226357038</v>
      </c>
      <c r="G356">
        <f t="shared" ca="1" si="100"/>
        <v>161.64052697935745</v>
      </c>
      <c r="H356">
        <f t="shared" ca="1" si="101"/>
        <v>148.58649052664339</v>
      </c>
      <c r="I356">
        <f t="shared" ca="1" si="110"/>
        <v>153.06400000000002</v>
      </c>
      <c r="J356">
        <f t="shared" ca="1" si="111"/>
        <v>2.5736363788473118</v>
      </c>
      <c r="K356">
        <f t="shared" ca="1" si="112"/>
        <v>158.21127275769464</v>
      </c>
      <c r="L356">
        <f t="shared" ca="1" si="113"/>
        <v>147.9167272423054</v>
      </c>
      <c r="M356">
        <f t="shared" ca="1" si="102"/>
        <v>0.18999999999999773</v>
      </c>
      <c r="N356">
        <f t="shared" ca="1" si="103"/>
        <v>0.18999999999999773</v>
      </c>
      <c r="O356">
        <f t="shared" ca="1" si="104"/>
        <v>0</v>
      </c>
      <c r="P356">
        <f t="shared" ca="1" si="108"/>
        <v>0.71127426857243115</v>
      </c>
      <c r="Q356">
        <f t="shared" ca="1" si="109"/>
        <v>0.59139738420999444</v>
      </c>
      <c r="R356">
        <f t="shared" ca="1" si="106"/>
        <v>1.2027010730231276</v>
      </c>
      <c r="S356">
        <f t="shared" ca="1" si="107"/>
        <v>54.601193405352262</v>
      </c>
      <c r="T356">
        <f>70</f>
        <v>70</v>
      </c>
      <c r="U356">
        <f>30</f>
        <v>30</v>
      </c>
      <c r="V356">
        <f t="shared" ca="1" si="105"/>
        <v>153.54091452076375</v>
      </c>
      <c r="W356">
        <f t="shared" ca="1" si="115"/>
        <v>153.79731048501839</v>
      </c>
      <c r="X356">
        <f t="shared" ca="1" si="114"/>
        <v>-0.16727719363004212</v>
      </c>
      <c r="Y356">
        <f t="shared" ca="1" si="96"/>
        <v>-0.64750913403735821</v>
      </c>
      <c r="Z356">
        <f t="shared" ca="1" si="97"/>
        <v>0.48023194040731609</v>
      </c>
      <c r="AA356">
        <f t="shared" ca="1" si="98"/>
        <v>155.68119999999996</v>
      </c>
    </row>
    <row r="357" spans="1:27" x14ac:dyDescent="0.25">
      <c r="A357" vm="1041">
        <f ca="1"/>
        <v>45811</v>
      </c>
      <c r="B357" vm="1042">
        <f ca="1"/>
        <v>154.41999999999999</v>
      </c>
      <c r="C357" vm="1043">
        <f ca="1"/>
        <v>8209757</v>
      </c>
      <c r="D357">
        <f t="shared" ca="1" si="99"/>
        <v>1267750675.9399998</v>
      </c>
      <c r="E357">
        <f ca="1">SUM($D$2:D357)/SUM($C$2:C357)</f>
        <v>155.11146234280082</v>
      </c>
      <c r="F357">
        <f ca="1">_xlfn.STDEV.P($B$2:B357)</f>
        <v>6.5180836850047736</v>
      </c>
      <c r="G357">
        <f t="shared" ca="1" si="100"/>
        <v>161.62954602780559</v>
      </c>
      <c r="H357">
        <f t="shared" ca="1" si="101"/>
        <v>148.59337865779605</v>
      </c>
      <c r="I357">
        <f t="shared" ca="1" si="110"/>
        <v>153.03500000000003</v>
      </c>
      <c r="J357">
        <f t="shared" ca="1" si="111"/>
        <v>2.5538649760293635</v>
      </c>
      <c r="K357">
        <f t="shared" ca="1" si="112"/>
        <v>158.14272995205874</v>
      </c>
      <c r="L357">
        <f t="shared" ca="1" si="113"/>
        <v>147.92727004794131</v>
      </c>
      <c r="M357">
        <f t="shared" ca="1" si="102"/>
        <v>-0.98000000000001819</v>
      </c>
      <c r="N357">
        <f t="shared" ca="1" si="103"/>
        <v>0</v>
      </c>
      <c r="O357">
        <f t="shared" ca="1" si="104"/>
        <v>0.98000000000001819</v>
      </c>
      <c r="P357">
        <f t="shared" ca="1" si="108"/>
        <v>0.66046896367440033</v>
      </c>
      <c r="Q357">
        <f t="shared" ca="1" si="109"/>
        <v>0.6191547139092819</v>
      </c>
      <c r="R357">
        <f t="shared" ca="1" si="106"/>
        <v>1.0667268597605666</v>
      </c>
      <c r="S357">
        <f t="shared" ca="1" si="107"/>
        <v>51.614312492370111</v>
      </c>
      <c r="T357">
        <f>70</f>
        <v>70</v>
      </c>
      <c r="U357">
        <f>30</f>
        <v>30</v>
      </c>
      <c r="V357">
        <f t="shared" ca="1" si="105"/>
        <v>153.67615844064625</v>
      </c>
      <c r="W357">
        <f t="shared" ca="1" si="115"/>
        <v>153.84343563427629</v>
      </c>
      <c r="X357">
        <f t="shared" ca="1" si="114"/>
        <v>-0.19127499791412106</v>
      </c>
      <c r="Y357">
        <f t="shared" ca="1" si="96"/>
        <v>-0.55626230681271083</v>
      </c>
      <c r="Z357">
        <f t="shared" ca="1" si="97"/>
        <v>0.36498730889858977</v>
      </c>
      <c r="AA357">
        <f t="shared" ca="1" si="98"/>
        <v>155.76309999999998</v>
      </c>
    </row>
    <row r="358" spans="1:27" x14ac:dyDescent="0.25">
      <c r="A358" vm="1044">
        <f ca="1"/>
        <v>45812</v>
      </c>
      <c r="B358" vm="1045">
        <f ca="1"/>
        <v>153.22</v>
      </c>
      <c r="C358" vm="1046">
        <f ca="1"/>
        <v>6983861</v>
      </c>
      <c r="D358">
        <f t="shared" ca="1" si="99"/>
        <v>1070067182.42</v>
      </c>
      <c r="E358">
        <f ca="1">SUM($D$2:D358)/SUM($C$2:C358)</f>
        <v>155.10672630746188</v>
      </c>
      <c r="F358">
        <f ca="1">_xlfn.STDEV.P($B$2:B358)</f>
        <v>6.5100362572259742</v>
      </c>
      <c r="G358">
        <f t="shared" ca="1" si="100"/>
        <v>161.61676256468786</v>
      </c>
      <c r="H358">
        <f t="shared" ca="1" si="101"/>
        <v>148.59669005023591</v>
      </c>
      <c r="I358">
        <f t="shared" ca="1" si="110"/>
        <v>152.9725</v>
      </c>
      <c r="J358">
        <f t="shared" ca="1" si="111"/>
        <v>2.532101010290817</v>
      </c>
      <c r="K358">
        <f t="shared" ca="1" si="112"/>
        <v>158.03670202058163</v>
      </c>
      <c r="L358">
        <f t="shared" ca="1" si="113"/>
        <v>147.90829797941836</v>
      </c>
      <c r="M358">
        <f t="shared" ca="1" si="102"/>
        <v>-1.1999999999999886</v>
      </c>
      <c r="N358">
        <f t="shared" ca="1" si="103"/>
        <v>0</v>
      </c>
      <c r="O358">
        <f t="shared" ca="1" si="104"/>
        <v>1.1999999999999886</v>
      </c>
      <c r="P358">
        <f t="shared" ca="1" si="108"/>
        <v>0.61329260912622885</v>
      </c>
      <c r="Q358">
        <f t="shared" ca="1" si="109"/>
        <v>0.66064366291576093</v>
      </c>
      <c r="R358">
        <f t="shared" ca="1" si="106"/>
        <v>0.92832587906686714</v>
      </c>
      <c r="S358">
        <f t="shared" ca="1" si="107"/>
        <v>48.141545427793133</v>
      </c>
      <c r="T358">
        <f>70</f>
        <v>70</v>
      </c>
      <c r="U358">
        <f>30</f>
        <v>30</v>
      </c>
      <c r="V358">
        <f t="shared" ca="1" si="105"/>
        <v>153.60598021900836</v>
      </c>
      <c r="W358">
        <f t="shared" ca="1" si="115"/>
        <v>153.79725521692248</v>
      </c>
      <c r="X358">
        <f t="shared" ca="1" si="114"/>
        <v>-0.17279720927157882</v>
      </c>
      <c r="Y358">
        <f t="shared" ref="Y358:Y421" ca="1" si="116">X358*(2/(9+1)) + Y357*(1-(2/(9+1)))</f>
        <v>-0.47956928730448445</v>
      </c>
      <c r="Z358">
        <f t="shared" ref="Z358:Z421" ca="1" si="117">X358-Y358</f>
        <v>0.30677207803290563</v>
      </c>
      <c r="AA358">
        <f t="shared" ref="AA358:AA421" ca="1" si="118">AVERAGE(B259:B358)</f>
        <v>155.87259999999998</v>
      </c>
    </row>
    <row r="359" spans="1:27" x14ac:dyDescent="0.25">
      <c r="A359" vm="1047">
        <f ca="1"/>
        <v>45813</v>
      </c>
      <c r="B359" vm="1017">
        <f ca="1"/>
        <v>153.66</v>
      </c>
      <c r="C359" vm="1048">
        <f ca="1"/>
        <v>5296258</v>
      </c>
      <c r="D359">
        <f t="shared" ca="1" si="99"/>
        <v>813823004.27999997</v>
      </c>
      <c r="E359">
        <f ca="1">SUM($D$2:D359)/SUM($C$2:C359)</f>
        <v>155.10398439691917</v>
      </c>
      <c r="F359">
        <f ca="1">_xlfn.STDEV.P($B$2:B359)</f>
        <v>6.5016360251522816</v>
      </c>
      <c r="G359">
        <f t="shared" ca="1" si="100"/>
        <v>161.60562042207147</v>
      </c>
      <c r="H359">
        <f t="shared" ca="1" si="101"/>
        <v>148.60234837176688</v>
      </c>
      <c r="I359">
        <f t="shared" ca="1" si="110"/>
        <v>152.79050000000001</v>
      </c>
      <c r="J359">
        <f t="shared" ca="1" si="111"/>
        <v>2.3272085718392512</v>
      </c>
      <c r="K359">
        <f t="shared" ca="1" si="112"/>
        <v>157.44491714367851</v>
      </c>
      <c r="L359">
        <f t="shared" ca="1" si="113"/>
        <v>148.13608285632151</v>
      </c>
      <c r="M359">
        <f t="shared" ca="1" si="102"/>
        <v>0.43999999999999773</v>
      </c>
      <c r="N359">
        <f t="shared" ca="1" si="103"/>
        <v>0.43999999999999773</v>
      </c>
      <c r="O359">
        <f t="shared" ca="1" si="104"/>
        <v>0</v>
      </c>
      <c r="P359">
        <f t="shared" ca="1" si="108"/>
        <v>0.60091456561721224</v>
      </c>
      <c r="Q359">
        <f t="shared" ca="1" si="109"/>
        <v>0.61345482985034938</v>
      </c>
      <c r="R359">
        <f t="shared" ca="1" si="106"/>
        <v>0.97955796641751713</v>
      </c>
      <c r="S359">
        <f t="shared" ca="1" si="107"/>
        <v>49.483671760835634</v>
      </c>
      <c r="T359">
        <f>70</f>
        <v>70</v>
      </c>
      <c r="U359">
        <f>30</f>
        <v>30</v>
      </c>
      <c r="V359">
        <f t="shared" ca="1" si="105"/>
        <v>153.61429095454554</v>
      </c>
      <c r="W359">
        <f t="shared" ca="1" si="115"/>
        <v>153.78708816381712</v>
      </c>
      <c r="X359">
        <f t="shared" ca="1" si="114"/>
        <v>-4.7063361084127564E-2</v>
      </c>
      <c r="Y359">
        <f t="shared" ca="1" si="116"/>
        <v>-0.39306810206041309</v>
      </c>
      <c r="Z359">
        <f t="shared" ca="1" si="117"/>
        <v>0.34600474097628553</v>
      </c>
      <c r="AA359">
        <f t="shared" ca="1" si="118"/>
        <v>155.98859999999996</v>
      </c>
    </row>
    <row r="360" spans="1:27" x14ac:dyDescent="0.25">
      <c r="A360" vm="1049">
        <f ca="1"/>
        <v>45814</v>
      </c>
      <c r="B360" vm="1050">
        <f ca="1"/>
        <v>155.03</v>
      </c>
      <c r="C360" vm="1051">
        <f ca="1"/>
        <v>5391841</v>
      </c>
      <c r="D360">
        <f t="shared" ca="1" si="99"/>
        <v>835897110.23000002</v>
      </c>
      <c r="E360">
        <f ca="1">SUM($D$2:D360)/SUM($C$2:C360)</f>
        <v>155.1038419221901</v>
      </c>
      <c r="F360">
        <f ca="1">_xlfn.STDEV.P($B$2:B360)</f>
        <v>6.4926141478374966</v>
      </c>
      <c r="G360">
        <f t="shared" ca="1" si="100"/>
        <v>161.59645607002759</v>
      </c>
      <c r="H360">
        <f t="shared" ca="1" si="101"/>
        <v>148.61122777435261</v>
      </c>
      <c r="I360">
        <f t="shared" ca="1" si="110"/>
        <v>152.75900000000004</v>
      </c>
      <c r="J360">
        <f t="shared" ca="1" si="111"/>
        <v>2.2902950855615418</v>
      </c>
      <c r="K360">
        <f t="shared" ca="1" si="112"/>
        <v>157.33959017112312</v>
      </c>
      <c r="L360">
        <f t="shared" ca="1" si="113"/>
        <v>148.17840982887697</v>
      </c>
      <c r="M360">
        <f t="shared" ca="1" si="102"/>
        <v>1.3700000000000045</v>
      </c>
      <c r="N360">
        <f t="shared" ca="1" si="103"/>
        <v>1.3700000000000045</v>
      </c>
      <c r="O360">
        <f t="shared" ca="1" si="104"/>
        <v>0</v>
      </c>
      <c r="P360">
        <f t="shared" ca="1" si="108"/>
        <v>0.65584923950169738</v>
      </c>
      <c r="Q360">
        <f t="shared" ca="1" si="109"/>
        <v>0.56963662771818158</v>
      </c>
      <c r="R360">
        <f t="shared" ca="1" si="106"/>
        <v>1.1513466788974955</v>
      </c>
      <c r="S360">
        <f t="shared" ca="1" si="107"/>
        <v>53.517486985757607</v>
      </c>
      <c r="T360">
        <f>70</f>
        <v>70</v>
      </c>
      <c r="U360">
        <f>30</f>
        <v>30</v>
      </c>
      <c r="V360">
        <f t="shared" ca="1" si="105"/>
        <v>153.83209234615393</v>
      </c>
      <c r="W360">
        <f t="shared" ca="1" si="115"/>
        <v>153.87915570723806</v>
      </c>
      <c r="X360">
        <f t="shared" ca="1" si="114"/>
        <v>6.7936814687612923E-2</v>
      </c>
      <c r="Y360">
        <f t="shared" ca="1" si="116"/>
        <v>-0.3008671187108079</v>
      </c>
      <c r="Z360">
        <f t="shared" ca="1" si="117"/>
        <v>0.36880393339842082</v>
      </c>
      <c r="AA360">
        <f t="shared" ca="1" si="118"/>
        <v>156.09419999999997</v>
      </c>
    </row>
    <row r="361" spans="1:27" x14ac:dyDescent="0.25">
      <c r="A361" vm="1052">
        <f ca="1"/>
        <v>45817</v>
      </c>
      <c r="B361" vm="168">
        <f ca="1"/>
        <v>155.22999999999999</v>
      </c>
      <c r="C361" vm="1053">
        <f ca="1"/>
        <v>5319232</v>
      </c>
      <c r="D361">
        <f t="shared" ca="1" si="99"/>
        <v>825704383.3599999</v>
      </c>
      <c r="E361">
        <f ca="1">SUM($D$2:D361)/SUM($C$2:C361)</f>
        <v>155.10408114375539</v>
      </c>
      <c r="F361">
        <f ca="1">_xlfn.STDEV.P($B$2:B361)</f>
        <v>6.4836015867930552</v>
      </c>
      <c r="G361">
        <f t="shared" ca="1" si="100"/>
        <v>161.58768273054844</v>
      </c>
      <c r="H361">
        <f t="shared" ca="1" si="101"/>
        <v>148.62047955696235</v>
      </c>
      <c r="I361">
        <f t="shared" ca="1" si="110"/>
        <v>152.80950000000001</v>
      </c>
      <c r="J361">
        <f t="shared" ca="1" si="111"/>
        <v>2.3349055542716077</v>
      </c>
      <c r="K361">
        <f t="shared" ca="1" si="112"/>
        <v>157.47931110854324</v>
      </c>
      <c r="L361">
        <f t="shared" ca="1" si="113"/>
        <v>148.13968889145679</v>
      </c>
      <c r="M361">
        <f t="shared" ca="1" si="102"/>
        <v>0.19999999999998863</v>
      </c>
      <c r="N361">
        <f t="shared" ca="1" si="103"/>
        <v>0.19999999999998863</v>
      </c>
      <c r="O361">
        <f t="shared" ca="1" si="104"/>
        <v>0</v>
      </c>
      <c r="P361">
        <f t="shared" ca="1" si="108"/>
        <v>0.62328857953728967</v>
      </c>
      <c r="Q361">
        <f t="shared" ca="1" si="109"/>
        <v>0.52894829716688296</v>
      </c>
      <c r="R361">
        <f t="shared" ca="1" si="106"/>
        <v>1.1783544495288212</v>
      </c>
      <c r="S361">
        <f t="shared" ca="1" si="107"/>
        <v>54.093788537659677</v>
      </c>
      <c r="T361">
        <f>70</f>
        <v>70</v>
      </c>
      <c r="U361">
        <f>30</f>
        <v>30</v>
      </c>
      <c r="V361">
        <f t="shared" ca="1" si="105"/>
        <v>154.04715506213026</v>
      </c>
      <c r="W361">
        <f t="shared" ca="1" si="115"/>
        <v>153.97921824744265</v>
      </c>
      <c r="X361">
        <f t="shared" ca="1" si="114"/>
        <v>0.2545843961077594</v>
      </c>
      <c r="Y361">
        <f t="shared" ca="1" si="116"/>
        <v>-0.18977681574709446</v>
      </c>
      <c r="Z361">
        <f t="shared" ca="1" si="117"/>
        <v>0.44436121185485389</v>
      </c>
      <c r="AA361">
        <f t="shared" ca="1" si="118"/>
        <v>156.19899999999998</v>
      </c>
    </row>
    <row r="362" spans="1:27" x14ac:dyDescent="0.25">
      <c r="A362" vm="1054">
        <f ca="1"/>
        <v>45818</v>
      </c>
      <c r="B362" vm="1055">
        <f ca="1"/>
        <v>156.44999999999999</v>
      </c>
      <c r="C362" vm="1056">
        <f ca="1"/>
        <v>6791881</v>
      </c>
      <c r="D362">
        <f t="shared" ca="1" si="99"/>
        <v>1062589782.4499999</v>
      </c>
      <c r="E362">
        <f ca="1">SUM($D$2:D362)/SUM($C$2:C362)</f>
        <v>155.1073319796389</v>
      </c>
      <c r="F362">
        <f ca="1">_xlfn.STDEV.P($B$2:B362)</f>
        <v>6.4748249545808765</v>
      </c>
      <c r="G362">
        <f t="shared" ca="1" si="100"/>
        <v>161.58215693421977</v>
      </c>
      <c r="H362">
        <f t="shared" ca="1" si="101"/>
        <v>148.63250702505803</v>
      </c>
      <c r="I362">
        <f t="shared" ca="1" si="110"/>
        <v>152.92499999999998</v>
      </c>
      <c r="J362">
        <f t="shared" ca="1" si="111"/>
        <v>2.4580704884758227</v>
      </c>
      <c r="K362">
        <f t="shared" ca="1" si="112"/>
        <v>157.84114097695164</v>
      </c>
      <c r="L362">
        <f t="shared" ca="1" si="113"/>
        <v>148.00885902304833</v>
      </c>
      <c r="M362">
        <f t="shared" ca="1" si="102"/>
        <v>1.2199999999999989</v>
      </c>
      <c r="N362">
        <f t="shared" ca="1" si="103"/>
        <v>1.2199999999999989</v>
      </c>
      <c r="O362">
        <f t="shared" ca="1" si="104"/>
        <v>0</v>
      </c>
      <c r="P362">
        <f t="shared" ca="1" si="108"/>
        <v>0.6659108238560546</v>
      </c>
      <c r="Q362">
        <f t="shared" ca="1" si="109"/>
        <v>0.49116627594067708</v>
      </c>
      <c r="R362">
        <f t="shared" ca="1" si="106"/>
        <v>1.3557747273684628</v>
      </c>
      <c r="S362">
        <f t="shared" ca="1" si="107"/>
        <v>57.551119452025951</v>
      </c>
      <c r="T362">
        <f>70</f>
        <v>70</v>
      </c>
      <c r="U362">
        <f>30</f>
        <v>30</v>
      </c>
      <c r="V362">
        <f t="shared" ca="1" si="105"/>
        <v>154.41682351411021</v>
      </c>
      <c r="W362">
        <f t="shared" ca="1" si="115"/>
        <v>154.16223911800245</v>
      </c>
      <c r="X362">
        <f t="shared" ca="1" si="114"/>
        <v>0.30298823458670654</v>
      </c>
      <c r="Y362">
        <f t="shared" ca="1" si="116"/>
        <v>-9.1223805680334252E-2</v>
      </c>
      <c r="Z362">
        <f t="shared" ca="1" si="117"/>
        <v>0.39421204026704082</v>
      </c>
      <c r="AA362">
        <f t="shared" ca="1" si="118"/>
        <v>156.31379999999999</v>
      </c>
    </row>
    <row r="363" spans="1:27" x14ac:dyDescent="0.25">
      <c r="A363" vm="1057">
        <f ca="1"/>
        <v>45819</v>
      </c>
      <c r="B363" vm="820">
        <f ca="1"/>
        <v>155.26</v>
      </c>
      <c r="C363" vm="1058">
        <f ca="1"/>
        <v>6016039</v>
      </c>
      <c r="D363">
        <f t="shared" ca="1" si="99"/>
        <v>934050215.13999999</v>
      </c>
      <c r="E363">
        <f ca="1">SUM($D$2:D363)/SUM($C$2:C363)</f>
        <v>155.10765790388464</v>
      </c>
      <c r="F363">
        <f ca="1">_xlfn.STDEV.P($B$2:B363)</f>
        <v>6.4658842809164359</v>
      </c>
      <c r="G363">
        <f t="shared" ca="1" si="100"/>
        <v>161.57354218480108</v>
      </c>
      <c r="H363">
        <f t="shared" ca="1" si="101"/>
        <v>148.6417736229682</v>
      </c>
      <c r="I363">
        <f t="shared" ca="1" si="110"/>
        <v>153.26599999999999</v>
      </c>
      <c r="J363">
        <f t="shared" ca="1" si="111"/>
        <v>2.2689144169798294</v>
      </c>
      <c r="K363">
        <f t="shared" ca="1" si="112"/>
        <v>157.80382883395964</v>
      </c>
      <c r="L363">
        <f t="shared" ca="1" si="113"/>
        <v>148.72817116604034</v>
      </c>
      <c r="M363">
        <f t="shared" ca="1" si="102"/>
        <v>-1.1899999999999977</v>
      </c>
      <c r="N363">
        <f t="shared" ca="1" si="103"/>
        <v>0</v>
      </c>
      <c r="O363">
        <f t="shared" ca="1" si="104"/>
        <v>1.1899999999999977</v>
      </c>
      <c r="P363">
        <f t="shared" ca="1" si="108"/>
        <v>0.61834576500919358</v>
      </c>
      <c r="Q363">
        <f t="shared" ca="1" si="109"/>
        <v>0.5410829705163428</v>
      </c>
      <c r="R363">
        <f t="shared" ca="1" si="106"/>
        <v>1.142792877807854</v>
      </c>
      <c r="S363">
        <f t="shared" ca="1" si="107"/>
        <v>53.331933741396782</v>
      </c>
      <c r="T363">
        <f>70</f>
        <v>70</v>
      </c>
      <c r="U363">
        <f>30</f>
        <v>30</v>
      </c>
      <c r="V363">
        <f t="shared" ca="1" si="105"/>
        <v>154.54654297347787</v>
      </c>
      <c r="W363">
        <f t="shared" ca="1" si="115"/>
        <v>154.24355473889116</v>
      </c>
      <c r="X363">
        <f t="shared" ca="1" si="114"/>
        <v>0.44913952416894176</v>
      </c>
      <c r="Y363">
        <f t="shared" ca="1" si="116"/>
        <v>1.6848860289520956E-2</v>
      </c>
      <c r="Z363">
        <f t="shared" ca="1" si="117"/>
        <v>0.43229066387942083</v>
      </c>
      <c r="AA363">
        <f t="shared" ca="1" si="118"/>
        <v>156.3887</v>
      </c>
    </row>
    <row r="364" spans="1:27" x14ac:dyDescent="0.25">
      <c r="A364" vm="1059">
        <f ca="1"/>
        <v>45820</v>
      </c>
      <c r="B364" vm="1060">
        <f ca="1"/>
        <v>156.66</v>
      </c>
      <c r="C364" vm="1061">
        <f ca="1"/>
        <v>7075511</v>
      </c>
      <c r="D364">
        <f t="shared" ca="1" si="99"/>
        <v>1108449553.26</v>
      </c>
      <c r="E364">
        <f ca="1">SUM($D$2:D364)/SUM($C$2:C364)</f>
        <v>155.11154579531006</v>
      </c>
      <c r="F364">
        <f ca="1">_xlfn.STDEV.P($B$2:B364)</f>
        <v>6.4572778684301779</v>
      </c>
      <c r="G364">
        <f t="shared" ca="1" si="100"/>
        <v>161.56882366374023</v>
      </c>
      <c r="H364">
        <f t="shared" ca="1" si="101"/>
        <v>148.6542679268799</v>
      </c>
      <c r="I364">
        <f t="shared" ca="1" si="110"/>
        <v>153.78100000000001</v>
      </c>
      <c r="J364">
        <f t="shared" ca="1" si="111"/>
        <v>1.7218927773941344</v>
      </c>
      <c r="K364">
        <f t="shared" ca="1" si="112"/>
        <v>157.22478555478827</v>
      </c>
      <c r="L364">
        <f t="shared" ca="1" si="113"/>
        <v>150.33721444521174</v>
      </c>
      <c r="M364">
        <f t="shared" ca="1" si="102"/>
        <v>1.4000000000000057</v>
      </c>
      <c r="N364">
        <f t="shared" ca="1" si="103"/>
        <v>1.4000000000000057</v>
      </c>
      <c r="O364">
        <f t="shared" ca="1" si="104"/>
        <v>0</v>
      </c>
      <c r="P364">
        <f t="shared" ca="1" si="108"/>
        <v>0.67417821036568015</v>
      </c>
      <c r="Q364">
        <f t="shared" ca="1" si="109"/>
        <v>0.50243418690803254</v>
      </c>
      <c r="R364">
        <f t="shared" ca="1" si="106"/>
        <v>1.3418239202920408</v>
      </c>
      <c r="S364">
        <f t="shared" ca="1" si="107"/>
        <v>57.298241283858204</v>
      </c>
      <c r="T364">
        <f>70</f>
        <v>70</v>
      </c>
      <c r="U364">
        <f>30</f>
        <v>30</v>
      </c>
      <c r="V364">
        <f t="shared" ca="1" si="105"/>
        <v>154.87169020832744</v>
      </c>
      <c r="W364">
        <f t="shared" ca="1" si="115"/>
        <v>154.42255068415849</v>
      </c>
      <c r="X364">
        <f t="shared" ca="1" si="114"/>
        <v>0.59362683624428314</v>
      </c>
      <c r="Y364">
        <f t="shared" ca="1" si="116"/>
        <v>0.13220445548047338</v>
      </c>
      <c r="Z364">
        <f t="shared" ca="1" si="117"/>
        <v>0.46142238076380976</v>
      </c>
      <c r="AA364">
        <f t="shared" ca="1" si="118"/>
        <v>156.48500000000001</v>
      </c>
    </row>
    <row r="365" spans="1:27" x14ac:dyDescent="0.25">
      <c r="A365" vm="1062">
        <f ca="1"/>
        <v>45821</v>
      </c>
      <c r="B365" vm="1063">
        <f ca="1"/>
        <v>157.1</v>
      </c>
      <c r="C365" vm="1064">
        <f ca="1"/>
        <v>6587849</v>
      </c>
      <c r="D365">
        <f t="shared" ca="1" si="99"/>
        <v>1034951077.9</v>
      </c>
      <c r="E365">
        <f ca="1">SUM($D$2:D365)/SUM($C$2:C365)</f>
        <v>155.11617191168875</v>
      </c>
      <c r="F365">
        <f ca="1">_xlfn.STDEV.P($B$2:B365)</f>
        <v>6.4489703397380351</v>
      </c>
      <c r="G365">
        <f t="shared" ca="1" si="100"/>
        <v>161.56514225142678</v>
      </c>
      <c r="H365">
        <f t="shared" ca="1" si="101"/>
        <v>148.66720157195073</v>
      </c>
      <c r="I365">
        <f t="shared" ca="1" si="110"/>
        <v>154.15550000000002</v>
      </c>
      <c r="J365">
        <f t="shared" ca="1" si="111"/>
        <v>1.575250940744291</v>
      </c>
      <c r="K365">
        <f t="shared" ca="1" si="112"/>
        <v>157.30600188148861</v>
      </c>
      <c r="L365">
        <f t="shared" ca="1" si="113"/>
        <v>151.00499811851142</v>
      </c>
      <c r="M365">
        <f t="shared" ca="1" si="102"/>
        <v>0.43999999999999773</v>
      </c>
      <c r="N365">
        <f t="shared" ca="1" si="103"/>
        <v>0.43999999999999773</v>
      </c>
      <c r="O365">
        <f t="shared" ca="1" si="104"/>
        <v>0</v>
      </c>
      <c r="P365">
        <f t="shared" ca="1" si="108"/>
        <v>0.65745119533955998</v>
      </c>
      <c r="Q365">
        <f t="shared" ca="1" si="109"/>
        <v>0.46654603070031592</v>
      </c>
      <c r="R365">
        <f t="shared" ca="1" si="106"/>
        <v>1.4091882731328418</v>
      </c>
      <c r="S365">
        <f t="shared" ca="1" si="107"/>
        <v>58.492243584615011</v>
      </c>
      <c r="T365">
        <f>70</f>
        <v>70</v>
      </c>
      <c r="U365">
        <f>30</f>
        <v>30</v>
      </c>
      <c r="V365">
        <f t="shared" ca="1" si="105"/>
        <v>155.21450709935399</v>
      </c>
      <c r="W365">
        <f t="shared" ca="1" si="115"/>
        <v>154.62088026310971</v>
      </c>
      <c r="X365">
        <f t="shared" ca="1" si="114"/>
        <v>0.55009265811247587</v>
      </c>
      <c r="Y365">
        <f t="shared" ca="1" si="116"/>
        <v>0.2157820960068739</v>
      </c>
      <c r="Z365">
        <f t="shared" ca="1" si="117"/>
        <v>0.33431056210560195</v>
      </c>
      <c r="AA365">
        <f t="shared" ca="1" si="118"/>
        <v>156.5745</v>
      </c>
    </row>
    <row r="366" spans="1:27" x14ac:dyDescent="0.25">
      <c r="A366" vm="1065">
        <f ca="1"/>
        <v>45824</v>
      </c>
      <c r="B366" vm="171">
        <f ca="1"/>
        <v>155.22</v>
      </c>
      <c r="C366" vm="1066">
        <f ca="1"/>
        <v>7023995</v>
      </c>
      <c r="D366">
        <f t="shared" ca="1" si="99"/>
        <v>1090264503.9000001</v>
      </c>
      <c r="E366">
        <f ca="1">SUM($D$2:D366)/SUM($C$2:C366)</f>
        <v>155.11642882135024</v>
      </c>
      <c r="F366">
        <f ca="1">_xlfn.STDEV.P($B$2:B366)</f>
        <v>6.4401431871481041</v>
      </c>
      <c r="G366">
        <f t="shared" ca="1" si="100"/>
        <v>161.55657200849834</v>
      </c>
      <c r="H366">
        <f t="shared" ca="1" si="101"/>
        <v>148.67628563420215</v>
      </c>
      <c r="I366">
        <f t="shared" ca="1" si="110"/>
        <v>154.35</v>
      </c>
      <c r="J366">
        <f t="shared" ca="1" si="111"/>
        <v>1.4425853983660502</v>
      </c>
      <c r="K366">
        <f t="shared" ca="1" si="112"/>
        <v>157.23517079673209</v>
      </c>
      <c r="L366">
        <f t="shared" ca="1" si="113"/>
        <v>151.4648292032679</v>
      </c>
      <c r="M366">
        <f t="shared" ca="1" si="102"/>
        <v>-1.8799999999999955</v>
      </c>
      <c r="N366">
        <f t="shared" ca="1" si="103"/>
        <v>0</v>
      </c>
      <c r="O366">
        <f t="shared" ca="1" si="104"/>
        <v>1.8799999999999955</v>
      </c>
      <c r="P366">
        <f t="shared" ca="1" si="108"/>
        <v>0.61049039567244845</v>
      </c>
      <c r="Q366">
        <f t="shared" ca="1" si="109"/>
        <v>0.56750702850743584</v>
      </c>
      <c r="R366">
        <f t="shared" ca="1" si="106"/>
        <v>1.075740678098843</v>
      </c>
      <c r="S366">
        <f t="shared" ca="1" si="107"/>
        <v>51.824425346045956</v>
      </c>
      <c r="T366">
        <f>70</f>
        <v>70</v>
      </c>
      <c r="U366">
        <f>30</f>
        <v>30</v>
      </c>
      <c r="V366">
        <f t="shared" ca="1" si="105"/>
        <v>155.21535216099184</v>
      </c>
      <c r="W366">
        <f t="shared" ca="1" si="115"/>
        <v>154.66525950287937</v>
      </c>
      <c r="X366">
        <f t="shared" ca="1" si="114"/>
        <v>0.28316311503925817</v>
      </c>
      <c r="Y366">
        <f t="shared" ca="1" si="116"/>
        <v>0.22925829981335075</v>
      </c>
      <c r="Z366">
        <f t="shared" ca="1" si="117"/>
        <v>5.3904815225907426E-2</v>
      </c>
      <c r="AA366">
        <f t="shared" ca="1" si="118"/>
        <v>156.67399999999998</v>
      </c>
    </row>
    <row r="367" spans="1:27" x14ac:dyDescent="0.25">
      <c r="A367" vm="1067">
        <f ca="1"/>
        <v>45825</v>
      </c>
      <c r="B367" vm="1068">
        <f ca="1"/>
        <v>152.38</v>
      </c>
      <c r="C367" vm="1069">
        <f ca="1"/>
        <v>6407098</v>
      </c>
      <c r="D367">
        <f t="shared" ca="1" si="99"/>
        <v>976313593.24000001</v>
      </c>
      <c r="E367">
        <f ca="1">SUM($D$2:D367)/SUM($C$2:C367)</f>
        <v>155.11026645114984</v>
      </c>
      <c r="F367">
        <f ca="1">_xlfn.STDEV.P($B$2:B367)</f>
        <v>6.4333587823632552</v>
      </c>
      <c r="G367">
        <f t="shared" ca="1" si="100"/>
        <v>161.5436252335131</v>
      </c>
      <c r="H367">
        <f t="shared" ca="1" si="101"/>
        <v>148.67690766878658</v>
      </c>
      <c r="I367">
        <f t="shared" ca="1" si="110"/>
        <v>154.34449999999998</v>
      </c>
      <c r="J367">
        <f t="shared" ca="1" si="111"/>
        <v>1.4502394539124226</v>
      </c>
      <c r="K367">
        <f t="shared" ca="1" si="112"/>
        <v>157.24497890782482</v>
      </c>
      <c r="L367">
        <f t="shared" ca="1" si="113"/>
        <v>151.44402109217515</v>
      </c>
      <c r="M367">
        <f t="shared" ca="1" si="102"/>
        <v>-2.8400000000000034</v>
      </c>
      <c r="N367">
        <f t="shared" ca="1" si="103"/>
        <v>0</v>
      </c>
      <c r="O367">
        <f t="shared" ca="1" si="104"/>
        <v>2.8400000000000034</v>
      </c>
      <c r="P367">
        <f t="shared" ca="1" si="108"/>
        <v>0.56688393883870214</v>
      </c>
      <c r="Q367">
        <f t="shared" ca="1" si="109"/>
        <v>0.72982795504261921</v>
      </c>
      <c r="R367">
        <f t="shared" ca="1" si="106"/>
        <v>0.77673640057484261</v>
      </c>
      <c r="S367">
        <f t="shared" ca="1" si="107"/>
        <v>43.717030861952203</v>
      </c>
      <c r="T367">
        <f>70</f>
        <v>70</v>
      </c>
      <c r="U367">
        <f>30</f>
        <v>30</v>
      </c>
      <c r="V367">
        <f t="shared" ca="1" si="105"/>
        <v>154.77914413622386</v>
      </c>
      <c r="W367">
        <f t="shared" ca="1" si="115"/>
        <v>154.4959810211846</v>
      </c>
      <c r="X367">
        <f t="shared" ca="1" si="114"/>
        <v>-6.0820579562687271E-2</v>
      </c>
      <c r="Y367">
        <f t="shared" ca="1" si="116"/>
        <v>0.17124252393814315</v>
      </c>
      <c r="Z367">
        <f t="shared" ca="1" si="117"/>
        <v>-0.23206310350083043</v>
      </c>
      <c r="AA367">
        <f t="shared" ca="1" si="118"/>
        <v>156.73139999999998</v>
      </c>
    </row>
    <row r="368" spans="1:27" x14ac:dyDescent="0.25">
      <c r="A368" vm="1070">
        <f ca="1"/>
        <v>45826</v>
      </c>
      <c r="B368" vm="1071">
        <f ca="1"/>
        <v>150.72999999999999</v>
      </c>
      <c r="C368" vm="1072">
        <f ca="1"/>
        <v>8325237</v>
      </c>
      <c r="D368">
        <f t="shared" ca="1" si="99"/>
        <v>1254862973.01</v>
      </c>
      <c r="E368">
        <f ca="1">SUM($D$2:D368)/SUM($C$2:C368)</f>
        <v>155.09748646346705</v>
      </c>
      <c r="F368">
        <f ca="1">_xlfn.STDEV.P($B$2:B368)</f>
        <v>6.4293167541093297</v>
      </c>
      <c r="G368">
        <f t="shared" ca="1" si="100"/>
        <v>161.52680321757637</v>
      </c>
      <c r="H368">
        <f t="shared" ca="1" si="101"/>
        <v>148.66816970935773</v>
      </c>
      <c r="I368">
        <f t="shared" ca="1" si="110"/>
        <v>154.19799999999998</v>
      </c>
      <c r="J368">
        <f t="shared" ca="1" si="111"/>
        <v>1.6563676174721964</v>
      </c>
      <c r="K368">
        <f t="shared" ca="1" si="112"/>
        <v>157.51073523494438</v>
      </c>
      <c r="L368">
        <f t="shared" ca="1" si="113"/>
        <v>150.88526476505558</v>
      </c>
      <c r="M368">
        <f t="shared" ca="1" si="102"/>
        <v>-1.6500000000000057</v>
      </c>
      <c r="N368">
        <f t="shared" ca="1" si="103"/>
        <v>0</v>
      </c>
      <c r="O368">
        <f t="shared" ca="1" si="104"/>
        <v>1.6500000000000057</v>
      </c>
      <c r="P368">
        <f t="shared" ca="1" si="108"/>
        <v>0.52639222892165194</v>
      </c>
      <c r="Q368">
        <f t="shared" ca="1" si="109"/>
        <v>0.79555452968243245</v>
      </c>
      <c r="R368">
        <f t="shared" ca="1" si="106"/>
        <v>0.66166706276158838</v>
      </c>
      <c r="S368">
        <f t="shared" ca="1" si="107"/>
        <v>39.819472720482189</v>
      </c>
      <c r="T368">
        <f>70</f>
        <v>70</v>
      </c>
      <c r="U368">
        <f>30</f>
        <v>30</v>
      </c>
      <c r="V368">
        <f t="shared" ca="1" si="105"/>
        <v>154.15619888449712</v>
      </c>
      <c r="W368">
        <f t="shared" ca="1" si="115"/>
        <v>154.2170194640598</v>
      </c>
      <c r="X368">
        <f t="shared" ca="1" si="114"/>
        <v>-0.40461611716182233</v>
      </c>
      <c r="Y368">
        <f t="shared" ca="1" si="116"/>
        <v>5.6070795718150074E-2</v>
      </c>
      <c r="Z368">
        <f t="shared" ca="1" si="117"/>
        <v>-0.46068691287997243</v>
      </c>
      <c r="AA368">
        <f t="shared" ca="1" si="118"/>
        <v>156.77049999999997</v>
      </c>
    </row>
    <row r="369" spans="1:27" x14ac:dyDescent="0.25">
      <c r="A369" vm="1073">
        <f ca="1"/>
        <v>45828</v>
      </c>
      <c r="B369" vm="1074">
        <f ca="1"/>
        <v>149.79</v>
      </c>
      <c r="C369" vm="1075">
        <f ca="1"/>
        <v>22605471</v>
      </c>
      <c r="D369">
        <f t="shared" ca="1" si="99"/>
        <v>3386073501.0899997</v>
      </c>
      <c r="E369">
        <f ca="1">SUM($D$2:D369)/SUM($C$2:C369)</f>
        <v>155.05576987967575</v>
      </c>
      <c r="F369">
        <f ca="1">_xlfn.STDEV.P($B$2:B369)</f>
        <v>6.4273245298034452</v>
      </c>
      <c r="G369">
        <f t="shared" ca="1" si="100"/>
        <v>161.48309440947921</v>
      </c>
      <c r="H369">
        <f t="shared" ca="1" si="101"/>
        <v>148.62844534987229</v>
      </c>
      <c r="I369">
        <f t="shared" ca="1" si="110"/>
        <v>154.02850000000001</v>
      </c>
      <c r="J369">
        <f t="shared" ca="1" si="111"/>
        <v>1.9187037153683781</v>
      </c>
      <c r="K369">
        <f t="shared" ca="1" si="112"/>
        <v>157.86590743073677</v>
      </c>
      <c r="L369">
        <f t="shared" ca="1" si="113"/>
        <v>150.19109256926325</v>
      </c>
      <c r="M369">
        <f t="shared" ca="1" si="102"/>
        <v>-0.93999999999999773</v>
      </c>
      <c r="N369">
        <f t="shared" ca="1" si="103"/>
        <v>0</v>
      </c>
      <c r="O369">
        <f t="shared" ca="1" si="104"/>
        <v>0.93999999999999773</v>
      </c>
      <c r="P369">
        <f t="shared" ca="1" si="108"/>
        <v>0.48879278399867682</v>
      </c>
      <c r="Q369">
        <f t="shared" ca="1" si="109"/>
        <v>0.80587206327654426</v>
      </c>
      <c r="R369">
        <f t="shared" ca="1" si="106"/>
        <v>0.60653893623179489</v>
      </c>
      <c r="S369">
        <f t="shared" ca="1" si="107"/>
        <v>37.754387556547968</v>
      </c>
      <c r="T369">
        <f>70</f>
        <v>70</v>
      </c>
      <c r="U369">
        <f>30</f>
        <v>30</v>
      </c>
      <c r="V369">
        <f t="shared" ca="1" si="105"/>
        <v>153.48447597918985</v>
      </c>
      <c r="W369">
        <f t="shared" ca="1" si="115"/>
        <v>153.88909209635167</v>
      </c>
      <c r="X369">
        <f t="shared" ca="1" si="114"/>
        <v>-0.54730930340426198</v>
      </c>
      <c r="Y369">
        <f t="shared" ca="1" si="116"/>
        <v>-6.4605224106332335E-2</v>
      </c>
      <c r="Z369">
        <f t="shared" ca="1" si="117"/>
        <v>-0.48270407929792963</v>
      </c>
      <c r="AA369">
        <f t="shared" ca="1" si="118"/>
        <v>156.73949999999999</v>
      </c>
    </row>
    <row r="370" spans="1:27" x14ac:dyDescent="0.25">
      <c r="A370" vm="1076">
        <f ca="1"/>
        <v>45831</v>
      </c>
      <c r="B370" vm="1077">
        <f ca="1"/>
        <v>151.32</v>
      </c>
      <c r="C370" vm="1078">
        <f ca="1"/>
        <v>7397853</v>
      </c>
      <c r="D370">
        <f t="shared" ca="1" si="99"/>
        <v>1119443115.96</v>
      </c>
      <c r="E370">
        <f ca="1">SUM($D$2:D370)/SUM($C$2:C370)</f>
        <v>155.04618522615729</v>
      </c>
      <c r="F370">
        <f ca="1">_xlfn.STDEV.P($B$2:B370)</f>
        <v>6.4221670640483435</v>
      </c>
      <c r="G370">
        <f t="shared" ca="1" si="100"/>
        <v>161.46835229020564</v>
      </c>
      <c r="H370">
        <f t="shared" ca="1" si="101"/>
        <v>148.62401816210894</v>
      </c>
      <c r="I370">
        <f t="shared" ca="1" si="110"/>
        <v>153.964</v>
      </c>
      <c r="J370">
        <f t="shared" ca="1" si="111"/>
        <v>1.9892828647001097</v>
      </c>
      <c r="K370">
        <f t="shared" ca="1" si="112"/>
        <v>157.94256572940023</v>
      </c>
      <c r="L370">
        <f t="shared" ca="1" si="113"/>
        <v>149.98543427059977</v>
      </c>
      <c r="M370">
        <f t="shared" ca="1" si="102"/>
        <v>1.5300000000000011</v>
      </c>
      <c r="N370">
        <f t="shared" ca="1" si="103"/>
        <v>1.5300000000000011</v>
      </c>
      <c r="O370">
        <f t="shared" ca="1" si="104"/>
        <v>0</v>
      </c>
      <c r="P370">
        <f t="shared" ca="1" si="108"/>
        <v>0.56316472799877138</v>
      </c>
      <c r="Q370">
        <f t="shared" ca="1" si="109"/>
        <v>0.74830977304250534</v>
      </c>
      <c r="R370">
        <f t="shared" ca="1" si="106"/>
        <v>0.75258235063406365</v>
      </c>
      <c r="S370">
        <f t="shared" ca="1" si="107"/>
        <v>42.941340266366836</v>
      </c>
      <c r="T370">
        <f>70</f>
        <v>70</v>
      </c>
      <c r="U370">
        <f>30</f>
        <v>30</v>
      </c>
      <c r="V370">
        <f t="shared" ca="1" si="105"/>
        <v>153.15147967469912</v>
      </c>
      <c r="W370">
        <f t="shared" ca="1" si="115"/>
        <v>153.69878897810338</v>
      </c>
      <c r="X370">
        <f t="shared" ca="1" si="114"/>
        <v>-0.58346710683181868</v>
      </c>
      <c r="Y370">
        <f t="shared" ca="1" si="116"/>
        <v>-0.16837760065142959</v>
      </c>
      <c r="Z370">
        <f t="shared" ca="1" si="117"/>
        <v>-0.41508950618038909</v>
      </c>
      <c r="AA370">
        <f t="shared" ca="1" si="118"/>
        <v>156.74889999999996</v>
      </c>
    </row>
    <row r="371" spans="1:27" x14ac:dyDescent="0.25">
      <c r="A371" vm="1079">
        <f ca="1"/>
        <v>45832</v>
      </c>
      <c r="B371" vm="1080">
        <f ca="1"/>
        <v>152.19</v>
      </c>
      <c r="C371" vm="1081">
        <f ca="1"/>
        <v>9544217</v>
      </c>
      <c r="D371">
        <f t="shared" ca="1" si="99"/>
        <v>1452534385.23</v>
      </c>
      <c r="E371">
        <f ca="1">SUM($D$2:D371)/SUM($C$2:C371)</f>
        <v>155.03676237942219</v>
      </c>
      <c r="F371">
        <f ca="1">_xlfn.STDEV.P($B$2:B371)</f>
        <v>6.4156746810905698</v>
      </c>
      <c r="G371">
        <f t="shared" ca="1" si="100"/>
        <v>161.45243706051275</v>
      </c>
      <c r="H371">
        <f t="shared" ca="1" si="101"/>
        <v>148.62108769833162</v>
      </c>
      <c r="I371">
        <f t="shared" ca="1" si="110"/>
        <v>153.9265</v>
      </c>
      <c r="J371">
        <f t="shared" ca="1" si="111"/>
        <v>2.016485413052282</v>
      </c>
      <c r="K371">
        <f t="shared" ca="1" si="112"/>
        <v>157.95947082610456</v>
      </c>
      <c r="L371">
        <f t="shared" ca="1" si="113"/>
        <v>149.89352917389544</v>
      </c>
      <c r="M371">
        <f t="shared" ca="1" si="102"/>
        <v>0.87000000000000455</v>
      </c>
      <c r="N371">
        <f t="shared" ca="1" si="103"/>
        <v>0.87000000000000455</v>
      </c>
      <c r="O371">
        <f t="shared" ca="1" si="104"/>
        <v>0</v>
      </c>
      <c r="P371">
        <f t="shared" ca="1" si="108"/>
        <v>0.58508153314171651</v>
      </c>
      <c r="Q371">
        <f t="shared" ca="1" si="109"/>
        <v>0.69485907496804067</v>
      </c>
      <c r="R371">
        <f t="shared" ca="1" si="106"/>
        <v>0.84201466774917888</v>
      </c>
      <c r="S371">
        <f t="shared" ca="1" si="107"/>
        <v>45.711615791749672</v>
      </c>
      <c r="T371">
        <f>70</f>
        <v>70</v>
      </c>
      <c r="U371">
        <f>30</f>
        <v>30</v>
      </c>
      <c r="V371">
        <f t="shared" ca="1" si="105"/>
        <v>153.0035597247454</v>
      </c>
      <c r="W371">
        <f t="shared" ca="1" si="115"/>
        <v>153.58702683157722</v>
      </c>
      <c r="X371">
        <f t="shared" ca="1" si="114"/>
        <v>-0.59796718522284209</v>
      </c>
      <c r="Y371">
        <f t="shared" ca="1" si="116"/>
        <v>-0.25429551756571211</v>
      </c>
      <c r="Z371">
        <f t="shared" ca="1" si="117"/>
        <v>-0.34367166765712998</v>
      </c>
      <c r="AA371">
        <f t="shared" ca="1" si="118"/>
        <v>156.7593</v>
      </c>
    </row>
    <row r="372" spans="1:27" x14ac:dyDescent="0.25">
      <c r="A372" vm="1082">
        <f ca="1"/>
        <v>45833</v>
      </c>
      <c r="B372" vm="1083">
        <f ca="1"/>
        <v>152.28</v>
      </c>
      <c r="C372" vm="1084">
        <f ca="1"/>
        <v>7153708</v>
      </c>
      <c r="D372">
        <f t="shared" ca="1" si="99"/>
        <v>1089366654.24</v>
      </c>
      <c r="E372">
        <f ca="1">SUM($D$2:D372)/SUM($C$2:C372)</f>
        <v>155.02996230909213</v>
      </c>
      <c r="F372">
        <f ca="1">_xlfn.STDEV.P($B$2:B372)</f>
        <v>6.4090790760159662</v>
      </c>
      <c r="G372">
        <f t="shared" ca="1" si="100"/>
        <v>161.43904138510808</v>
      </c>
      <c r="H372">
        <f t="shared" ca="1" si="101"/>
        <v>148.62088323307617</v>
      </c>
      <c r="I372">
        <f t="shared" ca="1" si="110"/>
        <v>153.87800000000001</v>
      </c>
      <c r="J372">
        <f t="shared" ca="1" si="111"/>
        <v>2.045075214161804</v>
      </c>
      <c r="K372">
        <f t="shared" ca="1" si="112"/>
        <v>157.96815042832361</v>
      </c>
      <c r="L372">
        <f t="shared" ca="1" si="113"/>
        <v>149.78784957167642</v>
      </c>
      <c r="M372">
        <f t="shared" ca="1" si="102"/>
        <v>9.0000000000003411E-2</v>
      </c>
      <c r="N372">
        <f t="shared" ca="1" si="103"/>
        <v>9.0000000000003411E-2</v>
      </c>
      <c r="O372">
        <f t="shared" ca="1" si="104"/>
        <v>0</v>
      </c>
      <c r="P372">
        <f t="shared" ca="1" si="108"/>
        <v>0.54971856648873696</v>
      </c>
      <c r="Q372">
        <f t="shared" ca="1" si="109"/>
        <v>0.64522628389889491</v>
      </c>
      <c r="R372">
        <f t="shared" ca="1" si="106"/>
        <v>0.85197794976200358</v>
      </c>
      <c r="S372">
        <f t="shared" ca="1" si="107"/>
        <v>46.003676764698554</v>
      </c>
      <c r="T372">
        <f>70</f>
        <v>70</v>
      </c>
      <c r="U372">
        <f>30</f>
        <v>30</v>
      </c>
      <c r="V372">
        <f t="shared" ca="1" si="105"/>
        <v>152.89224284401533</v>
      </c>
      <c r="W372">
        <f t="shared" ca="1" si="115"/>
        <v>153.49021002923817</v>
      </c>
      <c r="X372">
        <f t="shared" ca="1" si="114"/>
        <v>-0.62405166618191288</v>
      </c>
      <c r="Y372">
        <f t="shared" ca="1" si="116"/>
        <v>-0.32824674728895231</v>
      </c>
      <c r="Z372">
        <f t="shared" ca="1" si="117"/>
        <v>-0.29580491889296057</v>
      </c>
      <c r="AA372">
        <f t="shared" ca="1" si="118"/>
        <v>156.75339999999997</v>
      </c>
    </row>
    <row r="373" spans="1:27" x14ac:dyDescent="0.25">
      <c r="A373" vm="1085">
        <f ca="1"/>
        <v>45834</v>
      </c>
      <c r="B373" vm="1086">
        <f ca="1"/>
        <v>152.01</v>
      </c>
      <c r="C373" vm="1087">
        <f ca="1"/>
        <v>7156903</v>
      </c>
      <c r="D373">
        <f t="shared" ca="1" si="99"/>
        <v>1087920825.03</v>
      </c>
      <c r="E373">
        <f ca="1">SUM($D$2:D373)/SUM($C$2:C373)</f>
        <v>155.02252802610005</v>
      </c>
      <c r="F373">
        <f ca="1">_xlfn.STDEV.P($B$2:B373)</f>
        <v>6.4028694801228756</v>
      </c>
      <c r="G373">
        <f t="shared" ca="1" si="100"/>
        <v>161.42539750622294</v>
      </c>
      <c r="H373">
        <f t="shared" ca="1" si="101"/>
        <v>148.61965854597716</v>
      </c>
      <c r="I373">
        <f t="shared" ca="1" si="110"/>
        <v>153.85700000000003</v>
      </c>
      <c r="J373">
        <f t="shared" ca="1" si="111"/>
        <v>2.0628062133133627</v>
      </c>
      <c r="K373">
        <f t="shared" ca="1" si="112"/>
        <v>157.98261242662676</v>
      </c>
      <c r="L373">
        <f t="shared" ca="1" si="113"/>
        <v>149.7313875733733</v>
      </c>
      <c r="M373">
        <f t="shared" ca="1" si="102"/>
        <v>-0.27000000000001023</v>
      </c>
      <c r="N373">
        <f t="shared" ca="1" si="103"/>
        <v>0</v>
      </c>
      <c r="O373">
        <f t="shared" ca="1" si="104"/>
        <v>0.27000000000001023</v>
      </c>
      <c r="P373">
        <f t="shared" ca="1" si="108"/>
        <v>0.51045295459668438</v>
      </c>
      <c r="Q373">
        <f t="shared" ca="1" si="109"/>
        <v>0.61842440647754604</v>
      </c>
      <c r="R373">
        <f t="shared" ca="1" si="106"/>
        <v>0.82540881189367821</v>
      </c>
      <c r="S373">
        <f t="shared" ca="1" si="107"/>
        <v>45.21775103284395</v>
      </c>
      <c r="T373">
        <f>70</f>
        <v>70</v>
      </c>
      <c r="U373">
        <f>30</f>
        <v>30</v>
      </c>
      <c r="V373">
        <f t="shared" ca="1" si="105"/>
        <v>152.75651317570527</v>
      </c>
      <c r="W373">
        <f t="shared" ca="1" si="115"/>
        <v>153.38056484188718</v>
      </c>
      <c r="X373">
        <f t="shared" ca="1" si="114"/>
        <v>-0.60546769352953334</v>
      </c>
      <c r="Y373">
        <f t="shared" ca="1" si="116"/>
        <v>-0.38369093653706854</v>
      </c>
      <c r="Z373">
        <f t="shared" ca="1" si="117"/>
        <v>-0.2217767569924648</v>
      </c>
      <c r="AA373">
        <f t="shared" ca="1" si="118"/>
        <v>156.75199999999998</v>
      </c>
    </row>
    <row r="374" spans="1:27" x14ac:dyDescent="0.25">
      <c r="A374" vm="1088">
        <f ca="1"/>
        <v>45835</v>
      </c>
      <c r="B374" vm="1089">
        <f ca="1"/>
        <v>152.41</v>
      </c>
      <c r="C374" vm="1090">
        <f ca="1"/>
        <v>10010787</v>
      </c>
      <c r="D374">
        <f t="shared" ca="1" si="99"/>
        <v>1525744046.6700001</v>
      </c>
      <c r="E374">
        <f ca="1">SUM($D$2:D374)/SUM($C$2:C374)</f>
        <v>155.01356305783307</v>
      </c>
      <c r="F374">
        <f ca="1">_xlfn.STDEV.P($B$2:B374)</f>
        <v>6.3961419494941074</v>
      </c>
      <c r="G374">
        <f t="shared" ca="1" si="100"/>
        <v>161.40970500732718</v>
      </c>
      <c r="H374">
        <f t="shared" ca="1" si="101"/>
        <v>148.61742110833896</v>
      </c>
      <c r="I374">
        <f t="shared" ca="1" si="110"/>
        <v>153.79850000000002</v>
      </c>
      <c r="J374">
        <f t="shared" ca="1" si="111"/>
        <v>2.0875174755020183</v>
      </c>
      <c r="K374">
        <f t="shared" ca="1" si="112"/>
        <v>157.97353495100407</v>
      </c>
      <c r="L374">
        <f t="shared" ca="1" si="113"/>
        <v>149.62346504899597</v>
      </c>
      <c r="M374">
        <f t="shared" ca="1" si="102"/>
        <v>0.40000000000000568</v>
      </c>
      <c r="N374">
        <f t="shared" ca="1" si="103"/>
        <v>0.40000000000000568</v>
      </c>
      <c r="O374">
        <f t="shared" ca="1" si="104"/>
        <v>0</v>
      </c>
      <c r="P374">
        <f t="shared" ca="1" si="108"/>
        <v>0.50256345783977874</v>
      </c>
      <c r="Q374">
        <f t="shared" ca="1" si="109"/>
        <v>0.57425123458629279</v>
      </c>
      <c r="R374">
        <f t="shared" ca="1" si="106"/>
        <v>0.8751630428828594</v>
      </c>
      <c r="S374">
        <f t="shared" ca="1" si="107"/>
        <v>46.671303927651607</v>
      </c>
      <c r="T374">
        <f>70</f>
        <v>70</v>
      </c>
      <c r="U374">
        <f>30</f>
        <v>30</v>
      </c>
      <c r="V374">
        <f t="shared" ca="1" si="105"/>
        <v>152.703203456366</v>
      </c>
      <c r="W374">
        <f t="shared" ca="1" si="115"/>
        <v>153.30867114989553</v>
      </c>
      <c r="X374">
        <f t="shared" ca="1" si="114"/>
        <v>-0.55688517713775809</v>
      </c>
      <c r="Y374">
        <f t="shared" ca="1" si="116"/>
        <v>-0.41832978465720649</v>
      </c>
      <c r="Z374">
        <f t="shared" ca="1" si="117"/>
        <v>-0.1385553924805516</v>
      </c>
      <c r="AA374">
        <f t="shared" ca="1" si="118"/>
        <v>156.75739999999999</v>
      </c>
    </row>
    <row r="375" spans="1:27" x14ac:dyDescent="0.25">
      <c r="A375" vm="1091">
        <f ca="1"/>
        <v>45838</v>
      </c>
      <c r="B375" vm="1092">
        <f ca="1"/>
        <v>152.75</v>
      </c>
      <c r="C375" vm="1093">
        <f ca="1"/>
        <v>9039552</v>
      </c>
      <c r="D375">
        <f t="shared" ca="1" si="99"/>
        <v>1380791568</v>
      </c>
      <c r="E375">
        <f ca="1">SUM($D$2:D375)/SUM($C$2:C375)</f>
        <v>155.00657083186135</v>
      </c>
      <c r="F375">
        <f ca="1">_xlfn.STDEV.P($B$2:B375)</f>
        <v>6.3890352753184629</v>
      </c>
      <c r="G375">
        <f t="shared" ca="1" si="100"/>
        <v>161.39560610717982</v>
      </c>
      <c r="H375">
        <f t="shared" ca="1" si="101"/>
        <v>148.61753555654289</v>
      </c>
      <c r="I375">
        <f t="shared" ca="1" si="110"/>
        <v>153.6755</v>
      </c>
      <c r="J375">
        <f t="shared" ca="1" si="111"/>
        <v>2.0723911310368037</v>
      </c>
      <c r="K375">
        <f t="shared" ca="1" si="112"/>
        <v>157.82028226207362</v>
      </c>
      <c r="L375">
        <f t="shared" ca="1" si="113"/>
        <v>149.53071773792638</v>
      </c>
      <c r="M375">
        <f t="shared" ca="1" si="102"/>
        <v>0.34000000000000341</v>
      </c>
      <c r="N375">
        <f t="shared" ca="1" si="103"/>
        <v>0.34000000000000341</v>
      </c>
      <c r="O375">
        <f t="shared" ca="1" si="104"/>
        <v>0</v>
      </c>
      <c r="P375">
        <f t="shared" ca="1" si="108"/>
        <v>0.49095178227979475</v>
      </c>
      <c r="Q375">
        <f t="shared" ca="1" si="109"/>
        <v>0.53323328925870039</v>
      </c>
      <c r="R375">
        <f t="shared" ca="1" si="106"/>
        <v>0.92070730048064831</v>
      </c>
      <c r="S375">
        <f t="shared" ca="1" si="107"/>
        <v>47.935846354634329</v>
      </c>
      <c r="T375">
        <f>70</f>
        <v>70</v>
      </c>
      <c r="U375">
        <f>30</f>
        <v>30</v>
      </c>
      <c r="V375">
        <f t="shared" ca="1" si="105"/>
        <v>152.71040292461737</v>
      </c>
      <c r="W375">
        <f t="shared" ca="1" si="115"/>
        <v>153.26728810175513</v>
      </c>
      <c r="X375">
        <f t="shared" ca="1" si="114"/>
        <v>-0.25959818934208556</v>
      </c>
      <c r="Y375">
        <f t="shared" ca="1" si="116"/>
        <v>-0.38658346559418233</v>
      </c>
      <c r="Z375">
        <f t="shared" ca="1" si="117"/>
        <v>0.12698527625209677</v>
      </c>
      <c r="AA375">
        <f t="shared" ca="1" si="118"/>
        <v>156.74999999999997</v>
      </c>
    </row>
    <row r="376" spans="1:27" x14ac:dyDescent="0.25">
      <c r="A376" vm="1094">
        <f ca="1"/>
        <v>45839</v>
      </c>
      <c r="B376" vm="1095">
        <f ca="1"/>
        <v>155.91999999999999</v>
      </c>
      <c r="C376" vm="1096">
        <f ca="1"/>
        <v>10896676</v>
      </c>
      <c r="D376">
        <f t="shared" ca="1" si="99"/>
        <v>1699009721.9199998</v>
      </c>
      <c r="E376">
        <f ca="1">SUM($D$2:D376)/SUM($C$2:C376)</f>
        <v>155.00995951297645</v>
      </c>
      <c r="F376">
        <f ca="1">_xlfn.STDEV.P($B$2:B376)</f>
        <v>6.380571924821651</v>
      </c>
      <c r="G376">
        <f t="shared" ca="1" si="100"/>
        <v>161.3905314377981</v>
      </c>
      <c r="H376">
        <f t="shared" ca="1" si="101"/>
        <v>148.6293875881548</v>
      </c>
      <c r="I376">
        <f t="shared" ca="1" si="110"/>
        <v>153.70150000000004</v>
      </c>
      <c r="J376">
        <f t="shared" ca="1" si="111"/>
        <v>2.0982656371895634</v>
      </c>
      <c r="K376">
        <f t="shared" ca="1" si="112"/>
        <v>157.89803127437918</v>
      </c>
      <c r="L376">
        <f t="shared" ca="1" si="113"/>
        <v>149.5049687256209</v>
      </c>
      <c r="M376">
        <f t="shared" ca="1" si="102"/>
        <v>3.1699999999999875</v>
      </c>
      <c r="N376">
        <f t="shared" ca="1" si="103"/>
        <v>3.1699999999999875</v>
      </c>
      <c r="O376">
        <f t="shared" ca="1" si="104"/>
        <v>0</v>
      </c>
      <c r="P376">
        <f t="shared" ca="1" si="108"/>
        <v>0.68231236925980865</v>
      </c>
      <c r="Q376">
        <f t="shared" ca="1" si="109"/>
        <v>0.49514519716879324</v>
      </c>
      <c r="R376">
        <f t="shared" ca="1" si="106"/>
        <v>1.3780046199806131</v>
      </c>
      <c r="S376">
        <f t="shared" ca="1" si="107"/>
        <v>57.947937039409432</v>
      </c>
      <c r="T376">
        <f>70</f>
        <v>70</v>
      </c>
      <c r="U376">
        <f>30</f>
        <v>30</v>
      </c>
      <c r="V376">
        <f t="shared" ca="1" si="105"/>
        <v>153.20418709006083</v>
      </c>
      <c r="W376">
        <f t="shared" ca="1" si="115"/>
        <v>153.46378527940291</v>
      </c>
      <c r="X376">
        <f t="shared" ca="1" si="114"/>
        <v>-5.2440598455518739E-2</v>
      </c>
      <c r="Y376">
        <f t="shared" ca="1" si="116"/>
        <v>-0.31975489216644964</v>
      </c>
      <c r="Z376">
        <f t="shared" ca="1" si="117"/>
        <v>0.26731429371093091</v>
      </c>
      <c r="AA376">
        <f t="shared" ca="1" si="118"/>
        <v>156.76229999999998</v>
      </c>
    </row>
    <row r="377" spans="1:27" x14ac:dyDescent="0.25">
      <c r="A377" vm="1097">
        <f ca="1"/>
        <v>45840</v>
      </c>
      <c r="B377" vm="1098">
        <f ca="1"/>
        <v>155.56</v>
      </c>
      <c r="C377" vm="1099">
        <f ca="1"/>
        <v>5544030</v>
      </c>
      <c r="D377">
        <f t="shared" ca="1" si="99"/>
        <v>862429306.80000007</v>
      </c>
      <c r="E377">
        <f ca="1">SUM($D$2:D377)/SUM($C$2:C377)</f>
        <v>155.01099575943556</v>
      </c>
      <c r="F377">
        <f ca="1">_xlfn.STDEV.P($B$2:B377)</f>
        <v>6.3720882003061412</v>
      </c>
      <c r="G377">
        <f t="shared" ca="1" si="100"/>
        <v>161.3830839597417</v>
      </c>
      <c r="H377">
        <f t="shared" ca="1" si="101"/>
        <v>148.63890755912942</v>
      </c>
      <c r="I377">
        <f t="shared" ca="1" si="110"/>
        <v>153.75849999999997</v>
      </c>
      <c r="J377">
        <f t="shared" ca="1" si="111"/>
        <v>2.133991256826167</v>
      </c>
      <c r="K377">
        <f t="shared" ca="1" si="112"/>
        <v>158.0264825136523</v>
      </c>
      <c r="L377">
        <f t="shared" ca="1" si="113"/>
        <v>149.49051748634764</v>
      </c>
      <c r="M377">
        <f t="shared" ca="1" si="102"/>
        <v>-0.35999999999998522</v>
      </c>
      <c r="N377">
        <f t="shared" ca="1" si="103"/>
        <v>0</v>
      </c>
      <c r="O377">
        <f t="shared" ca="1" si="104"/>
        <v>0.35999999999998522</v>
      </c>
      <c r="P377">
        <f t="shared" ca="1" si="108"/>
        <v>0.63357577145553656</v>
      </c>
      <c r="Q377">
        <f t="shared" ca="1" si="109"/>
        <v>0.48549196879959267</v>
      </c>
      <c r="R377">
        <f t="shared" ca="1" si="106"/>
        <v>1.3050180274291452</v>
      </c>
      <c r="S377">
        <f t="shared" ca="1" si="107"/>
        <v>56.616391364395113</v>
      </c>
      <c r="T377">
        <f>70</f>
        <v>70</v>
      </c>
      <c r="U377">
        <f>30</f>
        <v>30</v>
      </c>
      <c r="V377">
        <f t="shared" ca="1" si="105"/>
        <v>153.56661984543607</v>
      </c>
      <c r="W377">
        <f t="shared" ca="1" si="115"/>
        <v>153.61906044389158</v>
      </c>
      <c r="X377">
        <f t="shared" ca="1" si="114"/>
        <v>0.14635740692236254</v>
      </c>
      <c r="Y377">
        <f t="shared" ca="1" si="116"/>
        <v>-0.22653243234868725</v>
      </c>
      <c r="Z377">
        <f t="shared" ca="1" si="117"/>
        <v>0.37288983927104979</v>
      </c>
      <c r="AA377">
        <f t="shared" ca="1" si="118"/>
        <v>156.78279999999998</v>
      </c>
    </row>
    <row r="378" spans="1:27" x14ac:dyDescent="0.25">
      <c r="A378" vm="1100">
        <f ca="1"/>
        <v>45841</v>
      </c>
      <c r="B378" vm="1101">
        <f ca="1"/>
        <v>156.01</v>
      </c>
      <c r="C378" vm="1102">
        <f ca="1"/>
        <v>3482521</v>
      </c>
      <c r="D378">
        <f t="shared" ca="1" si="99"/>
        <v>543308101.20999992</v>
      </c>
      <c r="E378">
        <f ca="1">SUM($D$2:D378)/SUM($C$2:C378)</f>
        <v>155.01217659726953</v>
      </c>
      <c r="F378">
        <f ca="1">_xlfn.STDEV.P($B$2:B378)</f>
        <v>6.3637138613070485</v>
      </c>
      <c r="G378">
        <f t="shared" ca="1" si="100"/>
        <v>161.37589045857658</v>
      </c>
      <c r="H378">
        <f t="shared" ca="1" si="101"/>
        <v>148.64846273596248</v>
      </c>
      <c r="I378">
        <f t="shared" ca="1" si="110"/>
        <v>153.89799999999997</v>
      </c>
      <c r="J378">
        <f t="shared" ca="1" si="111"/>
        <v>2.1874585108847446</v>
      </c>
      <c r="K378">
        <f t="shared" ca="1" si="112"/>
        <v>158.27291702176944</v>
      </c>
      <c r="L378">
        <f t="shared" ca="1" si="113"/>
        <v>149.52308297823049</v>
      </c>
      <c r="M378">
        <f t="shared" ca="1" si="102"/>
        <v>0.44999999999998863</v>
      </c>
      <c r="N378">
        <f t="shared" ca="1" si="103"/>
        <v>0.44999999999998863</v>
      </c>
      <c r="O378">
        <f t="shared" ca="1" si="104"/>
        <v>0</v>
      </c>
      <c r="P378">
        <f t="shared" ca="1" si="108"/>
        <v>0.62046321635156887</v>
      </c>
      <c r="Q378">
        <f t="shared" ca="1" si="109"/>
        <v>0.45081397102819321</v>
      </c>
      <c r="R378">
        <f t="shared" ca="1" si="106"/>
        <v>1.3763176303885358</v>
      </c>
      <c r="S378">
        <f t="shared" ca="1" si="107"/>
        <v>57.918083541866551</v>
      </c>
      <c r="T378">
        <f>70</f>
        <v>70</v>
      </c>
      <c r="U378">
        <f>30</f>
        <v>30</v>
      </c>
      <c r="V378">
        <f t="shared" ca="1" si="105"/>
        <v>153.94252448459974</v>
      </c>
      <c r="W378">
        <f t="shared" ca="1" si="115"/>
        <v>153.79616707767738</v>
      </c>
      <c r="X378">
        <f t="shared" ca="1" si="114"/>
        <v>0.24141160023069119</v>
      </c>
      <c r="Y378">
        <f t="shared" ca="1" si="116"/>
        <v>-0.13294362583281155</v>
      </c>
      <c r="Z378">
        <f t="shared" ca="1" si="117"/>
        <v>0.37435522606350274</v>
      </c>
      <c r="AA378">
        <f t="shared" ca="1" si="118"/>
        <v>156.81169999999997</v>
      </c>
    </row>
    <row r="379" spans="1:27" x14ac:dyDescent="0.25">
      <c r="A379" vm="1103">
        <f ca="1"/>
        <v>45845</v>
      </c>
      <c r="B379" vm="1104">
        <f ca="1"/>
        <v>155.27000000000001</v>
      </c>
      <c r="C379" vm="1105">
        <f ca="1"/>
        <v>6270887</v>
      </c>
      <c r="D379">
        <f t="shared" ca="1" si="99"/>
        <v>973680624.49000001</v>
      </c>
      <c r="E379">
        <f ca="1">SUM($D$2:D379)/SUM($C$2:C379)</f>
        <v>155.01272418929403</v>
      </c>
      <c r="F379">
        <f ca="1">_xlfn.STDEV.P($B$2:B379)</f>
        <v>6.3552932965251596</v>
      </c>
      <c r="G379">
        <f t="shared" ca="1" si="100"/>
        <v>161.36801748581919</v>
      </c>
      <c r="H379">
        <f t="shared" ca="1" si="101"/>
        <v>148.65743089276887</v>
      </c>
      <c r="I379">
        <f t="shared" ca="1" si="110"/>
        <v>153.97849999999997</v>
      </c>
      <c r="J379">
        <f t="shared" ca="1" si="111"/>
        <v>2.2077692361295371</v>
      </c>
      <c r="K379">
        <f t="shared" ca="1" si="112"/>
        <v>158.39403847225904</v>
      </c>
      <c r="L379">
        <f t="shared" ca="1" si="113"/>
        <v>149.5629615277409</v>
      </c>
      <c r="M379">
        <f t="shared" ca="1" si="102"/>
        <v>-0.73999999999998067</v>
      </c>
      <c r="N379">
        <f t="shared" ca="1" si="103"/>
        <v>0</v>
      </c>
      <c r="O379">
        <f t="shared" ca="1" si="104"/>
        <v>0.73999999999998067</v>
      </c>
      <c r="P379">
        <f t="shared" ca="1" si="108"/>
        <v>0.57614441518359971</v>
      </c>
      <c r="Q379">
        <f t="shared" ca="1" si="109"/>
        <v>0.47147011595474947</v>
      </c>
      <c r="R379">
        <f t="shared" ca="1" si="106"/>
        <v>1.2220168271256806</v>
      </c>
      <c r="S379">
        <f t="shared" ca="1" si="107"/>
        <v>54.995840364829135</v>
      </c>
      <c r="T379">
        <f>70</f>
        <v>70</v>
      </c>
      <c r="U379">
        <f>30</f>
        <v>30</v>
      </c>
      <c r="V379">
        <f t="shared" ca="1" si="105"/>
        <v>154.14675148696901</v>
      </c>
      <c r="W379">
        <f t="shared" ca="1" si="115"/>
        <v>153.90533988673832</v>
      </c>
      <c r="X379">
        <f t="shared" ca="1" si="114"/>
        <v>0.35461461093973412</v>
      </c>
      <c r="Y379">
        <f t="shared" ca="1" si="116"/>
        <v>-3.5431978478302428E-2</v>
      </c>
      <c r="Z379">
        <f t="shared" ca="1" si="117"/>
        <v>0.39004658941803655</v>
      </c>
      <c r="AA379">
        <f t="shared" ca="1" si="118"/>
        <v>156.822</v>
      </c>
    </row>
    <row r="380" spans="1:27" x14ac:dyDescent="0.25">
      <c r="A380" vm="1106">
        <f ca="1"/>
        <v>45846</v>
      </c>
      <c r="B380" vm="1107">
        <f ca="1"/>
        <v>155.79</v>
      </c>
      <c r="C380" vm="1108">
        <f ca="1"/>
        <v>6438221</v>
      </c>
      <c r="D380">
        <f t="shared" ca="1" si="99"/>
        <v>1003010449.5899999</v>
      </c>
      <c r="E380">
        <f ca="1">SUM($D$2:D380)/SUM($C$2:C380)</f>
        <v>155.01441541220711</v>
      </c>
      <c r="F380">
        <f ca="1">_xlfn.STDEV.P($B$2:B380)</f>
        <v>6.3469379656501328</v>
      </c>
      <c r="G380">
        <f t="shared" ca="1" si="100"/>
        <v>161.36135337785726</v>
      </c>
      <c r="H380">
        <f t="shared" ca="1" si="101"/>
        <v>148.66747744655697</v>
      </c>
      <c r="I380">
        <f t="shared" ca="1" si="110"/>
        <v>154.01649999999998</v>
      </c>
      <c r="J380">
        <f t="shared" ca="1" si="111"/>
        <v>2.2332140515409624</v>
      </c>
      <c r="K380">
        <f t="shared" ca="1" si="112"/>
        <v>158.48292810308192</v>
      </c>
      <c r="L380">
        <f t="shared" ca="1" si="113"/>
        <v>149.55007189691804</v>
      </c>
      <c r="M380">
        <f t="shared" ca="1" si="102"/>
        <v>0.51999999999998181</v>
      </c>
      <c r="N380">
        <f t="shared" ca="1" si="103"/>
        <v>0.51999999999998181</v>
      </c>
      <c r="O380">
        <f t="shared" ca="1" si="104"/>
        <v>0</v>
      </c>
      <c r="P380">
        <f t="shared" ca="1" si="108"/>
        <v>0.57213409981334118</v>
      </c>
      <c r="Q380">
        <f t="shared" ca="1" si="109"/>
        <v>0.43779367910083877</v>
      </c>
      <c r="R380">
        <f t="shared" ca="1" si="106"/>
        <v>1.3068578353813081</v>
      </c>
      <c r="S380">
        <f t="shared" ca="1" si="107"/>
        <v>56.650991462822127</v>
      </c>
      <c r="T380">
        <f>70</f>
        <v>70</v>
      </c>
      <c r="U380">
        <f>30</f>
        <v>30</v>
      </c>
      <c r="V380">
        <f t="shared" ca="1" si="105"/>
        <v>154.39955895051224</v>
      </c>
      <c r="W380">
        <f t="shared" ca="1" si="115"/>
        <v>154.04494433957251</v>
      </c>
      <c r="X380">
        <f t="shared" ca="1" si="114"/>
        <v>0.47835355538765612</v>
      </c>
      <c r="Y380">
        <f t="shared" ca="1" si="116"/>
        <v>6.7325128294889278E-2</v>
      </c>
      <c r="Z380">
        <f t="shared" ca="1" si="117"/>
        <v>0.41102842709276682</v>
      </c>
      <c r="AA380">
        <f t="shared" ca="1" si="118"/>
        <v>156.8186</v>
      </c>
    </row>
    <row r="381" spans="1:27" x14ac:dyDescent="0.25">
      <c r="A381" vm="1109">
        <f ca="1"/>
        <v>45847</v>
      </c>
      <c r="B381" vm="416">
        <f ca="1"/>
        <v>156.28</v>
      </c>
      <c r="C381" vm="1110">
        <f ca="1"/>
        <v>6147685</v>
      </c>
      <c r="D381">
        <f t="shared" ca="1" si="99"/>
        <v>960760211.79999995</v>
      </c>
      <c r="E381">
        <f ca="1">SUM($D$2:D381)/SUM($C$2:C381)</f>
        <v>155.01703939650196</v>
      </c>
      <c r="F381">
        <f ca="1">_xlfn.STDEV.P($B$2:B381)</f>
        <v>6.3387477604849218</v>
      </c>
      <c r="G381">
        <f t="shared" ca="1" si="100"/>
        <v>161.35578715698688</v>
      </c>
      <c r="H381">
        <f t="shared" ca="1" si="101"/>
        <v>148.67829163601704</v>
      </c>
      <c r="I381">
        <f t="shared" ca="1" si="110"/>
        <v>154.06900000000002</v>
      </c>
      <c r="J381">
        <f t="shared" ca="1" si="111"/>
        <v>2.2751909115963276</v>
      </c>
      <c r="K381">
        <f t="shared" ca="1" si="112"/>
        <v>158.61938182319267</v>
      </c>
      <c r="L381">
        <f t="shared" ca="1" si="113"/>
        <v>149.51861817680737</v>
      </c>
      <c r="M381">
        <f t="shared" ca="1" si="102"/>
        <v>0.49000000000000909</v>
      </c>
      <c r="N381">
        <f t="shared" ca="1" si="103"/>
        <v>0.49000000000000909</v>
      </c>
      <c r="O381">
        <f t="shared" ca="1" si="104"/>
        <v>0</v>
      </c>
      <c r="P381">
        <f t="shared" ca="1" si="108"/>
        <v>0.56626737839810315</v>
      </c>
      <c r="Q381">
        <f t="shared" ca="1" si="109"/>
        <v>0.40652270202220742</v>
      </c>
      <c r="R381">
        <f t="shared" ca="1" si="106"/>
        <v>1.3929538881377632</v>
      </c>
      <c r="S381">
        <f t="shared" ca="1" si="107"/>
        <v>58.210644803598086</v>
      </c>
      <c r="T381">
        <f>70</f>
        <v>70</v>
      </c>
      <c r="U381">
        <f>30</f>
        <v>30</v>
      </c>
      <c r="V381">
        <f t="shared" ca="1" si="105"/>
        <v>154.68885757351035</v>
      </c>
      <c r="W381">
        <f t="shared" ca="1" si="115"/>
        <v>154.21050401812269</v>
      </c>
      <c r="X381">
        <f t="shared" ca="1" si="114"/>
        <v>0.6823273317455687</v>
      </c>
      <c r="Y381">
        <f t="shared" ca="1" si="116"/>
        <v>0.19032556898502517</v>
      </c>
      <c r="Z381">
        <f t="shared" ca="1" si="117"/>
        <v>0.49200176276054353</v>
      </c>
      <c r="AA381">
        <f t="shared" ca="1" si="118"/>
        <v>156.8288</v>
      </c>
    </row>
    <row r="382" spans="1:27" x14ac:dyDescent="0.25">
      <c r="A382" vm="1111">
        <f ca="1"/>
        <v>45848</v>
      </c>
      <c r="B382" vm="1112">
        <f ca="1"/>
        <v>157.69</v>
      </c>
      <c r="C382" vm="1113">
        <f ca="1"/>
        <v>6733128</v>
      </c>
      <c r="D382">
        <f t="shared" ca="1" si="99"/>
        <v>1061746954.3199999</v>
      </c>
      <c r="E382">
        <f ca="1">SUM($D$2:D382)/SUM($C$2:C382)</f>
        <v>155.02309535382514</v>
      </c>
      <c r="F382">
        <f ca="1">_xlfn.STDEV.P($B$2:B382)</f>
        <v>6.3315216886078494</v>
      </c>
      <c r="G382">
        <f t="shared" ca="1" si="100"/>
        <v>161.35461704243298</v>
      </c>
      <c r="H382">
        <f t="shared" ca="1" si="101"/>
        <v>148.69157366521731</v>
      </c>
      <c r="I382">
        <f t="shared" ca="1" si="110"/>
        <v>154.13100000000003</v>
      </c>
      <c r="J382">
        <f t="shared" ca="1" si="111"/>
        <v>2.3588465066861106</v>
      </c>
      <c r="K382">
        <f t="shared" ca="1" si="112"/>
        <v>158.84869301337224</v>
      </c>
      <c r="L382">
        <f t="shared" ca="1" si="113"/>
        <v>149.41330698662782</v>
      </c>
      <c r="M382">
        <f t="shared" ca="1" si="102"/>
        <v>1.4099999999999966</v>
      </c>
      <c r="N382">
        <f t="shared" ca="1" si="103"/>
        <v>1.4099999999999966</v>
      </c>
      <c r="O382">
        <f t="shared" ca="1" si="104"/>
        <v>0</v>
      </c>
      <c r="P382">
        <f t="shared" ca="1" si="108"/>
        <v>0.62653399422680978</v>
      </c>
      <c r="Q382">
        <f t="shared" ca="1" si="109"/>
        <v>0.37748536616347833</v>
      </c>
      <c r="R382">
        <f t="shared" ca="1" si="106"/>
        <v>1.6597570406357831</v>
      </c>
      <c r="S382">
        <f t="shared" ca="1" si="107"/>
        <v>62.402580960516531</v>
      </c>
      <c r="T382">
        <f>70</f>
        <v>70</v>
      </c>
      <c r="U382">
        <f>30</f>
        <v>30</v>
      </c>
      <c r="V382">
        <f t="shared" ca="1" si="105"/>
        <v>155.15057179297028</v>
      </c>
      <c r="W382">
        <f t="shared" ca="1" si="115"/>
        <v>154.46824446122471</v>
      </c>
      <c r="X382">
        <f t="shared" ca="1" si="114"/>
        <v>0.77134009291776806</v>
      </c>
      <c r="Y382">
        <f t="shared" ca="1" si="116"/>
        <v>0.30652847377157377</v>
      </c>
      <c r="Z382">
        <f t="shared" ca="1" si="117"/>
        <v>0.46481161914619429</v>
      </c>
      <c r="AA382">
        <f t="shared" ca="1" si="118"/>
        <v>156.83320000000001</v>
      </c>
    </row>
    <row r="383" spans="1:27" x14ac:dyDescent="0.25">
      <c r="A383" vm="1114">
        <f ca="1"/>
        <v>45849</v>
      </c>
      <c r="B383" vm="1115">
        <f ca="1"/>
        <v>156.9</v>
      </c>
      <c r="C383" vm="1116">
        <f ca="1"/>
        <v>7872172</v>
      </c>
      <c r="D383">
        <f t="shared" ca="1" si="99"/>
        <v>1235143786.8</v>
      </c>
      <c r="E383">
        <f ca="1">SUM($D$2:D383)/SUM($C$2:C383)</f>
        <v>155.02805397891333</v>
      </c>
      <c r="F383">
        <f ca="1">_xlfn.STDEV.P($B$2:B383)</f>
        <v>6.3236986856385782</v>
      </c>
      <c r="G383">
        <f t="shared" ca="1" si="100"/>
        <v>161.35175266455192</v>
      </c>
      <c r="H383">
        <f t="shared" ca="1" si="101"/>
        <v>148.70435529327474</v>
      </c>
      <c r="I383">
        <f t="shared" ca="1" si="110"/>
        <v>154.21300000000002</v>
      </c>
      <c r="J383">
        <f t="shared" ca="1" si="111"/>
        <v>2.4276609925475281</v>
      </c>
      <c r="K383">
        <f t="shared" ca="1" si="112"/>
        <v>159.06832198509508</v>
      </c>
      <c r="L383">
        <f t="shared" ca="1" si="113"/>
        <v>149.35767801490496</v>
      </c>
      <c r="M383">
        <f t="shared" ca="1" si="102"/>
        <v>-0.78999999999999204</v>
      </c>
      <c r="N383">
        <f t="shared" ca="1" si="103"/>
        <v>0</v>
      </c>
      <c r="O383">
        <f t="shared" ca="1" si="104"/>
        <v>0.78999999999999204</v>
      </c>
      <c r="P383">
        <f t="shared" ca="1" si="108"/>
        <v>0.581781566067752</v>
      </c>
      <c r="Q383">
        <f t="shared" ca="1" si="109"/>
        <v>0.40695069715180077</v>
      </c>
      <c r="R383">
        <f t="shared" ca="1" si="106"/>
        <v>1.4296119164792482</v>
      </c>
      <c r="S383">
        <f t="shared" ca="1" si="107"/>
        <v>58.841163347227059</v>
      </c>
      <c r="T383">
        <f>70</f>
        <v>70</v>
      </c>
      <c r="U383">
        <f>30</f>
        <v>30</v>
      </c>
      <c r="V383">
        <f t="shared" ca="1" si="105"/>
        <v>155.41971459405178</v>
      </c>
      <c r="W383">
        <f t="shared" ca="1" si="115"/>
        <v>154.64837450113401</v>
      </c>
      <c r="X383">
        <f t="shared" ca="1" si="114"/>
        <v>0.82590746884562805</v>
      </c>
      <c r="Y383">
        <f t="shared" ca="1" si="116"/>
        <v>0.41040427278638464</v>
      </c>
      <c r="Z383">
        <f t="shared" ca="1" si="117"/>
        <v>0.41550319605924341</v>
      </c>
      <c r="AA383">
        <f t="shared" ca="1" si="118"/>
        <v>156.84070000000003</v>
      </c>
    </row>
    <row r="384" spans="1:27" x14ac:dyDescent="0.25">
      <c r="A384" vm="1117">
        <f ca="1"/>
        <v>45852</v>
      </c>
      <c r="B384" vm="1118">
        <f ca="1"/>
        <v>156.82</v>
      </c>
      <c r="C384" vm="1119">
        <f ca="1"/>
        <v>10185632</v>
      </c>
      <c r="D384">
        <f t="shared" ca="1" si="99"/>
        <v>1597310810.24</v>
      </c>
      <c r="E384">
        <f ca="1">SUM($D$2:D384)/SUM($C$2:C384)</f>
        <v>155.03415855300295</v>
      </c>
      <c r="F384">
        <f ca="1">_xlfn.STDEV.P($B$2:B384)</f>
        <v>6.3158561631136836</v>
      </c>
      <c r="G384">
        <f t="shared" ca="1" si="100"/>
        <v>161.35001471611665</v>
      </c>
      <c r="H384">
        <f t="shared" ca="1" si="101"/>
        <v>148.71830238988926</v>
      </c>
      <c r="I384">
        <f t="shared" ca="1" si="110"/>
        <v>154.22100000000003</v>
      </c>
      <c r="J384">
        <f t="shared" ca="1" si="111"/>
        <v>2.436397037905726</v>
      </c>
      <c r="K384">
        <f t="shared" ca="1" si="112"/>
        <v>159.09379407581147</v>
      </c>
      <c r="L384">
        <f t="shared" ca="1" si="113"/>
        <v>149.34820592418859</v>
      </c>
      <c r="M384">
        <f t="shared" ca="1" si="102"/>
        <v>-8.0000000000012506E-2</v>
      </c>
      <c r="N384">
        <f t="shared" ca="1" si="103"/>
        <v>0</v>
      </c>
      <c r="O384">
        <f t="shared" ca="1" si="104"/>
        <v>8.0000000000012506E-2</v>
      </c>
      <c r="P384">
        <f t="shared" ca="1" si="108"/>
        <v>0.5402257399200554</v>
      </c>
      <c r="Q384">
        <f t="shared" ca="1" si="109"/>
        <v>0.38359707592667303</v>
      </c>
      <c r="R384">
        <f t="shared" ca="1" si="106"/>
        <v>1.4083155837802135</v>
      </c>
      <c r="S384">
        <f t="shared" ca="1" si="107"/>
        <v>58.477202625149751</v>
      </c>
      <c r="T384">
        <f>70</f>
        <v>70</v>
      </c>
      <c r="U384">
        <f>30</f>
        <v>30</v>
      </c>
      <c r="V384">
        <f t="shared" ca="1" si="105"/>
        <v>155.6351431180438</v>
      </c>
      <c r="W384">
        <f t="shared" ca="1" si="115"/>
        <v>154.80923564919817</v>
      </c>
      <c r="X384">
        <f t="shared" ca="1" si="114"/>
        <v>0.72762370390199749</v>
      </c>
      <c r="Y384">
        <f t="shared" ca="1" si="116"/>
        <v>0.47384815900950722</v>
      </c>
      <c r="Z384">
        <f t="shared" ca="1" si="117"/>
        <v>0.25377554489249027</v>
      </c>
      <c r="AA384">
        <f t="shared" ca="1" si="118"/>
        <v>156.85900000000001</v>
      </c>
    </row>
    <row r="385" spans="1:27" x14ac:dyDescent="0.25">
      <c r="A385" vm="1120">
        <f ca="1"/>
        <v>45853</v>
      </c>
      <c r="B385" vm="669">
        <f ca="1"/>
        <v>155.16999999999999</v>
      </c>
      <c r="C385" vm="1121">
        <f ca="1"/>
        <v>6873200</v>
      </c>
      <c r="D385">
        <f t="shared" ca="1" si="99"/>
        <v>1066514443.9999999</v>
      </c>
      <c r="E385">
        <f ca="1">SUM($D$2:D385)/SUM($C$2:C385)</f>
        <v>155.03447010930034</v>
      </c>
      <c r="F385">
        <f ca="1">_xlfn.STDEV.P($B$2:B385)</f>
        <v>6.3076378487070466</v>
      </c>
      <c r="G385">
        <f t="shared" ca="1" si="100"/>
        <v>161.3421079580074</v>
      </c>
      <c r="H385">
        <f t="shared" ca="1" si="101"/>
        <v>148.72683226059328</v>
      </c>
      <c r="I385">
        <f t="shared" ca="1" si="110"/>
        <v>154.12450000000004</v>
      </c>
      <c r="J385">
        <f t="shared" ca="1" si="111"/>
        <v>2.353164666437185</v>
      </c>
      <c r="K385">
        <f t="shared" ca="1" si="112"/>
        <v>158.8308293328744</v>
      </c>
      <c r="L385">
        <f t="shared" ca="1" si="113"/>
        <v>149.41817066712568</v>
      </c>
      <c r="M385">
        <f t="shared" ca="1" si="102"/>
        <v>-1.6500000000000057</v>
      </c>
      <c r="N385">
        <f t="shared" ca="1" si="103"/>
        <v>0</v>
      </c>
      <c r="O385">
        <f t="shared" ca="1" si="104"/>
        <v>1.6500000000000057</v>
      </c>
      <c r="P385">
        <f t="shared" ca="1" si="108"/>
        <v>0.50163818706862284</v>
      </c>
      <c r="Q385">
        <f t="shared" ca="1" si="109"/>
        <v>0.47405442764619682</v>
      </c>
      <c r="R385">
        <f t="shared" ca="1" si="106"/>
        <v>1.0581869038949525</v>
      </c>
      <c r="S385">
        <f t="shared" ca="1" si="107"/>
        <v>51.413547617683278</v>
      </c>
      <c r="T385">
        <f>70</f>
        <v>70</v>
      </c>
      <c r="U385">
        <f>30</f>
        <v>30</v>
      </c>
      <c r="V385">
        <f t="shared" ca="1" si="105"/>
        <v>155.56358263834474</v>
      </c>
      <c r="W385">
        <f t="shared" ca="1" si="115"/>
        <v>154.83595893444274</v>
      </c>
      <c r="X385">
        <f t="shared" ca="1" si="114"/>
        <v>1.4089384327478456</v>
      </c>
      <c r="Y385">
        <f t="shared" ca="1" si="116"/>
        <v>0.66086621375717503</v>
      </c>
      <c r="Z385">
        <f t="shared" ca="1" si="117"/>
        <v>0.74807221899067056</v>
      </c>
      <c r="AA385">
        <f t="shared" ca="1" si="118"/>
        <v>156.83180000000002</v>
      </c>
    </row>
    <row r="386" spans="1:27" x14ac:dyDescent="0.25">
      <c r="A386" vm="1122">
        <f ca="1"/>
        <v>45854</v>
      </c>
      <c r="B386" vm="1123">
        <f ca="1"/>
        <v>164.78</v>
      </c>
      <c r="C386" vm="1124">
        <f ca="1"/>
        <v>22134769</v>
      </c>
      <c r="D386">
        <f t="shared" ca="1" si="99"/>
        <v>3647367235.8200002</v>
      </c>
      <c r="E386">
        <f ca="1">SUM($D$2:D386)/SUM($C$2:C386)</f>
        <v>155.10592463059496</v>
      </c>
      <c r="F386">
        <f ca="1">_xlfn.STDEV.P($B$2:B386)</f>
        <v>6.3175120585734499</v>
      </c>
      <c r="G386">
        <f t="shared" ca="1" si="100"/>
        <v>161.4234366891684</v>
      </c>
      <c r="H386">
        <f t="shared" ca="1" si="101"/>
        <v>148.78841257202151</v>
      </c>
      <c r="I386">
        <f t="shared" ca="1" si="110"/>
        <v>154.60250000000005</v>
      </c>
      <c r="J386">
        <f t="shared" ca="1" si="111"/>
        <v>3.3480565847573209</v>
      </c>
      <c r="K386">
        <f t="shared" ca="1" si="112"/>
        <v>161.29861316951468</v>
      </c>
      <c r="L386">
        <f t="shared" ca="1" si="113"/>
        <v>147.90638683048542</v>
      </c>
      <c r="M386">
        <f t="shared" ca="1" si="102"/>
        <v>9.6100000000000136</v>
      </c>
      <c r="N386">
        <f t="shared" ca="1" si="103"/>
        <v>9.6100000000000136</v>
      </c>
      <c r="O386">
        <f t="shared" ca="1" si="104"/>
        <v>0</v>
      </c>
      <c r="P386">
        <f t="shared" ca="1" si="108"/>
        <v>1.152235459420865</v>
      </c>
      <c r="Q386">
        <f t="shared" ca="1" si="109"/>
        <v>0.44019339710003991</v>
      </c>
      <c r="R386">
        <f t="shared" ca="1" si="106"/>
        <v>2.6175664310544029</v>
      </c>
      <c r="S386">
        <f t="shared" ca="1" si="107"/>
        <v>72.357107490392849</v>
      </c>
      <c r="T386">
        <f>70</f>
        <v>70</v>
      </c>
      <c r="U386">
        <f>30</f>
        <v>30</v>
      </c>
      <c r="V386">
        <f t="shared" ca="1" si="105"/>
        <v>156.98149300167631</v>
      </c>
      <c r="W386">
        <f t="shared" ca="1" si="115"/>
        <v>155.57255456892847</v>
      </c>
      <c r="X386">
        <f t="shared" ca="1" si="114"/>
        <v>1.7830860016983081</v>
      </c>
      <c r="Y386">
        <f t="shared" ca="1" si="116"/>
        <v>0.88531017134540169</v>
      </c>
      <c r="Z386">
        <f t="shared" ca="1" si="117"/>
        <v>0.89777583035290642</v>
      </c>
      <c r="AA386">
        <f t="shared" ca="1" si="118"/>
        <v>156.8828</v>
      </c>
    </row>
    <row r="387" spans="1:27" x14ac:dyDescent="0.25">
      <c r="A387" vm="1125">
        <f ca="1"/>
        <v>45855</v>
      </c>
      <c r="B387" vm="1126">
        <f ca="1"/>
        <v>162.97999999999999</v>
      </c>
      <c r="C387" vm="1127">
        <f ca="1"/>
        <v>11295747</v>
      </c>
      <c r="D387">
        <f t="shared" ref="D387:D450" ca="1" si="119">B387*C387</f>
        <v>1840980846.0599999</v>
      </c>
      <c r="E387">
        <f ca="1">SUM($D$2:D387)/SUM($C$2:C387)</f>
        <v>155.13527691026917</v>
      </c>
      <c r="F387">
        <f ca="1">_xlfn.STDEV.P($B$2:B387)</f>
        <v>6.3210069131479631</v>
      </c>
      <c r="G387">
        <f t="shared" ref="G387:G450" ca="1" si="120">E387 + F387</f>
        <v>161.45628382341712</v>
      </c>
      <c r="H387">
        <f t="shared" ref="H387:H450" ca="1" si="121">E387 - F387</f>
        <v>148.81426999712122</v>
      </c>
      <c r="I387">
        <f t="shared" ca="1" si="110"/>
        <v>155.13250000000002</v>
      </c>
      <c r="J387">
        <f t="shared" ca="1" si="111"/>
        <v>3.7878279778091417</v>
      </c>
      <c r="K387">
        <f t="shared" ca="1" si="112"/>
        <v>162.70815595561831</v>
      </c>
      <c r="L387">
        <f t="shared" ca="1" si="113"/>
        <v>147.55684404438173</v>
      </c>
      <c r="M387">
        <f t="shared" ca="1" si="102"/>
        <v>-1.8000000000000114</v>
      </c>
      <c r="N387">
        <f t="shared" ca="1" si="103"/>
        <v>0</v>
      </c>
      <c r="O387">
        <f t="shared" ca="1" si="104"/>
        <v>1.8000000000000114</v>
      </c>
      <c r="P387">
        <f t="shared" ca="1" si="108"/>
        <v>1.069932926605089</v>
      </c>
      <c r="Q387">
        <f t="shared" ca="1" si="109"/>
        <v>0.53732244016432362</v>
      </c>
      <c r="R387">
        <f t="shared" ca="1" si="106"/>
        <v>1.9912306775758011</v>
      </c>
      <c r="S387">
        <f t="shared" ca="1" si="107"/>
        <v>66.568944097269181</v>
      </c>
      <c r="T387">
        <f>70</f>
        <v>70</v>
      </c>
      <c r="U387">
        <f>30</f>
        <v>30</v>
      </c>
      <c r="V387">
        <f t="shared" ca="1" si="105"/>
        <v>157.90434023218765</v>
      </c>
      <c r="W387">
        <f t="shared" ca="1" si="115"/>
        <v>156.12125423048934</v>
      </c>
      <c r="X387">
        <f t="shared" ca="1" si="114"/>
        <v>2.1133373904578434</v>
      </c>
      <c r="Y387">
        <f t="shared" ca="1" si="116"/>
        <v>1.1309156151678901</v>
      </c>
      <c r="Z387">
        <f t="shared" ca="1" si="117"/>
        <v>0.98242177528995334</v>
      </c>
      <c r="AA387">
        <f t="shared" ca="1" si="118"/>
        <v>156.8896</v>
      </c>
    </row>
    <row r="388" spans="1:27" x14ac:dyDescent="0.25">
      <c r="A388" vm="1128">
        <f ca="1"/>
        <v>45856</v>
      </c>
      <c r="B388" vm="1129">
        <f ca="1"/>
        <v>163.69999999999999</v>
      </c>
      <c r="C388" vm="1130">
        <f ca="1"/>
        <v>9793046</v>
      </c>
      <c r="D388">
        <f t="shared" ca="1" si="119"/>
        <v>1603121630.1999998</v>
      </c>
      <c r="E388">
        <f ca="1">SUM($D$2:D388)/SUM($C$2:C388)</f>
        <v>155.16286725593528</v>
      </c>
      <c r="F388">
        <f ca="1">_xlfn.STDEV.P($B$2:B388)</f>
        <v>6.3267384285122183</v>
      </c>
      <c r="G388">
        <f t="shared" ca="1" si="120"/>
        <v>161.4896056844475</v>
      </c>
      <c r="H388">
        <f t="shared" ca="1" si="121"/>
        <v>148.83612882742307</v>
      </c>
      <c r="I388">
        <f t="shared" ca="1" si="110"/>
        <v>155.78100000000001</v>
      </c>
      <c r="J388">
        <f t="shared" ca="1" si="111"/>
        <v>4.0924460579025475</v>
      </c>
      <c r="K388">
        <f t="shared" ca="1" si="112"/>
        <v>163.9658921158051</v>
      </c>
      <c r="L388">
        <f t="shared" ca="1" si="113"/>
        <v>147.59610788419491</v>
      </c>
      <c r="M388">
        <f t="shared" ref="M388:M451" ca="1" si="122">B388-B387</f>
        <v>0.71999999999999886</v>
      </c>
      <c r="N388">
        <f t="shared" ref="N388:N451" ca="1" si="123">MAX(M388,0)</f>
        <v>0.71999999999999886</v>
      </c>
      <c r="O388">
        <f t="shared" ref="O388:O451" ca="1" si="124">MAX(-M388,0)</f>
        <v>0</v>
      </c>
      <c r="P388">
        <f t="shared" ca="1" si="108"/>
        <v>1.0449377175618682</v>
      </c>
      <c r="Q388">
        <f t="shared" ca="1" si="109"/>
        <v>0.49894226586687196</v>
      </c>
      <c r="R388">
        <f t="shared" ca="1" si="106"/>
        <v>2.0943058727373458</v>
      </c>
      <c r="S388">
        <f t="shared" ca="1" si="107"/>
        <v>67.682574343713469</v>
      </c>
      <c r="T388">
        <f>70</f>
        <v>70</v>
      </c>
      <c r="U388">
        <f>30</f>
        <v>30</v>
      </c>
      <c r="V388">
        <f t="shared" ca="1" si="105"/>
        <v>158.79598019646647</v>
      </c>
      <c r="W388">
        <f t="shared" ca="1" si="115"/>
        <v>156.68264280600863</v>
      </c>
      <c r="X388">
        <f t="shared" ca="1" si="114"/>
        <v>2.4006473116744473</v>
      </c>
      <c r="Y388">
        <f t="shared" ca="1" si="116"/>
        <v>1.3848619544692016</v>
      </c>
      <c r="Z388">
        <f t="shared" ca="1" si="117"/>
        <v>1.0157853572052458</v>
      </c>
      <c r="AA388">
        <f t="shared" ca="1" si="118"/>
        <v>156.88920000000005</v>
      </c>
    </row>
    <row r="389" spans="1:27" x14ac:dyDescent="0.25">
      <c r="A389" vm="1131">
        <f ca="1"/>
        <v>45859</v>
      </c>
      <c r="B389" vm="1132">
        <f ca="1"/>
        <v>164.36</v>
      </c>
      <c r="C389" vm="1133">
        <f ca="1"/>
        <v>8254003</v>
      </c>
      <c r="D389">
        <f t="shared" ca="1" si="119"/>
        <v>1356627933.0800002</v>
      </c>
      <c r="E389">
        <f ca="1">SUM($D$2:D389)/SUM($C$2:C389)</f>
        <v>155.18777105078061</v>
      </c>
      <c r="F389">
        <f ca="1">_xlfn.STDEV.P($B$2:B389)</f>
        <v>6.3346586334223867</v>
      </c>
      <c r="G389">
        <f t="shared" ca="1" si="120"/>
        <v>161.52242968420299</v>
      </c>
      <c r="H389">
        <f t="shared" ca="1" si="121"/>
        <v>148.85311241735823</v>
      </c>
      <c r="I389">
        <f t="shared" ca="1" si="110"/>
        <v>156.5095</v>
      </c>
      <c r="J389">
        <f t="shared" ca="1" si="111"/>
        <v>4.2631042248083677</v>
      </c>
      <c r="K389">
        <f t="shared" ca="1" si="112"/>
        <v>165.03570844961675</v>
      </c>
      <c r="L389">
        <f t="shared" ca="1" si="113"/>
        <v>147.98329155038326</v>
      </c>
      <c r="M389">
        <f t="shared" ca="1" si="122"/>
        <v>0.66000000000002501</v>
      </c>
      <c r="N389">
        <f t="shared" ca="1" si="123"/>
        <v>0.66000000000002501</v>
      </c>
      <c r="O389">
        <f t="shared" ca="1" si="124"/>
        <v>0</v>
      </c>
      <c r="P389">
        <f t="shared" ca="1" si="108"/>
        <v>1.0174421663074509</v>
      </c>
      <c r="Q389">
        <f t="shared" ca="1" si="109"/>
        <v>0.46330353259066681</v>
      </c>
      <c r="R389">
        <f t="shared" ca="1" si="106"/>
        <v>2.1960595910378498</v>
      </c>
      <c r="S389">
        <f t="shared" ca="1" si="107"/>
        <v>68.711472001206587</v>
      </c>
      <c r="T389">
        <f>70</f>
        <v>70</v>
      </c>
      <c r="U389">
        <f>30</f>
        <v>30</v>
      </c>
      <c r="V389">
        <f t="shared" ca="1" si="105"/>
        <v>159.65198324316393</v>
      </c>
      <c r="W389">
        <f t="shared" ca="1" si="115"/>
        <v>157.25133593148948</v>
      </c>
      <c r="X389">
        <f t="shared" ca="1" si="114"/>
        <v>2.8831761979646728</v>
      </c>
      <c r="Y389">
        <f t="shared" ca="1" si="116"/>
        <v>1.684524803168296</v>
      </c>
      <c r="Z389">
        <f t="shared" ca="1" si="117"/>
        <v>1.1986513947963768</v>
      </c>
      <c r="AA389">
        <f t="shared" ca="1" si="118"/>
        <v>156.87190000000004</v>
      </c>
    </row>
    <row r="390" spans="1:27" x14ac:dyDescent="0.25">
      <c r="A390" vm="1134">
        <f ca="1"/>
        <v>45860</v>
      </c>
      <c r="B390" vm="1135">
        <f ca="1"/>
        <v>167.93</v>
      </c>
      <c r="C390" vm="1136">
        <f ca="1"/>
        <v>9287991</v>
      </c>
      <c r="D390">
        <f t="shared" ca="1" si="119"/>
        <v>1559732328.6300001</v>
      </c>
      <c r="E390">
        <f ca="1">SUM($D$2:D390)/SUM($C$2:C390)</f>
        <v>155.22647848338184</v>
      </c>
      <c r="F390">
        <f ca="1">_xlfn.STDEV.P($B$2:B390)</f>
        <v>6.3578099364298701</v>
      </c>
      <c r="G390">
        <f t="shared" ca="1" si="120"/>
        <v>161.58428841981171</v>
      </c>
      <c r="H390">
        <f t="shared" ca="1" si="121"/>
        <v>148.86866854695197</v>
      </c>
      <c r="I390">
        <f t="shared" ca="1" si="110"/>
        <v>157.34</v>
      </c>
      <c r="J390">
        <f t="shared" ca="1" si="111"/>
        <v>4.7848961931213703</v>
      </c>
      <c r="K390">
        <f t="shared" ca="1" si="112"/>
        <v>166.90979238624274</v>
      </c>
      <c r="L390">
        <f t="shared" ca="1" si="113"/>
        <v>147.77020761375726</v>
      </c>
      <c r="M390">
        <f t="shared" ca="1" si="122"/>
        <v>3.5699999999999932</v>
      </c>
      <c r="N390">
        <f t="shared" ca="1" si="123"/>
        <v>3.5699999999999932</v>
      </c>
      <c r="O390">
        <f t="shared" ca="1" si="124"/>
        <v>0</v>
      </c>
      <c r="P390">
        <f t="shared" ca="1" si="108"/>
        <v>1.1997677258569179</v>
      </c>
      <c r="Q390">
        <f t="shared" ca="1" si="109"/>
        <v>0.43021042311990493</v>
      </c>
      <c r="R390">
        <f t="shared" ca="1" si="106"/>
        <v>2.7887927892498503</v>
      </c>
      <c r="S390">
        <f t="shared" ca="1" si="107"/>
        <v>73.606368687214697</v>
      </c>
      <c r="T390">
        <f>70</f>
        <v>70</v>
      </c>
      <c r="U390">
        <f>30</f>
        <v>30</v>
      </c>
      <c r="V390">
        <f t="shared" ca="1" si="105"/>
        <v>160.92552428267717</v>
      </c>
      <c r="W390">
        <f t="shared" ca="1" si="115"/>
        <v>158.0423480847125</v>
      </c>
      <c r="X390">
        <f t="shared" ca="1" si="114"/>
        <v>3.3217025197252497</v>
      </c>
      <c r="Y390">
        <f t="shared" ca="1" si="116"/>
        <v>2.0119603464796869</v>
      </c>
      <c r="Z390">
        <f t="shared" ca="1" si="117"/>
        <v>1.3097421732455627</v>
      </c>
      <c r="AA390">
        <f t="shared" ca="1" si="118"/>
        <v>156.92040000000006</v>
      </c>
    </row>
    <row r="391" spans="1:27" x14ac:dyDescent="0.25">
      <c r="A391" vm="1137">
        <f ca="1"/>
        <v>45861</v>
      </c>
      <c r="B391" vm="1138">
        <f ca="1"/>
        <v>169.1</v>
      </c>
      <c r="C391" vm="1139">
        <f ca="1"/>
        <v>10617636</v>
      </c>
      <c r="D391">
        <f t="shared" ca="1" si="119"/>
        <v>1795442247.5999999</v>
      </c>
      <c r="E391">
        <f ca="1">SUM($D$2:D391)/SUM($C$2:C391)</f>
        <v>155.27448898034822</v>
      </c>
      <c r="F391">
        <f ca="1">_xlfn.STDEV.P($B$2:B391)</f>
        <v>6.3866919389007197</v>
      </c>
      <c r="G391">
        <f t="shared" ca="1" si="120"/>
        <v>161.66118091924895</v>
      </c>
      <c r="H391">
        <f t="shared" ca="1" si="121"/>
        <v>148.8877970414475</v>
      </c>
      <c r="I391">
        <f t="shared" ca="1" si="110"/>
        <v>158.18549999999999</v>
      </c>
      <c r="J391">
        <f t="shared" ca="1" si="111"/>
        <v>5.29392449690656</v>
      </c>
      <c r="K391">
        <f t="shared" ca="1" si="112"/>
        <v>168.7733489938131</v>
      </c>
      <c r="L391">
        <f t="shared" ca="1" si="113"/>
        <v>147.59765100618688</v>
      </c>
      <c r="M391">
        <f t="shared" ca="1" si="122"/>
        <v>1.1699999999999875</v>
      </c>
      <c r="N391">
        <f t="shared" ca="1" si="123"/>
        <v>1.1699999999999875</v>
      </c>
      <c r="O391">
        <f t="shared" ca="1" si="124"/>
        <v>0</v>
      </c>
      <c r="P391">
        <f t="shared" ca="1" si="108"/>
        <v>1.1976414597242802</v>
      </c>
      <c r="Q391">
        <f t="shared" ca="1" si="109"/>
        <v>0.39948110718276891</v>
      </c>
      <c r="R391">
        <f t="shared" ca="1" si="106"/>
        <v>2.9979927415599663</v>
      </c>
      <c r="S391">
        <f t="shared" ca="1" si="107"/>
        <v>74.987448336141483</v>
      </c>
      <c r="T391">
        <f>70</f>
        <v>70</v>
      </c>
      <c r="U391">
        <f>30</f>
        <v>30</v>
      </c>
      <c r="V391">
        <f t="shared" ca="1" si="105"/>
        <v>162.18313593149608</v>
      </c>
      <c r="W391">
        <f t="shared" ca="1" si="115"/>
        <v>158.86143341177083</v>
      </c>
      <c r="X391">
        <f t="shared" ca="1" si="114"/>
        <v>3.6641182701675632</v>
      </c>
      <c r="Y391">
        <f t="shared" ca="1" si="116"/>
        <v>2.3423919312172625</v>
      </c>
      <c r="Z391">
        <f t="shared" ca="1" si="117"/>
        <v>1.3217263389503007</v>
      </c>
      <c r="AA391">
        <f t="shared" ca="1" si="118"/>
        <v>156.97410000000008</v>
      </c>
    </row>
    <row r="392" spans="1:27" x14ac:dyDescent="0.25">
      <c r="A392" vm="1140">
        <f ca="1"/>
        <v>45862</v>
      </c>
      <c r="B392" vm="1141">
        <f ca="1"/>
        <v>169.56</v>
      </c>
      <c r="C392" vm="1142">
        <f ca="1"/>
        <v>6636918</v>
      </c>
      <c r="D392">
        <f t="shared" ca="1" si="119"/>
        <v>1125355816.0799999</v>
      </c>
      <c r="E392">
        <f ca="1">SUM($D$2:D392)/SUM($C$2:C392)</f>
        <v>155.30532408712486</v>
      </c>
      <c r="F392">
        <f ca="1">_xlfn.STDEV.P($B$2:B392)</f>
        <v>6.4176290901430519</v>
      </c>
      <c r="G392">
        <f t="shared" ca="1" si="120"/>
        <v>161.72295317726793</v>
      </c>
      <c r="H392">
        <f t="shared" ca="1" si="121"/>
        <v>148.88769499698179</v>
      </c>
      <c r="I392">
        <f t="shared" ca="1" si="110"/>
        <v>159.04949999999999</v>
      </c>
      <c r="J392">
        <f t="shared" ca="1" si="111"/>
        <v>5.675716949843153</v>
      </c>
      <c r="K392">
        <f t="shared" ca="1" si="112"/>
        <v>170.40093389968629</v>
      </c>
      <c r="L392">
        <f t="shared" ca="1" si="113"/>
        <v>147.6980661003137</v>
      </c>
      <c r="M392">
        <f t="shared" ca="1" si="122"/>
        <v>0.46000000000000796</v>
      </c>
      <c r="N392">
        <f t="shared" ca="1" si="123"/>
        <v>0.46000000000000796</v>
      </c>
      <c r="O392">
        <f t="shared" ca="1" si="124"/>
        <v>0</v>
      </c>
      <c r="P392">
        <f t="shared" ca="1" si="108"/>
        <v>1.1449527840296894</v>
      </c>
      <c r="Q392">
        <f t="shared" ca="1" si="109"/>
        <v>0.37094674238399972</v>
      </c>
      <c r="R392">
        <f t="shared" ca="1" si="106"/>
        <v>3.0865691842211884</v>
      </c>
      <c r="S392">
        <f t="shared" ca="1" si="107"/>
        <v>75.529595733723568</v>
      </c>
      <c r="T392">
        <f>70</f>
        <v>70</v>
      </c>
      <c r="U392">
        <f>30</f>
        <v>30</v>
      </c>
      <c r="V392">
        <f t="shared" ca="1" si="105"/>
        <v>163.31803809588129</v>
      </c>
      <c r="W392">
        <f t="shared" ca="1" si="115"/>
        <v>159.65391982571373</v>
      </c>
      <c r="X392">
        <f t="shared" ca="1" si="114"/>
        <v>3.7901235644438316</v>
      </c>
      <c r="Y392">
        <f t="shared" ca="1" si="116"/>
        <v>2.6319382578625765</v>
      </c>
      <c r="Z392">
        <f t="shared" ca="1" si="117"/>
        <v>1.1581853065812551</v>
      </c>
      <c r="AA392">
        <f t="shared" ca="1" si="118"/>
        <v>157.01950000000005</v>
      </c>
    </row>
    <row r="393" spans="1:27" x14ac:dyDescent="0.25">
      <c r="A393" vm="1143">
        <f ca="1"/>
        <v>45863</v>
      </c>
      <c r="B393" vm="1144">
        <f ca="1"/>
        <v>168.3</v>
      </c>
      <c r="C393" vm="1145">
        <f ca="1"/>
        <v>6255183</v>
      </c>
      <c r="D393">
        <f t="shared" ca="1" si="119"/>
        <v>1052747298.9000001</v>
      </c>
      <c r="E393">
        <f ca="1">SUM($D$2:D393)/SUM($C$2:C393)</f>
        <v>155.33170598847946</v>
      </c>
      <c r="F393">
        <f ca="1">_xlfn.STDEV.P($B$2:B393)</f>
        <v>6.4414270671079175</v>
      </c>
      <c r="G393">
        <f t="shared" ca="1" si="120"/>
        <v>161.77313305558738</v>
      </c>
      <c r="H393">
        <f t="shared" ca="1" si="121"/>
        <v>148.89027892137153</v>
      </c>
      <c r="I393">
        <f t="shared" ca="1" si="110"/>
        <v>159.86399999999998</v>
      </c>
      <c r="J393">
        <f t="shared" ca="1" si="111"/>
        <v>5.7802316471519433</v>
      </c>
      <c r="K393">
        <f t="shared" ca="1" si="112"/>
        <v>171.42446329430385</v>
      </c>
      <c r="L393">
        <f t="shared" ca="1" si="113"/>
        <v>148.3035367056961</v>
      </c>
      <c r="M393">
        <f t="shared" ca="1" si="122"/>
        <v>-1.2599999999999909</v>
      </c>
      <c r="N393">
        <f t="shared" ca="1" si="123"/>
        <v>0</v>
      </c>
      <c r="O393">
        <f t="shared" ca="1" si="124"/>
        <v>1.2599999999999909</v>
      </c>
      <c r="P393">
        <f t="shared" ca="1" si="108"/>
        <v>1.0631704423132831</v>
      </c>
      <c r="Q393">
        <f t="shared" ca="1" si="109"/>
        <v>0.43445054649942766</v>
      </c>
      <c r="R393">
        <f t="shared" ca="1" si="106"/>
        <v>2.4471610195446805</v>
      </c>
      <c r="S393">
        <f t="shared" ca="1" si="107"/>
        <v>70.990621142145386</v>
      </c>
      <c r="T393">
        <f>70</f>
        <v>70</v>
      </c>
      <c r="U393">
        <f>30</f>
        <v>30</v>
      </c>
      <c r="V393">
        <f t="shared" ca="1" si="105"/>
        <v>164.08449377343803</v>
      </c>
      <c r="W393">
        <f t="shared" ca="1" si="115"/>
        <v>160.2943702089942</v>
      </c>
      <c r="X393">
        <f t="shared" ca="1" si="114"/>
        <v>3.6797274438404202</v>
      </c>
      <c r="Y393">
        <f t="shared" ca="1" si="116"/>
        <v>2.8414960950581456</v>
      </c>
      <c r="Z393">
        <f t="shared" ca="1" si="117"/>
        <v>0.83823134878227457</v>
      </c>
      <c r="AA393">
        <f t="shared" ca="1" si="118"/>
        <v>157.02970000000002</v>
      </c>
    </row>
    <row r="394" spans="1:27" x14ac:dyDescent="0.25">
      <c r="A394" vm="1146">
        <f ca="1"/>
        <v>45866</v>
      </c>
      <c r="B394" vm="1147">
        <f ca="1"/>
        <v>166.22</v>
      </c>
      <c r="C394" vm="1148">
        <f ca="1"/>
        <v>8014640</v>
      </c>
      <c r="D394">
        <f t="shared" ca="1" si="119"/>
        <v>1332193460.8</v>
      </c>
      <c r="E394">
        <f ca="1">SUM($D$2:D394)/SUM($C$2:C394)</f>
        <v>155.35995584395039</v>
      </c>
      <c r="F394">
        <f ca="1">_xlfn.STDEV.P($B$2:B394)</f>
        <v>6.4553450217990083</v>
      </c>
      <c r="G394">
        <f t="shared" ca="1" si="120"/>
        <v>161.81530086574941</v>
      </c>
      <c r="H394">
        <f t="shared" ca="1" si="121"/>
        <v>148.90461082215137</v>
      </c>
      <c r="I394">
        <f t="shared" ca="1" si="110"/>
        <v>160.55449999999999</v>
      </c>
      <c r="J394">
        <f t="shared" ca="1" si="111"/>
        <v>5.6666675206397725</v>
      </c>
      <c r="K394">
        <f t="shared" ca="1" si="112"/>
        <v>171.88783504127954</v>
      </c>
      <c r="L394">
        <f t="shared" ca="1" si="113"/>
        <v>149.22116495872044</v>
      </c>
      <c r="M394">
        <f t="shared" ca="1" si="122"/>
        <v>-2.0800000000000125</v>
      </c>
      <c r="N394">
        <f t="shared" ca="1" si="123"/>
        <v>0</v>
      </c>
      <c r="O394">
        <f t="shared" ca="1" si="124"/>
        <v>2.0800000000000125</v>
      </c>
      <c r="P394">
        <f t="shared" ca="1" si="108"/>
        <v>0.9872296964337629</v>
      </c>
      <c r="Q394">
        <f t="shared" ca="1" si="109"/>
        <v>0.55198979317804087</v>
      </c>
      <c r="R394">
        <f t="shared" ca="1" si="106"/>
        <v>1.7884926653260382</v>
      </c>
      <c r="S394">
        <f t="shared" ca="1" si="107"/>
        <v>64.138331348880314</v>
      </c>
      <c r="T394">
        <f>70</f>
        <v>70</v>
      </c>
      <c r="U394">
        <f>30</f>
        <v>30</v>
      </c>
      <c r="V394">
        <f t="shared" ca="1" si="105"/>
        <v>164.4130331929091</v>
      </c>
      <c r="W394">
        <f t="shared" ca="1" si="115"/>
        <v>160.73330574906868</v>
      </c>
      <c r="X394">
        <f t="shared" ca="1" si="114"/>
        <v>3.7020697716429822</v>
      </c>
      <c r="Y394">
        <f t="shared" ca="1" si="116"/>
        <v>3.013610830375113</v>
      </c>
      <c r="Z394">
        <f t="shared" ca="1" si="117"/>
        <v>0.68845894126786922</v>
      </c>
      <c r="AA394">
        <f t="shared" ca="1" si="118"/>
        <v>157.03770000000003</v>
      </c>
    </row>
    <row r="395" spans="1:27" x14ac:dyDescent="0.25">
      <c r="A395" vm="1149">
        <f ca="1"/>
        <v>45867</v>
      </c>
      <c r="B395" vm="1150">
        <f ca="1"/>
        <v>168.11</v>
      </c>
      <c r="C395" vm="1151">
        <f ca="1"/>
        <v>7663408</v>
      </c>
      <c r="D395">
        <f t="shared" ca="1" si="119"/>
        <v>1288295518.8800001</v>
      </c>
      <c r="E395">
        <f ca="1">SUM($D$2:D395)/SUM($C$2:C395)</f>
        <v>155.39150806517159</v>
      </c>
      <c r="F395">
        <f ca="1">_xlfn.STDEV.P($B$2:B395)</f>
        <v>6.4775632694388143</v>
      </c>
      <c r="G395">
        <f t="shared" ca="1" si="120"/>
        <v>161.8690713346104</v>
      </c>
      <c r="H395">
        <f t="shared" ca="1" si="121"/>
        <v>148.91394479573279</v>
      </c>
      <c r="I395">
        <f t="shared" ca="1" si="110"/>
        <v>161.32249999999999</v>
      </c>
      <c r="J395">
        <f t="shared" ca="1" si="111"/>
        <v>5.5936532408567672</v>
      </c>
      <c r="K395">
        <f t="shared" ca="1" si="112"/>
        <v>172.50980648171353</v>
      </c>
      <c r="L395">
        <f t="shared" ca="1" si="113"/>
        <v>150.13519351828646</v>
      </c>
      <c r="M395">
        <f t="shared" ca="1" si="122"/>
        <v>1.8900000000000148</v>
      </c>
      <c r="N395">
        <f t="shared" ca="1" si="123"/>
        <v>1.8900000000000148</v>
      </c>
      <c r="O395">
        <f t="shared" ca="1" si="124"/>
        <v>0</v>
      </c>
      <c r="P395">
        <f t="shared" ca="1" si="108"/>
        <v>1.051713289545638</v>
      </c>
      <c r="Q395">
        <f t="shared" ca="1" si="109"/>
        <v>0.51256195080818079</v>
      </c>
      <c r="R395">
        <f t="shared" ca="1" si="106"/>
        <v>2.0518754618585162</v>
      </c>
      <c r="S395">
        <f t="shared" ca="1" si="107"/>
        <v>67.233263201669928</v>
      </c>
      <c r="T395">
        <f>70</f>
        <v>70</v>
      </c>
      <c r="U395">
        <f>30</f>
        <v>30</v>
      </c>
      <c r="V395">
        <f t="shared" ca="1" si="105"/>
        <v>164.98179731707694</v>
      </c>
      <c r="W395">
        <f t="shared" ca="1" si="115"/>
        <v>161.27972754543396</v>
      </c>
      <c r="X395">
        <f t="shared" ca="1" si="114"/>
        <v>3.6095793473099889</v>
      </c>
      <c r="Y395">
        <f t="shared" ca="1" si="116"/>
        <v>3.132804533762088</v>
      </c>
      <c r="Z395">
        <f t="shared" ca="1" si="117"/>
        <v>0.47677481354790086</v>
      </c>
      <c r="AA395">
        <f t="shared" ca="1" si="118"/>
        <v>157.06760000000003</v>
      </c>
    </row>
    <row r="396" spans="1:27" x14ac:dyDescent="0.25">
      <c r="A396" vm="1152">
        <f ca="1"/>
        <v>45868</v>
      </c>
      <c r="B396" vm="1153">
        <f ca="1"/>
        <v>167.26</v>
      </c>
      <c r="C396" vm="1154">
        <f ca="1"/>
        <v>6189161</v>
      </c>
      <c r="D396">
        <f t="shared" ca="1" si="119"/>
        <v>1035199068.8599999</v>
      </c>
      <c r="E396">
        <f ca="1">SUM($D$2:D396)/SUM($C$2:C396)</f>
        <v>155.41518123978713</v>
      </c>
      <c r="F396">
        <f ca="1">_xlfn.STDEV.P($B$2:B396)</f>
        <v>6.4954751892116791</v>
      </c>
      <c r="G396">
        <f t="shared" ca="1" si="120"/>
        <v>161.91065642899881</v>
      </c>
      <c r="H396">
        <f t="shared" ca="1" si="121"/>
        <v>148.91970605057546</v>
      </c>
      <c r="I396">
        <f t="shared" ca="1" si="110"/>
        <v>161.8895</v>
      </c>
      <c r="J396">
        <f t="shared" ca="1" si="111"/>
        <v>5.5919457822460128</v>
      </c>
      <c r="K396">
        <f t="shared" ca="1" si="112"/>
        <v>173.07339156449203</v>
      </c>
      <c r="L396">
        <f t="shared" ca="1" si="113"/>
        <v>150.70560843550797</v>
      </c>
      <c r="M396">
        <f t="shared" ca="1" si="122"/>
        <v>-0.85000000000002274</v>
      </c>
      <c r="N396">
        <f t="shared" ca="1" si="123"/>
        <v>0</v>
      </c>
      <c r="O396">
        <f t="shared" ca="1" si="124"/>
        <v>0.85000000000002274</v>
      </c>
      <c r="P396">
        <f t="shared" ca="1" si="108"/>
        <v>0.97659091172094958</v>
      </c>
      <c r="Q396">
        <f t="shared" ca="1" si="109"/>
        <v>0.53666466860759809</v>
      </c>
      <c r="R396">
        <f t="shared" ca="1" si="106"/>
        <v>1.8197413931771602</v>
      </c>
      <c r="S396">
        <f t="shared" ca="1" si="107"/>
        <v>64.535754859659519</v>
      </c>
      <c r="T396">
        <f>70</f>
        <v>70</v>
      </c>
      <c r="U396">
        <f>30</f>
        <v>30</v>
      </c>
      <c r="V396">
        <f t="shared" ca="1" si="105"/>
        <v>165.33229003752663</v>
      </c>
      <c r="W396">
        <f t="shared" ca="1" si="115"/>
        <v>161.72271069021664</v>
      </c>
      <c r="X396">
        <f t="shared" ca="1" si="114"/>
        <v>3.2949548912393141</v>
      </c>
      <c r="Y396">
        <f t="shared" ca="1" si="116"/>
        <v>3.1652346052575333</v>
      </c>
      <c r="Z396">
        <f t="shared" ca="1" si="117"/>
        <v>0.12972028598178076</v>
      </c>
      <c r="AA396">
        <f t="shared" ca="1" si="118"/>
        <v>157.08190000000002</v>
      </c>
    </row>
    <row r="397" spans="1:27" x14ac:dyDescent="0.25">
      <c r="A397" vm="1155">
        <f ca="1"/>
        <v>45869</v>
      </c>
      <c r="B397" vm="1156">
        <f ca="1"/>
        <v>164.74</v>
      </c>
      <c r="C397" vm="1157">
        <f ca="1"/>
        <v>11036179</v>
      </c>
      <c r="D397">
        <f t="shared" ca="1" si="119"/>
        <v>1818100128.46</v>
      </c>
      <c r="E397">
        <f ca="1">SUM($D$2:D397)/SUM($C$2:C397)</f>
        <v>155.44822933250859</v>
      </c>
      <c r="F397">
        <f ca="1">_xlfn.STDEV.P($B$2:B397)</f>
        <v>6.5030804318748308</v>
      </c>
      <c r="G397">
        <f t="shared" ca="1" si="120"/>
        <v>161.95130976438341</v>
      </c>
      <c r="H397">
        <f t="shared" ca="1" si="121"/>
        <v>148.94514890063377</v>
      </c>
      <c r="I397">
        <f t="shared" ca="1" si="110"/>
        <v>162.34849999999997</v>
      </c>
      <c r="J397">
        <f t="shared" ca="1" si="111"/>
        <v>5.4191495497084494</v>
      </c>
      <c r="K397">
        <f t="shared" ca="1" si="112"/>
        <v>173.18679909941687</v>
      </c>
      <c r="L397">
        <f t="shared" ca="1" si="113"/>
        <v>151.51020090058307</v>
      </c>
      <c r="M397">
        <f t="shared" ca="1" si="122"/>
        <v>-2.5199999999999818</v>
      </c>
      <c r="N397">
        <f t="shared" ca="1" si="123"/>
        <v>0</v>
      </c>
      <c r="O397">
        <f t="shared" ca="1" si="124"/>
        <v>2.5199999999999818</v>
      </c>
      <c r="P397">
        <f t="shared" ca="1" si="108"/>
        <v>0.90683441802659603</v>
      </c>
      <c r="Q397">
        <f t="shared" ca="1" si="109"/>
        <v>0.67833147799276838</v>
      </c>
      <c r="R397">
        <f t="shared" ca="1" si="106"/>
        <v>1.3368602924192525</v>
      </c>
      <c r="S397">
        <f t="shared" ca="1" si="107"/>
        <v>57.207540252021559</v>
      </c>
      <c r="T397">
        <f>70</f>
        <v>70</v>
      </c>
      <c r="U397">
        <f>30</f>
        <v>30</v>
      </c>
      <c r="V397">
        <f t="shared" ca="1" si="105"/>
        <v>165.24116849329178</v>
      </c>
      <c r="W397">
        <f t="shared" ca="1" si="115"/>
        <v>161.94621360205247</v>
      </c>
      <c r="X397">
        <f t="shared" ca="1" si="114"/>
        <v>3.2175145921384853</v>
      </c>
      <c r="Y397">
        <f t="shared" ca="1" si="116"/>
        <v>3.1756906026337242</v>
      </c>
      <c r="Z397">
        <f t="shared" ca="1" si="117"/>
        <v>4.1823989504761183E-2</v>
      </c>
      <c r="AA397">
        <f t="shared" ca="1" si="118"/>
        <v>157.06240000000003</v>
      </c>
    </row>
    <row r="398" spans="1:27" x14ac:dyDescent="0.25">
      <c r="A398" vm="1158">
        <f ca="1"/>
        <v>45870</v>
      </c>
      <c r="B398" vm="1159">
        <f ca="1"/>
        <v>167.33</v>
      </c>
      <c r="C398" vm="1160">
        <f ca="1"/>
        <v>8928229</v>
      </c>
      <c r="D398">
        <f t="shared" ca="1" si="119"/>
        <v>1493960558.5700002</v>
      </c>
      <c r="E398">
        <f ca="1">SUM($D$2:D398)/SUM($C$2:C398)</f>
        <v>155.48219892522005</v>
      </c>
      <c r="F398">
        <f ca="1">_xlfn.STDEV.P($B$2:B398)</f>
        <v>6.5208486981062013</v>
      </c>
      <c r="G398">
        <f t="shared" ca="1" si="120"/>
        <v>162.00304762332624</v>
      </c>
      <c r="H398">
        <f t="shared" ca="1" si="121"/>
        <v>148.96135022711385</v>
      </c>
      <c r="I398">
        <f t="shared" ca="1" si="110"/>
        <v>162.9145</v>
      </c>
      <c r="J398">
        <f t="shared" ca="1" si="111"/>
        <v>5.3123891691225475</v>
      </c>
      <c r="K398">
        <f t="shared" ca="1" si="112"/>
        <v>173.53927833824511</v>
      </c>
      <c r="L398">
        <f t="shared" ca="1" si="113"/>
        <v>152.2897216617549</v>
      </c>
      <c r="M398">
        <f t="shared" ca="1" si="122"/>
        <v>2.5900000000000034</v>
      </c>
      <c r="N398">
        <f t="shared" ca="1" si="123"/>
        <v>2.5900000000000034</v>
      </c>
      <c r="O398">
        <f t="shared" ca="1" si="124"/>
        <v>0</v>
      </c>
      <c r="P398">
        <f t="shared" ca="1" si="108"/>
        <v>1.0270605310246965</v>
      </c>
      <c r="Q398">
        <f t="shared" ca="1" si="109"/>
        <v>0.62987922956471354</v>
      </c>
      <c r="R398">
        <f t="shared" ca="1" si="106"/>
        <v>1.6305673894572781</v>
      </c>
      <c r="S398">
        <f t="shared" ca="1" si="107"/>
        <v>61.985387486829843</v>
      </c>
      <c r="T398">
        <f>70</f>
        <v>70</v>
      </c>
      <c r="U398">
        <f>30</f>
        <v>30</v>
      </c>
      <c r="V398">
        <f t="shared" ca="1" si="105"/>
        <v>165.56252718663151</v>
      </c>
      <c r="W398">
        <f t="shared" ca="1" si="115"/>
        <v>162.34501259449303</v>
      </c>
      <c r="X398">
        <f t="shared" ca="1" si="114"/>
        <v>3.4161295761234101</v>
      </c>
      <c r="Y398">
        <f t="shared" ca="1" si="116"/>
        <v>3.2237783973316616</v>
      </c>
      <c r="Z398">
        <f t="shared" ca="1" si="117"/>
        <v>0.19235117879174846</v>
      </c>
      <c r="AA398">
        <f t="shared" ca="1" si="118"/>
        <v>157.05870000000002</v>
      </c>
    </row>
    <row r="399" spans="1:27" x14ac:dyDescent="0.25">
      <c r="A399" vm="1161">
        <f ca="1"/>
        <v>45873</v>
      </c>
      <c r="B399" vm="1162">
        <f ca="1"/>
        <v>171.04</v>
      </c>
      <c r="C399" vm="1163">
        <f ca="1"/>
        <v>12679095</v>
      </c>
      <c r="D399">
        <f t="shared" ca="1" si="119"/>
        <v>2168632408.7999997</v>
      </c>
      <c r="E399">
        <f ca="1">SUM($D$2:D399)/SUM($C$2:C399)</f>
        <v>155.54510906248214</v>
      </c>
      <c r="F399">
        <f ca="1">_xlfn.STDEV.P($B$2:B399)</f>
        <v>6.5574115465443201</v>
      </c>
      <c r="G399">
        <f t="shared" ca="1" si="120"/>
        <v>162.10252060902647</v>
      </c>
      <c r="H399">
        <f t="shared" ca="1" si="121"/>
        <v>148.98769751593781</v>
      </c>
      <c r="I399">
        <f t="shared" ca="1" si="110"/>
        <v>163.70300000000003</v>
      </c>
      <c r="J399">
        <f t="shared" ca="1" si="111"/>
        <v>5.2883129336500652</v>
      </c>
      <c r="K399">
        <f t="shared" ca="1" si="112"/>
        <v>174.27962586730015</v>
      </c>
      <c r="L399">
        <f t="shared" ca="1" si="113"/>
        <v>153.12637413269991</v>
      </c>
      <c r="M399">
        <f t="shared" ca="1" si="122"/>
        <v>3.7099999999999795</v>
      </c>
      <c r="N399">
        <f t="shared" ca="1" si="123"/>
        <v>3.7099999999999795</v>
      </c>
      <c r="O399">
        <f t="shared" ca="1" si="124"/>
        <v>0</v>
      </c>
      <c r="P399">
        <f t="shared" ca="1" si="108"/>
        <v>1.2186990645229312</v>
      </c>
      <c r="Q399">
        <f t="shared" ca="1" si="109"/>
        <v>0.58488785602437687</v>
      </c>
      <c r="R399">
        <f t="shared" ca="1" si="106"/>
        <v>2.0836456971541883</v>
      </c>
      <c r="S399">
        <f t="shared" ca="1" si="107"/>
        <v>67.570852873179547</v>
      </c>
      <c r="T399">
        <f>70</f>
        <v>70</v>
      </c>
      <c r="U399">
        <f>30</f>
        <v>30</v>
      </c>
      <c r="V399">
        <f t="shared" ref="V399:V462" ca="1" si="125">B399*(2/(12+1)) + V398*(1-(2/(12+1)))</f>
        <v>166.40521531176512</v>
      </c>
      <c r="W399">
        <f t="shared" ca="1" si="115"/>
        <v>162.98908573564171</v>
      </c>
      <c r="X399">
        <f t="shared" ca="1" si="114"/>
        <v>3.5088777307996679</v>
      </c>
      <c r="Y399">
        <f t="shared" ca="1" si="116"/>
        <v>3.2807982640252633</v>
      </c>
      <c r="Z399">
        <f t="shared" ca="1" si="117"/>
        <v>0.2280794667744046</v>
      </c>
      <c r="AA399">
        <f t="shared" ca="1" si="118"/>
        <v>157.11050000000003</v>
      </c>
    </row>
    <row r="400" spans="1:27" x14ac:dyDescent="0.25">
      <c r="A400" vm="1164">
        <f ca="1"/>
        <v>45874</v>
      </c>
      <c r="B400" vm="1165">
        <f ca="1"/>
        <v>170.74</v>
      </c>
      <c r="C400" vm="1166">
        <f ca="1"/>
        <v>7934442</v>
      </c>
      <c r="D400">
        <f t="shared" ca="1" si="119"/>
        <v>1354726627.0800002</v>
      </c>
      <c r="E400">
        <f ca="1">SUM($D$2:D400)/SUM($C$2:C400)</f>
        <v>155.58346217021193</v>
      </c>
      <c r="F400">
        <f ca="1">_xlfn.STDEV.P($B$2:B400)</f>
        <v>6.5916513965768946</v>
      </c>
      <c r="G400">
        <f t="shared" ca="1" si="120"/>
        <v>162.17511356678884</v>
      </c>
      <c r="H400">
        <f t="shared" ca="1" si="121"/>
        <v>148.99181077363502</v>
      </c>
      <c r="I400">
        <f t="shared" ca="1" si="110"/>
        <v>164.45049999999998</v>
      </c>
      <c r="J400">
        <f t="shared" ca="1" si="111"/>
        <v>5.1661219039348865</v>
      </c>
      <c r="K400">
        <f t="shared" ca="1" si="112"/>
        <v>174.78274380786974</v>
      </c>
      <c r="L400">
        <f t="shared" ca="1" si="113"/>
        <v>154.11825619213022</v>
      </c>
      <c r="M400">
        <f t="shared" ca="1" si="122"/>
        <v>-0.29999999999998295</v>
      </c>
      <c r="N400">
        <f t="shared" ca="1" si="123"/>
        <v>0</v>
      </c>
      <c r="O400">
        <f t="shared" ca="1" si="124"/>
        <v>0.29999999999998295</v>
      </c>
      <c r="P400">
        <f t="shared" ca="1" si="108"/>
        <v>1.1316491313427217</v>
      </c>
      <c r="Q400">
        <f t="shared" ca="1" si="109"/>
        <v>0.56453872345120593</v>
      </c>
      <c r="R400">
        <f t="shared" ref="R400:R463" ca="1" si="126">IF(Q400=0,NA(),P400/Q400)</f>
        <v>2.0045553729681966</v>
      </c>
      <c r="S400">
        <f t="shared" ref="S400:S463" ca="1" si="127">100-(100/(1+R400))</f>
        <v>66.717205181274409</v>
      </c>
      <c r="T400">
        <f>70</f>
        <v>70</v>
      </c>
      <c r="U400">
        <f>30</f>
        <v>30</v>
      </c>
      <c r="V400">
        <f t="shared" ca="1" si="125"/>
        <v>167.07210526380123</v>
      </c>
      <c r="W400">
        <f t="shared" ca="1" si="115"/>
        <v>163.56322753300157</v>
      </c>
      <c r="X400">
        <f t="shared" ca="1" si="114"/>
        <v>3.5295906413773821</v>
      </c>
      <c r="Y400">
        <f t="shared" ca="1" si="116"/>
        <v>3.3305567394956874</v>
      </c>
      <c r="Z400">
        <f t="shared" ca="1" si="117"/>
        <v>0.19903390188169467</v>
      </c>
      <c r="AA400">
        <f t="shared" ca="1" si="118"/>
        <v>157.18940000000003</v>
      </c>
    </row>
    <row r="401" spans="1:27" x14ac:dyDescent="0.25">
      <c r="A401" vm="1167">
        <f ca="1"/>
        <v>45875</v>
      </c>
      <c r="B401" vm="1168">
        <f ca="1"/>
        <v>170.59</v>
      </c>
      <c r="C401" vm="1169">
        <f ca="1"/>
        <v>8957240</v>
      </c>
      <c r="D401">
        <f t="shared" ca="1" si="119"/>
        <v>1528015571.6000001</v>
      </c>
      <c r="E401">
        <f ca="1">SUM($D$2:D401)/SUM($C$2:C401)</f>
        <v>155.62610102792604</v>
      </c>
      <c r="F401">
        <f ca="1">_xlfn.STDEV.P($B$2:B401)</f>
        <v>6.6244972091755745</v>
      </c>
      <c r="G401">
        <f t="shared" ca="1" si="120"/>
        <v>162.25059823710163</v>
      </c>
      <c r="H401">
        <f t="shared" ca="1" si="121"/>
        <v>149.00160381875045</v>
      </c>
      <c r="I401">
        <f t="shared" ca="1" si="110"/>
        <v>165.166</v>
      </c>
      <c r="J401">
        <f t="shared" ca="1" si="111"/>
        <v>4.9618814343372897</v>
      </c>
      <c r="K401">
        <f t="shared" ca="1" si="112"/>
        <v>175.08976286867457</v>
      </c>
      <c r="L401">
        <f t="shared" ca="1" si="113"/>
        <v>155.24223713132542</v>
      </c>
      <c r="M401">
        <f t="shared" ca="1" si="122"/>
        <v>-0.15000000000000568</v>
      </c>
      <c r="N401">
        <f t="shared" ca="1" si="123"/>
        <v>0</v>
      </c>
      <c r="O401">
        <f t="shared" ca="1" si="124"/>
        <v>0.15000000000000568</v>
      </c>
      <c r="P401">
        <f t="shared" ref="P401:P464" ca="1" si="128">(P400*13+N401)/14</f>
        <v>1.0508170505325274</v>
      </c>
      <c r="Q401">
        <f t="shared" ref="Q401:Q464" ca="1" si="129">(Q400*13+O401)/14</f>
        <v>0.53492881463326303</v>
      </c>
      <c r="R401">
        <f t="shared" ca="1" si="126"/>
        <v>1.9644053971049353</v>
      </c>
      <c r="S401">
        <f t="shared" ca="1" si="127"/>
        <v>66.266422231702563</v>
      </c>
      <c r="T401">
        <f>70</f>
        <v>70</v>
      </c>
      <c r="U401">
        <f>30</f>
        <v>30</v>
      </c>
      <c r="V401">
        <f t="shared" ca="1" si="125"/>
        <v>167.61331983860106</v>
      </c>
      <c r="W401">
        <f t="shared" ca="1" si="115"/>
        <v>164.08372919722368</v>
      </c>
      <c r="X401">
        <f t="shared" ca="1" si="114"/>
        <v>3.5805812050336669</v>
      </c>
      <c r="Y401">
        <f t="shared" ca="1" si="116"/>
        <v>3.3805616326032837</v>
      </c>
      <c r="Z401">
        <f t="shared" ca="1" si="117"/>
        <v>0.20001957243038326</v>
      </c>
      <c r="AA401">
        <f t="shared" ca="1" si="118"/>
        <v>157.26540000000003</v>
      </c>
    </row>
    <row r="402" spans="1:27" x14ac:dyDescent="0.25">
      <c r="A402" vm="1170">
        <f ca="1"/>
        <v>45876</v>
      </c>
      <c r="B402" vm="1171">
        <f ca="1"/>
        <v>171.53</v>
      </c>
      <c r="C402" vm="1172">
        <f ca="1"/>
        <v>9315942</v>
      </c>
      <c r="D402">
        <f t="shared" ca="1" si="119"/>
        <v>1597963531.26</v>
      </c>
      <c r="E402">
        <f ca="1">SUM($D$2:D402)/SUM($C$2:C402)</f>
        <v>155.67296075129315</v>
      </c>
      <c r="F402">
        <f ca="1">_xlfn.STDEV.P($B$2:B402)</f>
        <v>6.6621475124431919</v>
      </c>
      <c r="G402">
        <f t="shared" ca="1" si="120"/>
        <v>162.33510826373634</v>
      </c>
      <c r="H402">
        <f t="shared" ca="1" si="121"/>
        <v>149.01081323884995</v>
      </c>
      <c r="I402">
        <f t="shared" ca="1" si="110"/>
        <v>165.85799999999998</v>
      </c>
      <c r="J402">
        <f t="shared" ca="1" si="111"/>
        <v>4.8276490955198588</v>
      </c>
      <c r="K402">
        <f t="shared" ca="1" si="112"/>
        <v>175.51329819103969</v>
      </c>
      <c r="L402">
        <f t="shared" ca="1" si="113"/>
        <v>156.20270180896026</v>
      </c>
      <c r="M402">
        <f t="shared" ca="1" si="122"/>
        <v>0.93999999999999773</v>
      </c>
      <c r="N402">
        <f t="shared" ca="1" si="123"/>
        <v>0.93999999999999773</v>
      </c>
      <c r="O402">
        <f t="shared" ca="1" si="124"/>
        <v>0</v>
      </c>
      <c r="P402">
        <f t="shared" ca="1" si="128"/>
        <v>1.0429015469230609</v>
      </c>
      <c r="Q402">
        <f t="shared" ca="1" si="129"/>
        <v>0.49671961358802996</v>
      </c>
      <c r="R402">
        <f t="shared" ca="1" si="126"/>
        <v>2.0995779477877115</v>
      </c>
      <c r="S402">
        <f t="shared" ca="1" si="127"/>
        <v>67.73754308344661</v>
      </c>
      <c r="T402">
        <f>70</f>
        <v>70</v>
      </c>
      <c r="U402">
        <f>30</f>
        <v>30</v>
      </c>
      <c r="V402">
        <f t="shared" ca="1" si="125"/>
        <v>168.21588601727782</v>
      </c>
      <c r="W402">
        <f t="shared" ca="1" si="115"/>
        <v>164.63530481224416</v>
      </c>
      <c r="X402">
        <f t="shared" ca="1" si="114"/>
        <v>3.7233164762170077</v>
      </c>
      <c r="Y402">
        <f t="shared" ca="1" si="116"/>
        <v>3.4491126013260285</v>
      </c>
      <c r="Z402">
        <f t="shared" ca="1" si="117"/>
        <v>0.27420387489097919</v>
      </c>
      <c r="AA402">
        <f t="shared" ca="1" si="118"/>
        <v>157.35260000000005</v>
      </c>
    </row>
    <row r="403" spans="1:27" x14ac:dyDescent="0.25">
      <c r="A403" vm="1173">
        <f ca="1"/>
        <v>45877</v>
      </c>
      <c r="B403" vm="1174">
        <f ca="1"/>
        <v>173.33</v>
      </c>
      <c r="C403" vm="1175">
        <f ca="1"/>
        <v>7686765</v>
      </c>
      <c r="D403">
        <f t="shared" ca="1" si="119"/>
        <v>1332346977.45</v>
      </c>
      <c r="E403">
        <f ca="1">SUM($D$2:D403)/SUM($C$2:C403)</f>
        <v>155.71578367015937</v>
      </c>
      <c r="F403">
        <f ca="1">_xlfn.STDEV.P($B$2:B403)</f>
        <v>6.7101774659718281</v>
      </c>
      <c r="G403">
        <f t="shared" ca="1" si="120"/>
        <v>162.42596113613121</v>
      </c>
      <c r="H403">
        <f t="shared" ca="1" si="121"/>
        <v>149.00560620418753</v>
      </c>
      <c r="I403">
        <f t="shared" ca="1" si="110"/>
        <v>166.67949999999999</v>
      </c>
      <c r="J403">
        <f t="shared" ca="1" si="111"/>
        <v>4.616363885821376</v>
      </c>
      <c r="K403">
        <f t="shared" ca="1" si="112"/>
        <v>175.91222777164273</v>
      </c>
      <c r="L403">
        <f t="shared" ca="1" si="113"/>
        <v>157.44677222835725</v>
      </c>
      <c r="M403">
        <f t="shared" ca="1" si="122"/>
        <v>1.8000000000000114</v>
      </c>
      <c r="N403">
        <f t="shared" ca="1" si="123"/>
        <v>1.8000000000000114</v>
      </c>
      <c r="O403">
        <f t="shared" ca="1" si="124"/>
        <v>0</v>
      </c>
      <c r="P403">
        <f t="shared" ca="1" si="128"/>
        <v>1.0969800078571288</v>
      </c>
      <c r="Q403">
        <f t="shared" ca="1" si="129"/>
        <v>0.461239641188885</v>
      </c>
      <c r="R403">
        <f t="shared" ca="1" si="126"/>
        <v>2.3783298526327186</v>
      </c>
      <c r="S403">
        <f t="shared" ca="1" si="127"/>
        <v>70.399574830719857</v>
      </c>
      <c r="T403">
        <f>70</f>
        <v>70</v>
      </c>
      <c r="U403">
        <f>30</f>
        <v>30</v>
      </c>
      <c r="V403">
        <f t="shared" ca="1" si="125"/>
        <v>169.00267278385047</v>
      </c>
      <c r="W403">
        <f t="shared" ca="1" si="115"/>
        <v>165.27935630763346</v>
      </c>
      <c r="X403">
        <f t="shared" ca="1" si="114"/>
        <v>3.8318034667313441</v>
      </c>
      <c r="Y403">
        <f t="shared" ca="1" si="116"/>
        <v>3.525650774407092</v>
      </c>
      <c r="Z403">
        <f t="shared" ca="1" si="117"/>
        <v>0.30615269232425213</v>
      </c>
      <c r="AA403">
        <f t="shared" ca="1" si="118"/>
        <v>157.45750000000004</v>
      </c>
    </row>
    <row r="404" spans="1:27" x14ac:dyDescent="0.25">
      <c r="A404" vm="1176">
        <f ca="1"/>
        <v>45880</v>
      </c>
      <c r="B404" vm="1177">
        <f ca="1"/>
        <v>173.82</v>
      </c>
      <c r="C404" vm="1178">
        <f ca="1"/>
        <v>7256778</v>
      </c>
      <c r="D404">
        <f t="shared" ca="1" si="119"/>
        <v>1261373151.96</v>
      </c>
      <c r="E404">
        <f ca="1">SUM($D$2:D404)/SUM($C$2:C404)</f>
        <v>155.757140298557</v>
      </c>
      <c r="F404">
        <f ca="1">_xlfn.STDEV.P($B$2:B404)</f>
        <v>6.7605160256850461</v>
      </c>
      <c r="G404">
        <f t="shared" ca="1" si="120"/>
        <v>162.51765632424204</v>
      </c>
      <c r="H404">
        <f t="shared" ca="1" si="121"/>
        <v>148.99662427287197</v>
      </c>
      <c r="I404">
        <f t="shared" ca="1" si="110"/>
        <v>167.52950000000001</v>
      </c>
      <c r="J404">
        <f t="shared" ca="1" si="111"/>
        <v>4.2564656391003712</v>
      </c>
      <c r="K404">
        <f t="shared" ca="1" si="112"/>
        <v>176.04243127820075</v>
      </c>
      <c r="L404">
        <f t="shared" ca="1" si="113"/>
        <v>159.01656872179927</v>
      </c>
      <c r="M404">
        <f t="shared" ca="1" si="122"/>
        <v>0.48999999999998067</v>
      </c>
      <c r="N404">
        <f t="shared" ca="1" si="123"/>
        <v>0.48999999999998067</v>
      </c>
      <c r="O404">
        <f t="shared" ca="1" si="124"/>
        <v>0</v>
      </c>
      <c r="P404">
        <f t="shared" ca="1" si="128"/>
        <v>1.0536242930101898</v>
      </c>
      <c r="Q404">
        <f t="shared" ca="1" si="129"/>
        <v>0.42829395253253605</v>
      </c>
      <c r="R404">
        <f t="shared" ca="1" si="126"/>
        <v>2.4600494281556533</v>
      </c>
      <c r="S404">
        <f t="shared" ca="1" si="127"/>
        <v>71.098678768498388</v>
      </c>
      <c r="T404">
        <f>70</f>
        <v>70</v>
      </c>
      <c r="U404">
        <f>30</f>
        <v>30</v>
      </c>
      <c r="V404">
        <f t="shared" ca="1" si="125"/>
        <v>169.74380004787346</v>
      </c>
      <c r="W404">
        <f t="shared" ca="1" si="115"/>
        <v>165.91199658114212</v>
      </c>
      <c r="X404">
        <f t="shared" ca="1" si="114"/>
        <v>3.7901701576844289</v>
      </c>
      <c r="Y404">
        <f t="shared" ca="1" si="116"/>
        <v>3.5785546510625594</v>
      </c>
      <c r="Z404">
        <f t="shared" ca="1" si="117"/>
        <v>0.21161550662186945</v>
      </c>
      <c r="AA404">
        <f t="shared" ca="1" si="118"/>
        <v>157.55320000000003</v>
      </c>
    </row>
    <row r="405" spans="1:27" x14ac:dyDescent="0.25">
      <c r="A405" vm="1179">
        <f ca="1"/>
        <v>45881</v>
      </c>
      <c r="B405" vm="1180">
        <f ca="1"/>
        <v>172.78</v>
      </c>
      <c r="C405" vm="1181">
        <f ca="1"/>
        <v>7917437</v>
      </c>
      <c r="D405">
        <f t="shared" ca="1" si="119"/>
        <v>1367974764.8599999</v>
      </c>
      <c r="E405">
        <f ca="1">SUM($D$2:D405)/SUM($C$2:C405)</f>
        <v>155.79946146547147</v>
      </c>
      <c r="F405">
        <f ca="1">_xlfn.STDEV.P($B$2:B405)</f>
        <v>6.8034235794637086</v>
      </c>
      <c r="G405">
        <f t="shared" ca="1" si="120"/>
        <v>162.60288504493516</v>
      </c>
      <c r="H405">
        <f t="shared" ca="1" si="121"/>
        <v>148.99603788600777</v>
      </c>
      <c r="I405">
        <f t="shared" ca="1" si="110"/>
        <v>168.41000000000003</v>
      </c>
      <c r="J405">
        <f t="shared" ca="1" si="111"/>
        <v>3.2729947657828773</v>
      </c>
      <c r="K405">
        <f t="shared" ca="1" si="112"/>
        <v>174.95598953156579</v>
      </c>
      <c r="L405">
        <f t="shared" ca="1" si="113"/>
        <v>161.86401046843426</v>
      </c>
      <c r="M405">
        <f t="shared" ca="1" si="122"/>
        <v>-1.039999999999992</v>
      </c>
      <c r="N405">
        <f t="shared" ca="1" si="123"/>
        <v>0</v>
      </c>
      <c r="O405">
        <f t="shared" ca="1" si="124"/>
        <v>1.039999999999992</v>
      </c>
      <c r="P405">
        <f t="shared" ca="1" si="128"/>
        <v>0.97836541493803342</v>
      </c>
      <c r="Q405">
        <f t="shared" ca="1" si="129"/>
        <v>0.47198724163735434</v>
      </c>
      <c r="R405">
        <f t="shared" ca="1" si="126"/>
        <v>2.0728641129027565</v>
      </c>
      <c r="S405">
        <f t="shared" ca="1" si="127"/>
        <v>67.457070561595458</v>
      </c>
      <c r="T405">
        <f>70</f>
        <v>70</v>
      </c>
      <c r="U405">
        <f>30</f>
        <v>30</v>
      </c>
      <c r="V405">
        <f t="shared" ca="1" si="125"/>
        <v>170.210907732816</v>
      </c>
      <c r="W405">
        <f t="shared" ca="1" si="115"/>
        <v>166.42073757513157</v>
      </c>
      <c r="X405">
        <f t="shared" ca="1" si="114"/>
        <v>3.8451848567766262</v>
      </c>
      <c r="Y405">
        <f t="shared" ca="1" si="116"/>
        <v>3.6318806922053732</v>
      </c>
      <c r="Z405">
        <f t="shared" ca="1" si="117"/>
        <v>0.21330416457125301</v>
      </c>
      <c r="AA405">
        <f t="shared" ca="1" si="118"/>
        <v>157.65110000000004</v>
      </c>
    </row>
    <row r="406" spans="1:27" x14ac:dyDescent="0.25">
      <c r="A406" vm="1182">
        <f ca="1"/>
        <v>45882</v>
      </c>
      <c r="B406" vm="1183">
        <f ca="1"/>
        <v>174.42</v>
      </c>
      <c r="C406" vm="1184">
        <f ca="1"/>
        <v>5878666</v>
      </c>
      <c r="D406">
        <f t="shared" ca="1" si="119"/>
        <v>1025356923.7199999</v>
      </c>
      <c r="E406">
        <f ca="1">SUM($D$2:D406)/SUM($C$2:C406)</f>
        <v>155.8337706642088</v>
      </c>
      <c r="F406">
        <f ca="1">_xlfn.STDEV.P($B$2:B406)</f>
        <v>6.8559543867108443</v>
      </c>
      <c r="G406">
        <f t="shared" ca="1" si="120"/>
        <v>162.68972505091963</v>
      </c>
      <c r="H406">
        <f t="shared" ca="1" si="121"/>
        <v>148.97781627749796</v>
      </c>
      <c r="I406">
        <f t="shared" ref="I406:I469" ca="1" si="130">AVERAGE(B387:B406)</f>
        <v>168.89200000000002</v>
      </c>
      <c r="J406">
        <f t="shared" ref="J406:J469" ca="1" si="131">_xlfn.STDEV.S(B387:B406)</f>
        <v>3.4169401516561564</v>
      </c>
      <c r="K406">
        <f t="shared" ref="K406:K469" ca="1" si="132">I406 + 2*J406</f>
        <v>175.72588030331235</v>
      </c>
      <c r="L406">
        <f t="shared" ref="L406:L469" ca="1" si="133">I406-2*J406</f>
        <v>162.0581196966877</v>
      </c>
      <c r="M406">
        <f t="shared" ca="1" si="122"/>
        <v>1.6399999999999864</v>
      </c>
      <c r="N406">
        <f t="shared" ca="1" si="123"/>
        <v>1.6399999999999864</v>
      </c>
      <c r="O406">
        <f t="shared" ca="1" si="124"/>
        <v>0</v>
      </c>
      <c r="P406">
        <f t="shared" ca="1" si="128"/>
        <v>1.0256250281567443</v>
      </c>
      <c r="Q406">
        <f t="shared" ca="1" si="129"/>
        <v>0.43827386723468614</v>
      </c>
      <c r="R406">
        <f t="shared" ca="1" si="126"/>
        <v>2.3401464354422581</v>
      </c>
      <c r="S406">
        <f t="shared" ca="1" si="127"/>
        <v>70.061192845049817</v>
      </c>
      <c r="T406">
        <f>70</f>
        <v>70</v>
      </c>
      <c r="U406">
        <f>30</f>
        <v>30</v>
      </c>
      <c r="V406">
        <f t="shared" ca="1" si="125"/>
        <v>170.85846038930583</v>
      </c>
      <c r="W406">
        <f t="shared" ca="1" si="115"/>
        <v>167.01327553252921</v>
      </c>
      <c r="X406">
        <f t="shared" ca="1" si="114"/>
        <v>3.8683993947345812</v>
      </c>
      <c r="Y406">
        <f t="shared" ca="1" si="116"/>
        <v>3.6791844327112151</v>
      </c>
      <c r="Z406">
        <f t="shared" ca="1" si="117"/>
        <v>0.18921496202336607</v>
      </c>
      <c r="AA406">
        <f t="shared" ca="1" si="118"/>
        <v>157.76510000000005</v>
      </c>
    </row>
    <row r="407" spans="1:27" x14ac:dyDescent="0.25">
      <c r="A407" vm="1185">
        <f ca="1"/>
        <v>45883</v>
      </c>
      <c r="B407" vm="1186">
        <f ca="1"/>
        <v>174.72</v>
      </c>
      <c r="C407" vm="1187">
        <f ca="1"/>
        <v>8241942</v>
      </c>
      <c r="D407">
        <f t="shared" ca="1" si="119"/>
        <v>1440032106.24</v>
      </c>
      <c r="E407">
        <f ca="1">SUM($D$2:D407)/SUM($C$2:C407)</f>
        <v>155.88243310783531</v>
      </c>
      <c r="F407">
        <f ca="1">_xlfn.STDEV.P($B$2:B407)</f>
        <v>6.909505937851149</v>
      </c>
      <c r="G407">
        <f t="shared" ca="1" si="120"/>
        <v>162.79193904568646</v>
      </c>
      <c r="H407">
        <f t="shared" ca="1" si="121"/>
        <v>148.97292716998416</v>
      </c>
      <c r="I407">
        <f t="shared" ca="1" si="130"/>
        <v>169.47900000000004</v>
      </c>
      <c r="J407">
        <f t="shared" ca="1" si="131"/>
        <v>3.3557223710520114</v>
      </c>
      <c r="K407">
        <f t="shared" ca="1" si="132"/>
        <v>176.19044474210406</v>
      </c>
      <c r="L407">
        <f t="shared" ca="1" si="133"/>
        <v>162.76755525789602</v>
      </c>
      <c r="M407">
        <f t="shared" ca="1" si="122"/>
        <v>0.30000000000001137</v>
      </c>
      <c r="N407">
        <f t="shared" ca="1" si="123"/>
        <v>0.30000000000001137</v>
      </c>
      <c r="O407">
        <f t="shared" ca="1" si="124"/>
        <v>0</v>
      </c>
      <c r="P407">
        <f t="shared" ca="1" si="128"/>
        <v>0.97379466900269196</v>
      </c>
      <c r="Q407">
        <f t="shared" ca="1" si="129"/>
        <v>0.40696859100363714</v>
      </c>
      <c r="R407">
        <f t="shared" ca="1" si="126"/>
        <v>2.3928005515147706</v>
      </c>
      <c r="S407">
        <f t="shared" ca="1" si="127"/>
        <v>70.525824173379903</v>
      </c>
      <c r="T407">
        <f>70</f>
        <v>70</v>
      </c>
      <c r="U407">
        <f>30</f>
        <v>30</v>
      </c>
      <c r="V407">
        <f t="shared" ca="1" si="125"/>
        <v>171.45254340633571</v>
      </c>
      <c r="W407">
        <f t="shared" ca="1" si="115"/>
        <v>167.58414401160113</v>
      </c>
      <c r="X407">
        <f t="shared" ca="1" si="114"/>
        <v>3.9956654926249087</v>
      </c>
      <c r="Y407">
        <f t="shared" ca="1" si="116"/>
        <v>3.7424806446939543</v>
      </c>
      <c r="Z407">
        <f t="shared" ca="1" si="117"/>
        <v>0.25318484793095442</v>
      </c>
      <c r="AA407">
        <f t="shared" ca="1" si="118"/>
        <v>157.87600000000003</v>
      </c>
    </row>
    <row r="408" spans="1:27" x14ac:dyDescent="0.25">
      <c r="A408" vm="1188">
        <f ca="1"/>
        <v>45884</v>
      </c>
      <c r="B408" vm="1189">
        <f ca="1"/>
        <v>176.64</v>
      </c>
      <c r="C408" vm="1190">
        <f ca="1"/>
        <v>9477559</v>
      </c>
      <c r="D408">
        <f t="shared" ca="1" si="119"/>
        <v>1674116021.7599998</v>
      </c>
      <c r="E408">
        <f ca="1">SUM($D$2:D408)/SUM($C$2:C408)</f>
        <v>155.94375381843875</v>
      </c>
      <c r="F408">
        <f ca="1">_xlfn.STDEV.P($B$2:B408)</f>
        <v>6.9752843464481424</v>
      </c>
      <c r="G408">
        <f t="shared" ca="1" si="120"/>
        <v>162.9190381648869</v>
      </c>
      <c r="H408">
        <f t="shared" ca="1" si="121"/>
        <v>148.9684694719906</v>
      </c>
      <c r="I408">
        <f t="shared" ca="1" si="130"/>
        <v>170.126</v>
      </c>
      <c r="J408">
        <f t="shared" ca="1" si="131"/>
        <v>3.4294965105375801</v>
      </c>
      <c r="K408">
        <f t="shared" ca="1" si="132"/>
        <v>176.98499302107516</v>
      </c>
      <c r="L408">
        <f t="shared" ca="1" si="133"/>
        <v>163.26700697892485</v>
      </c>
      <c r="M408">
        <f t="shared" ca="1" si="122"/>
        <v>1.9199999999999875</v>
      </c>
      <c r="N408">
        <f t="shared" ca="1" si="123"/>
        <v>1.9199999999999875</v>
      </c>
      <c r="O408">
        <f t="shared" ca="1" si="124"/>
        <v>0</v>
      </c>
      <c r="P408">
        <f t="shared" ca="1" si="128"/>
        <v>1.0413807640739274</v>
      </c>
      <c r="Q408">
        <f t="shared" ca="1" si="129"/>
        <v>0.37789940593194876</v>
      </c>
      <c r="R408">
        <f t="shared" ca="1" si="126"/>
        <v>2.7557089207529923</v>
      </c>
      <c r="S408">
        <f t="shared" ca="1" si="127"/>
        <v>73.373868393413531</v>
      </c>
      <c r="T408">
        <f>70</f>
        <v>70</v>
      </c>
      <c r="U408">
        <f>30</f>
        <v>30</v>
      </c>
      <c r="V408">
        <f t="shared" ca="1" si="125"/>
        <v>172.25061365151484</v>
      </c>
      <c r="W408">
        <f t="shared" ca="1" si="115"/>
        <v>168.25494815888993</v>
      </c>
      <c r="X408">
        <f t="shared" ca="1" si="114"/>
        <v>4.0187296377797281</v>
      </c>
      <c r="Y408">
        <f t="shared" ca="1" si="116"/>
        <v>3.7977304433111092</v>
      </c>
      <c r="Z408">
        <f t="shared" ca="1" si="117"/>
        <v>0.22099919446861893</v>
      </c>
      <c r="AA408">
        <f t="shared" ca="1" si="118"/>
        <v>158.00950000000003</v>
      </c>
    </row>
    <row r="409" spans="1:27" x14ac:dyDescent="0.25">
      <c r="A409" vm="1191">
        <f ca="1"/>
        <v>45887</v>
      </c>
      <c r="B409" vm="1192">
        <f ca="1"/>
        <v>176.25</v>
      </c>
      <c r="C409" vm="1193">
        <f ca="1"/>
        <v>9284138</v>
      </c>
      <c r="D409">
        <f t="shared" ca="1" si="119"/>
        <v>1636329322.5</v>
      </c>
      <c r="E409">
        <f ca="1">SUM($D$2:D409)/SUM($C$2:C409)</f>
        <v>156.00234746172765</v>
      </c>
      <c r="F409">
        <f ca="1">_xlfn.STDEV.P($B$2:B409)</f>
        <v>7.0370274848319214</v>
      </c>
      <c r="G409">
        <f t="shared" ca="1" si="120"/>
        <v>163.03937494655958</v>
      </c>
      <c r="H409">
        <f t="shared" ca="1" si="121"/>
        <v>148.96531997689573</v>
      </c>
      <c r="I409">
        <f t="shared" ca="1" si="130"/>
        <v>170.72049999999999</v>
      </c>
      <c r="J409">
        <f t="shared" ca="1" si="131"/>
        <v>3.4078508044313107</v>
      </c>
      <c r="K409">
        <f t="shared" ca="1" si="132"/>
        <v>177.5362016088626</v>
      </c>
      <c r="L409">
        <f t="shared" ca="1" si="133"/>
        <v>163.90479839113738</v>
      </c>
      <c r="M409">
        <f t="shared" ca="1" si="122"/>
        <v>-0.38999999999998636</v>
      </c>
      <c r="N409">
        <f t="shared" ca="1" si="123"/>
        <v>0</v>
      </c>
      <c r="O409">
        <f t="shared" ca="1" si="124"/>
        <v>0.38999999999998636</v>
      </c>
      <c r="P409">
        <f t="shared" ca="1" si="128"/>
        <v>0.9669964237829326</v>
      </c>
      <c r="Q409">
        <f t="shared" ca="1" si="129"/>
        <v>0.37876373407966574</v>
      </c>
      <c r="R409">
        <f t="shared" ca="1" si="126"/>
        <v>2.5530332943109681</v>
      </c>
      <c r="S409">
        <f t="shared" ca="1" si="127"/>
        <v>71.855034356104227</v>
      </c>
      <c r="T409">
        <f>70</f>
        <v>70</v>
      </c>
      <c r="U409">
        <f>30</f>
        <v>30</v>
      </c>
      <c r="V409">
        <f t="shared" ca="1" si="125"/>
        <v>172.86590385897409</v>
      </c>
      <c r="W409">
        <f t="shared" ca="1" si="115"/>
        <v>168.84717422119436</v>
      </c>
      <c r="X409">
        <f t="shared" ca="1" si="114"/>
        <v>4.1146490718721793</v>
      </c>
      <c r="Y409">
        <f t="shared" ca="1" si="116"/>
        <v>3.8611141690233231</v>
      </c>
      <c r="Z409">
        <f t="shared" ca="1" si="117"/>
        <v>0.25353490284885627</v>
      </c>
      <c r="AA409">
        <f t="shared" ca="1" si="118"/>
        <v>158.16180000000003</v>
      </c>
    </row>
    <row r="410" spans="1:27" x14ac:dyDescent="0.25">
      <c r="A410" vm="1194">
        <f ca="1"/>
        <v>45888</v>
      </c>
      <c r="B410" vm="1195">
        <f ca="1"/>
        <v>177.8</v>
      </c>
      <c r="C410" vm="1196">
        <f ca="1"/>
        <v>9274182</v>
      </c>
      <c r="D410">
        <f t="shared" ca="1" si="119"/>
        <v>1648949559.6000001</v>
      </c>
      <c r="E410">
        <f ca="1">SUM($D$2:D410)/SUM($C$2:C410)</f>
        <v>156.06499652717432</v>
      </c>
      <c r="F410">
        <f ca="1">_xlfn.STDEV.P($B$2:B410)</f>
        <v>7.1086630102027177</v>
      </c>
      <c r="G410">
        <f t="shared" ca="1" si="120"/>
        <v>163.17365953737703</v>
      </c>
      <c r="H410">
        <f t="shared" ca="1" si="121"/>
        <v>148.9563335169716</v>
      </c>
      <c r="I410">
        <f t="shared" ca="1" si="130"/>
        <v>171.214</v>
      </c>
      <c r="J410">
        <f t="shared" ca="1" si="131"/>
        <v>3.6857983495688136</v>
      </c>
      <c r="K410">
        <f t="shared" ca="1" si="132"/>
        <v>178.58559669913762</v>
      </c>
      <c r="L410">
        <f t="shared" ca="1" si="133"/>
        <v>163.84240330086237</v>
      </c>
      <c r="M410">
        <f t="shared" ca="1" si="122"/>
        <v>1.5500000000000114</v>
      </c>
      <c r="N410">
        <f t="shared" ca="1" si="123"/>
        <v>1.5500000000000114</v>
      </c>
      <c r="O410">
        <f t="shared" ca="1" si="124"/>
        <v>0</v>
      </c>
      <c r="P410">
        <f t="shared" ca="1" si="128"/>
        <v>1.0086395363698668</v>
      </c>
      <c r="Q410">
        <f t="shared" ca="1" si="129"/>
        <v>0.35170918164540393</v>
      </c>
      <c r="R410">
        <f t="shared" ca="1" si="126"/>
        <v>2.8678225903888555</v>
      </c>
      <c r="S410">
        <f t="shared" ca="1" si="127"/>
        <v>74.145660080560617</v>
      </c>
      <c r="T410">
        <f>70</f>
        <v>70</v>
      </c>
      <c r="U410">
        <f>30</f>
        <v>30</v>
      </c>
      <c r="V410">
        <f t="shared" ca="1" si="125"/>
        <v>173.62499557297807</v>
      </c>
      <c r="W410">
        <f t="shared" ca="1" si="115"/>
        <v>169.51034650110589</v>
      </c>
      <c r="X410">
        <f t="shared" ca="1" si="114"/>
        <v>4.225872000897624</v>
      </c>
      <c r="Y410">
        <f t="shared" ca="1" si="116"/>
        <v>3.9340657353981832</v>
      </c>
      <c r="Z410">
        <f t="shared" ca="1" si="117"/>
        <v>0.29180626549944089</v>
      </c>
      <c r="AA410">
        <f t="shared" ca="1" si="118"/>
        <v>158.32259999999999</v>
      </c>
    </row>
    <row r="411" spans="1:27" x14ac:dyDescent="0.25">
      <c r="A411" vm="1197">
        <f ca="1"/>
        <v>45889</v>
      </c>
      <c r="B411" vm="1198">
        <f ca="1"/>
        <v>178.84</v>
      </c>
      <c r="C411" vm="1199">
        <f ca="1"/>
        <v>9030396</v>
      </c>
      <c r="D411">
        <f t="shared" ca="1" si="119"/>
        <v>1614996020.6400001</v>
      </c>
      <c r="E411">
        <f ca="1">SUM($D$2:D411)/SUM($C$2:C411)</f>
        <v>156.12855607495402</v>
      </c>
      <c r="F411">
        <f ca="1">_xlfn.STDEV.P($B$2:B411)</f>
        <v>7.186617320354598</v>
      </c>
      <c r="G411">
        <f t="shared" ca="1" si="120"/>
        <v>163.31517339530862</v>
      </c>
      <c r="H411">
        <f t="shared" ca="1" si="121"/>
        <v>148.94193875459942</v>
      </c>
      <c r="I411">
        <f t="shared" ca="1" si="130"/>
        <v>171.70099999999999</v>
      </c>
      <c r="J411">
        <f t="shared" ca="1" si="131"/>
        <v>4.0200849689894254</v>
      </c>
      <c r="K411">
        <f t="shared" ca="1" si="132"/>
        <v>179.74116993797884</v>
      </c>
      <c r="L411">
        <f t="shared" ca="1" si="133"/>
        <v>163.66083006202115</v>
      </c>
      <c r="M411">
        <f t="shared" ca="1" si="122"/>
        <v>1.039999999999992</v>
      </c>
      <c r="N411">
        <f t="shared" ca="1" si="123"/>
        <v>1.039999999999992</v>
      </c>
      <c r="O411">
        <f t="shared" ca="1" si="124"/>
        <v>0</v>
      </c>
      <c r="P411">
        <f t="shared" ca="1" si="128"/>
        <v>1.0108795694863042</v>
      </c>
      <c r="Q411">
        <f t="shared" ca="1" si="129"/>
        <v>0.32658709724216084</v>
      </c>
      <c r="R411">
        <f t="shared" ca="1" si="126"/>
        <v>3.0952832430386796</v>
      </c>
      <c r="S411">
        <f t="shared" ca="1" si="127"/>
        <v>75.581664547871299</v>
      </c>
      <c r="T411">
        <f>70</f>
        <v>70</v>
      </c>
      <c r="U411">
        <f>30</f>
        <v>30</v>
      </c>
      <c r="V411">
        <f t="shared" ca="1" si="125"/>
        <v>174.42730394636604</v>
      </c>
      <c r="W411">
        <f t="shared" ca="1" si="115"/>
        <v>170.20143194546841</v>
      </c>
      <c r="X411">
        <f t="shared" ca="1" si="114"/>
        <v>4.2720338740554951</v>
      </c>
      <c r="Y411">
        <f t="shared" ca="1" si="116"/>
        <v>4.0016593631296455</v>
      </c>
      <c r="Z411">
        <f t="shared" ca="1" si="117"/>
        <v>0.27037451092584952</v>
      </c>
      <c r="AA411">
        <f t="shared" ca="1" si="118"/>
        <v>158.47969999999998</v>
      </c>
    </row>
    <row r="412" spans="1:27" x14ac:dyDescent="0.25">
      <c r="A412" vm="1200">
        <f ca="1"/>
        <v>45890</v>
      </c>
      <c r="B412" vm="1201">
        <f ca="1"/>
        <v>178.93</v>
      </c>
      <c r="C412" vm="1202">
        <f ca="1"/>
        <v>8859552</v>
      </c>
      <c r="D412">
        <f t="shared" ca="1" si="119"/>
        <v>1585239639.3600001</v>
      </c>
      <c r="E412">
        <f ca="1">SUM($D$2:D412)/SUM($C$2:C412)</f>
        <v>156.19081508433683</v>
      </c>
      <c r="F412">
        <f ca="1">_xlfn.STDEV.P($B$2:B412)</f>
        <v>7.2636262090010213</v>
      </c>
      <c r="G412">
        <f t="shared" ca="1" si="120"/>
        <v>163.45444129333785</v>
      </c>
      <c r="H412">
        <f t="shared" ca="1" si="121"/>
        <v>148.92718887533582</v>
      </c>
      <c r="I412">
        <f t="shared" ca="1" si="130"/>
        <v>172.1695</v>
      </c>
      <c r="J412">
        <f t="shared" ca="1" si="131"/>
        <v>4.2940919939646802</v>
      </c>
      <c r="K412">
        <f t="shared" ca="1" si="132"/>
        <v>180.75768398792937</v>
      </c>
      <c r="L412">
        <f t="shared" ca="1" si="133"/>
        <v>163.58131601207063</v>
      </c>
      <c r="M412">
        <f t="shared" ca="1" si="122"/>
        <v>9.0000000000003411E-2</v>
      </c>
      <c r="N412">
        <f t="shared" ca="1" si="123"/>
        <v>9.0000000000003411E-2</v>
      </c>
      <c r="O412">
        <f t="shared" ca="1" si="124"/>
        <v>0</v>
      </c>
      <c r="P412">
        <f t="shared" ca="1" si="128"/>
        <v>0.94510245738013976</v>
      </c>
      <c r="Q412">
        <f t="shared" ca="1" si="129"/>
        <v>0.30325944743914934</v>
      </c>
      <c r="R412">
        <f t="shared" ca="1" si="126"/>
        <v>3.1164814991288265</v>
      </c>
      <c r="S412">
        <f t="shared" ca="1" si="127"/>
        <v>75.70740934432402</v>
      </c>
      <c r="T412">
        <f>70</f>
        <v>70</v>
      </c>
      <c r="U412">
        <f>30</f>
        <v>30</v>
      </c>
      <c r="V412">
        <f t="shared" ca="1" si="125"/>
        <v>175.12002641615589</v>
      </c>
      <c r="W412">
        <f t="shared" ca="1" si="115"/>
        <v>170.8479925421004</v>
      </c>
      <c r="X412">
        <f t="shared" ref="X412:X475" ca="1" si="134">V413-W413</f>
        <v>4.2882343857996261</v>
      </c>
      <c r="Y412">
        <f t="shared" ca="1" si="116"/>
        <v>4.0589743676636418</v>
      </c>
      <c r="Z412">
        <f t="shared" ca="1" si="117"/>
        <v>0.22926001813598429</v>
      </c>
      <c r="AA412">
        <f t="shared" ca="1" si="118"/>
        <v>158.6319</v>
      </c>
    </row>
    <row r="413" spans="1:27" x14ac:dyDescent="0.25">
      <c r="A413" vm="1203">
        <f ca="1"/>
        <v>45891</v>
      </c>
      <c r="B413" vm="1204">
        <f ca="1"/>
        <v>179.29</v>
      </c>
      <c r="C413" vm="1205">
        <f ca="1"/>
        <v>9524308</v>
      </c>
      <c r="D413">
        <f t="shared" ca="1" si="119"/>
        <v>1707613181.3199999</v>
      </c>
      <c r="E413">
        <f ca="1">SUM($D$2:D413)/SUM($C$2:C413)</f>
        <v>156.25842108382599</v>
      </c>
      <c r="F413">
        <f ca="1">_xlfn.STDEV.P($B$2:B413)</f>
        <v>7.341747827345718</v>
      </c>
      <c r="G413">
        <f t="shared" ca="1" si="120"/>
        <v>163.60016891117172</v>
      </c>
      <c r="H413">
        <f t="shared" ca="1" si="121"/>
        <v>148.91667325648027</v>
      </c>
      <c r="I413">
        <f t="shared" ca="1" si="130"/>
        <v>172.71899999999999</v>
      </c>
      <c r="J413">
        <f t="shared" ca="1" si="131"/>
        <v>4.4723406093807041</v>
      </c>
      <c r="K413">
        <f t="shared" ca="1" si="132"/>
        <v>181.66368121876141</v>
      </c>
      <c r="L413">
        <f t="shared" ca="1" si="133"/>
        <v>163.77431878123858</v>
      </c>
      <c r="M413">
        <f t="shared" ca="1" si="122"/>
        <v>0.35999999999998522</v>
      </c>
      <c r="N413">
        <f t="shared" ca="1" si="123"/>
        <v>0.35999999999998522</v>
      </c>
      <c r="O413">
        <f t="shared" ca="1" si="124"/>
        <v>0</v>
      </c>
      <c r="P413">
        <f t="shared" ca="1" si="128"/>
        <v>0.90330942471012865</v>
      </c>
      <c r="Q413">
        <f t="shared" ca="1" si="129"/>
        <v>0.28159805833635299</v>
      </c>
      <c r="R413">
        <f t="shared" ca="1" si="126"/>
        <v>3.2077970638248385</v>
      </c>
      <c r="S413">
        <f t="shared" ca="1" si="127"/>
        <v>76.234595327869457</v>
      </c>
      <c r="T413">
        <f>70</f>
        <v>70</v>
      </c>
      <c r="U413">
        <f>30</f>
        <v>30</v>
      </c>
      <c r="V413">
        <f t="shared" ca="1" si="125"/>
        <v>175.76156081367037</v>
      </c>
      <c r="W413">
        <f t="shared" ref="W413:W476" ca="1" si="135">B413*(2/(26+1)) + W412*(1-(2/(26+1)))</f>
        <v>171.47332642787075</v>
      </c>
      <c r="X413">
        <f t="shared" ca="1" si="134"/>
        <v>4.1818588963022876</v>
      </c>
      <c r="Y413">
        <f t="shared" ca="1" si="116"/>
        <v>4.0835512733913708</v>
      </c>
      <c r="Z413">
        <f t="shared" ca="1" si="117"/>
        <v>9.830762291091677E-2</v>
      </c>
      <c r="AA413">
        <f t="shared" ca="1" si="118"/>
        <v>158.76640000000003</v>
      </c>
    </row>
    <row r="414" spans="1:27" x14ac:dyDescent="0.25">
      <c r="A414" vm="1206">
        <f ca="1"/>
        <v>45894</v>
      </c>
      <c r="B414" vm="1207">
        <f ca="1"/>
        <v>178.41</v>
      </c>
      <c r="C414" vm="1208">
        <f ca="1"/>
        <v>6229149</v>
      </c>
      <c r="D414">
        <f t="shared" ca="1" si="119"/>
        <v>1111342473.0899999</v>
      </c>
      <c r="E414">
        <f ca="1">SUM($D$2:D414)/SUM($C$2:C414)</f>
        <v>156.30074228954714</v>
      </c>
      <c r="F414">
        <f ca="1">_xlfn.STDEV.P($B$2:B414)</f>
        <v>7.411840655368934</v>
      </c>
      <c r="G414">
        <f t="shared" ca="1" si="120"/>
        <v>163.71258294491608</v>
      </c>
      <c r="H414">
        <f t="shared" ca="1" si="121"/>
        <v>148.88890163417821</v>
      </c>
      <c r="I414">
        <f t="shared" ca="1" si="130"/>
        <v>173.32849999999999</v>
      </c>
      <c r="J414">
        <f t="shared" ca="1" si="131"/>
        <v>4.3694842222419146</v>
      </c>
      <c r="K414">
        <f t="shared" ca="1" si="132"/>
        <v>182.06746844448381</v>
      </c>
      <c r="L414">
        <f t="shared" ca="1" si="133"/>
        <v>164.58953155551617</v>
      </c>
      <c r="M414">
        <f t="shared" ca="1" si="122"/>
        <v>-0.87999999999999545</v>
      </c>
      <c r="N414">
        <f t="shared" ca="1" si="123"/>
        <v>0</v>
      </c>
      <c r="O414">
        <f t="shared" ca="1" si="124"/>
        <v>0.87999999999999545</v>
      </c>
      <c r="P414">
        <f t="shared" ca="1" si="128"/>
        <v>0.83878732294511948</v>
      </c>
      <c r="Q414">
        <f t="shared" ca="1" si="129"/>
        <v>0.32434105416947029</v>
      </c>
      <c r="R414">
        <f t="shared" ca="1" si="126"/>
        <v>2.5861275104163894</v>
      </c>
      <c r="S414">
        <f t="shared" ca="1" si="127"/>
        <v>72.114767333415628</v>
      </c>
      <c r="T414">
        <f>70</f>
        <v>70</v>
      </c>
      <c r="U414">
        <f>30</f>
        <v>30</v>
      </c>
      <c r="V414">
        <f t="shared" ca="1" si="125"/>
        <v>176.16901299618263</v>
      </c>
      <c r="W414">
        <f t="shared" ca="1" si="135"/>
        <v>171.98715409988034</v>
      </c>
      <c r="X414">
        <f t="shared" ca="1" si="134"/>
        <v>3.897697371524572</v>
      </c>
      <c r="Y414">
        <f t="shared" ca="1" si="116"/>
        <v>4.0463804930180114</v>
      </c>
      <c r="Z414">
        <f t="shared" ca="1" si="117"/>
        <v>-0.14868312149343943</v>
      </c>
      <c r="AA414">
        <f t="shared" ca="1" si="118"/>
        <v>159.01800000000003</v>
      </c>
    </row>
    <row r="415" spans="1:27" x14ac:dyDescent="0.25">
      <c r="A415" vm="1209">
        <f ca="1"/>
        <v>45895</v>
      </c>
      <c r="B415" vm="1210">
        <f ca="1"/>
        <v>176.49</v>
      </c>
      <c r="C415" vm="1211">
        <f ca="1"/>
        <v>9145045</v>
      </c>
      <c r="D415">
        <f t="shared" ca="1" si="119"/>
        <v>1614008992.0500002</v>
      </c>
      <c r="E415">
        <f ca="1">SUM($D$2:D415)/SUM($C$2:C415)</f>
        <v>156.35721184855859</v>
      </c>
      <c r="F415">
        <f ca="1">_xlfn.STDEV.P($B$2:B415)</f>
        <v>7.4676027707011503</v>
      </c>
      <c r="G415">
        <f t="shared" ca="1" si="120"/>
        <v>163.82481461925974</v>
      </c>
      <c r="H415">
        <f t="shared" ca="1" si="121"/>
        <v>148.88960907785744</v>
      </c>
      <c r="I415">
        <f t="shared" ca="1" si="130"/>
        <v>173.7475</v>
      </c>
      <c r="J415">
        <f t="shared" ca="1" si="131"/>
        <v>4.2426814696170121</v>
      </c>
      <c r="K415">
        <f t="shared" ca="1" si="132"/>
        <v>182.23286293923402</v>
      </c>
      <c r="L415">
        <f t="shared" ca="1" si="133"/>
        <v>165.26213706076598</v>
      </c>
      <c r="M415">
        <f t="shared" ca="1" si="122"/>
        <v>-1.9199999999999875</v>
      </c>
      <c r="N415">
        <f t="shared" ca="1" si="123"/>
        <v>0</v>
      </c>
      <c r="O415">
        <f t="shared" ca="1" si="124"/>
        <v>1.9199999999999875</v>
      </c>
      <c r="P415">
        <f t="shared" ca="1" si="128"/>
        <v>0.77887394273475385</v>
      </c>
      <c r="Q415">
        <f t="shared" ca="1" si="129"/>
        <v>0.43831669315736438</v>
      </c>
      <c r="R415">
        <f t="shared" ca="1" si="126"/>
        <v>1.7769661865356396</v>
      </c>
      <c r="S415">
        <f t="shared" ca="1" si="127"/>
        <v>63.989478703464727</v>
      </c>
      <c r="T415">
        <f>70</f>
        <v>70</v>
      </c>
      <c r="U415">
        <f>30</f>
        <v>30</v>
      </c>
      <c r="V415">
        <f t="shared" ca="1" si="125"/>
        <v>176.21839561215452</v>
      </c>
      <c r="W415">
        <f t="shared" ca="1" si="135"/>
        <v>172.32069824062995</v>
      </c>
      <c r="X415">
        <f t="shared" ca="1" si="134"/>
        <v>3.6545771185332114</v>
      </c>
      <c r="Y415">
        <f t="shared" ca="1" si="116"/>
        <v>3.9680198181210513</v>
      </c>
      <c r="Z415">
        <f t="shared" ca="1" si="117"/>
        <v>-0.31344269958783988</v>
      </c>
      <c r="AA415">
        <f t="shared" ca="1" si="118"/>
        <v>159.22930000000002</v>
      </c>
    </row>
    <row r="416" spans="1:27" x14ac:dyDescent="0.25">
      <c r="A416" vm="1212">
        <f ca="1"/>
        <v>45896</v>
      </c>
      <c r="B416" vm="1213">
        <f ca="1"/>
        <v>176.79</v>
      </c>
      <c r="C416" vm="1214">
        <f ca="1"/>
        <v>5951099</v>
      </c>
      <c r="D416">
        <f t="shared" ca="1" si="119"/>
        <v>1052094792.2099999</v>
      </c>
      <c r="E416">
        <f ca="1">SUM($D$2:D416)/SUM($C$2:C416)</f>
        <v>156.39433486396879</v>
      </c>
      <c r="F416">
        <f ca="1">_xlfn.STDEV.P($B$2:B416)</f>
        <v>7.5243036837562807</v>
      </c>
      <c r="G416">
        <f t="shared" ca="1" si="120"/>
        <v>163.91863854772507</v>
      </c>
      <c r="H416">
        <f t="shared" ca="1" si="121"/>
        <v>148.87003118021252</v>
      </c>
      <c r="I416">
        <f t="shared" ca="1" si="130"/>
        <v>174.22399999999999</v>
      </c>
      <c r="J416">
        <f t="shared" ca="1" si="131"/>
        <v>4.0041733492103333</v>
      </c>
      <c r="K416">
        <f t="shared" ca="1" si="132"/>
        <v>182.23234669842066</v>
      </c>
      <c r="L416">
        <f t="shared" ca="1" si="133"/>
        <v>166.21565330157932</v>
      </c>
      <c r="M416">
        <f t="shared" ca="1" si="122"/>
        <v>0.29999999999998295</v>
      </c>
      <c r="N416">
        <f t="shared" ca="1" si="123"/>
        <v>0.29999999999998295</v>
      </c>
      <c r="O416">
        <f t="shared" ca="1" si="124"/>
        <v>0</v>
      </c>
      <c r="P416">
        <f t="shared" ca="1" si="128"/>
        <v>0.74466866111084162</v>
      </c>
      <c r="Q416">
        <f t="shared" ca="1" si="129"/>
        <v>0.40700835793183832</v>
      </c>
      <c r="R416">
        <f t="shared" ca="1" si="126"/>
        <v>1.8296151580148909</v>
      </c>
      <c r="S416">
        <f t="shared" ca="1" si="127"/>
        <v>64.659505121482766</v>
      </c>
      <c r="T416">
        <f>70</f>
        <v>70</v>
      </c>
      <c r="U416">
        <f>30</f>
        <v>30</v>
      </c>
      <c r="V416">
        <f t="shared" ca="1" si="125"/>
        <v>176.30633474874614</v>
      </c>
      <c r="W416">
        <f t="shared" ca="1" si="135"/>
        <v>172.65175763021293</v>
      </c>
      <c r="X416">
        <f t="shared" ca="1" si="134"/>
        <v>3.3155560984569661</v>
      </c>
      <c r="Y416">
        <f t="shared" ca="1" si="116"/>
        <v>3.8375270741882344</v>
      </c>
      <c r="Z416">
        <f t="shared" ca="1" si="117"/>
        <v>-0.52197097573126827</v>
      </c>
      <c r="AA416">
        <f t="shared" ca="1" si="118"/>
        <v>159.39900000000003</v>
      </c>
    </row>
    <row r="417" spans="1:27" x14ac:dyDescent="0.25">
      <c r="A417" vm="1215">
        <f ca="1"/>
        <v>45897</v>
      </c>
      <c r="B417" vm="1216">
        <f ca="1"/>
        <v>175.45</v>
      </c>
      <c r="C417" vm="1217">
        <f ca="1"/>
        <v>6424695</v>
      </c>
      <c r="D417">
        <f t="shared" ca="1" si="119"/>
        <v>1127212737.75</v>
      </c>
      <c r="E417">
        <f ca="1">SUM($D$2:D417)/SUM($C$2:C417)</f>
        <v>156.43163789020065</v>
      </c>
      <c r="F417">
        <f ca="1">_xlfn.STDEV.P($B$2:B417)</f>
        <v>7.5717206806469024</v>
      </c>
      <c r="G417">
        <f t="shared" ca="1" si="120"/>
        <v>164.00335857084755</v>
      </c>
      <c r="H417">
        <f t="shared" ca="1" si="121"/>
        <v>148.85991720955374</v>
      </c>
      <c r="I417">
        <f t="shared" ca="1" si="130"/>
        <v>174.75949999999997</v>
      </c>
      <c r="J417">
        <f t="shared" ca="1" si="131"/>
        <v>3.3281597175110371</v>
      </c>
      <c r="K417">
        <f t="shared" ca="1" si="132"/>
        <v>181.41581943502206</v>
      </c>
      <c r="L417">
        <f t="shared" ca="1" si="133"/>
        <v>168.10318056497789</v>
      </c>
      <c r="M417">
        <f t="shared" ca="1" si="122"/>
        <v>-1.3400000000000034</v>
      </c>
      <c r="N417">
        <f t="shared" ca="1" si="123"/>
        <v>0</v>
      </c>
      <c r="O417">
        <f t="shared" ca="1" si="124"/>
        <v>1.3400000000000034</v>
      </c>
      <c r="P417">
        <f t="shared" ca="1" si="128"/>
        <v>0.69147804246006728</v>
      </c>
      <c r="Q417">
        <f t="shared" ca="1" si="129"/>
        <v>0.47365061807956443</v>
      </c>
      <c r="R417">
        <f t="shared" ca="1" si="126"/>
        <v>1.4598905101479502</v>
      </c>
      <c r="S417">
        <f t="shared" ca="1" si="127"/>
        <v>59.347784144268481</v>
      </c>
      <c r="T417">
        <f>70</f>
        <v>70</v>
      </c>
      <c r="U417">
        <f>30</f>
        <v>30</v>
      </c>
      <c r="V417">
        <f t="shared" ca="1" si="125"/>
        <v>176.17459094124672</v>
      </c>
      <c r="W417">
        <f t="shared" ca="1" si="135"/>
        <v>172.85903484278975</v>
      </c>
      <c r="X417">
        <f t="shared" ca="1" si="134"/>
        <v>3.1493652012638336</v>
      </c>
      <c r="Y417">
        <f t="shared" ca="1" si="116"/>
        <v>3.6998946996033544</v>
      </c>
      <c r="Z417">
        <f t="shared" ca="1" si="117"/>
        <v>-0.55052949833952081</v>
      </c>
      <c r="AA417">
        <f t="shared" ca="1" si="118"/>
        <v>159.62110000000001</v>
      </c>
    </row>
    <row r="418" spans="1:27" x14ac:dyDescent="0.25">
      <c r="A418" vm="1218">
        <f ca="1"/>
        <v>45898</v>
      </c>
      <c r="B418" vm="1219">
        <f ca="1"/>
        <v>177.17</v>
      </c>
      <c r="C418" vm="1220">
        <f ca="1"/>
        <v>6942311</v>
      </c>
      <c r="D418">
        <f t="shared" ca="1" si="119"/>
        <v>1229969239.8699999</v>
      </c>
      <c r="E418">
        <f ca="1">SUM($D$2:D418)/SUM($C$2:C418)</f>
        <v>156.47541310288037</v>
      </c>
      <c r="F418">
        <f ca="1">_xlfn.STDEV.P($B$2:B418)</f>
        <v>7.6289625150178111</v>
      </c>
      <c r="G418">
        <f t="shared" ca="1" si="120"/>
        <v>164.10437561789817</v>
      </c>
      <c r="H418">
        <f t="shared" ca="1" si="121"/>
        <v>148.84645058786256</v>
      </c>
      <c r="I418">
        <f t="shared" ca="1" si="130"/>
        <v>175.25149999999999</v>
      </c>
      <c r="J418">
        <f t="shared" ca="1" si="131"/>
        <v>2.8674952851794386</v>
      </c>
      <c r="K418">
        <f t="shared" ca="1" si="132"/>
        <v>180.98649057035888</v>
      </c>
      <c r="L418">
        <f t="shared" ca="1" si="133"/>
        <v>169.5165094296411</v>
      </c>
      <c r="M418">
        <f t="shared" ca="1" si="122"/>
        <v>1.7199999999999989</v>
      </c>
      <c r="N418">
        <f t="shared" ca="1" si="123"/>
        <v>1.7199999999999989</v>
      </c>
      <c r="O418">
        <f t="shared" ca="1" si="124"/>
        <v>0</v>
      </c>
      <c r="P418">
        <f t="shared" ca="1" si="128"/>
        <v>0.76494389657006234</v>
      </c>
      <c r="Q418">
        <f t="shared" ca="1" si="129"/>
        <v>0.43981843107388124</v>
      </c>
      <c r="R418">
        <f t="shared" ca="1" si="126"/>
        <v>1.7392265592470502</v>
      </c>
      <c r="S418">
        <f t="shared" ca="1" si="127"/>
        <v>63.493344622254362</v>
      </c>
      <c r="T418">
        <f>70</f>
        <v>70</v>
      </c>
      <c r="U418">
        <f>30</f>
        <v>30</v>
      </c>
      <c r="V418">
        <f t="shared" ca="1" si="125"/>
        <v>176.32773079643954</v>
      </c>
      <c r="W418">
        <f t="shared" ca="1" si="135"/>
        <v>173.17836559517571</v>
      </c>
      <c r="X418">
        <f t="shared" ca="1" si="134"/>
        <v>3.0542656071522458</v>
      </c>
      <c r="Y418">
        <f t="shared" ca="1" si="116"/>
        <v>3.5707688811131328</v>
      </c>
      <c r="Z418">
        <f t="shared" ca="1" si="117"/>
        <v>-0.51650327396088702</v>
      </c>
      <c r="AA418">
        <f t="shared" ca="1" si="118"/>
        <v>159.88660000000004</v>
      </c>
    </row>
    <row r="419" spans="1:27" x14ac:dyDescent="0.25">
      <c r="A419" vm="1221">
        <f ca="1"/>
        <v>45902</v>
      </c>
      <c r="B419" vm="1222">
        <f ca="1"/>
        <v>178.06</v>
      </c>
      <c r="C419" vm="1223">
        <f ca="1"/>
        <v>9049003</v>
      </c>
      <c r="D419">
        <f t="shared" ca="1" si="119"/>
        <v>1611265474.1800001</v>
      </c>
      <c r="E419">
        <f ca="1">SUM($D$2:D419)/SUM($C$2:C419)</f>
        <v>156.53463754132696</v>
      </c>
      <c r="F419">
        <f ca="1">_xlfn.STDEV.P($B$2:B419)</f>
        <v>7.6909737141893686</v>
      </c>
      <c r="G419">
        <f t="shared" ca="1" si="120"/>
        <v>164.22561125551633</v>
      </c>
      <c r="H419">
        <f t="shared" ca="1" si="121"/>
        <v>148.84366382713759</v>
      </c>
      <c r="I419">
        <f t="shared" ca="1" si="130"/>
        <v>175.60249999999999</v>
      </c>
      <c r="J419">
        <f t="shared" ca="1" si="131"/>
        <v>2.7521759334063374</v>
      </c>
      <c r="K419">
        <f t="shared" ca="1" si="132"/>
        <v>181.10685186681266</v>
      </c>
      <c r="L419">
        <f t="shared" ca="1" si="133"/>
        <v>170.09814813318732</v>
      </c>
      <c r="M419">
        <f t="shared" ca="1" si="122"/>
        <v>0.89000000000001478</v>
      </c>
      <c r="N419">
        <f t="shared" ca="1" si="123"/>
        <v>0.89000000000001478</v>
      </c>
      <c r="O419">
        <f t="shared" ca="1" si="124"/>
        <v>0</v>
      </c>
      <c r="P419">
        <f t="shared" ca="1" si="128"/>
        <v>0.77387647538648763</v>
      </c>
      <c r="Q419">
        <f t="shared" ca="1" si="129"/>
        <v>0.40840282885431828</v>
      </c>
      <c r="R419">
        <f t="shared" ca="1" si="126"/>
        <v>1.8948851984140829</v>
      </c>
      <c r="S419">
        <f t="shared" ca="1" si="127"/>
        <v>65.456315830837298</v>
      </c>
      <c r="T419">
        <f>70</f>
        <v>70</v>
      </c>
      <c r="U419">
        <f>30</f>
        <v>30</v>
      </c>
      <c r="V419">
        <f t="shared" ca="1" si="125"/>
        <v>176.59423375083344</v>
      </c>
      <c r="W419">
        <f t="shared" ca="1" si="135"/>
        <v>173.53996814368119</v>
      </c>
      <c r="X419">
        <f t="shared" ca="1" si="134"/>
        <v>2.9401646076955501</v>
      </c>
      <c r="Y419">
        <f t="shared" ca="1" si="116"/>
        <v>3.4446480264296166</v>
      </c>
      <c r="Z419">
        <f t="shared" ca="1" si="117"/>
        <v>-0.50448341873406655</v>
      </c>
      <c r="AA419">
        <f t="shared" ca="1" si="118"/>
        <v>160.16720000000001</v>
      </c>
    </row>
    <row r="420" spans="1:27" x14ac:dyDescent="0.25">
      <c r="A420" vm="1224">
        <f ca="1"/>
        <v>45903</v>
      </c>
      <c r="B420" vm="1225">
        <f ca="1"/>
        <v>178</v>
      </c>
      <c r="C420" vm="1226">
        <f ca="1"/>
        <v>7111689</v>
      </c>
      <c r="D420">
        <f t="shared" ca="1" si="119"/>
        <v>1265880642</v>
      </c>
      <c r="E420">
        <f ca="1">SUM($D$2:D420)/SUM($C$2:C420)</f>
        <v>156.58082583905406</v>
      </c>
      <c r="F420">
        <f ca="1">_xlfn.STDEV.P($B$2:B420)</f>
        <v>7.7514696779766208</v>
      </c>
      <c r="G420">
        <f t="shared" ca="1" si="120"/>
        <v>164.33229551703067</v>
      </c>
      <c r="H420">
        <f t="shared" ca="1" si="121"/>
        <v>148.82935616107744</v>
      </c>
      <c r="I420">
        <f t="shared" ca="1" si="130"/>
        <v>175.96549999999996</v>
      </c>
      <c r="J420">
        <f t="shared" ca="1" si="131"/>
        <v>2.5483089852312895</v>
      </c>
      <c r="K420">
        <f t="shared" ca="1" si="132"/>
        <v>181.06211797046254</v>
      </c>
      <c r="L420">
        <f t="shared" ca="1" si="133"/>
        <v>170.86888202953739</v>
      </c>
      <c r="M420">
        <f t="shared" ca="1" si="122"/>
        <v>-6.0000000000002274E-2</v>
      </c>
      <c r="N420">
        <f t="shared" ca="1" si="123"/>
        <v>0</v>
      </c>
      <c r="O420">
        <f t="shared" ca="1" si="124"/>
        <v>6.0000000000002274E-2</v>
      </c>
      <c r="P420">
        <f t="shared" ca="1" si="128"/>
        <v>0.71859958428745274</v>
      </c>
      <c r="Q420">
        <f t="shared" ca="1" si="129"/>
        <v>0.38351691250758141</v>
      </c>
      <c r="R420">
        <f t="shared" ca="1" si="126"/>
        <v>1.87371028721777</v>
      </c>
      <c r="S420">
        <f t="shared" ca="1" si="127"/>
        <v>65.20178097117207</v>
      </c>
      <c r="T420">
        <f>70</f>
        <v>70</v>
      </c>
      <c r="U420">
        <f>30</f>
        <v>30</v>
      </c>
      <c r="V420">
        <f t="shared" ca="1" si="125"/>
        <v>176.81050548147445</v>
      </c>
      <c r="W420">
        <f t="shared" ca="1" si="135"/>
        <v>173.8703408737789</v>
      </c>
      <c r="X420">
        <f t="shared" ca="1" si="134"/>
        <v>2.877889869002189</v>
      </c>
      <c r="Y420">
        <f t="shared" ca="1" si="116"/>
        <v>3.3312963949441317</v>
      </c>
      <c r="Z420">
        <f t="shared" ca="1" si="117"/>
        <v>-0.45340652594194264</v>
      </c>
      <c r="AA420">
        <f t="shared" ca="1" si="118"/>
        <v>160.43750000000003</v>
      </c>
    </row>
    <row r="421" spans="1:27" x14ac:dyDescent="0.25">
      <c r="A421" vm="1227">
        <f ca="1"/>
        <v>45904</v>
      </c>
      <c r="B421" vm="1228">
        <f ca="1"/>
        <v>178.76</v>
      </c>
      <c r="C421" vm="1229">
        <f ca="1"/>
        <v>7854833</v>
      </c>
      <c r="D421">
        <f t="shared" ca="1" si="119"/>
        <v>1404129947.0799999</v>
      </c>
      <c r="E421">
        <f ca="1">SUM($D$2:D421)/SUM($C$2:C421)</f>
        <v>156.63341211029342</v>
      </c>
      <c r="F421">
        <f ca="1">_xlfn.STDEV.P($B$2:B421)</f>
        <v>7.8158716267059667</v>
      </c>
      <c r="G421">
        <f t="shared" ca="1" si="120"/>
        <v>164.44928373699938</v>
      </c>
      <c r="H421">
        <f t="shared" ca="1" si="121"/>
        <v>148.81754048358746</v>
      </c>
      <c r="I421">
        <f t="shared" ca="1" si="130"/>
        <v>176.37399999999997</v>
      </c>
      <c r="J421">
        <f t="shared" ca="1" si="131"/>
        <v>2.2821905451146103</v>
      </c>
      <c r="K421">
        <f t="shared" ca="1" si="132"/>
        <v>180.9383810902292</v>
      </c>
      <c r="L421">
        <f t="shared" ca="1" si="133"/>
        <v>171.80961890977073</v>
      </c>
      <c r="M421">
        <f t="shared" ca="1" si="122"/>
        <v>0.75999999999999091</v>
      </c>
      <c r="N421">
        <f t="shared" ca="1" si="123"/>
        <v>0.75999999999999091</v>
      </c>
      <c r="O421">
        <f t="shared" ca="1" si="124"/>
        <v>0</v>
      </c>
      <c r="P421">
        <f t="shared" ca="1" si="128"/>
        <v>0.7215567568383483</v>
      </c>
      <c r="Q421">
        <f t="shared" ca="1" si="129"/>
        <v>0.35612284732846844</v>
      </c>
      <c r="R421">
        <f t="shared" ca="1" si="126"/>
        <v>2.0261456467936845</v>
      </c>
      <c r="S421">
        <f t="shared" ca="1" si="127"/>
        <v>66.954663895323819</v>
      </c>
      <c r="T421">
        <f>70</f>
        <v>70</v>
      </c>
      <c r="U421">
        <f>30</f>
        <v>30</v>
      </c>
      <c r="V421">
        <f t="shared" ca="1" si="125"/>
        <v>177.11042771509378</v>
      </c>
      <c r="W421">
        <f t="shared" ca="1" si="135"/>
        <v>174.23253784609159</v>
      </c>
      <c r="X421">
        <f t="shared" ca="1" si="134"/>
        <v>2.7699778672452453</v>
      </c>
      <c r="Y421">
        <f t="shared" ca="1" si="116"/>
        <v>3.2190326894043548</v>
      </c>
      <c r="Z421">
        <f t="shared" ca="1" si="117"/>
        <v>-0.44905482215910952</v>
      </c>
      <c r="AA421">
        <f t="shared" ca="1" si="118"/>
        <v>160.73820000000003</v>
      </c>
    </row>
    <row r="422" spans="1:27" x14ac:dyDescent="0.25">
      <c r="A422" vm="1230">
        <f ca="1"/>
        <v>45905</v>
      </c>
      <c r="B422" vm="1231">
        <f ca="1"/>
        <v>178.43</v>
      </c>
      <c r="C422" vm="1232">
        <f ca="1"/>
        <v>9733803</v>
      </c>
      <c r="D422">
        <f t="shared" ca="1" si="119"/>
        <v>1736802469.29</v>
      </c>
      <c r="E422">
        <f ca="1">SUM($D$2:D422)/SUM($C$2:C422)</f>
        <v>156.69726594268411</v>
      </c>
      <c r="F422">
        <f ca="1">_xlfn.STDEV.P($B$2:B422)</f>
        <v>7.8769420864856414</v>
      </c>
      <c r="G422">
        <f t="shared" ca="1" si="120"/>
        <v>164.57420802916977</v>
      </c>
      <c r="H422">
        <f t="shared" ca="1" si="121"/>
        <v>148.82032385619846</v>
      </c>
      <c r="I422">
        <f t="shared" ca="1" si="130"/>
        <v>176.71899999999999</v>
      </c>
      <c r="J422">
        <f t="shared" ca="1" si="131"/>
        <v>2.0175777556267818</v>
      </c>
      <c r="K422">
        <f t="shared" ca="1" si="132"/>
        <v>180.75415551125354</v>
      </c>
      <c r="L422">
        <f t="shared" ca="1" si="133"/>
        <v>172.68384448874644</v>
      </c>
      <c r="M422">
        <f t="shared" ca="1" si="122"/>
        <v>-0.32999999999998408</v>
      </c>
      <c r="N422">
        <f t="shared" ca="1" si="123"/>
        <v>0</v>
      </c>
      <c r="O422">
        <f t="shared" ca="1" si="124"/>
        <v>0.32999999999998408</v>
      </c>
      <c r="P422">
        <f t="shared" ca="1" si="128"/>
        <v>0.67001698849275204</v>
      </c>
      <c r="Q422">
        <f t="shared" ca="1" si="129"/>
        <v>0.35425692966214811</v>
      </c>
      <c r="R422">
        <f t="shared" ca="1" si="126"/>
        <v>1.8913306484413492</v>
      </c>
      <c r="S422">
        <f t="shared" ca="1" si="127"/>
        <v>65.413848445902332</v>
      </c>
      <c r="T422">
        <f>70</f>
        <v>70</v>
      </c>
      <c r="U422">
        <f>30</f>
        <v>30</v>
      </c>
      <c r="V422">
        <f t="shared" ca="1" si="125"/>
        <v>177.31343883584859</v>
      </c>
      <c r="W422">
        <f t="shared" ca="1" si="135"/>
        <v>174.54346096860334</v>
      </c>
      <c r="X422">
        <f t="shared" ca="1" si="134"/>
        <v>2.629933103848856</v>
      </c>
      <c r="Y422">
        <f t="shared" ref="Y422:Y485" ca="1" si="136">X422*(2/(9+1)) + Y421*(1-(2/(9+1)))</f>
        <v>3.1012127722932554</v>
      </c>
      <c r="Z422">
        <f t="shared" ref="Z422:Z485" ca="1" si="137">X422-Y422</f>
        <v>-0.47127966844439939</v>
      </c>
      <c r="AA422">
        <f t="shared" ref="AA422:AA485" ca="1" si="138">AVERAGE(B323:B422)</f>
        <v>161.00520000000003</v>
      </c>
    </row>
    <row r="423" spans="1:27" x14ac:dyDescent="0.25">
      <c r="A423" vm="1233">
        <f ca="1"/>
        <v>45908</v>
      </c>
      <c r="B423" vm="1234">
        <f ca="1"/>
        <v>178.13</v>
      </c>
      <c r="C423" vm="1235">
        <f ca="1"/>
        <v>8382514</v>
      </c>
      <c r="D423">
        <f t="shared" ca="1" si="119"/>
        <v>1493177218.8199999</v>
      </c>
      <c r="E423">
        <f ca="1">SUM($D$2:D423)/SUM($C$2:C423)</f>
        <v>156.75120129104894</v>
      </c>
      <c r="F423">
        <f ca="1">_xlfn.STDEV.P($B$2:B423)</f>
        <v>7.9350174120962764</v>
      </c>
      <c r="G423">
        <f t="shared" ca="1" si="120"/>
        <v>164.68621870314522</v>
      </c>
      <c r="H423">
        <f t="shared" ca="1" si="121"/>
        <v>148.81618387895267</v>
      </c>
      <c r="I423">
        <f t="shared" ca="1" si="130"/>
        <v>176.959</v>
      </c>
      <c r="J423">
        <f t="shared" ca="1" si="131"/>
        <v>1.8735749672470392</v>
      </c>
      <c r="K423">
        <f t="shared" ca="1" si="132"/>
        <v>180.70614993449408</v>
      </c>
      <c r="L423">
        <f t="shared" ca="1" si="133"/>
        <v>173.21185006550593</v>
      </c>
      <c r="M423">
        <f t="shared" ca="1" si="122"/>
        <v>-0.30000000000001137</v>
      </c>
      <c r="N423">
        <f t="shared" ca="1" si="123"/>
        <v>0</v>
      </c>
      <c r="O423">
        <f t="shared" ca="1" si="124"/>
        <v>0.30000000000001137</v>
      </c>
      <c r="P423">
        <f t="shared" ca="1" si="128"/>
        <v>0.62215863217184109</v>
      </c>
      <c r="Q423">
        <f t="shared" ca="1" si="129"/>
        <v>0.35038143468628119</v>
      </c>
      <c r="R423">
        <f t="shared" ca="1" si="126"/>
        <v>1.7756609528381528</v>
      </c>
      <c r="S423">
        <f t="shared" ca="1" si="127"/>
        <v>63.972545026528337</v>
      </c>
      <c r="T423">
        <f>70</f>
        <v>70</v>
      </c>
      <c r="U423">
        <f>30</f>
        <v>30</v>
      </c>
      <c r="V423">
        <f t="shared" ca="1" si="125"/>
        <v>177.43906363033344</v>
      </c>
      <c r="W423">
        <f t="shared" ca="1" si="135"/>
        <v>174.80913052648458</v>
      </c>
      <c r="X423">
        <f t="shared" ca="1" si="134"/>
        <v>2.3969073421696407</v>
      </c>
      <c r="Y423">
        <f t="shared" ca="1" si="136"/>
        <v>2.9603516862685328</v>
      </c>
      <c r="Z423">
        <f t="shared" ca="1" si="137"/>
        <v>-0.5634443440988921</v>
      </c>
      <c r="AA423">
        <f t="shared" ca="1" si="138"/>
        <v>161.24290000000002</v>
      </c>
    </row>
    <row r="424" spans="1:27" x14ac:dyDescent="0.25">
      <c r="A424" vm="1236">
        <f ca="1"/>
        <v>45909</v>
      </c>
      <c r="B424" vm="1237">
        <f ca="1"/>
        <v>176.96</v>
      </c>
      <c r="C424" vm="1238">
        <f ca="1"/>
        <v>6005703</v>
      </c>
      <c r="D424">
        <f t="shared" ca="1" si="119"/>
        <v>1062769202.88</v>
      </c>
      <c r="E424">
        <f ca="1">SUM($D$2:D424)/SUM($C$2:C424)</f>
        <v>156.78757132156466</v>
      </c>
      <c r="F424">
        <f ca="1">_xlfn.STDEV.P($B$2:B424)</f>
        <v>7.9849715837342234</v>
      </c>
      <c r="G424">
        <f t="shared" ca="1" si="120"/>
        <v>164.77254290529888</v>
      </c>
      <c r="H424">
        <f t="shared" ca="1" si="121"/>
        <v>148.80259973783043</v>
      </c>
      <c r="I424">
        <f t="shared" ca="1" si="130"/>
        <v>177.11600000000001</v>
      </c>
      <c r="J424">
        <f t="shared" ca="1" si="131"/>
        <v>1.7221327047099433</v>
      </c>
      <c r="K424">
        <f t="shared" ca="1" si="132"/>
        <v>180.56026540941991</v>
      </c>
      <c r="L424">
        <f t="shared" ca="1" si="133"/>
        <v>173.67173459058012</v>
      </c>
      <c r="M424">
        <f t="shared" ca="1" si="122"/>
        <v>-1.1699999999999875</v>
      </c>
      <c r="N424">
        <f t="shared" ca="1" si="123"/>
        <v>0</v>
      </c>
      <c r="O424">
        <f t="shared" ca="1" si="124"/>
        <v>1.1699999999999875</v>
      </c>
      <c r="P424">
        <f t="shared" ca="1" si="128"/>
        <v>0.57771872987385253</v>
      </c>
      <c r="Q424">
        <f t="shared" ca="1" si="129"/>
        <v>0.40892561792297449</v>
      </c>
      <c r="R424">
        <f t="shared" ca="1" si="126"/>
        <v>1.4127721633294004</v>
      </c>
      <c r="S424">
        <f t="shared" ca="1" si="127"/>
        <v>58.553898490767835</v>
      </c>
      <c r="T424">
        <f>70</f>
        <v>70</v>
      </c>
      <c r="U424">
        <f>30</f>
        <v>30</v>
      </c>
      <c r="V424">
        <f t="shared" ca="1" si="125"/>
        <v>177.36536153335908</v>
      </c>
      <c r="W424">
        <f t="shared" ca="1" si="135"/>
        <v>174.96845419118944</v>
      </c>
      <c r="X424">
        <f t="shared" ca="1" si="134"/>
        <v>2.0936887842480871</v>
      </c>
      <c r="Y424">
        <f t="shared" ca="1" si="136"/>
        <v>2.7870191058644438</v>
      </c>
      <c r="Z424">
        <f t="shared" ca="1" si="137"/>
        <v>-0.69333032161635666</v>
      </c>
      <c r="AA424">
        <f t="shared" ca="1" si="138"/>
        <v>161.47630000000001</v>
      </c>
    </row>
    <row r="425" spans="1:27" x14ac:dyDescent="0.25">
      <c r="A425" vm="1239">
        <f ca="1"/>
        <v>45910</v>
      </c>
      <c r="B425" vm="1240">
        <f ca="1"/>
        <v>175.79</v>
      </c>
      <c r="C425" vm="1241">
        <f ca="1"/>
        <v>6891590</v>
      </c>
      <c r="D425">
        <f t="shared" ca="1" si="119"/>
        <v>1211472606.0999999</v>
      </c>
      <c r="E425">
        <f ca="1">SUM($D$2:D425)/SUM($C$2:C425)</f>
        <v>156.8267339548793</v>
      </c>
      <c r="F425">
        <f ca="1">_xlfn.STDEV.P($B$2:B425)</f>
        <v>8.0274633932348696</v>
      </c>
      <c r="G425">
        <f t="shared" ca="1" si="120"/>
        <v>164.85419734811418</v>
      </c>
      <c r="H425">
        <f t="shared" ca="1" si="121"/>
        <v>148.79927056164442</v>
      </c>
      <c r="I425">
        <f t="shared" ca="1" si="130"/>
        <v>177.26649999999998</v>
      </c>
      <c r="J425">
        <f t="shared" ca="1" si="131"/>
        <v>1.4300065329258231</v>
      </c>
      <c r="K425">
        <f t="shared" ca="1" si="132"/>
        <v>180.12651306585161</v>
      </c>
      <c r="L425">
        <f t="shared" ca="1" si="133"/>
        <v>174.40648693414835</v>
      </c>
      <c r="M425">
        <f t="shared" ca="1" si="122"/>
        <v>-1.1700000000000159</v>
      </c>
      <c r="N425">
        <f t="shared" ca="1" si="123"/>
        <v>0</v>
      </c>
      <c r="O425">
        <f t="shared" ca="1" si="124"/>
        <v>1.1700000000000159</v>
      </c>
      <c r="P425">
        <f t="shared" ca="1" si="128"/>
        <v>0.5364531063114345</v>
      </c>
      <c r="Q425">
        <f t="shared" ca="1" si="129"/>
        <v>0.46328807378562031</v>
      </c>
      <c r="R425">
        <f t="shared" ca="1" si="126"/>
        <v>1.1579255687027898</v>
      </c>
      <c r="S425">
        <f t="shared" ca="1" si="127"/>
        <v>53.65919869974303</v>
      </c>
      <c r="T425">
        <f>70</f>
        <v>70</v>
      </c>
      <c r="U425">
        <f>30</f>
        <v>30</v>
      </c>
      <c r="V425">
        <f t="shared" ca="1" si="125"/>
        <v>177.12299822053461</v>
      </c>
      <c r="W425">
        <f t="shared" ca="1" si="135"/>
        <v>175.02930943628652</v>
      </c>
      <c r="X425">
        <f t="shared" ca="1" si="134"/>
        <v>2.0484470219534217</v>
      </c>
      <c r="Y425">
        <f t="shared" ca="1" si="136"/>
        <v>2.6393046890822394</v>
      </c>
      <c r="Z425">
        <f t="shared" ca="1" si="137"/>
        <v>-0.59085766712881771</v>
      </c>
      <c r="AA425">
        <f t="shared" ca="1" si="138"/>
        <v>161.69510000000002</v>
      </c>
    </row>
    <row r="426" spans="1:27" x14ac:dyDescent="0.25">
      <c r="A426" vm="1242">
        <f ca="1"/>
        <v>45911</v>
      </c>
      <c r="B426" vm="1243">
        <f ca="1"/>
        <v>178.5</v>
      </c>
      <c r="C426" vm="1244">
        <f ca="1"/>
        <v>5792527</v>
      </c>
      <c r="D426">
        <f t="shared" ca="1" si="119"/>
        <v>1033966069.5</v>
      </c>
      <c r="E426">
        <f ca="1">SUM($D$2:D426)/SUM($C$2:C426)</f>
        <v>156.86421262003651</v>
      </c>
      <c r="F426">
        <f ca="1">_xlfn.STDEV.P($B$2:B426)</f>
        <v>8.0851226986300695</v>
      </c>
      <c r="G426">
        <f t="shared" ca="1" si="120"/>
        <v>164.94933531866658</v>
      </c>
      <c r="H426">
        <f t="shared" ca="1" si="121"/>
        <v>148.77908992140644</v>
      </c>
      <c r="I426">
        <f t="shared" ca="1" si="130"/>
        <v>177.47050000000002</v>
      </c>
      <c r="J426">
        <f t="shared" ca="1" si="131"/>
        <v>1.2863676931986701</v>
      </c>
      <c r="K426">
        <f t="shared" ca="1" si="132"/>
        <v>180.04323538639736</v>
      </c>
      <c r="L426">
        <f t="shared" ca="1" si="133"/>
        <v>174.89776461360267</v>
      </c>
      <c r="M426">
        <f t="shared" ca="1" si="122"/>
        <v>2.710000000000008</v>
      </c>
      <c r="N426">
        <f t="shared" ca="1" si="123"/>
        <v>2.710000000000008</v>
      </c>
      <c r="O426">
        <f t="shared" ca="1" si="124"/>
        <v>0</v>
      </c>
      <c r="P426">
        <f t="shared" ca="1" si="128"/>
        <v>0.6917064558606183</v>
      </c>
      <c r="Q426">
        <f t="shared" ca="1" si="129"/>
        <v>0.43019606851521885</v>
      </c>
      <c r="R426">
        <f t="shared" ca="1" si="126"/>
        <v>1.6078865114876058</v>
      </c>
      <c r="S426">
        <f t="shared" ca="1" si="127"/>
        <v>61.654773104770797</v>
      </c>
      <c r="T426">
        <f>70</f>
        <v>70</v>
      </c>
      <c r="U426">
        <f>30</f>
        <v>30</v>
      </c>
      <c r="V426">
        <f t="shared" ca="1" si="125"/>
        <v>177.33484464814467</v>
      </c>
      <c r="W426">
        <f t="shared" ca="1" si="135"/>
        <v>175.28639762619125</v>
      </c>
      <c r="X426">
        <f t="shared" ca="1" si="134"/>
        <v>1.9545573560877756</v>
      </c>
      <c r="Y426">
        <f t="shared" ca="1" si="136"/>
        <v>2.502355222483347</v>
      </c>
      <c r="Z426">
        <f t="shared" ca="1" si="137"/>
        <v>-0.54779786639557138</v>
      </c>
      <c r="AA426">
        <f t="shared" ca="1" si="138"/>
        <v>161.90540000000001</v>
      </c>
    </row>
    <row r="427" spans="1:27" x14ac:dyDescent="0.25">
      <c r="A427" vm="1245">
        <f ca="1"/>
        <v>45912</v>
      </c>
      <c r="B427" vm="1222">
        <f ca="1"/>
        <v>178.06</v>
      </c>
      <c r="C427" vm="1246">
        <f ca="1"/>
        <v>7220473</v>
      </c>
      <c r="D427">
        <f t="shared" ca="1" si="119"/>
        <v>1285677422.3800001</v>
      </c>
      <c r="E427">
        <f ca="1">SUM($D$2:D427)/SUM($C$2:C427)</f>
        <v>156.90980284698298</v>
      </c>
      <c r="F427">
        <f ca="1">_xlfn.STDEV.P($B$2:B427)</f>
        <v>8.139113293419145</v>
      </c>
      <c r="G427">
        <f t="shared" ca="1" si="120"/>
        <v>165.04891614040213</v>
      </c>
      <c r="H427">
        <f t="shared" ca="1" si="121"/>
        <v>148.77068955356384</v>
      </c>
      <c r="I427">
        <f t="shared" ca="1" si="130"/>
        <v>177.63749999999999</v>
      </c>
      <c r="J427">
        <f t="shared" ca="1" si="131"/>
        <v>1.1160214815891429</v>
      </c>
      <c r="K427">
        <f t="shared" ca="1" si="132"/>
        <v>179.86954296317828</v>
      </c>
      <c r="L427">
        <f t="shared" ca="1" si="133"/>
        <v>175.4054570368217</v>
      </c>
      <c r="M427">
        <f t="shared" ca="1" si="122"/>
        <v>-0.43999999999999773</v>
      </c>
      <c r="N427">
        <f t="shared" ca="1" si="123"/>
        <v>0</v>
      </c>
      <c r="O427">
        <f t="shared" ca="1" si="124"/>
        <v>0.43999999999999773</v>
      </c>
      <c r="P427">
        <f t="shared" ca="1" si="128"/>
        <v>0.64229885187057412</v>
      </c>
      <c r="Q427">
        <f t="shared" ca="1" si="129"/>
        <v>0.4308963493355602</v>
      </c>
      <c r="R427">
        <f t="shared" ca="1" si="126"/>
        <v>1.4906110317736398</v>
      </c>
      <c r="S427">
        <f t="shared" ca="1" si="127"/>
        <v>59.849210204137357</v>
      </c>
      <c r="T427">
        <f>70</f>
        <v>70</v>
      </c>
      <c r="U427">
        <f>30</f>
        <v>30</v>
      </c>
      <c r="V427">
        <f t="shared" ca="1" si="125"/>
        <v>177.44640700996854</v>
      </c>
      <c r="W427">
        <f t="shared" ca="1" si="135"/>
        <v>175.49184965388076</v>
      </c>
      <c r="X427">
        <f t="shared" ca="1" si="134"/>
        <v>1.8060733460096969</v>
      </c>
      <c r="Y427">
        <f t="shared" ca="1" si="136"/>
        <v>2.3630988471886174</v>
      </c>
      <c r="Z427">
        <f t="shared" ca="1" si="137"/>
        <v>-0.55702550117892047</v>
      </c>
      <c r="AA427">
        <f t="shared" ca="1" si="138"/>
        <v>162.11680000000001</v>
      </c>
    </row>
    <row r="428" spans="1:27" x14ac:dyDescent="0.25">
      <c r="A428" vm="1247">
        <f ca="1"/>
        <v>45915</v>
      </c>
      <c r="B428" vm="1248">
        <f ca="1"/>
        <v>177.4</v>
      </c>
      <c r="C428" vm="1249">
        <f ca="1"/>
        <v>4768547</v>
      </c>
      <c r="D428">
        <f t="shared" ca="1" si="119"/>
        <v>845940237.80000007</v>
      </c>
      <c r="E428">
        <f ca="1">SUM($D$2:D428)/SUM($C$2:C428)</f>
        <v>156.93886797743525</v>
      </c>
      <c r="F428">
        <f ca="1">_xlfn.STDEV.P($B$2:B428)</f>
        <v>8.1883281395692809</v>
      </c>
      <c r="G428">
        <f t="shared" ca="1" si="120"/>
        <v>165.12719611700453</v>
      </c>
      <c r="H428">
        <f t="shared" ca="1" si="121"/>
        <v>148.75053983786597</v>
      </c>
      <c r="I428">
        <f t="shared" ca="1" si="130"/>
        <v>177.6755</v>
      </c>
      <c r="J428">
        <f t="shared" ca="1" si="131"/>
        <v>1.0929702408430084</v>
      </c>
      <c r="K428">
        <f t="shared" ca="1" si="132"/>
        <v>179.861440481686</v>
      </c>
      <c r="L428">
        <f t="shared" ca="1" si="133"/>
        <v>175.489559518314</v>
      </c>
      <c r="M428">
        <f t="shared" ca="1" si="122"/>
        <v>-0.65999999999999659</v>
      </c>
      <c r="N428">
        <f t="shared" ca="1" si="123"/>
        <v>0</v>
      </c>
      <c r="O428">
        <f t="shared" ca="1" si="124"/>
        <v>0.65999999999999659</v>
      </c>
      <c r="P428">
        <f t="shared" ca="1" si="128"/>
        <v>0.5964203624512473</v>
      </c>
      <c r="Q428">
        <f t="shared" ca="1" si="129"/>
        <v>0.4472608958115914</v>
      </c>
      <c r="R428">
        <f t="shared" ca="1" si="126"/>
        <v>1.3334954341782863</v>
      </c>
      <c r="S428">
        <f t="shared" ca="1" si="127"/>
        <v>57.145834298487131</v>
      </c>
      <c r="T428">
        <f>70</f>
        <v>70</v>
      </c>
      <c r="U428">
        <f>30</f>
        <v>30</v>
      </c>
      <c r="V428">
        <f t="shared" ca="1" si="125"/>
        <v>177.43926746997337</v>
      </c>
      <c r="W428">
        <f t="shared" ca="1" si="135"/>
        <v>175.63319412396368</v>
      </c>
      <c r="X428">
        <f t="shared" ca="1" si="134"/>
        <v>1.5941719324612222</v>
      </c>
      <c r="Y428">
        <f t="shared" ca="1" si="136"/>
        <v>2.2093134642431385</v>
      </c>
      <c r="Z428">
        <f t="shared" ca="1" si="137"/>
        <v>-0.61514153178191622</v>
      </c>
      <c r="AA428">
        <f t="shared" ca="1" si="138"/>
        <v>162.3133</v>
      </c>
    </row>
    <row r="429" spans="1:27" x14ac:dyDescent="0.25">
      <c r="A429" vm="1250">
        <f ca="1"/>
        <v>45916</v>
      </c>
      <c r="B429" vm="1251">
        <f ca="1"/>
        <v>176.46</v>
      </c>
      <c r="C429" vm="1252">
        <f ca="1"/>
        <v>7959652</v>
      </c>
      <c r="D429">
        <f t="shared" ca="1" si="119"/>
        <v>1404560191.9200001</v>
      </c>
      <c r="E429">
        <f ca="1">SUM($D$2:D429)/SUM($C$2:C429)</f>
        <v>156.98497977683215</v>
      </c>
      <c r="F429">
        <f ca="1">_xlfn.STDEV.P($B$2:B429)</f>
        <v>8.2314970997921648</v>
      </c>
      <c r="G429">
        <f t="shared" ca="1" si="120"/>
        <v>165.21647687662431</v>
      </c>
      <c r="H429">
        <f t="shared" ca="1" si="121"/>
        <v>148.75348267703998</v>
      </c>
      <c r="I429">
        <f t="shared" ca="1" si="130"/>
        <v>177.68599999999998</v>
      </c>
      <c r="J429">
        <f t="shared" ca="1" si="131"/>
        <v>1.0794803818212002</v>
      </c>
      <c r="K429">
        <f t="shared" ca="1" si="132"/>
        <v>179.84496076364238</v>
      </c>
      <c r="L429">
        <f t="shared" ca="1" si="133"/>
        <v>175.52703923635758</v>
      </c>
      <c r="M429">
        <f t="shared" ca="1" si="122"/>
        <v>-0.93999999999999773</v>
      </c>
      <c r="N429">
        <f t="shared" ca="1" si="123"/>
        <v>0</v>
      </c>
      <c r="O429">
        <f t="shared" ca="1" si="124"/>
        <v>0.93999999999999773</v>
      </c>
      <c r="P429">
        <f t="shared" ca="1" si="128"/>
        <v>0.55381890799044398</v>
      </c>
      <c r="Q429">
        <f t="shared" ca="1" si="129"/>
        <v>0.48245654611076327</v>
      </c>
      <c r="R429">
        <f t="shared" ca="1" si="126"/>
        <v>1.1479145893137019</v>
      </c>
      <c r="S429">
        <f t="shared" ca="1" si="127"/>
        <v>53.443213944576897</v>
      </c>
      <c r="T429">
        <f>70</f>
        <v>70</v>
      </c>
      <c r="U429">
        <f>30</f>
        <v>30</v>
      </c>
      <c r="V429">
        <f t="shared" ca="1" si="125"/>
        <v>177.28861093613131</v>
      </c>
      <c r="W429">
        <f t="shared" ca="1" si="135"/>
        <v>175.69443900367008</v>
      </c>
      <c r="X429">
        <f t="shared" ca="1" si="134"/>
        <v>1.4690164439835485</v>
      </c>
      <c r="Y429">
        <f t="shared" ca="1" si="136"/>
        <v>2.0612540601912208</v>
      </c>
      <c r="Z429">
        <f t="shared" ca="1" si="137"/>
        <v>-0.59223761620767235</v>
      </c>
      <c r="AA429">
        <f t="shared" ca="1" si="138"/>
        <v>162.5241</v>
      </c>
    </row>
    <row r="430" spans="1:27" x14ac:dyDescent="0.25">
      <c r="A430" vm="1253">
        <f ca="1"/>
        <v>45917</v>
      </c>
      <c r="B430" vm="1254">
        <f ca="1"/>
        <v>177.2</v>
      </c>
      <c r="C430" vm="1255">
        <f ca="1"/>
        <v>6715188</v>
      </c>
      <c r="D430">
        <f t="shared" ca="1" si="119"/>
        <v>1189931313.5999999</v>
      </c>
      <c r="E430">
        <f ca="1">SUM($D$2:D430)/SUM($C$2:C430)</f>
        <v>157.02518483834018</v>
      </c>
      <c r="F430">
        <f ca="1">_xlfn.STDEV.P($B$2:B430)</f>
        <v>8.2780722758903966</v>
      </c>
      <c r="G430">
        <f t="shared" ca="1" si="120"/>
        <v>165.30325711423058</v>
      </c>
      <c r="H430">
        <f t="shared" ca="1" si="121"/>
        <v>148.74711256244979</v>
      </c>
      <c r="I430">
        <f t="shared" ca="1" si="130"/>
        <v>177.65600000000001</v>
      </c>
      <c r="J430">
        <f t="shared" ca="1" si="131"/>
        <v>1.0844712512265342</v>
      </c>
      <c r="K430">
        <f t="shared" ca="1" si="132"/>
        <v>179.82494250245307</v>
      </c>
      <c r="L430">
        <f t="shared" ca="1" si="133"/>
        <v>175.48705749754694</v>
      </c>
      <c r="M430">
        <f t="shared" ca="1" si="122"/>
        <v>0.73999999999998067</v>
      </c>
      <c r="N430">
        <f t="shared" ca="1" si="123"/>
        <v>0.73999999999998067</v>
      </c>
      <c r="O430">
        <f t="shared" ca="1" si="124"/>
        <v>0</v>
      </c>
      <c r="P430">
        <f t="shared" ca="1" si="128"/>
        <v>0.56711755741969661</v>
      </c>
      <c r="Q430">
        <f t="shared" ca="1" si="129"/>
        <v>0.44799536424570874</v>
      </c>
      <c r="R430">
        <f t="shared" ca="1" si="126"/>
        <v>1.2659005040700684</v>
      </c>
      <c r="S430">
        <f t="shared" ca="1" si="127"/>
        <v>55.867435564634263</v>
      </c>
      <c r="T430">
        <f>70</f>
        <v>70</v>
      </c>
      <c r="U430">
        <f>30</f>
        <v>30</v>
      </c>
      <c r="V430">
        <f t="shared" ca="1" si="125"/>
        <v>177.2749784844188</v>
      </c>
      <c r="W430">
        <f t="shared" ca="1" si="135"/>
        <v>175.80596204043525</v>
      </c>
      <c r="X430">
        <f t="shared" ca="1" si="134"/>
        <v>1.1117120989485159</v>
      </c>
      <c r="Y430">
        <f t="shared" ca="1" si="136"/>
        <v>1.8713456679426801</v>
      </c>
      <c r="Z430">
        <f t="shared" ca="1" si="137"/>
        <v>-0.75963356899416423</v>
      </c>
      <c r="AA430">
        <f t="shared" ca="1" si="138"/>
        <v>162.74680000000001</v>
      </c>
    </row>
    <row r="431" spans="1:27" x14ac:dyDescent="0.25">
      <c r="A431" vm="1256">
        <f ca="1"/>
        <v>45918</v>
      </c>
      <c r="B431" vm="1257">
        <f ca="1"/>
        <v>174.16</v>
      </c>
      <c r="C431" vm="1258">
        <f ca="1"/>
        <v>8200854</v>
      </c>
      <c r="D431">
        <f t="shared" ca="1" si="119"/>
        <v>1428260732.6399999</v>
      </c>
      <c r="E431">
        <f ca="1">SUM($D$2:D431)/SUM($C$2:C431)</f>
        <v>157.06670254016169</v>
      </c>
      <c r="F431">
        <f ca="1">_xlfn.STDEV.P($B$2:B431)</f>
        <v>8.3083098755789386</v>
      </c>
      <c r="G431">
        <f t="shared" ca="1" si="120"/>
        <v>165.37501241574063</v>
      </c>
      <c r="H431">
        <f t="shared" ca="1" si="121"/>
        <v>148.75839266458274</v>
      </c>
      <c r="I431">
        <f t="shared" ca="1" si="130"/>
        <v>177.42199999999997</v>
      </c>
      <c r="J431">
        <f t="shared" ca="1" si="131"/>
        <v>1.2992005639096529</v>
      </c>
      <c r="K431">
        <f t="shared" ca="1" si="132"/>
        <v>180.02040112781927</v>
      </c>
      <c r="L431">
        <f t="shared" ca="1" si="133"/>
        <v>174.82359887218067</v>
      </c>
      <c r="M431">
        <f t="shared" ca="1" si="122"/>
        <v>-3.039999999999992</v>
      </c>
      <c r="N431">
        <f t="shared" ca="1" si="123"/>
        <v>0</v>
      </c>
      <c r="O431">
        <f t="shared" ca="1" si="124"/>
        <v>3.039999999999992</v>
      </c>
      <c r="P431">
        <f t="shared" ca="1" si="128"/>
        <v>0.52660916046114681</v>
      </c>
      <c r="Q431">
        <f t="shared" ca="1" si="129"/>
        <v>0.63313855251387174</v>
      </c>
      <c r="R431">
        <f t="shared" ca="1" si="126"/>
        <v>0.8317439498357021</v>
      </c>
      <c r="S431">
        <f t="shared" ca="1" si="127"/>
        <v>45.407216980861605</v>
      </c>
      <c r="T431">
        <f>70</f>
        <v>70</v>
      </c>
      <c r="U431">
        <f>30</f>
        <v>30</v>
      </c>
      <c r="V431">
        <f t="shared" ca="1" si="125"/>
        <v>176.79575102527744</v>
      </c>
      <c r="W431">
        <f t="shared" ca="1" si="135"/>
        <v>175.68403892632892</v>
      </c>
      <c r="X431">
        <f t="shared" ca="1" si="134"/>
        <v>0.98104103547152022</v>
      </c>
      <c r="Y431">
        <f t="shared" ca="1" si="136"/>
        <v>1.6932847414484482</v>
      </c>
      <c r="Z431">
        <f t="shared" ca="1" si="137"/>
        <v>-0.71224370597692799</v>
      </c>
      <c r="AA431">
        <f t="shared" ca="1" si="138"/>
        <v>162.94259999999997</v>
      </c>
    </row>
    <row r="432" spans="1:27" x14ac:dyDescent="0.25">
      <c r="A432" vm="1259">
        <f ca="1"/>
        <v>45919</v>
      </c>
      <c r="B432" vm="1260">
        <f ca="1"/>
        <v>176.19</v>
      </c>
      <c r="C432" vm="1261">
        <f ca="1"/>
        <v>25620954</v>
      </c>
      <c r="D432">
        <f t="shared" ca="1" si="119"/>
        <v>4514155885.2600002</v>
      </c>
      <c r="E432">
        <f ca="1">SUM($D$2:D432)/SUM($C$2:C432)</f>
        <v>157.21037637834846</v>
      </c>
      <c r="F432">
        <f ca="1">_xlfn.STDEV.P($B$2:B432)</f>
        <v>8.3481701211421875</v>
      </c>
      <c r="G432">
        <f t="shared" ca="1" si="120"/>
        <v>165.55854649949063</v>
      </c>
      <c r="H432">
        <f t="shared" ca="1" si="121"/>
        <v>148.86220625720628</v>
      </c>
      <c r="I432">
        <f t="shared" ca="1" si="130"/>
        <v>177.285</v>
      </c>
      <c r="J432">
        <f t="shared" ca="1" si="131"/>
        <v>1.2760733356256364</v>
      </c>
      <c r="K432">
        <f t="shared" ca="1" si="132"/>
        <v>179.83714667125128</v>
      </c>
      <c r="L432">
        <f t="shared" ca="1" si="133"/>
        <v>174.73285332874872</v>
      </c>
      <c r="M432">
        <f t="shared" ca="1" si="122"/>
        <v>2.0300000000000011</v>
      </c>
      <c r="N432">
        <f t="shared" ca="1" si="123"/>
        <v>2.0300000000000011</v>
      </c>
      <c r="O432">
        <f t="shared" ca="1" si="124"/>
        <v>0</v>
      </c>
      <c r="P432">
        <f t="shared" ca="1" si="128"/>
        <v>0.63399422042820774</v>
      </c>
      <c r="Q432">
        <f t="shared" ca="1" si="129"/>
        <v>0.58791437019145232</v>
      </c>
      <c r="R432">
        <f t="shared" ca="1" si="126"/>
        <v>1.078378506417099</v>
      </c>
      <c r="S432">
        <f t="shared" ca="1" si="127"/>
        <v>51.885568633795565</v>
      </c>
      <c r="T432">
        <f>70</f>
        <v>70</v>
      </c>
      <c r="U432">
        <f>30</f>
        <v>30</v>
      </c>
      <c r="V432">
        <f t="shared" ca="1" si="125"/>
        <v>176.70255855985016</v>
      </c>
      <c r="W432">
        <f t="shared" ca="1" si="135"/>
        <v>175.72151752437864</v>
      </c>
      <c r="X432">
        <f t="shared" ca="1" si="134"/>
        <v>0.70953474886732693</v>
      </c>
      <c r="Y432">
        <f t="shared" ca="1" si="136"/>
        <v>1.496534742932224</v>
      </c>
      <c r="Z432">
        <f t="shared" ca="1" si="137"/>
        <v>-0.78699999406489707</v>
      </c>
      <c r="AA432">
        <f t="shared" ca="1" si="138"/>
        <v>163.15100000000001</v>
      </c>
    </row>
    <row r="433" spans="1:27" x14ac:dyDescent="0.25">
      <c r="A433" vm="1262">
        <f ca="1"/>
        <v>45922</v>
      </c>
      <c r="B433" vm="1263">
        <f ca="1"/>
        <v>174.21</v>
      </c>
      <c r="C433" vm="1264">
        <f ca="1"/>
        <v>7193868</v>
      </c>
      <c r="D433">
        <f t="shared" ca="1" si="119"/>
        <v>1253243744.28</v>
      </c>
      <c r="E433">
        <f ca="1">SUM($D$2:D433)/SUM($C$2:C433)</f>
        <v>157.24616180527727</v>
      </c>
      <c r="F433">
        <f ca="1">_xlfn.STDEV.P($B$2:B433)</f>
        <v>8.3777020689457853</v>
      </c>
      <c r="G433">
        <f t="shared" ca="1" si="120"/>
        <v>165.62386387422305</v>
      </c>
      <c r="H433">
        <f t="shared" ca="1" si="121"/>
        <v>148.86845973633149</v>
      </c>
      <c r="I433">
        <f t="shared" ca="1" si="130"/>
        <v>177.03100000000001</v>
      </c>
      <c r="J433">
        <f t="shared" ca="1" si="131"/>
        <v>1.3588729850407961</v>
      </c>
      <c r="K433">
        <f t="shared" ca="1" si="132"/>
        <v>179.74874597008159</v>
      </c>
      <c r="L433">
        <f t="shared" ca="1" si="133"/>
        <v>174.31325402991843</v>
      </c>
      <c r="M433">
        <f t="shared" ca="1" si="122"/>
        <v>-1.9799999999999898</v>
      </c>
      <c r="N433">
        <f t="shared" ca="1" si="123"/>
        <v>0</v>
      </c>
      <c r="O433">
        <f t="shared" ca="1" si="124"/>
        <v>1.9799999999999898</v>
      </c>
      <c r="P433">
        <f t="shared" ca="1" si="128"/>
        <v>0.58870891896904998</v>
      </c>
      <c r="Q433">
        <f t="shared" ca="1" si="129"/>
        <v>0.6873490580349193</v>
      </c>
      <c r="R433">
        <f t="shared" ca="1" si="126"/>
        <v>0.85649192660876805</v>
      </c>
      <c r="S433">
        <f t="shared" ca="1" si="127"/>
        <v>46.134966402644785</v>
      </c>
      <c r="T433">
        <f>70</f>
        <v>70</v>
      </c>
      <c r="U433">
        <f>30</f>
        <v>30</v>
      </c>
      <c r="V433">
        <f t="shared" ca="1" si="125"/>
        <v>176.31908801218088</v>
      </c>
      <c r="W433">
        <f t="shared" ca="1" si="135"/>
        <v>175.60955326331356</v>
      </c>
      <c r="X433">
        <f t="shared" ca="1" si="134"/>
        <v>0.6777901112274094</v>
      </c>
      <c r="Y433">
        <f t="shared" ca="1" si="136"/>
        <v>1.3327858165912612</v>
      </c>
      <c r="Z433">
        <f t="shared" ca="1" si="137"/>
        <v>-0.65499570536385177</v>
      </c>
      <c r="AA433">
        <f t="shared" ca="1" si="138"/>
        <v>163.334</v>
      </c>
    </row>
    <row r="434" spans="1:27" x14ac:dyDescent="0.25">
      <c r="A434" vm="1265">
        <f ca="1"/>
        <v>45923</v>
      </c>
      <c r="B434" vm="1266">
        <f ca="1"/>
        <v>176.58</v>
      </c>
      <c r="C434" vm="1267">
        <f ca="1"/>
        <v>8350743</v>
      </c>
      <c r="D434">
        <f t="shared" ca="1" si="119"/>
        <v>1474574198.9400001</v>
      </c>
      <c r="E434">
        <f ca="1">SUM($D$2:D434)/SUM($C$2:C434)</f>
        <v>157.29329074656508</v>
      </c>
      <c r="F434">
        <f ca="1">_xlfn.STDEV.P($B$2:B434)</f>
        <v>8.4184928880958481</v>
      </c>
      <c r="G434">
        <f t="shared" ca="1" si="120"/>
        <v>165.71178363466092</v>
      </c>
      <c r="H434">
        <f t="shared" ca="1" si="121"/>
        <v>148.87479785846924</v>
      </c>
      <c r="I434">
        <f t="shared" ca="1" si="130"/>
        <v>176.93950000000001</v>
      </c>
      <c r="J434">
        <f t="shared" ca="1" si="131"/>
        <v>1.3222487822286935</v>
      </c>
      <c r="K434">
        <f t="shared" ca="1" si="132"/>
        <v>179.58399756445741</v>
      </c>
      <c r="L434">
        <f t="shared" ca="1" si="133"/>
        <v>174.29500243554261</v>
      </c>
      <c r="M434">
        <f t="shared" ca="1" si="122"/>
        <v>2.3700000000000045</v>
      </c>
      <c r="N434">
        <f t="shared" ca="1" si="123"/>
        <v>2.3700000000000045</v>
      </c>
      <c r="O434">
        <f t="shared" ca="1" si="124"/>
        <v>0</v>
      </c>
      <c r="P434">
        <f t="shared" ca="1" si="128"/>
        <v>0.71594399618554672</v>
      </c>
      <c r="Q434">
        <f t="shared" ca="1" si="129"/>
        <v>0.6382526967467107</v>
      </c>
      <c r="R434">
        <f t="shared" ca="1" si="126"/>
        <v>1.1217249842183865</v>
      </c>
      <c r="S434">
        <f t="shared" ca="1" si="127"/>
        <v>52.868538220640978</v>
      </c>
      <c r="T434">
        <f>70</f>
        <v>70</v>
      </c>
      <c r="U434">
        <f>30</f>
        <v>30</v>
      </c>
      <c r="V434">
        <f t="shared" ca="1" si="125"/>
        <v>176.35922831799923</v>
      </c>
      <c r="W434">
        <f t="shared" ca="1" si="135"/>
        <v>175.68143820677182</v>
      </c>
      <c r="X434">
        <f t="shared" ca="1" si="134"/>
        <v>0.65396978132457662</v>
      </c>
      <c r="Y434">
        <f t="shared" ca="1" si="136"/>
        <v>1.1970226095379244</v>
      </c>
      <c r="Z434">
        <f t="shared" ca="1" si="137"/>
        <v>-0.54305282821334777</v>
      </c>
      <c r="AA434">
        <f t="shared" ca="1" si="138"/>
        <v>163.5367</v>
      </c>
    </row>
    <row r="435" spans="1:27" x14ac:dyDescent="0.25">
      <c r="A435" vm="1268">
        <f ca="1"/>
        <v>45924</v>
      </c>
      <c r="B435" vm="1269">
        <f ca="1"/>
        <v>176.69</v>
      </c>
      <c r="C435" vm="1270">
        <f ca="1"/>
        <v>6676770</v>
      </c>
      <c r="D435">
        <f t="shared" ca="1" si="119"/>
        <v>1179718491.3</v>
      </c>
      <c r="E435">
        <f ca="1">SUM($D$2:D435)/SUM($C$2:C435)</f>
        <v>157.33102131460694</v>
      </c>
      <c r="F435">
        <f ca="1">_xlfn.STDEV.P($B$2:B435)</f>
        <v>8.4592436894556968</v>
      </c>
      <c r="G435">
        <f t="shared" ca="1" si="120"/>
        <v>165.79026500406263</v>
      </c>
      <c r="H435">
        <f t="shared" ca="1" si="121"/>
        <v>148.87177762515125</v>
      </c>
      <c r="I435">
        <f t="shared" ca="1" si="130"/>
        <v>176.9495</v>
      </c>
      <c r="J435">
        <f t="shared" ca="1" si="131"/>
        <v>1.3194236181797439</v>
      </c>
      <c r="K435">
        <f t="shared" ca="1" si="132"/>
        <v>179.58834723635948</v>
      </c>
      <c r="L435">
        <f t="shared" ca="1" si="133"/>
        <v>174.31065276364052</v>
      </c>
      <c r="M435">
        <f t="shared" ca="1" si="122"/>
        <v>0.10999999999998522</v>
      </c>
      <c r="N435">
        <f t="shared" ca="1" si="123"/>
        <v>0.10999999999998522</v>
      </c>
      <c r="O435">
        <f t="shared" ca="1" si="124"/>
        <v>0</v>
      </c>
      <c r="P435">
        <f t="shared" ca="1" si="128"/>
        <v>0.6726622821722924</v>
      </c>
      <c r="Q435">
        <f t="shared" ca="1" si="129"/>
        <v>0.5926632184076599</v>
      </c>
      <c r="R435">
        <f t="shared" ca="1" si="126"/>
        <v>1.1349823327649222</v>
      </c>
      <c r="S435">
        <f t="shared" ca="1" si="127"/>
        <v>53.161204912410504</v>
      </c>
      <c r="T435">
        <f>70</f>
        <v>70</v>
      </c>
      <c r="U435">
        <f>30</f>
        <v>30</v>
      </c>
      <c r="V435">
        <f t="shared" ca="1" si="125"/>
        <v>176.41011626907627</v>
      </c>
      <c r="W435">
        <f t="shared" ca="1" si="135"/>
        <v>175.75614648775169</v>
      </c>
      <c r="X435">
        <f t="shared" ca="1" si="134"/>
        <v>0.71081744557366733</v>
      </c>
      <c r="Y435">
        <f t="shared" ca="1" si="136"/>
        <v>1.0997815767450729</v>
      </c>
      <c r="Z435">
        <f t="shared" ca="1" si="137"/>
        <v>-0.3889641311714056</v>
      </c>
      <c r="AA435">
        <f t="shared" ca="1" si="138"/>
        <v>163.75899999999999</v>
      </c>
    </row>
    <row r="436" spans="1:27" x14ac:dyDescent="0.25">
      <c r="A436" vm="1271">
        <f ca="1"/>
        <v>45925</v>
      </c>
      <c r="B436" vm="1272">
        <f ca="1"/>
        <v>177.73</v>
      </c>
      <c r="C436" vm="1273">
        <f ca="1"/>
        <v>8474975</v>
      </c>
      <c r="D436">
        <f t="shared" ca="1" si="119"/>
        <v>1506257306.75</v>
      </c>
      <c r="E436">
        <f ca="1">SUM($D$2:D436)/SUM($C$2:C436)</f>
        <v>157.38126421823748</v>
      </c>
      <c r="F436">
        <f ca="1">_xlfn.STDEV.P($B$2:B436)</f>
        <v>8.5049150585873097</v>
      </c>
      <c r="G436">
        <f t="shared" ca="1" si="120"/>
        <v>165.88617927682478</v>
      </c>
      <c r="H436">
        <f t="shared" ca="1" si="121"/>
        <v>148.87634915965018</v>
      </c>
      <c r="I436">
        <f t="shared" ca="1" si="130"/>
        <v>176.9965</v>
      </c>
      <c r="J436">
        <f t="shared" ca="1" si="131"/>
        <v>1.3301415634989262</v>
      </c>
      <c r="K436">
        <f t="shared" ca="1" si="132"/>
        <v>179.65678312699785</v>
      </c>
      <c r="L436">
        <f t="shared" ca="1" si="133"/>
        <v>174.33621687300214</v>
      </c>
      <c r="M436">
        <f t="shared" ca="1" si="122"/>
        <v>1.039999999999992</v>
      </c>
      <c r="N436">
        <f t="shared" ca="1" si="123"/>
        <v>1.039999999999992</v>
      </c>
      <c r="O436">
        <f t="shared" ca="1" si="124"/>
        <v>0</v>
      </c>
      <c r="P436">
        <f t="shared" ca="1" si="128"/>
        <v>0.69890069058855675</v>
      </c>
      <c r="Q436">
        <f t="shared" ca="1" si="129"/>
        <v>0.55033013137854137</v>
      </c>
      <c r="R436">
        <f t="shared" ca="1" si="126"/>
        <v>1.2699662452387548</v>
      </c>
      <c r="S436">
        <f t="shared" ca="1" si="127"/>
        <v>55.946481490749214</v>
      </c>
      <c r="T436">
        <f>70</f>
        <v>70</v>
      </c>
      <c r="U436">
        <f>30</f>
        <v>30</v>
      </c>
      <c r="V436">
        <f t="shared" ca="1" si="125"/>
        <v>176.613175304603</v>
      </c>
      <c r="W436">
        <f t="shared" ca="1" si="135"/>
        <v>175.90235785902934</v>
      </c>
      <c r="X436">
        <f t="shared" ca="1" si="134"/>
        <v>0.9052044480984307</v>
      </c>
      <c r="Y436">
        <f t="shared" ca="1" si="136"/>
        <v>1.0608661510157447</v>
      </c>
      <c r="Z436">
        <f t="shared" ca="1" si="137"/>
        <v>-0.15566170291731396</v>
      </c>
      <c r="AA436">
        <f t="shared" ca="1" si="138"/>
        <v>163.9751</v>
      </c>
    </row>
    <row r="437" spans="1:27" x14ac:dyDescent="0.25">
      <c r="A437" vm="1274">
        <f ca="1"/>
        <v>45926</v>
      </c>
      <c r="B437" vm="1275">
        <f ca="1"/>
        <v>179.71</v>
      </c>
      <c r="C437" vm="1276">
        <f ca="1"/>
        <v>8634403</v>
      </c>
      <c r="D437">
        <f t="shared" ca="1" si="119"/>
        <v>1551688563.1300001</v>
      </c>
      <c r="E437">
        <f ca="1">SUM($D$2:D437)/SUM($C$2:C437)</f>
        <v>157.43715444872893</v>
      </c>
      <c r="F437">
        <f ca="1">_xlfn.STDEV.P($B$2:B437)</f>
        <v>8.5611000371173507</v>
      </c>
      <c r="G437">
        <f t="shared" ca="1" si="120"/>
        <v>165.99825448584627</v>
      </c>
      <c r="H437">
        <f t="shared" ca="1" si="121"/>
        <v>148.87605441161159</v>
      </c>
      <c r="I437">
        <f t="shared" ca="1" si="130"/>
        <v>177.20949999999999</v>
      </c>
      <c r="J437">
        <f t="shared" ca="1" si="131"/>
        <v>1.4082519025560134</v>
      </c>
      <c r="K437">
        <f t="shared" ca="1" si="132"/>
        <v>180.02600380511203</v>
      </c>
      <c r="L437">
        <f t="shared" ca="1" si="133"/>
        <v>174.39299619488796</v>
      </c>
      <c r="M437">
        <f t="shared" ca="1" si="122"/>
        <v>1.9800000000000182</v>
      </c>
      <c r="N437">
        <f t="shared" ca="1" si="123"/>
        <v>1.9800000000000182</v>
      </c>
      <c r="O437">
        <f t="shared" ca="1" si="124"/>
        <v>0</v>
      </c>
      <c r="P437">
        <f t="shared" ca="1" si="128"/>
        <v>0.79040778411794688</v>
      </c>
      <c r="Q437">
        <f t="shared" ca="1" si="129"/>
        <v>0.51102083628007411</v>
      </c>
      <c r="R437">
        <f t="shared" ca="1" si="126"/>
        <v>1.5467232018788952</v>
      </c>
      <c r="S437">
        <f t="shared" ca="1" si="127"/>
        <v>60.733855989444379</v>
      </c>
      <c r="T437">
        <f>70</f>
        <v>70</v>
      </c>
      <c r="U437">
        <f>30</f>
        <v>30</v>
      </c>
      <c r="V437">
        <f t="shared" ca="1" si="125"/>
        <v>177.0896098731256</v>
      </c>
      <c r="W437">
        <f t="shared" ca="1" si="135"/>
        <v>176.18440542502717</v>
      </c>
      <c r="X437">
        <f t="shared" ca="1" si="134"/>
        <v>1.1995509093574412</v>
      </c>
      <c r="Y437">
        <f t="shared" ca="1" si="136"/>
        <v>1.0886031026840839</v>
      </c>
      <c r="Z437">
        <f t="shared" ca="1" si="137"/>
        <v>0.11094780667335735</v>
      </c>
      <c r="AA437">
        <f t="shared" ca="1" si="138"/>
        <v>164.22219999999999</v>
      </c>
    </row>
    <row r="438" spans="1:27" x14ac:dyDescent="0.25">
      <c r="A438" vm="1277">
        <f ca="1"/>
        <v>45929</v>
      </c>
      <c r="B438" vm="1278">
        <f ca="1"/>
        <v>181.62</v>
      </c>
      <c r="C438" vm="1279">
        <f ca="1"/>
        <v>8597083</v>
      </c>
      <c r="D438">
        <f t="shared" ca="1" si="119"/>
        <v>1561402214.46</v>
      </c>
      <c r="E438">
        <f ca="1">SUM($D$2:D438)/SUM($C$2:C438)</f>
        <v>157.49727416903949</v>
      </c>
      <c r="F438">
        <f ca="1">_xlfn.STDEV.P($B$2:B438)</f>
        <v>8.6280359877580555</v>
      </c>
      <c r="G438">
        <f t="shared" ca="1" si="120"/>
        <v>166.12531015679755</v>
      </c>
      <c r="H438">
        <f t="shared" ca="1" si="121"/>
        <v>148.86923818128142</v>
      </c>
      <c r="I438">
        <f t="shared" ca="1" si="130"/>
        <v>177.43199999999999</v>
      </c>
      <c r="J438">
        <f t="shared" ca="1" si="131"/>
        <v>1.7189519450739994</v>
      </c>
      <c r="K438">
        <f t="shared" ca="1" si="132"/>
        <v>180.86990389014798</v>
      </c>
      <c r="L438">
        <f t="shared" ca="1" si="133"/>
        <v>173.99409610985199</v>
      </c>
      <c r="M438">
        <f t="shared" ca="1" si="122"/>
        <v>1.9099999999999966</v>
      </c>
      <c r="N438">
        <f t="shared" ca="1" si="123"/>
        <v>1.9099999999999966</v>
      </c>
      <c r="O438">
        <f t="shared" ca="1" si="124"/>
        <v>0</v>
      </c>
      <c r="P438">
        <f t="shared" ca="1" si="128"/>
        <v>0.87037865668095038</v>
      </c>
      <c r="Q438">
        <f t="shared" ca="1" si="129"/>
        <v>0.47451934797435452</v>
      </c>
      <c r="R438">
        <f t="shared" ca="1" si="126"/>
        <v>1.8342321770365202</v>
      </c>
      <c r="S438">
        <f t="shared" ca="1" si="127"/>
        <v>64.717075471015136</v>
      </c>
      <c r="T438">
        <f>70</f>
        <v>70</v>
      </c>
      <c r="U438">
        <f>30</f>
        <v>30</v>
      </c>
      <c r="V438">
        <f t="shared" ca="1" si="125"/>
        <v>177.78659296956781</v>
      </c>
      <c r="W438">
        <f t="shared" ca="1" si="135"/>
        <v>176.58704206021036</v>
      </c>
      <c r="X438">
        <f t="shared" ca="1" si="134"/>
        <v>1.7196280410064446</v>
      </c>
      <c r="Y438">
        <f t="shared" ca="1" si="136"/>
        <v>1.2148080903485561</v>
      </c>
      <c r="Z438">
        <f t="shared" ca="1" si="137"/>
        <v>0.50481995065788854</v>
      </c>
      <c r="AA438">
        <f t="shared" ca="1" si="138"/>
        <v>164.49369999999996</v>
      </c>
    </row>
    <row r="439" spans="1:27" x14ac:dyDescent="0.25">
      <c r="A439" vm="1280">
        <f ca="1"/>
        <v>45930</v>
      </c>
      <c r="B439" vm="1281">
        <f ca="1"/>
        <v>185.42</v>
      </c>
      <c r="C439" vm="1282">
        <f ca="1"/>
        <v>11569019</v>
      </c>
      <c r="D439">
        <f t="shared" ca="1" si="119"/>
        <v>2145127502.9799998</v>
      </c>
      <c r="E439">
        <f ca="1">SUM($D$2:D439)/SUM($C$2:C439)</f>
        <v>157.59037687189522</v>
      </c>
      <c r="F439">
        <f ca="1">_xlfn.STDEV.P($B$2:B439)</f>
        <v>8.7195329246414879</v>
      </c>
      <c r="G439">
        <f t="shared" ca="1" si="120"/>
        <v>166.30990979653672</v>
      </c>
      <c r="H439">
        <f t="shared" ca="1" si="121"/>
        <v>148.87084394725372</v>
      </c>
      <c r="I439">
        <f t="shared" ca="1" si="130"/>
        <v>177.8</v>
      </c>
      <c r="J439">
        <f t="shared" ca="1" si="131"/>
        <v>2.479881151651381</v>
      </c>
      <c r="K439">
        <f t="shared" ca="1" si="132"/>
        <v>182.75976230330278</v>
      </c>
      <c r="L439">
        <f t="shared" ca="1" si="133"/>
        <v>172.84023769669724</v>
      </c>
      <c r="M439">
        <f t="shared" ca="1" si="122"/>
        <v>3.7999999999999829</v>
      </c>
      <c r="N439">
        <f t="shared" ca="1" si="123"/>
        <v>3.7999999999999829</v>
      </c>
      <c r="O439">
        <f t="shared" ca="1" si="124"/>
        <v>0</v>
      </c>
      <c r="P439">
        <f t="shared" ca="1" si="128"/>
        <v>1.0796373240608814</v>
      </c>
      <c r="Q439">
        <f t="shared" ca="1" si="129"/>
        <v>0.44062510883332923</v>
      </c>
      <c r="R439">
        <f t="shared" ca="1" si="126"/>
        <v>2.4502401302538228</v>
      </c>
      <c r="S439">
        <f t="shared" ca="1" si="127"/>
        <v>71.01651009066336</v>
      </c>
      <c r="T439">
        <f>70</f>
        <v>70</v>
      </c>
      <c r="U439">
        <f>30</f>
        <v>30</v>
      </c>
      <c r="V439">
        <f t="shared" ca="1" si="125"/>
        <v>178.96096328194199</v>
      </c>
      <c r="W439">
        <f t="shared" ca="1" si="135"/>
        <v>177.24133524093554</v>
      </c>
      <c r="X439">
        <f t="shared" ca="1" si="134"/>
        <v>2.1577553886972112</v>
      </c>
      <c r="Y439">
        <f t="shared" ca="1" si="136"/>
        <v>1.4033975500182871</v>
      </c>
      <c r="Z439">
        <f t="shared" ca="1" si="137"/>
        <v>0.75435783867892403</v>
      </c>
      <c r="AA439">
        <f t="shared" ca="1" si="138"/>
        <v>164.77489999999995</v>
      </c>
    </row>
    <row r="440" spans="1:27" x14ac:dyDescent="0.25">
      <c r="A440" vm="1283">
        <f ca="1"/>
        <v>45931</v>
      </c>
      <c r="B440" vm="1284">
        <f ca="1"/>
        <v>186.05</v>
      </c>
      <c r="C440" vm="1285">
        <f ca="1"/>
        <v>13063788</v>
      </c>
      <c r="D440">
        <f t="shared" ca="1" si="119"/>
        <v>2430517757.4000001</v>
      </c>
      <c r="E440">
        <f ca="1">SUM($D$2:D440)/SUM($C$2:C440)</f>
        <v>157.69712840425893</v>
      </c>
      <c r="F440">
        <f ca="1">_xlfn.STDEV.P($B$2:B440)</f>
        <v>8.8137699818145077</v>
      </c>
      <c r="G440">
        <f t="shared" ca="1" si="120"/>
        <v>166.51089838607345</v>
      </c>
      <c r="H440">
        <f t="shared" ca="1" si="121"/>
        <v>148.88335842244442</v>
      </c>
      <c r="I440">
        <f t="shared" ca="1" si="130"/>
        <v>178.20250000000001</v>
      </c>
      <c r="J440">
        <f t="shared" ca="1" si="131"/>
        <v>3.0918294277864549</v>
      </c>
      <c r="K440">
        <f t="shared" ca="1" si="132"/>
        <v>184.38615885557292</v>
      </c>
      <c r="L440">
        <f t="shared" ca="1" si="133"/>
        <v>172.01884114442711</v>
      </c>
      <c r="M440">
        <f t="shared" ca="1" si="122"/>
        <v>0.63000000000002387</v>
      </c>
      <c r="N440">
        <f t="shared" ca="1" si="123"/>
        <v>0.63000000000002387</v>
      </c>
      <c r="O440">
        <f t="shared" ca="1" si="124"/>
        <v>0</v>
      </c>
      <c r="P440">
        <f t="shared" ca="1" si="128"/>
        <v>1.0475203723422488</v>
      </c>
      <c r="Q440">
        <f t="shared" ca="1" si="129"/>
        <v>0.40915188677380571</v>
      </c>
      <c r="R440">
        <f t="shared" ca="1" si="126"/>
        <v>2.5602237364760261</v>
      </c>
      <c r="S440">
        <f t="shared" ca="1" si="127"/>
        <v>71.911877622898544</v>
      </c>
      <c r="T440">
        <f>70</f>
        <v>70</v>
      </c>
      <c r="U440">
        <f>30</f>
        <v>30</v>
      </c>
      <c r="V440">
        <f t="shared" ca="1" si="125"/>
        <v>180.05158431548938</v>
      </c>
      <c r="W440">
        <f t="shared" ca="1" si="135"/>
        <v>177.89382892679217</v>
      </c>
      <c r="X440">
        <f t="shared" ca="1" si="134"/>
        <v>2.470843705107967</v>
      </c>
      <c r="Y440">
        <f t="shared" ca="1" si="136"/>
        <v>1.6168867810362231</v>
      </c>
      <c r="Z440">
        <f t="shared" ca="1" si="137"/>
        <v>0.85395692407174395</v>
      </c>
      <c r="AA440">
        <f t="shared" ca="1" si="138"/>
        <v>165.07879999999997</v>
      </c>
    </row>
    <row r="441" spans="1:27" x14ac:dyDescent="0.25">
      <c r="A441" vm="1286">
        <f ca="1"/>
        <v>45932</v>
      </c>
      <c r="B441" vm="1287">
        <f ca="1"/>
        <v>185.98</v>
      </c>
      <c r="C441" vm="1288">
        <f ca="1"/>
        <v>7728069</v>
      </c>
      <c r="D441">
        <f t="shared" ca="1" si="119"/>
        <v>1437266272.6199999</v>
      </c>
      <c r="E441">
        <f ca="1">SUM($D$2:D441)/SUM($C$2:C441)</f>
        <v>157.75974763574254</v>
      </c>
      <c r="F441">
        <f ca="1">_xlfn.STDEV.P($B$2:B441)</f>
        <v>8.9056203323593497</v>
      </c>
      <c r="G441">
        <f t="shared" ca="1" si="120"/>
        <v>166.66536796810189</v>
      </c>
      <c r="H441">
        <f t="shared" ca="1" si="121"/>
        <v>148.85412730338319</v>
      </c>
      <c r="I441">
        <f t="shared" ca="1" si="130"/>
        <v>178.56350000000003</v>
      </c>
      <c r="J441">
        <f t="shared" ca="1" si="131"/>
        <v>3.5481726579362376</v>
      </c>
      <c r="K441">
        <f t="shared" ca="1" si="132"/>
        <v>185.6598453158725</v>
      </c>
      <c r="L441">
        <f t="shared" ca="1" si="133"/>
        <v>171.46715468412756</v>
      </c>
      <c r="M441">
        <f t="shared" ca="1" si="122"/>
        <v>-7.00000000000216E-2</v>
      </c>
      <c r="N441">
        <f t="shared" ca="1" si="123"/>
        <v>0</v>
      </c>
      <c r="O441">
        <f t="shared" ca="1" si="124"/>
        <v>7.00000000000216E-2</v>
      </c>
      <c r="P441">
        <f t="shared" ca="1" si="128"/>
        <v>0.97269748860351679</v>
      </c>
      <c r="Q441">
        <f t="shared" ca="1" si="129"/>
        <v>0.38492675200424969</v>
      </c>
      <c r="R441">
        <f t="shared" ca="1" si="126"/>
        <v>2.5269677504586068</v>
      </c>
      <c r="S441">
        <f t="shared" ca="1" si="127"/>
        <v>71.647033067711732</v>
      </c>
      <c r="T441">
        <f>70</f>
        <v>70</v>
      </c>
      <c r="U441">
        <f>30</f>
        <v>30</v>
      </c>
      <c r="V441">
        <f t="shared" ca="1" si="125"/>
        <v>180.96364826695256</v>
      </c>
      <c r="W441">
        <f t="shared" ca="1" si="135"/>
        <v>178.49280456184459</v>
      </c>
      <c r="X441">
        <f t="shared" ca="1" si="134"/>
        <v>2.9001767882775482</v>
      </c>
      <c r="Y441">
        <f t="shared" ca="1" si="136"/>
        <v>1.8735447824844882</v>
      </c>
      <c r="Z441">
        <f t="shared" ca="1" si="137"/>
        <v>1.02663200579306</v>
      </c>
      <c r="AA441">
        <f t="shared" ca="1" si="138"/>
        <v>165.3964</v>
      </c>
    </row>
    <row r="442" spans="1:27" x14ac:dyDescent="0.25">
      <c r="A442" vm="1289">
        <f ca="1"/>
        <v>45933</v>
      </c>
      <c r="B442" vm="1290">
        <f ca="1"/>
        <v>188.64</v>
      </c>
      <c r="C442" vm="1291">
        <f ca="1"/>
        <v>8675087</v>
      </c>
      <c r="D442">
        <f t="shared" ca="1" si="119"/>
        <v>1636468411.6799998</v>
      </c>
      <c r="E442">
        <f ca="1">SUM($D$2:D442)/SUM($C$2:C442)</f>
        <v>157.83630551363078</v>
      </c>
      <c r="F442">
        <f ca="1">_xlfn.STDEV.P($B$2:B442)</f>
        <v>9.0153643741372775</v>
      </c>
      <c r="G442">
        <f t="shared" ca="1" si="120"/>
        <v>166.85166988776805</v>
      </c>
      <c r="H442">
        <f t="shared" ca="1" si="121"/>
        <v>148.8209411394935</v>
      </c>
      <c r="I442">
        <f t="shared" ca="1" si="130"/>
        <v>179.07400000000001</v>
      </c>
      <c r="J442">
        <f t="shared" ca="1" si="131"/>
        <v>4.2021728715160256</v>
      </c>
      <c r="K442">
        <f t="shared" ca="1" si="132"/>
        <v>187.47834574303207</v>
      </c>
      <c r="L442">
        <f t="shared" ca="1" si="133"/>
        <v>170.66965425696796</v>
      </c>
      <c r="M442">
        <f t="shared" ca="1" si="122"/>
        <v>2.6599999999999966</v>
      </c>
      <c r="N442">
        <f t="shared" ca="1" si="123"/>
        <v>2.6599999999999966</v>
      </c>
      <c r="O442">
        <f t="shared" ca="1" si="124"/>
        <v>0</v>
      </c>
      <c r="P442">
        <f t="shared" ca="1" si="128"/>
        <v>1.0932190965604083</v>
      </c>
      <c r="Q442">
        <f t="shared" ca="1" si="129"/>
        <v>0.3574319840039461</v>
      </c>
      <c r="R442">
        <f t="shared" ca="1" si="126"/>
        <v>3.0585374154662639</v>
      </c>
      <c r="S442">
        <f t="shared" ca="1" si="127"/>
        <v>75.36058196262519</v>
      </c>
      <c r="T442">
        <f>70</f>
        <v>70</v>
      </c>
      <c r="U442">
        <f>30</f>
        <v>30</v>
      </c>
      <c r="V442">
        <f t="shared" ca="1" si="125"/>
        <v>182.14462545665216</v>
      </c>
      <c r="W442">
        <f t="shared" ca="1" si="135"/>
        <v>179.24444866837462</v>
      </c>
      <c r="X442">
        <f t="shared" ca="1" si="134"/>
        <v>3.1652078159656583</v>
      </c>
      <c r="Y442">
        <f t="shared" ca="1" si="136"/>
        <v>2.1318773891807226</v>
      </c>
      <c r="Z442">
        <f t="shared" ca="1" si="137"/>
        <v>1.0333304267849357</v>
      </c>
      <c r="AA442">
        <f t="shared" ca="1" si="138"/>
        <v>165.7414</v>
      </c>
    </row>
    <row r="443" spans="1:27" x14ac:dyDescent="0.25">
      <c r="A443" vm="1292">
        <f ca="1"/>
        <v>45936</v>
      </c>
      <c r="B443" vm="1293">
        <f ca="1"/>
        <v>188.16</v>
      </c>
      <c r="C443" vm="1294">
        <f ca="1"/>
        <v>5806089</v>
      </c>
      <c r="D443">
        <f t="shared" ca="1" si="119"/>
        <v>1092473706.24</v>
      </c>
      <c r="E443">
        <f ca="1">SUM($D$2:D443)/SUM($C$2:C443)</f>
        <v>157.88653757381948</v>
      </c>
      <c r="F443">
        <f ca="1">_xlfn.STDEV.P($B$2:B443)</f>
        <v>9.1191473104104741</v>
      </c>
      <c r="G443">
        <f t="shared" ca="1" si="120"/>
        <v>167.00568488422996</v>
      </c>
      <c r="H443">
        <f t="shared" ca="1" si="121"/>
        <v>148.767390263409</v>
      </c>
      <c r="I443">
        <f t="shared" ca="1" si="130"/>
        <v>179.57549999999998</v>
      </c>
      <c r="J443">
        <f t="shared" ca="1" si="131"/>
        <v>4.6574281077594044</v>
      </c>
      <c r="K443">
        <f t="shared" ca="1" si="132"/>
        <v>188.89035621551878</v>
      </c>
      <c r="L443">
        <f t="shared" ca="1" si="133"/>
        <v>170.26064378448118</v>
      </c>
      <c r="M443">
        <f t="shared" ca="1" si="122"/>
        <v>-0.47999999999998977</v>
      </c>
      <c r="N443">
        <f t="shared" ca="1" si="123"/>
        <v>0</v>
      </c>
      <c r="O443">
        <f t="shared" ca="1" si="124"/>
        <v>0.47999999999998977</v>
      </c>
      <c r="P443">
        <f t="shared" ca="1" si="128"/>
        <v>1.0151320182346648</v>
      </c>
      <c r="Q443">
        <f t="shared" ca="1" si="129"/>
        <v>0.36618684228937776</v>
      </c>
      <c r="R443">
        <f t="shared" ca="1" si="126"/>
        <v>2.7721695620960096</v>
      </c>
      <c r="S443">
        <f t="shared" ca="1" si="127"/>
        <v>73.490057020545251</v>
      </c>
      <c r="T443">
        <f>70</f>
        <v>70</v>
      </c>
      <c r="U443">
        <f>30</f>
        <v>30</v>
      </c>
      <c r="V443">
        <f t="shared" ca="1" si="125"/>
        <v>183.07006769409028</v>
      </c>
      <c r="W443">
        <f t="shared" ca="1" si="135"/>
        <v>179.90485987812463</v>
      </c>
      <c r="X443">
        <f t="shared" ca="1" si="134"/>
        <v>3.3950160819210851</v>
      </c>
      <c r="Y443">
        <f t="shared" ca="1" si="136"/>
        <v>2.3845051277287954</v>
      </c>
      <c r="Z443">
        <f t="shared" ca="1" si="137"/>
        <v>1.0105109541922896</v>
      </c>
      <c r="AA443">
        <f t="shared" ca="1" si="138"/>
        <v>166.13859999999997</v>
      </c>
    </row>
    <row r="444" spans="1:27" x14ac:dyDescent="0.25">
      <c r="A444" vm="1295">
        <f ca="1"/>
        <v>45937</v>
      </c>
      <c r="B444" vm="1296">
        <f ca="1"/>
        <v>188.89</v>
      </c>
      <c r="C444" vm="1297">
        <f ca="1"/>
        <v>8776784</v>
      </c>
      <c r="D444">
        <f t="shared" ca="1" si="119"/>
        <v>1657846729.76</v>
      </c>
      <c r="E444">
        <f ca="1">SUM($D$2:D444)/SUM($C$2:C444)</f>
        <v>157.96397923187135</v>
      </c>
      <c r="F444">
        <f ca="1">_xlfn.STDEV.P($B$2:B444)</f>
        <v>9.2262425372789121</v>
      </c>
      <c r="G444">
        <f t="shared" ca="1" si="120"/>
        <v>167.19022176915027</v>
      </c>
      <c r="H444">
        <f t="shared" ca="1" si="121"/>
        <v>148.73773669459243</v>
      </c>
      <c r="I444">
        <f t="shared" ca="1" si="130"/>
        <v>180.17199999999997</v>
      </c>
      <c r="J444">
        <f t="shared" ca="1" si="131"/>
        <v>5.0520653410784666</v>
      </c>
      <c r="K444">
        <f t="shared" ca="1" si="132"/>
        <v>190.27613068215689</v>
      </c>
      <c r="L444">
        <f t="shared" ca="1" si="133"/>
        <v>170.06786931784305</v>
      </c>
      <c r="M444">
        <f t="shared" ca="1" si="122"/>
        <v>0.72999999999998977</v>
      </c>
      <c r="N444">
        <f t="shared" ca="1" si="123"/>
        <v>0.72999999999998977</v>
      </c>
      <c r="O444">
        <f t="shared" ca="1" si="124"/>
        <v>0</v>
      </c>
      <c r="P444">
        <f t="shared" ca="1" si="128"/>
        <v>0.99476544550361656</v>
      </c>
      <c r="Q444">
        <f t="shared" ca="1" si="129"/>
        <v>0.34003063926870791</v>
      </c>
      <c r="R444">
        <f t="shared" ca="1" si="126"/>
        <v>2.9255170876454666</v>
      </c>
      <c r="S444">
        <f t="shared" ca="1" si="127"/>
        <v>74.525649037492741</v>
      </c>
      <c r="T444">
        <f>70</f>
        <v>70</v>
      </c>
      <c r="U444">
        <f>30</f>
        <v>30</v>
      </c>
      <c r="V444">
        <f t="shared" ca="1" si="125"/>
        <v>183.96544189499946</v>
      </c>
      <c r="W444">
        <f t="shared" ca="1" si="135"/>
        <v>180.57042581307837</v>
      </c>
      <c r="X444">
        <f t="shared" ca="1" si="134"/>
        <v>3.6001933149981937</v>
      </c>
      <c r="Y444">
        <f t="shared" ca="1" si="136"/>
        <v>2.6276427651826753</v>
      </c>
      <c r="Z444">
        <f t="shared" ca="1" si="137"/>
        <v>0.97255054981551847</v>
      </c>
      <c r="AA444">
        <f t="shared" ca="1" si="138"/>
        <v>166.56389999999999</v>
      </c>
    </row>
    <row r="445" spans="1:27" x14ac:dyDescent="0.25">
      <c r="A445" vm="1298">
        <f ca="1"/>
        <v>45938</v>
      </c>
      <c r="B445" vm="1299">
        <f ca="1"/>
        <v>189.69</v>
      </c>
      <c r="C445" vm="1300">
        <f ca="1"/>
        <v>5751163</v>
      </c>
      <c r="D445">
        <f t="shared" ca="1" si="119"/>
        <v>1090938109.47</v>
      </c>
      <c r="E445">
        <f ca="1">SUM($D$2:D445)/SUM($C$2:C445)</f>
        <v>158.01582222423994</v>
      </c>
      <c r="F445">
        <f ca="1">_xlfn.STDEV.P($B$2:B445)</f>
        <v>9.3371339135944762</v>
      </c>
      <c r="G445">
        <f t="shared" ca="1" si="120"/>
        <v>167.35295613783441</v>
      </c>
      <c r="H445">
        <f t="shared" ca="1" si="121"/>
        <v>148.67868831064547</v>
      </c>
      <c r="I445">
        <f t="shared" ca="1" si="130"/>
        <v>180.86700000000002</v>
      </c>
      <c r="J445">
        <f t="shared" ca="1" si="131"/>
        <v>5.3639823187431777</v>
      </c>
      <c r="K445">
        <f t="shared" ca="1" si="132"/>
        <v>191.59496463748638</v>
      </c>
      <c r="L445">
        <f t="shared" ca="1" si="133"/>
        <v>170.13903536251365</v>
      </c>
      <c r="M445">
        <f t="shared" ca="1" si="122"/>
        <v>0.80000000000001137</v>
      </c>
      <c r="N445">
        <f t="shared" ca="1" si="123"/>
        <v>0.80000000000001137</v>
      </c>
      <c r="O445">
        <f t="shared" ca="1" si="124"/>
        <v>0</v>
      </c>
      <c r="P445">
        <f t="shared" ca="1" si="128"/>
        <v>0.98085362796764475</v>
      </c>
      <c r="Q445">
        <f t="shared" ca="1" si="129"/>
        <v>0.31574273646380024</v>
      </c>
      <c r="R445">
        <f t="shared" ca="1" si="126"/>
        <v>3.1064962537312373</v>
      </c>
      <c r="S445">
        <f t="shared" ca="1" si="127"/>
        <v>75.648340136889644</v>
      </c>
      <c r="T445">
        <f>70</f>
        <v>70</v>
      </c>
      <c r="U445">
        <f>30</f>
        <v>30</v>
      </c>
      <c r="V445">
        <f t="shared" ca="1" si="125"/>
        <v>184.84614314192262</v>
      </c>
      <c r="W445">
        <f t="shared" ca="1" si="135"/>
        <v>181.24594982692443</v>
      </c>
      <c r="X445">
        <f t="shared" ca="1" si="134"/>
        <v>3.8308000552723342</v>
      </c>
      <c r="Y445">
        <f t="shared" ca="1" si="136"/>
        <v>2.8682742232006073</v>
      </c>
      <c r="Z445">
        <f t="shared" ca="1" si="137"/>
        <v>0.96252583207172693</v>
      </c>
      <c r="AA445">
        <f t="shared" ca="1" si="138"/>
        <v>166.96469999999997</v>
      </c>
    </row>
    <row r="446" spans="1:27" x14ac:dyDescent="0.25">
      <c r="A446" vm="1301">
        <f ca="1"/>
        <v>45939</v>
      </c>
      <c r="B446" vm="1302">
        <f ca="1"/>
        <v>191.08</v>
      </c>
      <c r="C446" vm="1303">
        <f ca="1"/>
        <v>7484764</v>
      </c>
      <c r="D446">
        <f t="shared" ca="1" si="119"/>
        <v>1430188705.1200001</v>
      </c>
      <c r="E446">
        <f ca="1">SUM($D$2:D446)/SUM($C$2:C446)</f>
        <v>158.08598907829989</v>
      </c>
      <c r="F446">
        <f ca="1">_xlfn.STDEV.P($B$2:B446)</f>
        <v>9.4563405758639796</v>
      </c>
      <c r="G446">
        <f t="shared" ca="1" si="120"/>
        <v>167.54232965416386</v>
      </c>
      <c r="H446">
        <f t="shared" ca="1" si="121"/>
        <v>148.62964850243591</v>
      </c>
      <c r="I446">
        <f t="shared" ca="1" si="130"/>
        <v>181.49600000000001</v>
      </c>
      <c r="J446">
        <f t="shared" ca="1" si="131"/>
        <v>5.7922983348581054</v>
      </c>
      <c r="K446">
        <f t="shared" ca="1" si="132"/>
        <v>193.08059666971621</v>
      </c>
      <c r="L446">
        <f t="shared" ca="1" si="133"/>
        <v>169.9114033302838</v>
      </c>
      <c r="M446">
        <f t="shared" ca="1" si="122"/>
        <v>1.3900000000000148</v>
      </c>
      <c r="N446">
        <f t="shared" ca="1" si="123"/>
        <v>1.3900000000000148</v>
      </c>
      <c r="O446">
        <f t="shared" ca="1" si="124"/>
        <v>0</v>
      </c>
      <c r="P446">
        <f t="shared" ca="1" si="128"/>
        <v>1.0100783688270998</v>
      </c>
      <c r="Q446">
        <f t="shared" ca="1" si="129"/>
        <v>0.29318968385924304</v>
      </c>
      <c r="R446">
        <f t="shared" ca="1" si="126"/>
        <v>3.445136116426343</v>
      </c>
      <c r="S446">
        <f t="shared" ca="1" si="127"/>
        <v>77.503501044554113</v>
      </c>
      <c r="T446">
        <f>70</f>
        <v>70</v>
      </c>
      <c r="U446">
        <f>30</f>
        <v>30</v>
      </c>
      <c r="V446">
        <f t="shared" ca="1" si="125"/>
        <v>185.80519804316532</v>
      </c>
      <c r="W446">
        <f t="shared" ca="1" si="135"/>
        <v>181.97439798789298</v>
      </c>
      <c r="X446">
        <f t="shared" ca="1" si="134"/>
        <v>3.9391010619796987</v>
      </c>
      <c r="Y446">
        <f t="shared" ca="1" si="136"/>
        <v>3.0824395909564259</v>
      </c>
      <c r="Z446">
        <f t="shared" ca="1" si="137"/>
        <v>0.85666147102327272</v>
      </c>
      <c r="AA446">
        <f t="shared" ca="1" si="138"/>
        <v>167.36219999999997</v>
      </c>
    </row>
    <row r="447" spans="1:27" x14ac:dyDescent="0.25">
      <c r="A447" vm="1304">
        <f ca="1"/>
        <v>45940</v>
      </c>
      <c r="B447" vm="1305">
        <f ca="1"/>
        <v>190.72</v>
      </c>
      <c r="C447" vm="1306">
        <f ca="1"/>
        <v>9598019</v>
      </c>
      <c r="D447">
        <f t="shared" ca="1" si="119"/>
        <v>1830534183.6800001</v>
      </c>
      <c r="E447">
        <f ca="1">SUM($D$2:D447)/SUM($C$2:C447)</f>
        <v>158.17455527241418</v>
      </c>
      <c r="F447">
        <f ca="1">_xlfn.STDEV.P($B$2:B447)</f>
        <v>9.5702169610481622</v>
      </c>
      <c r="G447">
        <f t="shared" ca="1" si="120"/>
        <v>167.74477223346236</v>
      </c>
      <c r="H447">
        <f t="shared" ca="1" si="121"/>
        <v>148.60433831136601</v>
      </c>
      <c r="I447">
        <f t="shared" ca="1" si="130"/>
        <v>182.12899999999996</v>
      </c>
      <c r="J447">
        <f t="shared" ca="1" si="131"/>
        <v>6.0815769250036471</v>
      </c>
      <c r="K447">
        <f t="shared" ca="1" si="132"/>
        <v>194.29215385000725</v>
      </c>
      <c r="L447">
        <f t="shared" ca="1" si="133"/>
        <v>169.96584614999267</v>
      </c>
      <c r="M447">
        <f t="shared" ca="1" si="122"/>
        <v>-0.36000000000001364</v>
      </c>
      <c r="N447">
        <f t="shared" ca="1" si="123"/>
        <v>0</v>
      </c>
      <c r="O447">
        <f t="shared" ca="1" si="124"/>
        <v>0.36000000000001364</v>
      </c>
      <c r="P447">
        <f t="shared" ca="1" si="128"/>
        <v>0.93792991391087832</v>
      </c>
      <c r="Q447">
        <f t="shared" ca="1" si="129"/>
        <v>0.29796184929786956</v>
      </c>
      <c r="R447">
        <f t="shared" ca="1" si="126"/>
        <v>3.1478188100961844</v>
      </c>
      <c r="S447">
        <f t="shared" ca="1" si="127"/>
        <v>75.89094302851646</v>
      </c>
      <c r="T447">
        <f>70</f>
        <v>70</v>
      </c>
      <c r="U447">
        <f>30</f>
        <v>30</v>
      </c>
      <c r="V447">
        <f t="shared" ca="1" si="125"/>
        <v>186.56132142113989</v>
      </c>
      <c r="W447">
        <f t="shared" ca="1" si="135"/>
        <v>182.6222203591602</v>
      </c>
      <c r="X447">
        <f t="shared" ca="1" si="134"/>
        <v>3.9934212118275809</v>
      </c>
      <c r="Y447">
        <f t="shared" ca="1" si="136"/>
        <v>3.2646359151306572</v>
      </c>
      <c r="Z447">
        <f t="shared" ca="1" si="137"/>
        <v>0.72878529669692371</v>
      </c>
      <c r="AA447">
        <f t="shared" ca="1" si="138"/>
        <v>167.74450000000002</v>
      </c>
    </row>
    <row r="448" spans="1:27" x14ac:dyDescent="0.25">
      <c r="A448" vm="1307">
        <f ca="1"/>
        <v>45943</v>
      </c>
      <c r="B448" vm="1308">
        <f ca="1"/>
        <v>190.9</v>
      </c>
      <c r="C448" vm="1309">
        <f ca="1"/>
        <v>7979476</v>
      </c>
      <c r="D448">
        <f t="shared" ca="1" si="119"/>
        <v>1523281968.4000001</v>
      </c>
      <c r="E448">
        <f ca="1">SUM($D$2:D448)/SUM($C$2:C448)</f>
        <v>158.24822635851942</v>
      </c>
      <c r="F448">
        <f ca="1">_xlfn.STDEV.P($B$2:B448)</f>
        <v>9.6830583599055746</v>
      </c>
      <c r="G448">
        <f t="shared" ca="1" si="120"/>
        <v>167.93128471842499</v>
      </c>
      <c r="H448">
        <f t="shared" ca="1" si="121"/>
        <v>148.56516799861384</v>
      </c>
      <c r="I448">
        <f t="shared" ca="1" si="130"/>
        <v>182.804</v>
      </c>
      <c r="J448">
        <f t="shared" ca="1" si="131"/>
        <v>6.2751828658613595</v>
      </c>
      <c r="K448">
        <f t="shared" ca="1" si="132"/>
        <v>195.35436573172271</v>
      </c>
      <c r="L448">
        <f t="shared" ca="1" si="133"/>
        <v>170.2536342682773</v>
      </c>
      <c r="M448">
        <f t="shared" ca="1" si="122"/>
        <v>0.18000000000000682</v>
      </c>
      <c r="N448">
        <f t="shared" ca="1" si="123"/>
        <v>0.18000000000000682</v>
      </c>
      <c r="O448">
        <f t="shared" ca="1" si="124"/>
        <v>0</v>
      </c>
      <c r="P448">
        <f t="shared" ca="1" si="128"/>
        <v>0.88379206291724466</v>
      </c>
      <c r="Q448">
        <f t="shared" ca="1" si="129"/>
        <v>0.27667886006230746</v>
      </c>
      <c r="R448">
        <f t="shared" ca="1" si="126"/>
        <v>3.194288362754627</v>
      </c>
      <c r="S448">
        <f t="shared" ca="1" si="127"/>
        <v>76.158053202063499</v>
      </c>
      <c r="T448">
        <f>70</f>
        <v>70</v>
      </c>
      <c r="U448">
        <f>30</f>
        <v>30</v>
      </c>
      <c r="V448">
        <f t="shared" ca="1" si="125"/>
        <v>187.2288104332722</v>
      </c>
      <c r="W448">
        <f t="shared" ca="1" si="135"/>
        <v>183.23538922144462</v>
      </c>
      <c r="X448">
        <f t="shared" ca="1" si="134"/>
        <v>3.9864820561605256</v>
      </c>
      <c r="Y448">
        <f t="shared" ca="1" si="136"/>
        <v>3.4090051433366311</v>
      </c>
      <c r="Z448">
        <f t="shared" ca="1" si="137"/>
        <v>0.57747691282389457</v>
      </c>
      <c r="AA448">
        <f t="shared" ca="1" si="138"/>
        <v>168.11690000000002</v>
      </c>
    </row>
    <row r="449" spans="1:27" x14ac:dyDescent="0.25">
      <c r="A449" vm="1310">
        <f ca="1"/>
        <v>45944</v>
      </c>
      <c r="B449" vm="1311">
        <f ca="1"/>
        <v>190.85</v>
      </c>
      <c r="C449" vm="1312">
        <f ca="1"/>
        <v>13613340</v>
      </c>
      <c r="D449">
        <f t="shared" ca="1" si="119"/>
        <v>2598105939</v>
      </c>
      <c r="E449">
        <f ca="1">SUM($D$2:D449)/SUM($C$2:C449)</f>
        <v>158.37295847583047</v>
      </c>
      <c r="F449">
        <f ca="1">_xlfn.STDEV.P($B$2:B449)</f>
        <v>9.7931940674811209</v>
      </c>
      <c r="G449">
        <f t="shared" ca="1" si="120"/>
        <v>168.1661525433116</v>
      </c>
      <c r="H449">
        <f t="shared" ca="1" si="121"/>
        <v>148.57976440834935</v>
      </c>
      <c r="I449">
        <f t="shared" ca="1" si="130"/>
        <v>183.52349999999996</v>
      </c>
      <c r="J449">
        <f t="shared" ca="1" si="131"/>
        <v>6.3341956453589425</v>
      </c>
      <c r="K449">
        <f t="shared" ca="1" si="132"/>
        <v>196.19189129071785</v>
      </c>
      <c r="L449">
        <f t="shared" ca="1" si="133"/>
        <v>170.85510870928206</v>
      </c>
      <c r="M449">
        <f t="shared" ca="1" si="122"/>
        <v>-5.0000000000011369E-2</v>
      </c>
      <c r="N449">
        <f t="shared" ca="1" si="123"/>
        <v>0</v>
      </c>
      <c r="O449">
        <f t="shared" ca="1" si="124"/>
        <v>5.0000000000011369E-2</v>
      </c>
      <c r="P449">
        <f t="shared" ca="1" si="128"/>
        <v>0.82066405842315582</v>
      </c>
      <c r="Q449">
        <f t="shared" ca="1" si="129"/>
        <v>0.26048751291500061</v>
      </c>
      <c r="R449">
        <f t="shared" ca="1" si="126"/>
        <v>3.1504928940334493</v>
      </c>
      <c r="S449">
        <f t="shared" ca="1" si="127"/>
        <v>75.906476037158086</v>
      </c>
      <c r="T449">
        <f>70</f>
        <v>70</v>
      </c>
      <c r="U449">
        <f>30</f>
        <v>30</v>
      </c>
      <c r="V449">
        <f t="shared" ca="1" si="125"/>
        <v>187.78591652046109</v>
      </c>
      <c r="W449">
        <f t="shared" ca="1" si="135"/>
        <v>183.79943446430056</v>
      </c>
      <c r="X449">
        <f t="shared" ca="1" si="134"/>
        <v>3.9611424663226558</v>
      </c>
      <c r="Y449">
        <f t="shared" ca="1" si="136"/>
        <v>3.5194326079338363</v>
      </c>
      <c r="Z449">
        <f t="shared" ca="1" si="137"/>
        <v>0.44170985838881949</v>
      </c>
      <c r="AA449">
        <f t="shared" ca="1" si="138"/>
        <v>168.49359999999996</v>
      </c>
    </row>
    <row r="450" spans="1:27" x14ac:dyDescent="0.25">
      <c r="A450" vm="1313">
        <f ca="1"/>
        <v>45945</v>
      </c>
      <c r="B450" vm="1314">
        <f ca="1"/>
        <v>191.17</v>
      </c>
      <c r="C450" vm="1315">
        <f ca="1"/>
        <v>9472995</v>
      </c>
      <c r="D450">
        <f t="shared" ca="1" si="119"/>
        <v>1810952454.1499999</v>
      </c>
      <c r="E450">
        <f ca="1">SUM($D$2:D450)/SUM($C$2:C450)</f>
        <v>158.46004273471428</v>
      </c>
      <c r="F450">
        <f ca="1">_xlfn.STDEV.P($B$2:B450)</f>
        <v>9.903435131640439</v>
      </c>
      <c r="G450">
        <f t="shared" ca="1" si="120"/>
        <v>168.36347786635471</v>
      </c>
      <c r="H450">
        <f t="shared" ca="1" si="121"/>
        <v>148.55660760307384</v>
      </c>
      <c r="I450">
        <f t="shared" ca="1" si="130"/>
        <v>184.22200000000001</v>
      </c>
      <c r="J450">
        <f t="shared" ca="1" si="131"/>
        <v>6.3703380064004014</v>
      </c>
      <c r="K450">
        <f t="shared" ca="1" si="132"/>
        <v>196.96267601280081</v>
      </c>
      <c r="L450">
        <f t="shared" ca="1" si="133"/>
        <v>171.4813239871992</v>
      </c>
      <c r="M450">
        <f t="shared" ca="1" si="122"/>
        <v>0.31999999999999318</v>
      </c>
      <c r="N450">
        <f t="shared" ca="1" si="123"/>
        <v>0.31999999999999318</v>
      </c>
      <c r="O450">
        <f t="shared" ca="1" si="124"/>
        <v>0</v>
      </c>
      <c r="P450">
        <f t="shared" ca="1" si="128"/>
        <v>0.78490233996435854</v>
      </c>
      <c r="Q450">
        <f t="shared" ca="1" si="129"/>
        <v>0.24188126199250057</v>
      </c>
      <c r="R450">
        <f t="shared" ca="1" si="126"/>
        <v>3.2449902629857048</v>
      </c>
      <c r="S450">
        <f t="shared" ca="1" si="127"/>
        <v>76.442819934841211</v>
      </c>
      <c r="T450">
        <f>70</f>
        <v>70</v>
      </c>
      <c r="U450">
        <f>30</f>
        <v>30</v>
      </c>
      <c r="V450">
        <f t="shared" ca="1" si="125"/>
        <v>188.30654474808244</v>
      </c>
      <c r="W450">
        <f t="shared" ca="1" si="135"/>
        <v>184.34540228175979</v>
      </c>
      <c r="X450">
        <f t="shared" ca="1" si="134"/>
        <v>3.9719317624175403</v>
      </c>
      <c r="Y450">
        <f t="shared" ca="1" si="136"/>
        <v>3.6099324388305774</v>
      </c>
      <c r="Z450">
        <f t="shared" ca="1" si="137"/>
        <v>0.36199932358696296</v>
      </c>
      <c r="AA450">
        <f t="shared" ca="1" si="138"/>
        <v>168.87919999999994</v>
      </c>
    </row>
    <row r="451" spans="1:27" x14ac:dyDescent="0.25">
      <c r="A451" vm="1316">
        <f ca="1"/>
        <v>45946</v>
      </c>
      <c r="B451" vm="1317">
        <f ca="1"/>
        <v>192.12</v>
      </c>
      <c r="C451" vm="1318">
        <f ca="1"/>
        <v>10611760</v>
      </c>
      <c r="D451">
        <f t="shared" ref="D451:D514" ca="1" si="139">B451*C451</f>
        <v>2038731331.2</v>
      </c>
      <c r="E451">
        <f ca="1">SUM($D$2:D451)/SUM($C$2:C451)</f>
        <v>158.55986531617344</v>
      </c>
      <c r="F451">
        <f ca="1">_xlfn.STDEV.P($B$2:B451)</f>
        <v>10.018427320852805</v>
      </c>
      <c r="G451">
        <f t="shared" ref="G451:G514" ca="1" si="140">E451 + F451</f>
        <v>168.57829263702624</v>
      </c>
      <c r="H451">
        <f t="shared" ref="H451:H514" ca="1" si="141">E451 - F451</f>
        <v>148.54143799532065</v>
      </c>
      <c r="I451">
        <f t="shared" ca="1" si="130"/>
        <v>185.11999999999998</v>
      </c>
      <c r="J451">
        <f t="shared" ca="1" si="131"/>
        <v>6.1389584235695693</v>
      </c>
      <c r="K451">
        <f t="shared" ca="1" si="132"/>
        <v>197.39791684713913</v>
      </c>
      <c r="L451">
        <f t="shared" ca="1" si="133"/>
        <v>172.84208315286082</v>
      </c>
      <c r="M451">
        <f t="shared" ca="1" si="122"/>
        <v>0.95000000000001705</v>
      </c>
      <c r="N451">
        <f t="shared" ca="1" si="123"/>
        <v>0.95000000000001705</v>
      </c>
      <c r="O451">
        <f t="shared" ca="1" si="124"/>
        <v>0</v>
      </c>
      <c r="P451">
        <f t="shared" ca="1" si="128"/>
        <v>0.79669502996690567</v>
      </c>
      <c r="Q451">
        <f t="shared" ca="1" si="129"/>
        <v>0.22460402899303625</v>
      </c>
      <c r="R451">
        <f t="shared" ca="1" si="126"/>
        <v>3.5471092550686474</v>
      </c>
      <c r="S451">
        <f t="shared" ca="1" si="127"/>
        <v>78.008005880102758</v>
      </c>
      <c r="T451">
        <f>70</f>
        <v>70</v>
      </c>
      <c r="U451">
        <f>30</f>
        <v>30</v>
      </c>
      <c r="V451">
        <f t="shared" ca="1" si="125"/>
        <v>188.89323017145438</v>
      </c>
      <c r="W451">
        <f t="shared" ca="1" si="135"/>
        <v>184.92129840903684</v>
      </c>
      <c r="X451">
        <f t="shared" ca="1" si="134"/>
        <v>4.0228700227492311</v>
      </c>
      <c r="Y451">
        <f t="shared" ca="1" si="136"/>
        <v>3.6925199556143085</v>
      </c>
      <c r="Z451">
        <f t="shared" ca="1" si="137"/>
        <v>0.33035006713492265</v>
      </c>
      <c r="AA451">
        <f t="shared" ca="1" si="138"/>
        <v>169.2709999999999</v>
      </c>
    </row>
    <row r="452" spans="1:27" x14ac:dyDescent="0.25">
      <c r="A452" vm="1319">
        <f ca="1"/>
        <v>45947</v>
      </c>
      <c r="B452" vm="1320">
        <f ca="1"/>
        <v>193.22</v>
      </c>
      <c r="C452" vm="1321">
        <f ca="1"/>
        <v>7764449</v>
      </c>
      <c r="D452">
        <f t="shared" ca="1" si="139"/>
        <v>1500246835.78</v>
      </c>
      <c r="E452">
        <f ca="1">SUM($D$2:D452)/SUM($C$2:C452)</f>
        <v>158.63491128229933</v>
      </c>
      <c r="F452">
        <f ca="1">_xlfn.STDEV.P($B$2:B452)</f>
        <v>10.139256342133224</v>
      </c>
      <c r="G452">
        <f t="shared" ca="1" si="140"/>
        <v>168.77416762443255</v>
      </c>
      <c r="H452">
        <f t="shared" ca="1" si="141"/>
        <v>148.49565494016611</v>
      </c>
      <c r="I452">
        <f t="shared" ca="1" si="130"/>
        <v>185.97149999999999</v>
      </c>
      <c r="J452">
        <f t="shared" ca="1" si="131"/>
        <v>6.0149526620178619</v>
      </c>
      <c r="K452">
        <f t="shared" ca="1" si="132"/>
        <v>198.00140532403572</v>
      </c>
      <c r="L452">
        <f t="shared" ca="1" si="133"/>
        <v>173.94159467596427</v>
      </c>
      <c r="M452">
        <f t="shared" ref="M452:M514" ca="1" si="142">B452-B451</f>
        <v>1.0999999999999943</v>
      </c>
      <c r="N452">
        <f t="shared" ref="N452:N514" ca="1" si="143">MAX(M452,0)</f>
        <v>1.0999999999999943</v>
      </c>
      <c r="O452">
        <f t="shared" ref="O452:O514" ca="1" si="144">MAX(-M452,0)</f>
        <v>0</v>
      </c>
      <c r="P452">
        <f t="shared" ca="1" si="128"/>
        <v>0.81835967068355486</v>
      </c>
      <c r="Q452">
        <f t="shared" ca="1" si="129"/>
        <v>0.20856088406496223</v>
      </c>
      <c r="R452">
        <f t="shared" ca="1" si="126"/>
        <v>3.9238406298117408</v>
      </c>
      <c r="S452">
        <f t="shared" ca="1" si="127"/>
        <v>79.690650547350586</v>
      </c>
      <c r="T452">
        <f>70</f>
        <v>70</v>
      </c>
      <c r="U452">
        <f>30</f>
        <v>30</v>
      </c>
      <c r="V452">
        <f t="shared" ca="1" si="125"/>
        <v>189.55888706815369</v>
      </c>
      <c r="W452">
        <f t="shared" ca="1" si="135"/>
        <v>185.53601704540446</v>
      </c>
      <c r="X452">
        <f t="shared" ca="1" si="134"/>
        <v>4.0568202834336375</v>
      </c>
      <c r="Y452">
        <f t="shared" ca="1" si="136"/>
        <v>3.7653800211781743</v>
      </c>
      <c r="Z452">
        <f t="shared" ca="1" si="137"/>
        <v>0.29144026225546327</v>
      </c>
      <c r="AA452">
        <f t="shared" ca="1" si="138"/>
        <v>169.67069999999993</v>
      </c>
    </row>
    <row r="453" spans="1:27" x14ac:dyDescent="0.25">
      <c r="A453" vm="1322">
        <f ca="1"/>
        <v>45950</v>
      </c>
      <c r="B453" vm="1323">
        <f ca="1"/>
        <v>193.72</v>
      </c>
      <c r="C453" vm="1324">
        <f ca="1"/>
        <v>8034740</v>
      </c>
      <c r="D453">
        <f t="shared" ca="1" si="139"/>
        <v>1556489832.8</v>
      </c>
      <c r="E453">
        <f ca="1">SUM($D$2:D453)/SUM($C$2:C453)</f>
        <v>158.71334610044443</v>
      </c>
      <c r="F453">
        <f ca="1">_xlfn.STDEV.P($B$2:B453)</f>
        <v>10.261312749609056</v>
      </c>
      <c r="G453">
        <f t="shared" ca="1" si="140"/>
        <v>168.97465885005349</v>
      </c>
      <c r="H453">
        <f t="shared" ca="1" si="141"/>
        <v>148.45203335083536</v>
      </c>
      <c r="I453">
        <f t="shared" ca="1" si="130"/>
        <v>186.94699999999997</v>
      </c>
      <c r="J453">
        <f t="shared" ca="1" si="131"/>
        <v>5.5729035236769082</v>
      </c>
      <c r="K453">
        <f t="shared" ca="1" si="132"/>
        <v>198.0928070473538</v>
      </c>
      <c r="L453">
        <f t="shared" ca="1" si="133"/>
        <v>175.80119295264615</v>
      </c>
      <c r="M453">
        <f t="shared" ca="1" si="142"/>
        <v>0.5</v>
      </c>
      <c r="N453">
        <f t="shared" ca="1" si="143"/>
        <v>0.5</v>
      </c>
      <c r="O453">
        <f t="shared" ca="1" si="144"/>
        <v>0</v>
      </c>
      <c r="P453">
        <f t="shared" ca="1" si="128"/>
        <v>0.79561969420615808</v>
      </c>
      <c r="Q453">
        <f t="shared" ca="1" si="129"/>
        <v>0.19366367806032206</v>
      </c>
      <c r="R453">
        <f t="shared" ca="1" si="126"/>
        <v>4.1082545894761937</v>
      </c>
      <c r="S453">
        <f t="shared" ca="1" si="127"/>
        <v>80.42384179402184</v>
      </c>
      <c r="T453">
        <f>70</f>
        <v>70</v>
      </c>
      <c r="U453">
        <f>30</f>
        <v>30</v>
      </c>
      <c r="V453">
        <f t="shared" ca="1" si="125"/>
        <v>190.19905828843775</v>
      </c>
      <c r="W453">
        <f t="shared" ca="1" si="135"/>
        <v>186.14223800500412</v>
      </c>
      <c r="X453">
        <f t="shared" ca="1" si="134"/>
        <v>3.8904072935603438</v>
      </c>
      <c r="Y453">
        <f t="shared" ca="1" si="136"/>
        <v>3.7903854756546087</v>
      </c>
      <c r="Z453">
        <f t="shared" ca="1" si="137"/>
        <v>0.10002181790573506</v>
      </c>
      <c r="AA453">
        <f t="shared" ca="1" si="138"/>
        <v>170.08359999999993</v>
      </c>
    </row>
    <row r="454" spans="1:27" x14ac:dyDescent="0.25">
      <c r="A454" vm="1325">
        <f ca="1"/>
        <v>45951</v>
      </c>
      <c r="B454" vm="1326">
        <f ca="1"/>
        <v>191.88</v>
      </c>
      <c r="C454" vm="1327">
        <f ca="1"/>
        <v>6716360</v>
      </c>
      <c r="D454">
        <f t="shared" ca="1" si="139"/>
        <v>1288735156.8</v>
      </c>
      <c r="E454">
        <f ca="1">SUM($D$2:D454)/SUM($C$2:C454)</f>
        <v>158.77521028419957</v>
      </c>
      <c r="F454">
        <f ca="1">_xlfn.STDEV.P($B$2:B454)</f>
        <v>10.367511098066478</v>
      </c>
      <c r="G454">
        <f t="shared" ca="1" si="140"/>
        <v>169.14272138226605</v>
      </c>
      <c r="H454">
        <f t="shared" ca="1" si="141"/>
        <v>148.4076991861331</v>
      </c>
      <c r="I454">
        <f t="shared" ca="1" si="130"/>
        <v>187.71199999999999</v>
      </c>
      <c r="J454">
        <f t="shared" ca="1" si="131"/>
        <v>5.1054311638118337</v>
      </c>
      <c r="K454">
        <f t="shared" ca="1" si="132"/>
        <v>197.92286232762365</v>
      </c>
      <c r="L454">
        <f t="shared" ca="1" si="133"/>
        <v>177.50113767237633</v>
      </c>
      <c r="M454">
        <f t="shared" ca="1" si="142"/>
        <v>-1.8400000000000034</v>
      </c>
      <c r="N454">
        <f t="shared" ca="1" si="143"/>
        <v>0</v>
      </c>
      <c r="O454">
        <f t="shared" ca="1" si="144"/>
        <v>1.8400000000000034</v>
      </c>
      <c r="P454">
        <f t="shared" ca="1" si="128"/>
        <v>0.73878971604857535</v>
      </c>
      <c r="Q454">
        <f t="shared" ca="1" si="129"/>
        <v>0.31125912962744218</v>
      </c>
      <c r="R454">
        <f t="shared" ca="1" si="126"/>
        <v>2.3735519563164642</v>
      </c>
      <c r="S454">
        <f t="shared" ca="1" si="127"/>
        <v>70.357652321682735</v>
      </c>
      <c r="T454">
        <f>70</f>
        <v>70</v>
      </c>
      <c r="U454">
        <f>30</f>
        <v>30</v>
      </c>
      <c r="V454">
        <f t="shared" ca="1" si="125"/>
        <v>190.45766470560119</v>
      </c>
      <c r="W454">
        <f t="shared" ca="1" si="135"/>
        <v>186.56725741204085</v>
      </c>
      <c r="X454">
        <f t="shared" ca="1" si="134"/>
        <v>3.8002500246446687</v>
      </c>
      <c r="Y454">
        <f t="shared" ca="1" si="136"/>
        <v>3.7923583854526211</v>
      </c>
      <c r="Z454">
        <f t="shared" ca="1" si="137"/>
        <v>7.8916391920476059E-3</v>
      </c>
      <c r="AA454">
        <f t="shared" ca="1" si="138"/>
        <v>170.46659999999997</v>
      </c>
    </row>
    <row r="455" spans="1:27" x14ac:dyDescent="0.25">
      <c r="A455" vm="1328">
        <f ca="1"/>
        <v>45952</v>
      </c>
      <c r="B455" vm="1329">
        <f ca="1"/>
        <v>192.94</v>
      </c>
      <c r="C455" vm="1330">
        <f ca="1"/>
        <v>6343472</v>
      </c>
      <c r="D455">
        <f t="shared" ca="1" si="139"/>
        <v>1223909487.6800001</v>
      </c>
      <c r="E455">
        <f ca="1">SUM($D$2:D455)/SUM($C$2:C455)</f>
        <v>158.83529237258392</v>
      </c>
      <c r="F455">
        <f ca="1">_xlfn.STDEV.P($B$2:B455)</f>
        <v>10.479141225908776</v>
      </c>
      <c r="G455">
        <f t="shared" ca="1" si="140"/>
        <v>169.31443359849271</v>
      </c>
      <c r="H455">
        <f t="shared" ca="1" si="141"/>
        <v>148.35615114667513</v>
      </c>
      <c r="I455">
        <f t="shared" ca="1" si="130"/>
        <v>188.52449999999999</v>
      </c>
      <c r="J455">
        <f t="shared" ca="1" si="131"/>
        <v>4.5183106705703047</v>
      </c>
      <c r="K455">
        <f t="shared" ca="1" si="132"/>
        <v>197.56112134114059</v>
      </c>
      <c r="L455">
        <f t="shared" ca="1" si="133"/>
        <v>179.48787865885939</v>
      </c>
      <c r="M455">
        <f t="shared" ca="1" si="142"/>
        <v>1.0600000000000023</v>
      </c>
      <c r="N455">
        <f t="shared" ca="1" si="143"/>
        <v>1.0600000000000023</v>
      </c>
      <c r="O455">
        <f t="shared" ca="1" si="144"/>
        <v>0</v>
      </c>
      <c r="P455">
        <f t="shared" ca="1" si="128"/>
        <v>0.76173330775939163</v>
      </c>
      <c r="Q455">
        <f t="shared" ca="1" si="129"/>
        <v>0.28902633465405347</v>
      </c>
      <c r="R455">
        <f t="shared" ca="1" si="126"/>
        <v>2.6355152331400493</v>
      </c>
      <c r="S455">
        <f t="shared" ca="1" si="127"/>
        <v>72.493582453338121</v>
      </c>
      <c r="T455">
        <f>70</f>
        <v>70</v>
      </c>
      <c r="U455">
        <f>30</f>
        <v>30</v>
      </c>
      <c r="V455">
        <f t="shared" ca="1" si="125"/>
        <v>190.839562443201</v>
      </c>
      <c r="W455">
        <f t="shared" ca="1" si="135"/>
        <v>187.03931241855634</v>
      </c>
      <c r="X455">
        <f t="shared" ca="1" si="134"/>
        <v>3.6488134176634901</v>
      </c>
      <c r="Y455">
        <f t="shared" ca="1" si="136"/>
        <v>3.7636493918947949</v>
      </c>
      <c r="Z455">
        <f t="shared" ca="1" si="137"/>
        <v>-0.11483597423130476</v>
      </c>
      <c r="AA455">
        <f t="shared" ca="1" si="138"/>
        <v>170.84389999999996</v>
      </c>
    </row>
    <row r="456" spans="1:27" x14ac:dyDescent="0.25">
      <c r="A456" vm="1331">
        <f ca="1"/>
        <v>45953</v>
      </c>
      <c r="B456" vm="1332">
        <f ca="1"/>
        <v>192.47</v>
      </c>
      <c r="C456" vm="1333">
        <f ca="1"/>
        <v>8882491</v>
      </c>
      <c r="D456">
        <f t="shared" ca="1" si="139"/>
        <v>1709613042.77</v>
      </c>
      <c r="E456">
        <f ca="1">SUM($D$2:D456)/SUM($C$2:C456)</f>
        <v>158.91791396164911</v>
      </c>
      <c r="F456">
        <f ca="1">_xlfn.STDEV.P($B$2:B456)</f>
        <v>10.585285723041459</v>
      </c>
      <c r="G456">
        <f t="shared" ca="1" si="140"/>
        <v>169.50319968469057</v>
      </c>
      <c r="H456">
        <f t="shared" ca="1" si="141"/>
        <v>148.33262823860764</v>
      </c>
      <c r="I456">
        <f t="shared" ca="1" si="130"/>
        <v>189.26149999999998</v>
      </c>
      <c r="J456">
        <f t="shared" ca="1" si="131"/>
        <v>3.8118227094686659</v>
      </c>
      <c r="K456">
        <f t="shared" ca="1" si="132"/>
        <v>196.88514541893733</v>
      </c>
      <c r="L456">
        <f t="shared" ca="1" si="133"/>
        <v>181.63785458106264</v>
      </c>
      <c r="M456">
        <f t="shared" ca="1" si="142"/>
        <v>-0.46999999999999886</v>
      </c>
      <c r="N456">
        <f t="shared" ca="1" si="143"/>
        <v>0</v>
      </c>
      <c r="O456">
        <f t="shared" ca="1" si="144"/>
        <v>0.46999999999999886</v>
      </c>
      <c r="P456">
        <f t="shared" ca="1" si="128"/>
        <v>0.70732378577657795</v>
      </c>
      <c r="Q456">
        <f t="shared" ca="1" si="129"/>
        <v>0.30195302503590671</v>
      </c>
      <c r="R456">
        <f t="shared" ca="1" si="126"/>
        <v>2.3424961074407737</v>
      </c>
      <c r="S456">
        <f t="shared" ca="1" si="127"/>
        <v>70.082238906011384</v>
      </c>
      <c r="T456">
        <f>70</f>
        <v>70</v>
      </c>
      <c r="U456">
        <f>30</f>
        <v>30</v>
      </c>
      <c r="V456">
        <f t="shared" ca="1" si="125"/>
        <v>191.09039899040084</v>
      </c>
      <c r="W456">
        <f t="shared" ca="1" si="135"/>
        <v>187.44158557273735</v>
      </c>
      <c r="X456">
        <f t="shared" ca="1" si="134"/>
        <v>3.3234563789442007</v>
      </c>
      <c r="Y456">
        <f t="shared" ca="1" si="136"/>
        <v>3.6756107893046761</v>
      </c>
      <c r="Z456">
        <f t="shared" ca="1" si="137"/>
        <v>-0.35215441036047546</v>
      </c>
      <c r="AA456">
        <f t="shared" ca="1" si="138"/>
        <v>171.21459999999996</v>
      </c>
    </row>
    <row r="457" spans="1:27" x14ac:dyDescent="0.25">
      <c r="A457" vm="1334">
        <f ca="1"/>
        <v>45954</v>
      </c>
      <c r="B457" vm="1335">
        <f ca="1"/>
        <v>190.4</v>
      </c>
      <c r="C457" vm="1336">
        <f ca="1"/>
        <v>6903379</v>
      </c>
      <c r="D457">
        <f t="shared" ca="1" si="139"/>
        <v>1314403361.6000001</v>
      </c>
      <c r="E457">
        <f ca="1">SUM($D$2:D457)/SUM($C$2:C457)</f>
        <v>158.9779024612867</v>
      </c>
      <c r="F457">
        <f ca="1">_xlfn.STDEV.P($B$2:B457)</f>
        <v>10.675629828592346</v>
      </c>
      <c r="G457">
        <f t="shared" ca="1" si="140"/>
        <v>169.65353228987905</v>
      </c>
      <c r="H457">
        <f t="shared" ca="1" si="141"/>
        <v>148.30227263269435</v>
      </c>
      <c r="I457">
        <f t="shared" ca="1" si="130"/>
        <v>189.79599999999996</v>
      </c>
      <c r="J457">
        <f t="shared" ca="1" si="131"/>
        <v>3.0815331112596334</v>
      </c>
      <c r="K457">
        <f t="shared" ca="1" si="132"/>
        <v>195.95906622251923</v>
      </c>
      <c r="L457">
        <f t="shared" ca="1" si="133"/>
        <v>183.6329337774807</v>
      </c>
      <c r="M457">
        <f t="shared" ca="1" si="142"/>
        <v>-2.0699999999999932</v>
      </c>
      <c r="N457">
        <f t="shared" ca="1" si="143"/>
        <v>0</v>
      </c>
      <c r="O457">
        <f t="shared" ca="1" si="144"/>
        <v>2.0699999999999932</v>
      </c>
      <c r="P457">
        <f t="shared" ca="1" si="128"/>
        <v>0.65680065822110811</v>
      </c>
      <c r="Q457">
        <f t="shared" ca="1" si="129"/>
        <v>0.42824209467619856</v>
      </c>
      <c r="R457">
        <f t="shared" ca="1" si="126"/>
        <v>1.5337134447694283</v>
      </c>
      <c r="S457">
        <f t="shared" ca="1" si="127"/>
        <v>60.532237689925445</v>
      </c>
      <c r="T457">
        <f>70</f>
        <v>70</v>
      </c>
      <c r="U457">
        <f>30</f>
        <v>30</v>
      </c>
      <c r="V457">
        <f t="shared" ca="1" si="125"/>
        <v>190.98418376110843</v>
      </c>
      <c r="W457">
        <f t="shared" ca="1" si="135"/>
        <v>187.66072738216423</v>
      </c>
      <c r="X457">
        <f t="shared" ca="1" si="134"/>
        <v>3.0226956633784425</v>
      </c>
      <c r="Y457">
        <f t="shared" ca="1" si="136"/>
        <v>3.5450277641194297</v>
      </c>
      <c r="Z457">
        <f t="shared" ca="1" si="137"/>
        <v>-0.52233210074098713</v>
      </c>
      <c r="AA457">
        <f t="shared" ca="1" si="138"/>
        <v>171.5744</v>
      </c>
    </row>
    <row r="458" spans="1:27" x14ac:dyDescent="0.25">
      <c r="A458" vm="1337">
        <f ca="1"/>
        <v>45957</v>
      </c>
      <c r="B458" vm="1338">
        <f ca="1"/>
        <v>190.3</v>
      </c>
      <c r="C458" vm="1339">
        <f ca="1"/>
        <v>7125956</v>
      </c>
      <c r="D458">
        <f t="shared" ca="1" si="139"/>
        <v>1356069426.8000002</v>
      </c>
      <c r="E458">
        <f ca="1">SUM($D$2:D458)/SUM($C$2:C458)</f>
        <v>159.03938947113153</v>
      </c>
      <c r="F458">
        <f ca="1">_xlfn.STDEV.P($B$2:B458)</f>
        <v>10.76375005479562</v>
      </c>
      <c r="G458">
        <f t="shared" ca="1" si="140"/>
        <v>169.80313952592715</v>
      </c>
      <c r="H458">
        <f t="shared" ca="1" si="141"/>
        <v>148.27563941633591</v>
      </c>
      <c r="I458">
        <f t="shared" ca="1" si="130"/>
        <v>190.23</v>
      </c>
      <c r="J458">
        <f t="shared" ca="1" si="131"/>
        <v>2.406799578387516</v>
      </c>
      <c r="K458">
        <f t="shared" ca="1" si="132"/>
        <v>195.04359915677503</v>
      </c>
      <c r="L458">
        <f t="shared" ca="1" si="133"/>
        <v>185.41640084322495</v>
      </c>
      <c r="M458">
        <f t="shared" ca="1" si="142"/>
        <v>-9.9999999999994316E-2</v>
      </c>
      <c r="N458">
        <f t="shared" ca="1" si="143"/>
        <v>0</v>
      </c>
      <c r="O458">
        <f t="shared" ca="1" si="144"/>
        <v>9.9999999999994316E-2</v>
      </c>
      <c r="P458">
        <f t="shared" ca="1" si="128"/>
        <v>0.60988632549102895</v>
      </c>
      <c r="Q458">
        <f t="shared" ca="1" si="129"/>
        <v>0.40479623077075544</v>
      </c>
      <c r="R458">
        <f t="shared" ca="1" si="126"/>
        <v>1.5066502085006328</v>
      </c>
      <c r="S458">
        <f t="shared" ca="1" si="127"/>
        <v>60.106121045179428</v>
      </c>
      <c r="T458">
        <f>70</f>
        <v>70</v>
      </c>
      <c r="U458">
        <f>30</f>
        <v>30</v>
      </c>
      <c r="V458">
        <f t="shared" ca="1" si="125"/>
        <v>190.8789247209379</v>
      </c>
      <c r="W458">
        <f t="shared" ca="1" si="135"/>
        <v>187.85622905755946</v>
      </c>
      <c r="X458">
        <f t="shared" ca="1" si="134"/>
        <v>2.4837783430533591</v>
      </c>
      <c r="Y458">
        <f t="shared" ca="1" si="136"/>
        <v>3.332777879906216</v>
      </c>
      <c r="Z458">
        <f t="shared" ca="1" si="137"/>
        <v>-0.8489995368528569</v>
      </c>
      <c r="AA458">
        <f t="shared" ca="1" si="138"/>
        <v>171.94519999999997</v>
      </c>
    </row>
    <row r="459" spans="1:27" x14ac:dyDescent="0.25">
      <c r="A459" vm="1340">
        <f ca="1"/>
        <v>45958</v>
      </c>
      <c r="B459" vm="1341">
        <f ca="1"/>
        <v>186.93</v>
      </c>
      <c r="C459" vm="1342">
        <f ca="1"/>
        <v>8329457</v>
      </c>
      <c r="D459">
        <f t="shared" ca="1" si="139"/>
        <v>1557025397.01</v>
      </c>
      <c r="E459">
        <f ca="1">SUM($D$2:D459)/SUM($C$2:C459)</f>
        <v>159.10324062099019</v>
      </c>
      <c r="F459">
        <f ca="1">_xlfn.STDEV.P($B$2:B459)</f>
        <v>10.830335787542046</v>
      </c>
      <c r="G459">
        <f t="shared" ca="1" si="140"/>
        <v>169.93357640853225</v>
      </c>
      <c r="H459">
        <f t="shared" ca="1" si="141"/>
        <v>148.27290483344814</v>
      </c>
      <c r="I459">
        <f t="shared" ca="1" si="130"/>
        <v>190.30549999999997</v>
      </c>
      <c r="J459">
        <f t="shared" ca="1" si="131"/>
        <v>2.2676314445740631</v>
      </c>
      <c r="K459">
        <f t="shared" ca="1" si="132"/>
        <v>194.8407628891481</v>
      </c>
      <c r="L459">
        <f t="shared" ca="1" si="133"/>
        <v>185.77023711085184</v>
      </c>
      <c r="M459">
        <f t="shared" ca="1" si="142"/>
        <v>-3.3700000000000045</v>
      </c>
      <c r="N459">
        <f t="shared" ca="1" si="143"/>
        <v>0</v>
      </c>
      <c r="O459">
        <f t="shared" ca="1" si="144"/>
        <v>3.3700000000000045</v>
      </c>
      <c r="P459">
        <f t="shared" ca="1" si="128"/>
        <v>0.56632301652738404</v>
      </c>
      <c r="Q459">
        <f t="shared" ca="1" si="129"/>
        <v>0.61659650000141597</v>
      </c>
      <c r="R459">
        <f t="shared" ca="1" si="126"/>
        <v>0.91846615497506634</v>
      </c>
      <c r="S459">
        <f t="shared" ca="1" si="127"/>
        <v>47.875025190997093</v>
      </c>
      <c r="T459">
        <f>70</f>
        <v>70</v>
      </c>
      <c r="U459">
        <f>30</f>
        <v>30</v>
      </c>
      <c r="V459">
        <f t="shared" ca="1" si="125"/>
        <v>190.27139784079361</v>
      </c>
      <c r="W459">
        <f t="shared" ca="1" si="135"/>
        <v>187.78761949774025</v>
      </c>
      <c r="X459">
        <f t="shared" ca="1" si="134"/>
        <v>2.0069197206556169</v>
      </c>
      <c r="Y459">
        <f t="shared" ca="1" si="136"/>
        <v>3.0676062480560966</v>
      </c>
      <c r="Z459">
        <f t="shared" ca="1" si="137"/>
        <v>-1.0606865274004798</v>
      </c>
      <c r="AA459">
        <f t="shared" ca="1" si="138"/>
        <v>172.27789999999996</v>
      </c>
    </row>
    <row r="460" spans="1:27" x14ac:dyDescent="0.25">
      <c r="A460" vm="1343">
        <f ca="1"/>
        <v>45959</v>
      </c>
      <c r="B460" vm="1344">
        <f ca="1"/>
        <v>186.6</v>
      </c>
      <c r="C460" vm="1345">
        <f ca="1"/>
        <v>10551079</v>
      </c>
      <c r="D460">
        <f t="shared" ca="1" si="139"/>
        <v>1968831341.3999999</v>
      </c>
      <c r="E460">
        <f ca="1">SUM($D$2:D460)/SUM($C$2:C460)</f>
        <v>159.18274934581532</v>
      </c>
      <c r="F460">
        <f ca="1">_xlfn.STDEV.P($B$2:B460)</f>
        <v>10.89407032137388</v>
      </c>
      <c r="G460">
        <f t="shared" ca="1" si="140"/>
        <v>170.0768196671892</v>
      </c>
      <c r="H460">
        <f t="shared" ca="1" si="141"/>
        <v>148.28867902444145</v>
      </c>
      <c r="I460">
        <f t="shared" ca="1" si="130"/>
        <v>190.33299999999997</v>
      </c>
      <c r="J460">
        <f t="shared" ca="1" si="131"/>
        <v>2.2160564784746533</v>
      </c>
      <c r="K460">
        <f t="shared" ca="1" si="132"/>
        <v>194.76511295694928</v>
      </c>
      <c r="L460">
        <f t="shared" ca="1" si="133"/>
        <v>185.90088704305066</v>
      </c>
      <c r="M460">
        <f t="shared" ca="1" si="142"/>
        <v>-0.33000000000001251</v>
      </c>
      <c r="N460">
        <f t="shared" ca="1" si="143"/>
        <v>0</v>
      </c>
      <c r="O460">
        <f t="shared" ca="1" si="144"/>
        <v>0.33000000000001251</v>
      </c>
      <c r="P460">
        <f t="shared" ca="1" si="128"/>
        <v>0.52587137248971383</v>
      </c>
      <c r="Q460">
        <f t="shared" ca="1" si="129"/>
        <v>0.59612532142988717</v>
      </c>
      <c r="R460">
        <f t="shared" ca="1" si="126"/>
        <v>0.88214902736951395</v>
      </c>
      <c r="S460">
        <f t="shared" ca="1" si="127"/>
        <v>46.869244387220647</v>
      </c>
      <c r="T460">
        <f>70</f>
        <v>70</v>
      </c>
      <c r="U460">
        <f>30</f>
        <v>30</v>
      </c>
      <c r="V460">
        <f t="shared" ca="1" si="125"/>
        <v>189.70656740374844</v>
      </c>
      <c r="W460">
        <f t="shared" ca="1" si="135"/>
        <v>187.69964768309282</v>
      </c>
      <c r="X460">
        <f t="shared" ca="1" si="134"/>
        <v>1.8058832532994984</v>
      </c>
      <c r="Y460">
        <f t="shared" ca="1" si="136"/>
        <v>2.8152616491047771</v>
      </c>
      <c r="Z460">
        <f t="shared" ca="1" si="137"/>
        <v>-1.0093783958052787</v>
      </c>
      <c r="AA460">
        <f t="shared" ca="1" si="138"/>
        <v>172.59359999999998</v>
      </c>
    </row>
    <row r="461" spans="1:27" x14ac:dyDescent="0.25">
      <c r="A461" vm="1346">
        <f ca="1"/>
        <v>45960</v>
      </c>
      <c r="B461" vm="1347">
        <f ca="1"/>
        <v>189.05</v>
      </c>
      <c r="C461" vm="1348">
        <f ca="1"/>
        <v>7072517</v>
      </c>
      <c r="D461">
        <f t="shared" ca="1" si="139"/>
        <v>1337059338.8500001</v>
      </c>
      <c r="E461">
        <f ca="1">SUM($D$2:D461)/SUM($C$2:C461)</f>
        <v>159.24052763646014</v>
      </c>
      <c r="F461">
        <f ca="1">_xlfn.STDEV.P($B$2:B461)</f>
        <v>10.970713996159901</v>
      </c>
      <c r="G461">
        <f t="shared" ca="1" si="140"/>
        <v>170.21124163262004</v>
      </c>
      <c r="H461">
        <f t="shared" ca="1" si="141"/>
        <v>148.26981364030024</v>
      </c>
      <c r="I461">
        <f t="shared" ca="1" si="130"/>
        <v>190.48649999999998</v>
      </c>
      <c r="J461">
        <f t="shared" ca="1" si="131"/>
        <v>1.9938517999089105</v>
      </c>
      <c r="K461">
        <f t="shared" ca="1" si="132"/>
        <v>194.4742035998178</v>
      </c>
      <c r="L461">
        <f t="shared" ca="1" si="133"/>
        <v>186.49879640018216</v>
      </c>
      <c r="M461">
        <f t="shared" ca="1" si="142"/>
        <v>2.4500000000000171</v>
      </c>
      <c r="N461">
        <f t="shared" ca="1" si="143"/>
        <v>2.4500000000000171</v>
      </c>
      <c r="O461">
        <f t="shared" ca="1" si="144"/>
        <v>0</v>
      </c>
      <c r="P461">
        <f t="shared" ca="1" si="128"/>
        <v>0.66330913159759264</v>
      </c>
      <c r="Q461">
        <f t="shared" ca="1" si="129"/>
        <v>0.55354494132775234</v>
      </c>
      <c r="R461">
        <f t="shared" ca="1" si="126"/>
        <v>1.1982931864692974</v>
      </c>
      <c r="S461">
        <f t="shared" ca="1" si="127"/>
        <v>54.510162422597013</v>
      </c>
      <c r="T461">
        <f>70</f>
        <v>70</v>
      </c>
      <c r="U461">
        <f>30</f>
        <v>30</v>
      </c>
      <c r="V461">
        <f t="shared" ca="1" si="125"/>
        <v>189.60555703394101</v>
      </c>
      <c r="W461">
        <f t="shared" ca="1" si="135"/>
        <v>187.79967378064151</v>
      </c>
      <c r="X461">
        <f t="shared" ca="1" si="134"/>
        <v>1.6134372090370164</v>
      </c>
      <c r="Y461">
        <f t="shared" ca="1" si="136"/>
        <v>2.574896761091225</v>
      </c>
      <c r="Z461">
        <f t="shared" ca="1" si="137"/>
        <v>-0.96145955205420863</v>
      </c>
      <c r="AA461">
        <f t="shared" ca="1" si="138"/>
        <v>172.93179999999995</v>
      </c>
    </row>
    <row r="462" spans="1:27" x14ac:dyDescent="0.25">
      <c r="A462" vm="1349">
        <f ca="1"/>
        <v>45961</v>
      </c>
      <c r="B462" vm="1350">
        <f ca="1"/>
        <v>188.87</v>
      </c>
      <c r="C462" vm="1351">
        <f ca="1"/>
        <v>8791666</v>
      </c>
      <c r="D462">
        <f t="shared" ca="1" si="139"/>
        <v>1660481957.4200001</v>
      </c>
      <c r="E462">
        <f ca="1">SUM($D$2:D462)/SUM($C$2:C462)</f>
        <v>159.31160763870659</v>
      </c>
      <c r="F462">
        <f ca="1">_xlfn.STDEV.P($B$2:B462)</f>
        <v>11.045070229776137</v>
      </c>
      <c r="G462">
        <f t="shared" ca="1" si="140"/>
        <v>170.35667786848273</v>
      </c>
      <c r="H462">
        <f t="shared" ca="1" si="141"/>
        <v>148.26653740893045</v>
      </c>
      <c r="I462">
        <f t="shared" ca="1" si="130"/>
        <v>190.49799999999999</v>
      </c>
      <c r="J462">
        <f t="shared" ca="1" si="131"/>
        <v>1.9832763960572652</v>
      </c>
      <c r="K462">
        <f t="shared" ca="1" si="132"/>
        <v>194.46455279211452</v>
      </c>
      <c r="L462">
        <f t="shared" ca="1" si="133"/>
        <v>186.53144720788546</v>
      </c>
      <c r="M462">
        <f t="shared" ca="1" si="142"/>
        <v>-0.18000000000000682</v>
      </c>
      <c r="N462">
        <f t="shared" ca="1" si="143"/>
        <v>0</v>
      </c>
      <c r="O462">
        <f t="shared" ca="1" si="144"/>
        <v>0.18000000000000682</v>
      </c>
      <c r="P462">
        <f t="shared" ca="1" si="128"/>
        <v>0.61592990791205027</v>
      </c>
      <c r="Q462">
        <f t="shared" ca="1" si="129"/>
        <v>0.52686315980434195</v>
      </c>
      <c r="R462">
        <f t="shared" ca="1" si="126"/>
        <v>1.1690510077432337</v>
      </c>
      <c r="S462">
        <f t="shared" ca="1" si="127"/>
        <v>53.896888711693343</v>
      </c>
      <c r="T462">
        <f>70</f>
        <v>70</v>
      </c>
      <c r="U462">
        <f>30</f>
        <v>30</v>
      </c>
      <c r="V462">
        <f t="shared" ca="1" si="125"/>
        <v>189.49239441333469</v>
      </c>
      <c r="W462">
        <f t="shared" ca="1" si="135"/>
        <v>187.87895720429768</v>
      </c>
      <c r="X462">
        <f t="shared" ca="1" si="134"/>
        <v>1.2360685167055863</v>
      </c>
      <c r="Y462">
        <f t="shared" ca="1" si="136"/>
        <v>2.3071311122140972</v>
      </c>
      <c r="Z462">
        <f t="shared" ca="1" si="137"/>
        <v>-1.0710625955085109</v>
      </c>
      <c r="AA462">
        <f t="shared" ca="1" si="138"/>
        <v>173.25599999999994</v>
      </c>
    </row>
    <row r="463" spans="1:27" x14ac:dyDescent="0.25">
      <c r="A463" vm="1352">
        <f ca="1"/>
        <v>45964</v>
      </c>
      <c r="B463" vm="1353">
        <f ca="1"/>
        <v>186.26</v>
      </c>
      <c r="C463" vm="1354">
        <f ca="1"/>
        <v>7542636</v>
      </c>
      <c r="D463">
        <f t="shared" ca="1" si="139"/>
        <v>1404891381.3599999</v>
      </c>
      <c r="E463">
        <f ca="1">SUM($D$2:D463)/SUM($C$2:C463)</f>
        <v>159.36695735824142</v>
      </c>
      <c r="F463">
        <f ca="1">_xlfn.STDEV.P($B$2:B463)</f>
        <v>11.103912648190672</v>
      </c>
      <c r="G463">
        <f t="shared" ca="1" si="140"/>
        <v>170.47087000643211</v>
      </c>
      <c r="H463">
        <f t="shared" ca="1" si="141"/>
        <v>148.26304471005074</v>
      </c>
      <c r="I463">
        <f t="shared" ca="1" si="130"/>
        <v>190.40300000000002</v>
      </c>
      <c r="J463">
        <f t="shared" ca="1" si="131"/>
        <v>2.1404404367227547</v>
      </c>
      <c r="K463">
        <f t="shared" ca="1" si="132"/>
        <v>194.68388087344553</v>
      </c>
      <c r="L463">
        <f t="shared" ca="1" si="133"/>
        <v>186.12211912655451</v>
      </c>
      <c r="M463">
        <f t="shared" ca="1" si="142"/>
        <v>-2.6100000000000136</v>
      </c>
      <c r="N463">
        <f t="shared" ca="1" si="143"/>
        <v>0</v>
      </c>
      <c r="O463">
        <f t="shared" ca="1" si="144"/>
        <v>2.6100000000000136</v>
      </c>
      <c r="P463">
        <f t="shared" ca="1" si="128"/>
        <v>0.57193491448976097</v>
      </c>
      <c r="Q463">
        <f t="shared" ca="1" si="129"/>
        <v>0.67565864838974699</v>
      </c>
      <c r="R463">
        <f t="shared" ca="1" si="126"/>
        <v>0.84648500519132852</v>
      </c>
      <c r="S463">
        <f t="shared" ca="1" si="127"/>
        <v>45.843047888905971</v>
      </c>
      <c r="T463">
        <f>70</f>
        <v>70</v>
      </c>
      <c r="U463">
        <f>30</f>
        <v>30</v>
      </c>
      <c r="V463">
        <f t="shared" ref="V463:V514" ca="1" si="145">B463*(2/(12+1)) + V462*(1-(2/(12+1)))</f>
        <v>188.99510296512935</v>
      </c>
      <c r="W463">
        <f t="shared" ca="1" si="135"/>
        <v>187.75903444842376</v>
      </c>
      <c r="X463">
        <f t="shared" ca="1" si="134"/>
        <v>0.97418628178260747</v>
      </c>
      <c r="Y463">
        <f t="shared" ca="1" si="136"/>
        <v>2.0405421461277991</v>
      </c>
      <c r="Z463">
        <f t="shared" ca="1" si="137"/>
        <v>-1.0663558643451916</v>
      </c>
      <c r="AA463">
        <f t="shared" ca="1" si="138"/>
        <v>173.56599999999992</v>
      </c>
    </row>
    <row r="464" spans="1:27" x14ac:dyDescent="0.25">
      <c r="A464" vm="1355">
        <f ca="1"/>
        <v>45965</v>
      </c>
      <c r="B464" vm="1356">
        <f ca="1"/>
        <v>186.86</v>
      </c>
      <c r="C464" vm="1357">
        <f ca="1"/>
        <v>7209395</v>
      </c>
      <c r="D464">
        <f t="shared" ca="1" si="139"/>
        <v>1347147549.7</v>
      </c>
      <c r="E464">
        <f ca="1">SUM($D$2:D464)/SUM($C$2:C464)</f>
        <v>159.42082516344684</v>
      </c>
      <c r="F464">
        <f ca="1">_xlfn.STDEV.P($B$2:B464)</f>
        <v>11.165038457708562</v>
      </c>
      <c r="G464">
        <f t="shared" ca="1" si="140"/>
        <v>170.5858636211554</v>
      </c>
      <c r="H464">
        <f t="shared" ca="1" si="141"/>
        <v>148.25578670573827</v>
      </c>
      <c r="I464">
        <f t="shared" ca="1" si="130"/>
        <v>190.3015</v>
      </c>
      <c r="J464">
        <f t="shared" ca="1" si="131"/>
        <v>2.2607154782688168</v>
      </c>
      <c r="K464">
        <f t="shared" ca="1" si="132"/>
        <v>194.82293095653765</v>
      </c>
      <c r="L464">
        <f t="shared" ca="1" si="133"/>
        <v>185.78006904346236</v>
      </c>
      <c r="M464">
        <f t="shared" ca="1" si="142"/>
        <v>0.60000000000002274</v>
      </c>
      <c r="N464">
        <f t="shared" ca="1" si="143"/>
        <v>0.60000000000002274</v>
      </c>
      <c r="O464">
        <f t="shared" ca="1" si="144"/>
        <v>0</v>
      </c>
      <c r="P464">
        <f t="shared" ca="1" si="128"/>
        <v>0.5739395634547797</v>
      </c>
      <c r="Q464">
        <f t="shared" ca="1" si="129"/>
        <v>0.62739731636190788</v>
      </c>
      <c r="R464">
        <f t="shared" ref="R464:R514" ca="1" si="146">IF(Q464=0,NA(),P464/Q464)</f>
        <v>0.91479441892242397</v>
      </c>
      <c r="S464">
        <f t="shared" ref="S464:S514" ca="1" si="147">100-(100/(1+R464))</f>
        <v>47.775072346264551</v>
      </c>
      <c r="T464">
        <f>70</f>
        <v>70</v>
      </c>
      <c r="U464">
        <f>30</f>
        <v>30</v>
      </c>
      <c r="V464">
        <f t="shared" ca="1" si="145"/>
        <v>188.66662558587868</v>
      </c>
      <c r="W464">
        <f t="shared" ca="1" si="135"/>
        <v>187.69243930409607</v>
      </c>
      <c r="X464">
        <f t="shared" ca="1" si="134"/>
        <v>0.68930206602490784</v>
      </c>
      <c r="Y464">
        <f t="shared" ca="1" si="136"/>
        <v>1.770294130107221</v>
      </c>
      <c r="Z464">
        <f t="shared" ca="1" si="137"/>
        <v>-1.0809920640823132</v>
      </c>
      <c r="AA464">
        <f t="shared" ca="1" si="138"/>
        <v>173.86799999999991</v>
      </c>
    </row>
    <row r="465" spans="1:27" x14ac:dyDescent="0.25">
      <c r="A465" vm="1358">
        <f ca="1"/>
        <v>45966</v>
      </c>
      <c r="B465" vm="1359">
        <f ca="1"/>
        <v>186</v>
      </c>
      <c r="C465" vm="1360">
        <f ca="1"/>
        <v>5049443</v>
      </c>
      <c r="D465">
        <f t="shared" ca="1" si="139"/>
        <v>939196398</v>
      </c>
      <c r="E465">
        <f ca="1">SUM($D$2:D465)/SUM($C$2:C465)</f>
        <v>159.4572499525348</v>
      </c>
      <c r="F465">
        <f ca="1">_xlfn.STDEV.P($B$2:B465)</f>
        <v>11.220810448491985</v>
      </c>
      <c r="G465">
        <f t="shared" ca="1" si="140"/>
        <v>170.67806040102678</v>
      </c>
      <c r="H465">
        <f t="shared" ca="1" si="141"/>
        <v>148.23643950404281</v>
      </c>
      <c r="I465">
        <f t="shared" ca="1" si="130"/>
        <v>190.11700000000002</v>
      </c>
      <c r="J465">
        <f t="shared" ca="1" si="131"/>
        <v>2.4554345740354022</v>
      </c>
      <c r="K465">
        <f t="shared" ca="1" si="132"/>
        <v>195.02786914807083</v>
      </c>
      <c r="L465">
        <f t="shared" ca="1" si="133"/>
        <v>185.2061308519292</v>
      </c>
      <c r="M465">
        <f t="shared" ca="1" si="142"/>
        <v>-0.86000000000001364</v>
      </c>
      <c r="N465">
        <f t="shared" ca="1" si="143"/>
        <v>0</v>
      </c>
      <c r="O465">
        <f t="shared" ca="1" si="144"/>
        <v>0.86000000000001364</v>
      </c>
      <c r="P465">
        <f t="shared" ref="P465:P514" ca="1" si="148">(P464*13+N465)/14</f>
        <v>0.53294388035086693</v>
      </c>
      <c r="Q465">
        <f t="shared" ref="Q465:Q514" ca="1" si="149">(Q464*13+O465)/14</f>
        <v>0.64401179376462969</v>
      </c>
      <c r="R465">
        <f t="shared" ca="1" si="146"/>
        <v>0.82753745429954761</v>
      </c>
      <c r="S465">
        <f t="shared" ca="1" si="147"/>
        <v>45.281559201571788</v>
      </c>
      <c r="T465">
        <f>70</f>
        <v>70</v>
      </c>
      <c r="U465">
        <f>30</f>
        <v>30</v>
      </c>
      <c r="V465">
        <f t="shared" ca="1" si="145"/>
        <v>188.2563754957435</v>
      </c>
      <c r="W465">
        <f t="shared" ca="1" si="135"/>
        <v>187.56707342971859</v>
      </c>
      <c r="X465">
        <f t="shared" ca="1" si="134"/>
        <v>0.5356258050634608</v>
      </c>
      <c r="Y465">
        <f t="shared" ca="1" si="136"/>
        <v>1.5233604650984691</v>
      </c>
      <c r="Z465">
        <f t="shared" ca="1" si="137"/>
        <v>-0.98773466003500832</v>
      </c>
      <c r="AA465">
        <f t="shared" ca="1" si="138"/>
        <v>174.15699999999993</v>
      </c>
    </row>
    <row r="466" spans="1:27" x14ac:dyDescent="0.25">
      <c r="A466" vm="1361">
        <f ca="1"/>
        <v>45967</v>
      </c>
      <c r="B466" vm="1362">
        <f ca="1"/>
        <v>186.97</v>
      </c>
      <c r="C466" vm="1363">
        <f ca="1"/>
        <v>6767417</v>
      </c>
      <c r="D466">
        <f t="shared" ca="1" si="139"/>
        <v>1265303956.49</v>
      </c>
      <c r="E466">
        <f ca="1">SUM($D$2:D466)/SUM($C$2:C466)</f>
        <v>159.50768960518971</v>
      </c>
      <c r="F466">
        <f ca="1">_xlfn.STDEV.P($B$2:B466)</f>
        <v>11.280760837524166</v>
      </c>
      <c r="G466">
        <f t="shared" ca="1" si="140"/>
        <v>170.78845044271387</v>
      </c>
      <c r="H466">
        <f t="shared" ca="1" si="141"/>
        <v>148.22692876766556</v>
      </c>
      <c r="I466">
        <f t="shared" ca="1" si="130"/>
        <v>189.91149999999999</v>
      </c>
      <c r="J466">
        <f t="shared" ca="1" si="131"/>
        <v>2.5410902653865133</v>
      </c>
      <c r="K466">
        <f t="shared" ca="1" si="132"/>
        <v>194.99368053077302</v>
      </c>
      <c r="L466">
        <f t="shared" ca="1" si="133"/>
        <v>184.82931946922696</v>
      </c>
      <c r="M466">
        <f t="shared" ca="1" si="142"/>
        <v>0.96999999999999886</v>
      </c>
      <c r="N466">
        <f t="shared" ca="1" si="143"/>
        <v>0.96999999999999886</v>
      </c>
      <c r="O466">
        <f t="shared" ca="1" si="144"/>
        <v>0</v>
      </c>
      <c r="P466">
        <f t="shared" ca="1" si="148"/>
        <v>0.56416217461151918</v>
      </c>
      <c r="Q466">
        <f t="shared" ca="1" si="149"/>
        <v>0.59801095135287041</v>
      </c>
      <c r="R466">
        <f t="shared" ca="1" si="146"/>
        <v>0.94339773098673918</v>
      </c>
      <c r="S466">
        <f t="shared" ca="1" si="147"/>
        <v>48.543729157681952</v>
      </c>
      <c r="T466">
        <f>70</f>
        <v>70</v>
      </c>
      <c r="U466">
        <f>30</f>
        <v>30</v>
      </c>
      <c r="V466">
        <f t="shared" ca="1" si="145"/>
        <v>188.05847157332141</v>
      </c>
      <c r="W466">
        <f t="shared" ca="1" si="135"/>
        <v>187.52284576825795</v>
      </c>
      <c r="X466">
        <f t="shared" ca="1" si="134"/>
        <v>0.37721134641776644</v>
      </c>
      <c r="Y466">
        <f t="shared" ca="1" si="136"/>
        <v>1.2941306413623286</v>
      </c>
      <c r="Z466">
        <f t="shared" ca="1" si="137"/>
        <v>-0.91691929494456215</v>
      </c>
      <c r="AA466">
        <f t="shared" ca="1" si="138"/>
        <v>174.47449999999992</v>
      </c>
    </row>
    <row r="467" spans="1:27" x14ac:dyDescent="0.25">
      <c r="A467" vm="1364">
        <f ca="1"/>
        <v>45968</v>
      </c>
      <c r="B467" vm="1365">
        <f ca="1"/>
        <v>186.57</v>
      </c>
      <c r="C467" vm="1366">
        <f ca="1"/>
        <v>6959209</v>
      </c>
      <c r="D467">
        <f t="shared" ca="1" si="139"/>
        <v>1298379623.1299999</v>
      </c>
      <c r="E467">
        <f ca="1">SUM($D$2:D467)/SUM($C$2:C467)</f>
        <v>159.55861353404146</v>
      </c>
      <c r="F467">
        <f ca="1">_xlfn.STDEV.P($B$2:B467)</f>
        <v>11.337777406468685</v>
      </c>
      <c r="G467">
        <f t="shared" ca="1" si="140"/>
        <v>170.89639094051014</v>
      </c>
      <c r="H467">
        <f t="shared" ca="1" si="141"/>
        <v>148.22083612757277</v>
      </c>
      <c r="I467">
        <f t="shared" ca="1" si="130"/>
        <v>189.70400000000001</v>
      </c>
      <c r="J467">
        <f t="shared" ca="1" si="131"/>
        <v>2.6391434017000366</v>
      </c>
      <c r="K467">
        <f t="shared" ca="1" si="132"/>
        <v>194.98228680340009</v>
      </c>
      <c r="L467">
        <f t="shared" ca="1" si="133"/>
        <v>184.42571319659993</v>
      </c>
      <c r="M467">
        <f t="shared" ca="1" si="142"/>
        <v>-0.40000000000000568</v>
      </c>
      <c r="N467">
        <f t="shared" ca="1" si="143"/>
        <v>0</v>
      </c>
      <c r="O467">
        <f t="shared" ca="1" si="144"/>
        <v>0.40000000000000568</v>
      </c>
      <c r="P467">
        <f t="shared" ca="1" si="148"/>
        <v>0.52386487642498214</v>
      </c>
      <c r="Q467">
        <f t="shared" ca="1" si="149"/>
        <v>0.583867311970523</v>
      </c>
      <c r="R467">
        <f t="shared" ca="1" si="146"/>
        <v>0.89723275423137561</v>
      </c>
      <c r="S467">
        <f t="shared" ca="1" si="147"/>
        <v>47.291654238537056</v>
      </c>
      <c r="T467">
        <f>70</f>
        <v>70</v>
      </c>
      <c r="U467">
        <f>30</f>
        <v>30</v>
      </c>
      <c r="V467">
        <f t="shared" ca="1" si="145"/>
        <v>187.8294759466566</v>
      </c>
      <c r="W467">
        <f t="shared" ca="1" si="135"/>
        <v>187.45226460023883</v>
      </c>
      <c r="X467">
        <f t="shared" ca="1" si="134"/>
        <v>0.39557937629453477</v>
      </c>
      <c r="Y467">
        <f t="shared" ca="1" si="136"/>
        <v>1.1144203883487698</v>
      </c>
      <c r="Z467">
        <f t="shared" ca="1" si="137"/>
        <v>-0.71884101205423501</v>
      </c>
      <c r="AA467">
        <f t="shared" ca="1" si="138"/>
        <v>174.81639999999993</v>
      </c>
    </row>
    <row r="468" spans="1:27" x14ac:dyDescent="0.25">
      <c r="A468" vm="1367">
        <f ca="1"/>
        <v>45971</v>
      </c>
      <c r="B468" vm="1368">
        <f ca="1"/>
        <v>188.41</v>
      </c>
      <c r="C468" vm="1369">
        <f ca="1"/>
        <v>5324077</v>
      </c>
      <c r="D468">
        <f t="shared" ca="1" si="139"/>
        <v>1003109347.5699999</v>
      </c>
      <c r="E468">
        <f ca="1">SUM($D$2:D468)/SUM($C$2:C468)</f>
        <v>159.6000882488259</v>
      </c>
      <c r="F468">
        <f ca="1">_xlfn.STDEV.P($B$2:B468)</f>
        <v>11.403588326178193</v>
      </c>
      <c r="G468">
        <f t="shared" ca="1" si="140"/>
        <v>171.00367657500408</v>
      </c>
      <c r="H468">
        <f t="shared" ca="1" si="141"/>
        <v>148.19649992264772</v>
      </c>
      <c r="I468">
        <f t="shared" ca="1" si="130"/>
        <v>189.5795</v>
      </c>
      <c r="J468">
        <f t="shared" ca="1" si="131"/>
        <v>2.6384853609599577</v>
      </c>
      <c r="K468">
        <f t="shared" ca="1" si="132"/>
        <v>194.85647072191992</v>
      </c>
      <c r="L468">
        <f t="shared" ca="1" si="133"/>
        <v>184.30252927808007</v>
      </c>
      <c r="M468">
        <f t="shared" ca="1" si="142"/>
        <v>1.8400000000000034</v>
      </c>
      <c r="N468">
        <f t="shared" ca="1" si="143"/>
        <v>1.8400000000000034</v>
      </c>
      <c r="O468">
        <f t="shared" ca="1" si="144"/>
        <v>0</v>
      </c>
      <c r="P468">
        <f t="shared" ca="1" si="148"/>
        <v>0.6178745281089123</v>
      </c>
      <c r="Q468">
        <f t="shared" ca="1" si="149"/>
        <v>0.54216250397262855</v>
      </c>
      <c r="R468">
        <f t="shared" ca="1" si="146"/>
        <v>1.1396482117105355</v>
      </c>
      <c r="S468">
        <f t="shared" ca="1" si="147"/>
        <v>53.263345136509479</v>
      </c>
      <c r="T468">
        <f>70</f>
        <v>70</v>
      </c>
      <c r="U468">
        <f>30</f>
        <v>30</v>
      </c>
      <c r="V468">
        <f t="shared" ca="1" si="145"/>
        <v>187.91878733947865</v>
      </c>
      <c r="W468">
        <f t="shared" ca="1" si="135"/>
        <v>187.52320796318412</v>
      </c>
      <c r="X468">
        <f t="shared" ca="1" si="134"/>
        <v>0.83782692817754878</v>
      </c>
      <c r="Y468">
        <f t="shared" ca="1" si="136"/>
        <v>1.0591016963145257</v>
      </c>
      <c r="Z468">
        <f t="shared" ca="1" si="137"/>
        <v>-0.22127476813697688</v>
      </c>
      <c r="AA468">
        <f t="shared" ca="1" si="138"/>
        <v>175.19319999999993</v>
      </c>
    </row>
    <row r="469" spans="1:27" x14ac:dyDescent="0.25">
      <c r="A469" vm="1370">
        <f ca="1"/>
        <v>45972</v>
      </c>
      <c r="B469" vm="1371">
        <f ca="1"/>
        <v>193.83</v>
      </c>
      <c r="C469" vm="1372">
        <f ca="1"/>
        <v>7465592</v>
      </c>
      <c r="D469">
        <f t="shared" ca="1" si="139"/>
        <v>1447055697.3600001</v>
      </c>
      <c r="E469">
        <f ca="1">SUM($D$2:D469)/SUM($C$2:C469)</f>
        <v>159.66894838470427</v>
      </c>
      <c r="F469">
        <f ca="1">_xlfn.STDEV.P($B$2:B469)</f>
        <v>11.500056086073361</v>
      </c>
      <c r="G469">
        <f t="shared" ca="1" si="140"/>
        <v>171.16900447077762</v>
      </c>
      <c r="H469">
        <f t="shared" ca="1" si="141"/>
        <v>148.16889229863091</v>
      </c>
      <c r="I469">
        <f t="shared" ca="1" si="130"/>
        <v>189.7285</v>
      </c>
      <c r="J469">
        <f t="shared" ca="1" si="131"/>
        <v>2.7935928102487817</v>
      </c>
      <c r="K469">
        <f t="shared" ca="1" si="132"/>
        <v>195.31568562049756</v>
      </c>
      <c r="L469">
        <f t="shared" ca="1" si="133"/>
        <v>184.14131437950243</v>
      </c>
      <c r="M469">
        <f t="shared" ca="1" si="142"/>
        <v>5.4200000000000159</v>
      </c>
      <c r="N469">
        <f t="shared" ca="1" si="143"/>
        <v>5.4200000000000159</v>
      </c>
      <c r="O469">
        <f t="shared" ca="1" si="144"/>
        <v>0</v>
      </c>
      <c r="P469">
        <f t="shared" ca="1" si="148"/>
        <v>0.96088349038684828</v>
      </c>
      <c r="Q469">
        <f t="shared" ca="1" si="149"/>
        <v>0.50343661083172653</v>
      </c>
      <c r="R469">
        <f t="shared" ca="1" si="146"/>
        <v>1.9086484171251963</v>
      </c>
      <c r="S469">
        <f t="shared" ca="1" si="147"/>
        <v>65.619770539735285</v>
      </c>
      <c r="T469">
        <f>70</f>
        <v>70</v>
      </c>
      <c r="U469">
        <f>30</f>
        <v>30</v>
      </c>
      <c r="V469">
        <f t="shared" ca="1" si="145"/>
        <v>188.82820467186656</v>
      </c>
      <c r="W469">
        <f t="shared" ca="1" si="135"/>
        <v>187.99037774368901</v>
      </c>
      <c r="X469">
        <f t="shared" ca="1" si="134"/>
        <v>1.2194416548302911</v>
      </c>
      <c r="Y469">
        <f t="shared" ca="1" si="136"/>
        <v>1.0911696880176787</v>
      </c>
      <c r="Z469">
        <f t="shared" ca="1" si="137"/>
        <v>0.12827196681261244</v>
      </c>
      <c r="AA469">
        <f t="shared" ca="1" si="138"/>
        <v>175.63359999999997</v>
      </c>
    </row>
    <row r="470" spans="1:27" x14ac:dyDescent="0.25">
      <c r="A470" vm="1373">
        <f ca="1"/>
        <v>45973</v>
      </c>
      <c r="B470" vm="1374">
        <f ca="1"/>
        <v>194.39</v>
      </c>
      <c r="C470" vm="1375">
        <f ca="1"/>
        <v>8803005</v>
      </c>
      <c r="D470">
        <f t="shared" ca="1" si="139"/>
        <v>1711216141.9499998</v>
      </c>
      <c r="E470">
        <f ca="1">SUM($D$2:D470)/SUM($C$2:C470)</f>
        <v>159.75111449024016</v>
      </c>
      <c r="F470">
        <f ca="1">_xlfn.STDEV.P($B$2:B470)</f>
        <v>11.598389132153414</v>
      </c>
      <c r="G470">
        <f t="shared" ca="1" si="140"/>
        <v>171.34950362239357</v>
      </c>
      <c r="H470">
        <f t="shared" ca="1" si="141"/>
        <v>148.15272535808674</v>
      </c>
      <c r="I470">
        <f t="shared" ref="I470:I514" ca="1" si="150">AVERAGE(B451:B470)</f>
        <v>189.8895</v>
      </c>
      <c r="J470">
        <f t="shared" ref="J470:J514" ca="1" si="151">_xlfn.STDEV.S(B451:B470)</f>
        <v>2.9683620771483774</v>
      </c>
      <c r="K470">
        <f t="shared" ref="K470:K514" ca="1" si="152">I470 + 2*J470</f>
        <v>195.82622415429677</v>
      </c>
      <c r="L470">
        <f t="shared" ref="L470:L514" ca="1" si="153">I470-2*J470</f>
        <v>183.95277584570323</v>
      </c>
      <c r="M470">
        <f t="shared" ca="1" si="142"/>
        <v>0.55999999999997385</v>
      </c>
      <c r="N470">
        <f t="shared" ca="1" si="143"/>
        <v>0.55999999999997385</v>
      </c>
      <c r="O470">
        <f t="shared" ca="1" si="144"/>
        <v>0</v>
      </c>
      <c r="P470">
        <f t="shared" ca="1" si="148"/>
        <v>0.93224895535921437</v>
      </c>
      <c r="Q470">
        <f t="shared" ca="1" si="149"/>
        <v>0.4674768529151746</v>
      </c>
      <c r="R470">
        <f t="shared" ca="1" si="146"/>
        <v>1.9942141510231617</v>
      </c>
      <c r="S470">
        <f t="shared" ca="1" si="147"/>
        <v>66.602255230866263</v>
      </c>
      <c r="T470">
        <f>70</f>
        <v>70</v>
      </c>
      <c r="U470">
        <f>30</f>
        <v>30</v>
      </c>
      <c r="V470">
        <f t="shared" ca="1" si="145"/>
        <v>189.68386549157938</v>
      </c>
      <c r="W470">
        <f t="shared" ca="1" si="135"/>
        <v>188.46442383674909</v>
      </c>
      <c r="X470">
        <f t="shared" ca="1" si="134"/>
        <v>1.5731347693892417</v>
      </c>
      <c r="Y470">
        <f t="shared" ca="1" si="136"/>
        <v>1.1875627042919912</v>
      </c>
      <c r="Z470">
        <f t="shared" ca="1" si="137"/>
        <v>0.3855720650972505</v>
      </c>
      <c r="AA470">
        <f t="shared" ca="1" si="138"/>
        <v>176.06429999999997</v>
      </c>
    </row>
    <row r="471" spans="1:27" x14ac:dyDescent="0.25">
      <c r="A471" vm="1376">
        <f ca="1"/>
        <v>45974</v>
      </c>
      <c r="B471" vm="1377">
        <f ca="1"/>
        <v>195.25</v>
      </c>
      <c r="C471" vm="1378">
        <f ca="1"/>
        <v>8631614</v>
      </c>
      <c r="D471">
        <f t="shared" ca="1" si="139"/>
        <v>1685322633.5</v>
      </c>
      <c r="E471">
        <f ca="1">SUM($D$2:D471)/SUM($C$2:C471)</f>
        <v>159.83329504116446</v>
      </c>
      <c r="F471">
        <f ca="1">_xlfn.STDEV.P($B$2:B471)</f>
        <v>11.700481587129477</v>
      </c>
      <c r="G471">
        <f t="shared" ca="1" si="140"/>
        <v>171.53377662829394</v>
      </c>
      <c r="H471">
        <f t="shared" ca="1" si="141"/>
        <v>148.13281345403499</v>
      </c>
      <c r="I471">
        <f t="shared" ca="1" si="150"/>
        <v>190.04599999999999</v>
      </c>
      <c r="J471">
        <f t="shared" ca="1" si="151"/>
        <v>3.1679503584627411</v>
      </c>
      <c r="K471">
        <f t="shared" ca="1" si="152"/>
        <v>196.38190071692549</v>
      </c>
      <c r="L471">
        <f t="shared" ca="1" si="153"/>
        <v>183.7100992830745</v>
      </c>
      <c r="M471">
        <f t="shared" ca="1" si="142"/>
        <v>0.86000000000001364</v>
      </c>
      <c r="N471">
        <f t="shared" ca="1" si="143"/>
        <v>0.86000000000001364</v>
      </c>
      <c r="O471">
        <f t="shared" ca="1" si="144"/>
        <v>0</v>
      </c>
      <c r="P471">
        <f t="shared" ca="1" si="148"/>
        <v>0.92708831569069994</v>
      </c>
      <c r="Q471">
        <f t="shared" ca="1" si="149"/>
        <v>0.43408564913551928</v>
      </c>
      <c r="R471">
        <f t="shared" ca="1" si="146"/>
        <v>2.135726710931344</v>
      </c>
      <c r="S471">
        <f t="shared" ca="1" si="147"/>
        <v>68.10946577347012</v>
      </c>
      <c r="T471">
        <f>70</f>
        <v>70</v>
      </c>
      <c r="U471">
        <f>30</f>
        <v>30</v>
      </c>
      <c r="V471">
        <f t="shared" ca="1" si="145"/>
        <v>190.54019387749025</v>
      </c>
      <c r="W471">
        <f t="shared" ca="1" si="135"/>
        <v>188.96705910810101</v>
      </c>
      <c r="X471">
        <f t="shared" ca="1" si="134"/>
        <v>1.8865623119139343</v>
      </c>
      <c r="Y471">
        <f t="shared" ca="1" si="136"/>
        <v>1.3273626258163798</v>
      </c>
      <c r="Z471">
        <f t="shared" ca="1" si="137"/>
        <v>0.55919968609755455</v>
      </c>
      <c r="AA471">
        <f t="shared" ca="1" si="138"/>
        <v>176.49489999999994</v>
      </c>
    </row>
    <row r="472" spans="1:27" x14ac:dyDescent="0.25">
      <c r="A472" vm="1379">
        <f ca="1"/>
        <v>45975</v>
      </c>
      <c r="B472" vm="1380">
        <f ca="1"/>
        <v>195.93</v>
      </c>
      <c r="C472" vm="1381">
        <f ca="1"/>
        <v>8824847</v>
      </c>
      <c r="D472">
        <f t="shared" ca="1" si="139"/>
        <v>1729052272.71</v>
      </c>
      <c r="E472">
        <f ca="1">SUM($D$2:D472)/SUM($C$2:C472)</f>
        <v>159.91852855065662</v>
      </c>
      <c r="F472">
        <f ca="1">_xlfn.STDEV.P($B$2:B472)</f>
        <v>11.805141222588309</v>
      </c>
      <c r="G472">
        <f t="shared" ca="1" si="140"/>
        <v>171.72366977324492</v>
      </c>
      <c r="H472">
        <f t="shared" ca="1" si="141"/>
        <v>148.11338732806831</v>
      </c>
      <c r="I472">
        <f t="shared" ca="1" si="150"/>
        <v>190.18149999999997</v>
      </c>
      <c r="J472">
        <f t="shared" ca="1" si="151"/>
        <v>3.3628172321495717</v>
      </c>
      <c r="K472">
        <f t="shared" ca="1" si="152"/>
        <v>196.90713446429911</v>
      </c>
      <c r="L472">
        <f t="shared" ca="1" si="153"/>
        <v>183.45586553570084</v>
      </c>
      <c r="M472">
        <f t="shared" ca="1" si="142"/>
        <v>0.68000000000000682</v>
      </c>
      <c r="N472">
        <f t="shared" ca="1" si="143"/>
        <v>0.68000000000000682</v>
      </c>
      <c r="O472">
        <f t="shared" ca="1" si="144"/>
        <v>0</v>
      </c>
      <c r="P472">
        <f t="shared" ca="1" si="148"/>
        <v>0.90943915028422195</v>
      </c>
      <c r="Q472">
        <f t="shared" ca="1" si="149"/>
        <v>0.40307953134012509</v>
      </c>
      <c r="R472">
        <f t="shared" ca="1" si="146"/>
        <v>2.2562275669533376</v>
      </c>
      <c r="S472">
        <f t="shared" ca="1" si="147"/>
        <v>69.289615684457772</v>
      </c>
      <c r="T472">
        <f>70</f>
        <v>70</v>
      </c>
      <c r="U472">
        <f>30</f>
        <v>30</v>
      </c>
      <c r="V472">
        <f t="shared" ca="1" si="145"/>
        <v>191.36939481941485</v>
      </c>
      <c r="W472">
        <f t="shared" ca="1" si="135"/>
        <v>189.48283250750092</v>
      </c>
      <c r="X472">
        <f t="shared" ca="1" si="134"/>
        <v>2.4017940069185499</v>
      </c>
      <c r="Y472">
        <f t="shared" ca="1" si="136"/>
        <v>1.542248902036814</v>
      </c>
      <c r="Z472">
        <f t="shared" ca="1" si="137"/>
        <v>0.85954510488173597</v>
      </c>
      <c r="AA472">
        <f t="shared" ca="1" si="138"/>
        <v>176.93139999999997</v>
      </c>
    </row>
    <row r="473" spans="1:27" x14ac:dyDescent="0.25">
      <c r="A473" vm="1382">
        <f ca="1"/>
        <v>45978</v>
      </c>
      <c r="B473" vm="1383">
        <f ca="1"/>
        <v>199.58</v>
      </c>
      <c r="C473" vm="1384">
        <f ca="1"/>
        <v>13256995</v>
      </c>
      <c r="D473">
        <f t="shared" ca="1" si="139"/>
        <v>2645831062.1000004</v>
      </c>
      <c r="E473">
        <f ca="1">SUM($D$2:D473)/SUM($C$2:C473)</f>
        <v>160.05871684625828</v>
      </c>
      <c r="F473">
        <f ca="1">_xlfn.STDEV.P($B$2:B473)</f>
        <v>11.932413206708553</v>
      </c>
      <c r="G473">
        <f t="shared" ca="1" si="140"/>
        <v>171.99113005296684</v>
      </c>
      <c r="H473">
        <f t="shared" ca="1" si="141"/>
        <v>148.12630363954972</v>
      </c>
      <c r="I473">
        <f t="shared" ca="1" si="150"/>
        <v>190.47449999999998</v>
      </c>
      <c r="J473">
        <f t="shared" ca="1" si="151"/>
        <v>3.8997712146119294</v>
      </c>
      <c r="K473">
        <f t="shared" ca="1" si="152"/>
        <v>198.27404242922384</v>
      </c>
      <c r="L473">
        <f t="shared" ca="1" si="153"/>
        <v>182.67495757077612</v>
      </c>
      <c r="M473">
        <f t="shared" ca="1" si="142"/>
        <v>3.6500000000000057</v>
      </c>
      <c r="N473">
        <f t="shared" ca="1" si="143"/>
        <v>3.6500000000000057</v>
      </c>
      <c r="O473">
        <f t="shared" ca="1" si="144"/>
        <v>0</v>
      </c>
      <c r="P473">
        <f t="shared" ca="1" si="148"/>
        <v>1.1051934966924921</v>
      </c>
      <c r="Q473">
        <f t="shared" ca="1" si="149"/>
        <v>0.37428813624440188</v>
      </c>
      <c r="R473">
        <f t="shared" ca="1" si="146"/>
        <v>2.9527879450895158</v>
      </c>
      <c r="S473">
        <f t="shared" ca="1" si="147"/>
        <v>74.701400280217825</v>
      </c>
      <c r="T473">
        <f>70</f>
        <v>70</v>
      </c>
      <c r="U473">
        <f>30</f>
        <v>30</v>
      </c>
      <c r="V473">
        <f t="shared" ca="1" si="145"/>
        <v>192.63256484719719</v>
      </c>
      <c r="W473">
        <f t="shared" ca="1" si="135"/>
        <v>190.23077084027864</v>
      </c>
      <c r="X473">
        <f t="shared" ca="1" si="134"/>
        <v>2.811598964464423</v>
      </c>
      <c r="Y473">
        <f t="shared" ca="1" si="136"/>
        <v>1.796118914522336</v>
      </c>
      <c r="Z473">
        <f t="shared" ca="1" si="137"/>
        <v>1.0154800499420871</v>
      </c>
      <c r="AA473">
        <f t="shared" ca="1" si="138"/>
        <v>177.40709999999996</v>
      </c>
    </row>
    <row r="474" spans="1:27" x14ac:dyDescent="0.25">
      <c r="A474" vm="1385">
        <f ca="1"/>
        <v>45979</v>
      </c>
      <c r="B474" vm="1386">
        <f ca="1"/>
        <v>200</v>
      </c>
      <c r="C474" vm="1387">
        <f ca="1"/>
        <v>12468619</v>
      </c>
      <c r="D474">
        <f t="shared" ca="1" si="139"/>
        <v>2493723800</v>
      </c>
      <c r="E474">
        <f ca="1">SUM($D$2:D474)/SUM($C$2:C474)</f>
        <v>160.19105858136322</v>
      </c>
      <c r="F474">
        <f ca="1">_xlfn.STDEV.P($B$2:B474)</f>
        <v>12.060151516645819</v>
      </c>
      <c r="G474">
        <f t="shared" ca="1" si="140"/>
        <v>172.25121009800904</v>
      </c>
      <c r="H474">
        <f t="shared" ca="1" si="141"/>
        <v>148.13090706471741</v>
      </c>
      <c r="I474">
        <f t="shared" ca="1" si="150"/>
        <v>190.88049999999996</v>
      </c>
      <c r="J474">
        <f t="shared" ca="1" si="151"/>
        <v>4.439174265321733</v>
      </c>
      <c r="K474">
        <f t="shared" ca="1" si="152"/>
        <v>199.75884853064343</v>
      </c>
      <c r="L474">
        <f t="shared" ca="1" si="153"/>
        <v>182.00215146935648</v>
      </c>
      <c r="M474">
        <f t="shared" ca="1" si="142"/>
        <v>0.41999999999998749</v>
      </c>
      <c r="N474">
        <f t="shared" ca="1" si="143"/>
        <v>0.41999999999998749</v>
      </c>
      <c r="O474">
        <f t="shared" ca="1" si="144"/>
        <v>0</v>
      </c>
      <c r="P474">
        <f t="shared" ca="1" si="148"/>
        <v>1.0562511040715989</v>
      </c>
      <c r="Q474">
        <f t="shared" ca="1" si="149"/>
        <v>0.34755326936980174</v>
      </c>
      <c r="R474">
        <f t="shared" ca="1" si="146"/>
        <v>3.0391056484286221</v>
      </c>
      <c r="S474">
        <f t="shared" ca="1" si="147"/>
        <v>75.242043980972838</v>
      </c>
      <c r="T474">
        <f>70</f>
        <v>70</v>
      </c>
      <c r="U474">
        <f>30</f>
        <v>30</v>
      </c>
      <c r="V474">
        <f t="shared" ca="1" si="145"/>
        <v>193.76601640916687</v>
      </c>
      <c r="W474">
        <f t="shared" ca="1" si="135"/>
        <v>190.95441744470244</v>
      </c>
      <c r="X474">
        <f t="shared" ca="1" si="134"/>
        <v>3.3008581310377565</v>
      </c>
      <c r="Y474">
        <f t="shared" ca="1" si="136"/>
        <v>2.0970667578254201</v>
      </c>
      <c r="Z474">
        <f t="shared" ca="1" si="137"/>
        <v>1.2037913732123364</v>
      </c>
      <c r="AA474">
        <f t="shared" ca="1" si="138"/>
        <v>177.88299999999998</v>
      </c>
    </row>
    <row r="475" spans="1:27" x14ac:dyDescent="0.25">
      <c r="A475" vm="1388">
        <f ca="1"/>
        <v>45980</v>
      </c>
      <c r="B475" vm="1389">
        <f ca="1"/>
        <v>202.51</v>
      </c>
      <c r="C475" vm="1390">
        <f ca="1"/>
        <v>14690837</v>
      </c>
      <c r="D475">
        <f t="shared" ca="1" si="139"/>
        <v>2975041400.8699999</v>
      </c>
      <c r="E475">
        <f ca="1">SUM($D$2:D475)/SUM($C$2:C475)</f>
        <v>160.35562667351533</v>
      </c>
      <c r="F475">
        <f ca="1">_xlfn.STDEV.P($B$2:B475)</f>
        <v>12.203254387674839</v>
      </c>
      <c r="G475">
        <f t="shared" ca="1" si="140"/>
        <v>172.55888106119016</v>
      </c>
      <c r="H475">
        <f t="shared" ca="1" si="141"/>
        <v>148.1523722858405</v>
      </c>
      <c r="I475">
        <f t="shared" ca="1" si="150"/>
        <v>191.35899999999998</v>
      </c>
      <c r="J475">
        <f t="shared" ca="1" si="151"/>
        <v>5.1342174107698861</v>
      </c>
      <c r="K475">
        <f t="shared" ca="1" si="152"/>
        <v>201.62743482153977</v>
      </c>
      <c r="L475">
        <f t="shared" ca="1" si="153"/>
        <v>181.0905651784602</v>
      </c>
      <c r="M475">
        <f t="shared" ca="1" si="142"/>
        <v>2.5099999999999909</v>
      </c>
      <c r="N475">
        <f t="shared" ca="1" si="143"/>
        <v>2.5099999999999909</v>
      </c>
      <c r="O475">
        <f t="shared" ca="1" si="144"/>
        <v>0</v>
      </c>
      <c r="P475">
        <f t="shared" ca="1" si="148"/>
        <v>1.1600903109236269</v>
      </c>
      <c r="Q475">
        <f t="shared" ca="1" si="149"/>
        <v>0.32272803584338733</v>
      </c>
      <c r="R475">
        <f t="shared" ca="1" si="146"/>
        <v>3.5946375340213477</v>
      </c>
      <c r="S475">
        <f t="shared" ca="1" si="147"/>
        <v>78.235497520850714</v>
      </c>
      <c r="T475">
        <f>70</f>
        <v>70</v>
      </c>
      <c r="U475">
        <f>30</f>
        <v>30</v>
      </c>
      <c r="V475">
        <f t="shared" ca="1" si="145"/>
        <v>195.1112446539104</v>
      </c>
      <c r="W475">
        <f t="shared" ca="1" si="135"/>
        <v>191.81038652287265</v>
      </c>
      <c r="X475">
        <f t="shared" ca="1" si="134"/>
        <v>3.6912365876859781</v>
      </c>
      <c r="Y475">
        <f t="shared" ca="1" si="136"/>
        <v>2.4159007237975318</v>
      </c>
      <c r="Z475">
        <f t="shared" ca="1" si="137"/>
        <v>1.2753358638884462</v>
      </c>
      <c r="AA475">
        <f t="shared" ca="1" si="138"/>
        <v>178.38059999999999</v>
      </c>
    </row>
    <row r="476" spans="1:27" x14ac:dyDescent="0.25">
      <c r="A476" vm="1391">
        <f ca="1"/>
        <v>45981</v>
      </c>
      <c r="B476" vm="1392">
        <f ca="1"/>
        <v>203.07</v>
      </c>
      <c r="C476" vm="1393">
        <f ca="1"/>
        <v>10612550</v>
      </c>
      <c r="D476">
        <f t="shared" ca="1" si="139"/>
        <v>2155090528.5</v>
      </c>
      <c r="E476">
        <f ca="1">SUM($D$2:D476)/SUM($C$2:C476)</f>
        <v>160.47528413184824</v>
      </c>
      <c r="F476">
        <f ca="1">_xlfn.STDEV.P($B$2:B476)</f>
        <v>12.34751878643131</v>
      </c>
      <c r="G476">
        <f t="shared" ca="1" si="140"/>
        <v>172.82280291827956</v>
      </c>
      <c r="H476">
        <f t="shared" ca="1" si="141"/>
        <v>148.12776534541692</v>
      </c>
      <c r="I476">
        <f t="shared" ca="1" si="150"/>
        <v>191.88899999999995</v>
      </c>
      <c r="J476">
        <f t="shared" ca="1" si="151"/>
        <v>5.7634911751746252</v>
      </c>
      <c r="K476">
        <f t="shared" ca="1" si="152"/>
        <v>203.4159823503492</v>
      </c>
      <c r="L476">
        <f t="shared" ca="1" si="153"/>
        <v>180.36201764965071</v>
      </c>
      <c r="M476">
        <f t="shared" ca="1" si="142"/>
        <v>0.56000000000000227</v>
      </c>
      <c r="N476">
        <f t="shared" ca="1" si="143"/>
        <v>0.56000000000000227</v>
      </c>
      <c r="O476">
        <f t="shared" ca="1" si="144"/>
        <v>0</v>
      </c>
      <c r="P476">
        <f t="shared" ca="1" si="148"/>
        <v>1.1172267172862251</v>
      </c>
      <c r="Q476">
        <f t="shared" ca="1" si="149"/>
        <v>0.2996760332831454</v>
      </c>
      <c r="R476">
        <f t="shared" ca="1" si="146"/>
        <v>3.7281150082183134</v>
      </c>
      <c r="S476">
        <f t="shared" ca="1" si="147"/>
        <v>78.849922257351608</v>
      </c>
      <c r="T476">
        <f>70</f>
        <v>70</v>
      </c>
      <c r="U476">
        <f>30</f>
        <v>30</v>
      </c>
      <c r="V476">
        <f t="shared" ca="1" si="145"/>
        <v>196.33566855330881</v>
      </c>
      <c r="W476">
        <f t="shared" ca="1" si="135"/>
        <v>192.64443196562283</v>
      </c>
      <c r="X476">
        <f t="shared" ref="X476:X514" ca="1" si="154">V477-W477</f>
        <v>4.0212341068527166</v>
      </c>
      <c r="Y476">
        <f t="shared" ca="1" si="136"/>
        <v>2.7369674004085689</v>
      </c>
      <c r="Z476">
        <f t="shared" ca="1" si="137"/>
        <v>1.2842667064441478</v>
      </c>
      <c r="AA476">
        <f t="shared" ca="1" si="138"/>
        <v>178.85209999999995</v>
      </c>
    </row>
    <row r="477" spans="1:27" x14ac:dyDescent="0.25">
      <c r="A477" vm="1394">
        <f ca="1"/>
        <v>45982</v>
      </c>
      <c r="B477" vm="1395">
        <f ca="1"/>
        <v>203.9</v>
      </c>
      <c r="C477" vm="1396">
        <f ca="1"/>
        <v>13189055</v>
      </c>
      <c r="D477">
        <f t="shared" ca="1" si="139"/>
        <v>2689248314.5</v>
      </c>
      <c r="E477">
        <f ca="1">SUM($D$2:D477)/SUM($C$2:C477)</f>
        <v>160.62594043384152</v>
      </c>
      <c r="F477">
        <f ca="1">_xlfn.STDEV.P($B$2:B477)</f>
        <v>12.494886465174906</v>
      </c>
      <c r="G477">
        <f t="shared" ca="1" si="140"/>
        <v>173.12082689901644</v>
      </c>
      <c r="H477">
        <f t="shared" ca="1" si="141"/>
        <v>148.13105396866661</v>
      </c>
      <c r="I477">
        <f t="shared" ca="1" si="150"/>
        <v>192.56399999999999</v>
      </c>
      <c r="J477">
        <f t="shared" ca="1" si="151"/>
        <v>6.3414811485878229</v>
      </c>
      <c r="K477">
        <f t="shared" ca="1" si="152"/>
        <v>205.24696229717563</v>
      </c>
      <c r="L477">
        <f t="shared" ca="1" si="153"/>
        <v>179.88103770282436</v>
      </c>
      <c r="M477">
        <f t="shared" ca="1" si="142"/>
        <v>0.83000000000001251</v>
      </c>
      <c r="N477">
        <f t="shared" ca="1" si="143"/>
        <v>0.83000000000001251</v>
      </c>
      <c r="O477">
        <f t="shared" ca="1" si="144"/>
        <v>0</v>
      </c>
      <c r="P477">
        <f t="shared" ca="1" si="148"/>
        <v>1.0967105231943528</v>
      </c>
      <c r="Q477">
        <f t="shared" ca="1" si="149"/>
        <v>0.2782706023343493</v>
      </c>
      <c r="R477">
        <f t="shared" ca="1" si="146"/>
        <v>3.9411655920327036</v>
      </c>
      <c r="S477">
        <f t="shared" ca="1" si="147"/>
        <v>79.761860205364655</v>
      </c>
      <c r="T477">
        <f>70</f>
        <v>70</v>
      </c>
      <c r="U477">
        <f>30</f>
        <v>30</v>
      </c>
      <c r="V477">
        <f t="shared" ca="1" si="145"/>
        <v>197.49941185279977</v>
      </c>
      <c r="W477">
        <f t="shared" ref="W477:W514" ca="1" si="155">B477*(2/(26+1)) + W476*(1-(2/(26+1)))</f>
        <v>193.47817774594705</v>
      </c>
      <c r="X477">
        <f t="shared" ca="1" si="154"/>
        <v>4.4054631135291515</v>
      </c>
      <c r="Y477">
        <f t="shared" ca="1" si="136"/>
        <v>3.0706665430326856</v>
      </c>
      <c r="Z477">
        <f t="shared" ca="1" si="137"/>
        <v>1.3347965704964659</v>
      </c>
      <c r="AA477">
        <f t="shared" ca="1" si="138"/>
        <v>179.33549999999997</v>
      </c>
    </row>
    <row r="478" spans="1:27" x14ac:dyDescent="0.25">
      <c r="A478" vm="1397">
        <f ca="1"/>
        <v>45985</v>
      </c>
      <c r="B478" vm="1398">
        <f ca="1"/>
        <v>206.05</v>
      </c>
      <c r="C478" vm="1399">
        <f ca="1"/>
        <v>14803873</v>
      </c>
      <c r="D478">
        <f t="shared" ca="1" si="139"/>
        <v>3050338031.6500001</v>
      </c>
      <c r="E478">
        <f ca="1">SUM($D$2:D478)/SUM($C$2:C478)</f>
        <v>160.80214210082235</v>
      </c>
      <c r="F478">
        <f ca="1">_xlfn.STDEV.P($B$2:B478)</f>
        <v>12.655118147503682</v>
      </c>
      <c r="G478">
        <f t="shared" ca="1" si="140"/>
        <v>173.45726024832604</v>
      </c>
      <c r="H478">
        <f t="shared" ca="1" si="141"/>
        <v>148.14702395331867</v>
      </c>
      <c r="I478">
        <f t="shared" ca="1" si="150"/>
        <v>193.35149999999999</v>
      </c>
      <c r="J478">
        <f t="shared" ca="1" si="151"/>
        <v>6.9902814302204046</v>
      </c>
      <c r="K478">
        <f t="shared" ca="1" si="152"/>
        <v>207.3320628604408</v>
      </c>
      <c r="L478">
        <f t="shared" ca="1" si="153"/>
        <v>179.37093713955917</v>
      </c>
      <c r="M478">
        <f t="shared" ca="1" si="142"/>
        <v>2.1500000000000057</v>
      </c>
      <c r="N478">
        <f t="shared" ca="1" si="143"/>
        <v>2.1500000000000057</v>
      </c>
      <c r="O478">
        <f t="shared" ca="1" si="144"/>
        <v>0</v>
      </c>
      <c r="P478">
        <f t="shared" ca="1" si="148"/>
        <v>1.171945485823328</v>
      </c>
      <c r="Q478">
        <f t="shared" ca="1" si="149"/>
        <v>0.25839413073903866</v>
      </c>
      <c r="R478">
        <f t="shared" ca="1" si="146"/>
        <v>4.5354957656020334</v>
      </c>
      <c r="S478">
        <f t="shared" ca="1" si="147"/>
        <v>81.93477075325265</v>
      </c>
      <c r="T478">
        <f>70</f>
        <v>70</v>
      </c>
      <c r="U478">
        <f>30</f>
        <v>30</v>
      </c>
      <c r="V478">
        <f t="shared" ca="1" si="145"/>
        <v>198.81488695236902</v>
      </c>
      <c r="W478">
        <f t="shared" ca="1" si="155"/>
        <v>194.40942383883987</v>
      </c>
      <c r="X478">
        <f t="shared" ca="1" si="154"/>
        <v>4.7057512171813016</v>
      </c>
      <c r="Y478">
        <f t="shared" ca="1" si="136"/>
        <v>3.397683477862409</v>
      </c>
      <c r="Z478">
        <f t="shared" ca="1" si="137"/>
        <v>1.3080677393188926</v>
      </c>
      <c r="AA478">
        <f t="shared" ca="1" si="138"/>
        <v>179.83589999999995</v>
      </c>
    </row>
    <row r="479" spans="1:27" x14ac:dyDescent="0.25">
      <c r="A479" vm="1400">
        <f ca="1"/>
        <v>45986</v>
      </c>
      <c r="B479" vm="1401">
        <f ca="1"/>
        <v>206.67</v>
      </c>
      <c r="C479" vm="1402">
        <f ca="1"/>
        <v>10275724</v>
      </c>
      <c r="D479">
        <f t="shared" ca="1" si="139"/>
        <v>2123683879.0799999</v>
      </c>
      <c r="E479">
        <f ca="1">SUM($D$2:D479)/SUM($C$2:C479)</f>
        <v>160.92531121713441</v>
      </c>
      <c r="F479">
        <f ca="1">_xlfn.STDEV.P($B$2:B479)</f>
        <v>12.816609716333135</v>
      </c>
      <c r="G479">
        <f t="shared" ca="1" si="140"/>
        <v>173.74192093346755</v>
      </c>
      <c r="H479">
        <f t="shared" ca="1" si="141"/>
        <v>148.10870150080126</v>
      </c>
      <c r="I479">
        <f t="shared" ca="1" si="150"/>
        <v>194.33850000000001</v>
      </c>
      <c r="J479">
        <f t="shared" ca="1" si="151"/>
        <v>7.4164825504448286</v>
      </c>
      <c r="K479">
        <f t="shared" ca="1" si="152"/>
        <v>209.17146510088966</v>
      </c>
      <c r="L479">
        <f t="shared" ca="1" si="153"/>
        <v>179.50553489911036</v>
      </c>
      <c r="M479">
        <f t="shared" ca="1" si="142"/>
        <v>0.61999999999997613</v>
      </c>
      <c r="N479">
        <f t="shared" ca="1" si="143"/>
        <v>0.61999999999997613</v>
      </c>
      <c r="O479">
        <f t="shared" ca="1" si="144"/>
        <v>0</v>
      </c>
      <c r="P479">
        <f t="shared" ca="1" si="148"/>
        <v>1.1325208082645173</v>
      </c>
      <c r="Q479">
        <f t="shared" ca="1" si="149"/>
        <v>0.23993740711482162</v>
      </c>
      <c r="R479">
        <f t="shared" ca="1" si="146"/>
        <v>4.7200677121702475</v>
      </c>
      <c r="S479">
        <f t="shared" ca="1" si="147"/>
        <v>82.517689469438281</v>
      </c>
      <c r="T479">
        <f>70</f>
        <v>70</v>
      </c>
      <c r="U479">
        <f>30</f>
        <v>30</v>
      </c>
      <c r="V479">
        <f t="shared" ca="1" si="145"/>
        <v>200.02336588277379</v>
      </c>
      <c r="W479">
        <f t="shared" ca="1" si="155"/>
        <v>195.31761466559249</v>
      </c>
      <c r="X479">
        <f t="shared" ca="1" si="154"/>
        <v>4.958390030957986</v>
      </c>
      <c r="Y479">
        <f t="shared" ca="1" si="136"/>
        <v>3.7098247884815247</v>
      </c>
      <c r="Z479">
        <f t="shared" ca="1" si="137"/>
        <v>1.2485652424764613</v>
      </c>
      <c r="AA479">
        <f t="shared" ca="1" si="138"/>
        <v>180.34989999999993</v>
      </c>
    </row>
    <row r="480" spans="1:27" x14ac:dyDescent="0.25">
      <c r="A480" vm="1403">
        <f ca="1"/>
        <v>45987</v>
      </c>
      <c r="B480" vm="1404">
        <f ca="1"/>
        <v>207.56</v>
      </c>
      <c r="C480" vm="1405">
        <f ca="1"/>
        <v>6728994</v>
      </c>
      <c r="D480">
        <f t="shared" ca="1" si="139"/>
        <v>1396669994.6400001</v>
      </c>
      <c r="E480">
        <f ca="1">SUM($D$2:D480)/SUM($C$2:C480)</f>
        <v>161.00717223566272</v>
      </c>
      <c r="F480">
        <f ca="1">_xlfn.STDEV.P($B$2:B480)</f>
        <v>12.981360306309069</v>
      </c>
      <c r="G480">
        <f t="shared" ca="1" si="140"/>
        <v>173.98853254197178</v>
      </c>
      <c r="H480">
        <f t="shared" ca="1" si="141"/>
        <v>148.02581192935367</v>
      </c>
      <c r="I480">
        <f t="shared" ca="1" si="150"/>
        <v>195.38650000000001</v>
      </c>
      <c r="J480">
        <f t="shared" ca="1" si="151"/>
        <v>7.7392970407014703</v>
      </c>
      <c r="K480">
        <f t="shared" ca="1" si="152"/>
        <v>210.86509408140296</v>
      </c>
      <c r="L480">
        <f t="shared" ca="1" si="153"/>
        <v>179.90790591859707</v>
      </c>
      <c r="M480">
        <f t="shared" ca="1" si="142"/>
        <v>0.89000000000001478</v>
      </c>
      <c r="N480">
        <f t="shared" ca="1" si="143"/>
        <v>0.89000000000001478</v>
      </c>
      <c r="O480">
        <f t="shared" ca="1" si="144"/>
        <v>0</v>
      </c>
      <c r="P480">
        <f t="shared" ca="1" si="148"/>
        <v>1.1151978933884814</v>
      </c>
      <c r="Q480">
        <f t="shared" ca="1" si="149"/>
        <v>0.22279902089233436</v>
      </c>
      <c r="R480">
        <f t="shared" ca="1" si="146"/>
        <v>5.005398537758345</v>
      </c>
      <c r="S480">
        <f t="shared" ca="1" si="147"/>
        <v>83.348315790990398</v>
      </c>
      <c r="T480">
        <f>70</f>
        <v>70</v>
      </c>
      <c r="U480">
        <f>30</f>
        <v>30</v>
      </c>
      <c r="V480">
        <f t="shared" ca="1" si="145"/>
        <v>201.18284805465473</v>
      </c>
      <c r="W480">
        <f t="shared" ca="1" si="155"/>
        <v>196.22445802369674</v>
      </c>
      <c r="X480">
        <f t="shared" ca="1" si="154"/>
        <v>5.0487664231652616</v>
      </c>
      <c r="Y480">
        <f t="shared" ca="1" si="136"/>
        <v>3.9776131154182721</v>
      </c>
      <c r="Z480">
        <f t="shared" ca="1" si="137"/>
        <v>1.0711533077469895</v>
      </c>
      <c r="AA480">
        <f t="shared" ca="1" si="138"/>
        <v>180.86759999999995</v>
      </c>
    </row>
    <row r="481" spans="1:27" x14ac:dyDescent="0.25">
      <c r="A481" vm="1406">
        <f ca="1"/>
        <v>45989</v>
      </c>
      <c r="B481" vm="1407">
        <f ca="1"/>
        <v>206.92</v>
      </c>
      <c r="C481" vm="1408">
        <f ca="1"/>
        <v>5638279</v>
      </c>
      <c r="D481">
        <f t="shared" ca="1" si="139"/>
        <v>1166672690.6799998</v>
      </c>
      <c r="E481">
        <f ca="1">SUM($D$2:D481)/SUM($C$2:C481)</f>
        <v>161.07460333142788</v>
      </c>
      <c r="F481">
        <f ca="1">_xlfn.STDEV.P($B$2:B481)</f>
        <v>13.137933617549956</v>
      </c>
      <c r="G481">
        <f t="shared" ca="1" si="140"/>
        <v>174.21253694897783</v>
      </c>
      <c r="H481">
        <f t="shared" ca="1" si="141"/>
        <v>147.93666971387793</v>
      </c>
      <c r="I481">
        <f t="shared" ca="1" si="150"/>
        <v>196.28</v>
      </c>
      <c r="J481">
        <f t="shared" ca="1" si="151"/>
        <v>7.996516346773169</v>
      </c>
      <c r="K481">
        <f t="shared" ca="1" si="152"/>
        <v>212.27303269354633</v>
      </c>
      <c r="L481">
        <f t="shared" ca="1" si="153"/>
        <v>180.28696730645368</v>
      </c>
      <c r="M481">
        <f t="shared" ca="1" si="142"/>
        <v>-0.64000000000001478</v>
      </c>
      <c r="N481">
        <f t="shared" ca="1" si="143"/>
        <v>0</v>
      </c>
      <c r="O481">
        <f t="shared" ca="1" si="144"/>
        <v>0.64000000000001478</v>
      </c>
      <c r="P481">
        <f t="shared" ca="1" si="148"/>
        <v>1.0355409010035899</v>
      </c>
      <c r="Q481">
        <f t="shared" ca="1" si="149"/>
        <v>0.25259909082859722</v>
      </c>
      <c r="R481">
        <f t="shared" ca="1" si="146"/>
        <v>4.0995432628309141</v>
      </c>
      <c r="S481">
        <f t="shared" ca="1" si="147"/>
        <v>80.390400699436967</v>
      </c>
      <c r="T481">
        <f>70</f>
        <v>70</v>
      </c>
      <c r="U481">
        <f>30</f>
        <v>30</v>
      </c>
      <c r="V481">
        <f t="shared" ca="1" si="145"/>
        <v>202.06548681547707</v>
      </c>
      <c r="W481">
        <f t="shared" ca="1" si="155"/>
        <v>197.01672039231181</v>
      </c>
      <c r="X481">
        <f t="shared" ca="1" si="154"/>
        <v>4.9359984521235276</v>
      </c>
      <c r="Y481">
        <f t="shared" ca="1" si="136"/>
        <v>4.1692901827593234</v>
      </c>
      <c r="Z481">
        <f t="shared" ca="1" si="137"/>
        <v>0.76670826936420422</v>
      </c>
      <c r="AA481">
        <f t="shared" ca="1" si="138"/>
        <v>181.37399999999994</v>
      </c>
    </row>
    <row r="482" spans="1:27" x14ac:dyDescent="0.25">
      <c r="A482" vm="1409">
        <f ca="1"/>
        <v>45992</v>
      </c>
      <c r="B482" vm="1410">
        <f ca="1"/>
        <v>205.34</v>
      </c>
      <c r="C482" vm="1411">
        <f ca="1"/>
        <v>8473726</v>
      </c>
      <c r="D482">
        <f t="shared" ca="1" si="139"/>
        <v>1739994896.8399999</v>
      </c>
      <c r="E482">
        <f ca="1">SUM($D$2:D482)/SUM($C$2:C482)</f>
        <v>161.17209350522324</v>
      </c>
      <c r="F482">
        <f ca="1">_xlfn.STDEV.P($B$2:B482)</f>
        <v>13.280145677923839</v>
      </c>
      <c r="G482">
        <f t="shared" ca="1" si="140"/>
        <v>174.45223918314707</v>
      </c>
      <c r="H482">
        <f t="shared" ca="1" si="141"/>
        <v>147.89194782729942</v>
      </c>
      <c r="I482">
        <f t="shared" ca="1" si="150"/>
        <v>197.10350000000005</v>
      </c>
      <c r="J482">
        <f t="shared" ca="1" si="151"/>
        <v>8.0411888849976982</v>
      </c>
      <c r="K482">
        <f t="shared" ca="1" si="152"/>
        <v>213.18587776999544</v>
      </c>
      <c r="L482">
        <f t="shared" ca="1" si="153"/>
        <v>181.02112223000466</v>
      </c>
      <c r="M482">
        <f t="shared" ca="1" si="142"/>
        <v>-1.5799999999999841</v>
      </c>
      <c r="N482">
        <f t="shared" ca="1" si="143"/>
        <v>0</v>
      </c>
      <c r="O482">
        <f t="shared" ca="1" si="144"/>
        <v>1.5799999999999841</v>
      </c>
      <c r="P482">
        <f t="shared" ca="1" si="148"/>
        <v>0.96157369378904778</v>
      </c>
      <c r="Q482">
        <f t="shared" ca="1" si="149"/>
        <v>0.34741344148369624</v>
      </c>
      <c r="R482">
        <f t="shared" ca="1" si="146"/>
        <v>2.7678079745057116</v>
      </c>
      <c r="S482">
        <f t="shared" ca="1" si="147"/>
        <v>73.459369299965786</v>
      </c>
      <c r="T482">
        <f>70</f>
        <v>70</v>
      </c>
      <c r="U482">
        <f>30</f>
        <v>30</v>
      </c>
      <c r="V482">
        <f t="shared" ca="1" si="145"/>
        <v>202.56925807463446</v>
      </c>
      <c r="W482">
        <f t="shared" ca="1" si="155"/>
        <v>197.63325962251093</v>
      </c>
      <c r="X482">
        <f t="shared" ca="1" si="154"/>
        <v>4.7977785494312855</v>
      </c>
      <c r="Y482">
        <f t="shared" ca="1" si="136"/>
        <v>4.2949878560937158</v>
      </c>
      <c r="Z482">
        <f t="shared" ca="1" si="137"/>
        <v>0.50279069333756965</v>
      </c>
      <c r="AA482">
        <f t="shared" ca="1" si="138"/>
        <v>181.85049999999993</v>
      </c>
    </row>
    <row r="483" spans="1:27" x14ac:dyDescent="0.25">
      <c r="A483" vm="1412">
        <f ca="1"/>
        <v>45993</v>
      </c>
      <c r="B483" vm="1413">
        <f ca="1"/>
        <v>205.42</v>
      </c>
      <c r="C483" vm="1414">
        <f ca="1"/>
        <v>8393565</v>
      </c>
      <c r="D483">
        <f t="shared" ca="1" si="139"/>
        <v>1724206122.3</v>
      </c>
      <c r="E483">
        <f ca="1">SUM($D$2:D483)/SUM($C$2:C483)</f>
        <v>161.26841314341547</v>
      </c>
      <c r="F483">
        <f ca="1">_xlfn.STDEV.P($B$2:B483)</f>
        <v>13.420184202355587</v>
      </c>
      <c r="G483">
        <f t="shared" ca="1" si="140"/>
        <v>174.68859734577106</v>
      </c>
      <c r="H483">
        <f t="shared" ca="1" si="141"/>
        <v>147.84822894105989</v>
      </c>
      <c r="I483">
        <f t="shared" ca="1" si="150"/>
        <v>198.06150000000005</v>
      </c>
      <c r="J483">
        <f t="shared" ca="1" si="151"/>
        <v>7.8196145247569238</v>
      </c>
      <c r="K483">
        <f t="shared" ca="1" si="152"/>
        <v>213.70072904951391</v>
      </c>
      <c r="L483">
        <f t="shared" ca="1" si="153"/>
        <v>182.42227095048619</v>
      </c>
      <c r="M483">
        <f t="shared" ca="1" si="142"/>
        <v>7.9999999999984084E-2</v>
      </c>
      <c r="N483">
        <f t="shared" ca="1" si="143"/>
        <v>7.9999999999984084E-2</v>
      </c>
      <c r="O483">
        <f t="shared" ca="1" si="144"/>
        <v>0</v>
      </c>
      <c r="P483">
        <f t="shared" ca="1" si="148"/>
        <v>0.89860414423268609</v>
      </c>
      <c r="Q483">
        <f t="shared" ca="1" si="149"/>
        <v>0.32259819566343223</v>
      </c>
      <c r="R483">
        <f t="shared" ca="1" si="146"/>
        <v>2.7855212964991374</v>
      </c>
      <c r="S483">
        <f t="shared" ca="1" si="147"/>
        <v>73.583558995565468</v>
      </c>
      <c r="T483">
        <f>70</f>
        <v>70</v>
      </c>
      <c r="U483">
        <f>30</f>
        <v>30</v>
      </c>
      <c r="V483">
        <f t="shared" ca="1" si="145"/>
        <v>203.00783375545993</v>
      </c>
      <c r="W483">
        <f t="shared" ca="1" si="155"/>
        <v>198.21005520602864</v>
      </c>
      <c r="X483">
        <f t="shared" ca="1" si="154"/>
        <v>4.6276315766731955</v>
      </c>
      <c r="Y483">
        <f t="shared" ca="1" si="136"/>
        <v>4.3615166002096117</v>
      </c>
      <c r="Z483">
        <f t="shared" ca="1" si="137"/>
        <v>0.26611497646358373</v>
      </c>
      <c r="AA483">
        <f t="shared" ca="1" si="138"/>
        <v>182.33569999999992</v>
      </c>
    </row>
    <row r="484" spans="1:27" x14ac:dyDescent="0.25">
      <c r="A484" vm="1415">
        <f ca="1"/>
        <v>45994</v>
      </c>
      <c r="B484" vm="1416">
        <f ca="1"/>
        <v>205.33</v>
      </c>
      <c r="C484" vm="1417">
        <f ca="1"/>
        <v>8363292</v>
      </c>
      <c r="D484">
        <f t="shared" ca="1" si="139"/>
        <v>1717234746.3600001</v>
      </c>
      <c r="E484">
        <f ca="1">SUM($D$2:D484)/SUM($C$2:C484)</f>
        <v>161.36377442979054</v>
      </c>
      <c r="F484">
        <f ca="1">_xlfn.STDEV.P($B$2:B484)</f>
        <v>13.556971077368141</v>
      </c>
      <c r="G484">
        <f t="shared" ca="1" si="140"/>
        <v>174.92074550715867</v>
      </c>
      <c r="H484">
        <f t="shared" ca="1" si="141"/>
        <v>147.80680335242241</v>
      </c>
      <c r="I484">
        <f t="shared" ca="1" si="150"/>
        <v>198.98500000000004</v>
      </c>
      <c r="J484">
        <f t="shared" ca="1" si="151"/>
        <v>7.5116803782684434</v>
      </c>
      <c r="K484">
        <f t="shared" ca="1" si="152"/>
        <v>214.00836075653692</v>
      </c>
      <c r="L484">
        <f t="shared" ca="1" si="153"/>
        <v>183.96163924346317</v>
      </c>
      <c r="M484">
        <f t="shared" ca="1" si="142"/>
        <v>-8.9999999999974989E-2</v>
      </c>
      <c r="N484">
        <f t="shared" ca="1" si="143"/>
        <v>0</v>
      </c>
      <c r="O484">
        <f t="shared" ca="1" si="144"/>
        <v>8.9999999999974989E-2</v>
      </c>
      <c r="P484">
        <f t="shared" ca="1" si="148"/>
        <v>0.83441813393035136</v>
      </c>
      <c r="Q484">
        <f t="shared" ca="1" si="149"/>
        <v>0.30598403883032815</v>
      </c>
      <c r="R484">
        <f t="shared" ca="1" si="146"/>
        <v>2.7269988889618073</v>
      </c>
      <c r="S484">
        <f t="shared" ca="1" si="147"/>
        <v>73.168760447938851</v>
      </c>
      <c r="T484">
        <f>70</f>
        <v>70</v>
      </c>
      <c r="U484">
        <f>30</f>
        <v>30</v>
      </c>
      <c r="V484">
        <f t="shared" ca="1" si="145"/>
        <v>203.36509010077378</v>
      </c>
      <c r="W484">
        <f t="shared" ca="1" si="155"/>
        <v>198.73745852410059</v>
      </c>
      <c r="X484">
        <f t="shared" ca="1" si="154"/>
        <v>4.2142385743507589</v>
      </c>
      <c r="Y484">
        <f t="shared" ca="1" si="136"/>
        <v>4.3320609950378408</v>
      </c>
      <c r="Z484">
        <f t="shared" ca="1" si="137"/>
        <v>-0.11782242068708193</v>
      </c>
      <c r="AA484">
        <f t="shared" ca="1" si="138"/>
        <v>182.82079999999991</v>
      </c>
    </row>
    <row r="485" spans="1:27" x14ac:dyDescent="0.25">
      <c r="A485" vm="1418">
        <f ca="1"/>
        <v>45995</v>
      </c>
      <c r="B485" vm="1419">
        <f ca="1"/>
        <v>202.48</v>
      </c>
      <c r="C485" vm="1420">
        <f ca="1"/>
        <v>9049943</v>
      </c>
      <c r="D485">
        <f t="shared" ca="1" si="139"/>
        <v>1832432458.6399999</v>
      </c>
      <c r="E485">
        <f ca="1">SUM($D$2:D485)/SUM($C$2:C485)</f>
        <v>161.45984223677232</v>
      </c>
      <c r="F485">
        <f ca="1">_xlfn.STDEV.P($B$2:B485)</f>
        <v>13.672828536436937</v>
      </c>
      <c r="G485">
        <f t="shared" ca="1" si="140"/>
        <v>175.13267077320924</v>
      </c>
      <c r="H485">
        <f t="shared" ca="1" si="141"/>
        <v>147.78701370033539</v>
      </c>
      <c r="I485">
        <f t="shared" ca="1" si="150"/>
        <v>199.80900000000003</v>
      </c>
      <c r="J485">
        <f t="shared" ca="1" si="151"/>
        <v>6.8905227820918151</v>
      </c>
      <c r="K485">
        <f t="shared" ca="1" si="152"/>
        <v>213.59004556418367</v>
      </c>
      <c r="L485">
        <f t="shared" ca="1" si="153"/>
        <v>186.02795443581638</v>
      </c>
      <c r="M485">
        <f t="shared" ca="1" si="142"/>
        <v>-2.8500000000000227</v>
      </c>
      <c r="N485">
        <f t="shared" ca="1" si="143"/>
        <v>0</v>
      </c>
      <c r="O485">
        <f t="shared" ca="1" si="144"/>
        <v>2.8500000000000227</v>
      </c>
      <c r="P485">
        <f t="shared" ca="1" si="148"/>
        <v>0.77481683864961204</v>
      </c>
      <c r="Q485">
        <f t="shared" ca="1" si="149"/>
        <v>0.48769946462816349</v>
      </c>
      <c r="R485">
        <f t="shared" ca="1" si="146"/>
        <v>1.5887178372040152</v>
      </c>
      <c r="S485">
        <f t="shared" ca="1" si="147"/>
        <v>61.37083827258418</v>
      </c>
      <c r="T485">
        <f>70</f>
        <v>70</v>
      </c>
      <c r="U485">
        <f>30</f>
        <v>30</v>
      </c>
      <c r="V485">
        <f t="shared" ca="1" si="145"/>
        <v>203.22892239296243</v>
      </c>
      <c r="W485">
        <f t="shared" ca="1" si="155"/>
        <v>199.01468381861167</v>
      </c>
      <c r="X485">
        <f t="shared" ca="1" si="154"/>
        <v>3.7984550132793231</v>
      </c>
      <c r="Y485">
        <f t="shared" ca="1" si="136"/>
        <v>4.2253397986861376</v>
      </c>
      <c r="Z485">
        <f t="shared" ca="1" si="137"/>
        <v>-0.42688478540681452</v>
      </c>
      <c r="AA485">
        <f t="shared" ca="1" si="138"/>
        <v>183.29389999999992</v>
      </c>
    </row>
    <row r="486" spans="1:27" x14ac:dyDescent="0.25">
      <c r="A486" vm="1421">
        <f ca="1"/>
        <v>45996</v>
      </c>
      <c r="B486" vm="1422">
        <f ca="1"/>
        <v>201.93</v>
      </c>
      <c r="C486" vm="1423">
        <f ca="1"/>
        <v>7785552</v>
      </c>
      <c r="D486">
        <f t="shared" ca="1" si="139"/>
        <v>1572136515.3600001</v>
      </c>
      <c r="E486">
        <f ca="1">SUM($D$2:D486)/SUM($C$2:C486)</f>
        <v>161.54102634414133</v>
      </c>
      <c r="F486">
        <f ca="1">_xlfn.STDEV.P($B$2:B486)</f>
        <v>13.783343785560032</v>
      </c>
      <c r="G486">
        <f t="shared" ca="1" si="140"/>
        <v>175.32437012970135</v>
      </c>
      <c r="H486">
        <f t="shared" ca="1" si="141"/>
        <v>147.75768255858131</v>
      </c>
      <c r="I486">
        <f t="shared" ca="1" si="150"/>
        <v>200.55700000000002</v>
      </c>
      <c r="J486">
        <f t="shared" ca="1" si="151"/>
        <v>6.2009142789379732</v>
      </c>
      <c r="K486">
        <f t="shared" ca="1" si="152"/>
        <v>212.95882855787596</v>
      </c>
      <c r="L486">
        <f t="shared" ca="1" si="153"/>
        <v>188.15517144212407</v>
      </c>
      <c r="M486">
        <f t="shared" ca="1" si="142"/>
        <v>-0.54999999999998295</v>
      </c>
      <c r="N486">
        <f t="shared" ca="1" si="143"/>
        <v>0</v>
      </c>
      <c r="O486">
        <f t="shared" ca="1" si="144"/>
        <v>0.54999999999998295</v>
      </c>
      <c r="P486">
        <f t="shared" ca="1" si="148"/>
        <v>0.7194727787460683</v>
      </c>
      <c r="Q486">
        <f t="shared" ca="1" si="149"/>
        <v>0.49214950286900772</v>
      </c>
      <c r="R486">
        <f t="shared" ca="1" si="146"/>
        <v>1.4618988225160634</v>
      </c>
      <c r="S486">
        <f t="shared" ca="1" si="147"/>
        <v>59.380946493243826</v>
      </c>
      <c r="T486">
        <f>70</f>
        <v>70</v>
      </c>
      <c r="U486">
        <f>30</f>
        <v>30</v>
      </c>
      <c r="V486">
        <f t="shared" ca="1" si="145"/>
        <v>203.02908817866052</v>
      </c>
      <c r="W486">
        <f t="shared" ca="1" si="155"/>
        <v>199.23063316538119</v>
      </c>
      <c r="X486">
        <f t="shared" ca="1" si="154"/>
        <v>3.4046820806646281</v>
      </c>
      <c r="Y486">
        <f t="shared" ref="Y486:Y514" ca="1" si="156">X486*(2/(9+1)) + Y485*(1-(2/(9+1)))</f>
        <v>4.0612082550818362</v>
      </c>
      <c r="Z486">
        <f t="shared" ref="Z486:Z514" ca="1" si="157">X486-Y486</f>
        <v>-0.65652617441720817</v>
      </c>
      <c r="AA486">
        <f t="shared" ref="AA486:AA514" ca="1" si="158">AVERAGE(B387:B486)</f>
        <v>183.66539999999995</v>
      </c>
    </row>
    <row r="487" spans="1:27" x14ac:dyDescent="0.25">
      <c r="A487" vm="1424">
        <f ca="1"/>
        <v>45999</v>
      </c>
      <c r="B487" vm="1425">
        <f ca="1"/>
        <v>201.62</v>
      </c>
      <c r="C487" vm="1426">
        <f ca="1"/>
        <v>7785708</v>
      </c>
      <c r="D487">
        <f t="shared" ca="1" si="139"/>
        <v>1569754446.96</v>
      </c>
      <c r="E487">
        <f ca="1">SUM($D$2:D487)/SUM($C$2:C487)</f>
        <v>161.62126637113357</v>
      </c>
      <c r="F487">
        <f ca="1">_xlfn.STDEV.P($B$2:B487)</f>
        <v>13.890167868394037</v>
      </c>
      <c r="G487">
        <f t="shared" ca="1" si="140"/>
        <v>175.5114342395276</v>
      </c>
      <c r="H487">
        <f t="shared" ca="1" si="141"/>
        <v>147.73109850273954</v>
      </c>
      <c r="I487">
        <f t="shared" ca="1" si="150"/>
        <v>201.30950000000001</v>
      </c>
      <c r="J487">
        <f t="shared" ca="1" si="151"/>
        <v>5.2552935468114326</v>
      </c>
      <c r="K487">
        <f t="shared" ca="1" si="152"/>
        <v>211.82008709362287</v>
      </c>
      <c r="L487">
        <f t="shared" ca="1" si="153"/>
        <v>190.79891290637715</v>
      </c>
      <c r="M487">
        <f t="shared" ca="1" si="142"/>
        <v>-0.31000000000000227</v>
      </c>
      <c r="N487">
        <f t="shared" ca="1" si="143"/>
        <v>0</v>
      </c>
      <c r="O487">
        <f t="shared" ca="1" si="144"/>
        <v>0.31000000000000227</v>
      </c>
      <c r="P487">
        <f t="shared" ca="1" si="148"/>
        <v>0.66808186597849206</v>
      </c>
      <c r="Q487">
        <f t="shared" ca="1" si="149"/>
        <v>0.47913882409265024</v>
      </c>
      <c r="R487">
        <f t="shared" ca="1" si="146"/>
        <v>1.3943388270479753</v>
      </c>
      <c r="S487">
        <f t="shared" ca="1" si="147"/>
        <v>58.234816697479758</v>
      </c>
      <c r="T487">
        <f>70</f>
        <v>70</v>
      </c>
      <c r="U487">
        <f>30</f>
        <v>30</v>
      </c>
      <c r="V487">
        <f t="shared" ca="1" si="145"/>
        <v>202.8123053819435</v>
      </c>
      <c r="W487">
        <f t="shared" ca="1" si="155"/>
        <v>199.40762330127887</v>
      </c>
      <c r="X487">
        <f t="shared" ca="1" si="154"/>
        <v>2.9249490755601073</v>
      </c>
      <c r="Y487">
        <f t="shared" ca="1" si="156"/>
        <v>3.8339564191774906</v>
      </c>
      <c r="Z487">
        <f t="shared" ca="1" si="157"/>
        <v>-0.90900734361738333</v>
      </c>
      <c r="AA487">
        <f t="shared" ca="1" si="158"/>
        <v>184.05179999999993</v>
      </c>
    </row>
    <row r="488" spans="1:27" x14ac:dyDescent="0.25">
      <c r="A488" vm="1427">
        <f ca="1"/>
        <v>46000</v>
      </c>
      <c r="B488" vm="1428">
        <f ca="1"/>
        <v>199.96</v>
      </c>
      <c r="C488" vm="1429">
        <f ca="1"/>
        <v>7509402</v>
      </c>
      <c r="D488">
        <f t="shared" ca="1" si="139"/>
        <v>1501580023.9200001</v>
      </c>
      <c r="E488">
        <f ca="1">SUM($D$2:D488)/SUM($C$2:C488)</f>
        <v>161.69515569074707</v>
      </c>
      <c r="F488">
        <f ca="1">_xlfn.STDEV.P($B$2:B488)</f>
        <v>13.985658420889248</v>
      </c>
      <c r="G488">
        <f t="shared" ca="1" si="140"/>
        <v>175.68081411163632</v>
      </c>
      <c r="H488">
        <f t="shared" ca="1" si="141"/>
        <v>147.70949726985782</v>
      </c>
      <c r="I488">
        <f t="shared" ca="1" si="150"/>
        <v>201.887</v>
      </c>
      <c r="J488">
        <f t="shared" ca="1" si="151"/>
        <v>4.3133697902415467</v>
      </c>
      <c r="K488">
        <f t="shared" ca="1" si="152"/>
        <v>210.5137395804831</v>
      </c>
      <c r="L488">
        <f t="shared" ca="1" si="153"/>
        <v>193.2602604195169</v>
      </c>
      <c r="M488">
        <f t="shared" ca="1" si="142"/>
        <v>-1.6599999999999966</v>
      </c>
      <c r="N488">
        <f t="shared" ca="1" si="143"/>
        <v>0</v>
      </c>
      <c r="O488">
        <f t="shared" ca="1" si="144"/>
        <v>1.6599999999999966</v>
      </c>
      <c r="P488">
        <f t="shared" ca="1" si="148"/>
        <v>0.62036173269431405</v>
      </c>
      <c r="Q488">
        <f t="shared" ca="1" si="149"/>
        <v>0.56348605094317494</v>
      </c>
      <c r="R488">
        <f t="shared" ca="1" si="146"/>
        <v>1.1009353854561961</v>
      </c>
      <c r="S488">
        <f t="shared" ca="1" si="147"/>
        <v>52.402153492080835</v>
      </c>
      <c r="T488">
        <f>70</f>
        <v>70</v>
      </c>
      <c r="U488">
        <f>30</f>
        <v>30</v>
      </c>
      <c r="V488">
        <f t="shared" ca="1" si="145"/>
        <v>202.37348916933684</v>
      </c>
      <c r="W488">
        <f t="shared" ca="1" si="155"/>
        <v>199.44854009377673</v>
      </c>
      <c r="X488">
        <f t="shared" ca="1" si="154"/>
        <v>3.0406574154290809</v>
      </c>
      <c r="Y488">
        <f t="shared" ca="1" si="156"/>
        <v>3.6752966184278089</v>
      </c>
      <c r="Z488">
        <f t="shared" ca="1" si="157"/>
        <v>-0.634639202998728</v>
      </c>
      <c r="AA488">
        <f t="shared" ca="1" si="158"/>
        <v>184.41439999999992</v>
      </c>
    </row>
    <row r="489" spans="1:27" x14ac:dyDescent="0.25">
      <c r="A489" vm="1430">
        <f ca="1"/>
        <v>46001</v>
      </c>
      <c r="B489" vm="1431">
        <f ca="1"/>
        <v>206.54</v>
      </c>
      <c r="C489" vm="1432">
        <f ca="1"/>
        <v>11599785</v>
      </c>
      <c r="D489">
        <f t="shared" ca="1" si="139"/>
        <v>2395819593.9000001</v>
      </c>
      <c r="E489">
        <f ca="1">SUM($D$2:D489)/SUM($C$2:C489)</f>
        <v>161.8282654836122</v>
      </c>
      <c r="F489">
        <f ca="1">_xlfn.STDEV.P($B$2:B489)</f>
        <v>14.119601185490751</v>
      </c>
      <c r="G489">
        <f t="shared" ca="1" si="140"/>
        <v>175.94786666910295</v>
      </c>
      <c r="H489">
        <f t="shared" ca="1" si="141"/>
        <v>147.70866429812145</v>
      </c>
      <c r="I489">
        <f t="shared" ca="1" si="150"/>
        <v>202.52249999999998</v>
      </c>
      <c r="J489">
        <f t="shared" ca="1" si="151"/>
        <v>3.9878498031685656</v>
      </c>
      <c r="K489">
        <f t="shared" ca="1" si="152"/>
        <v>210.49819960633712</v>
      </c>
      <c r="L489">
        <f t="shared" ca="1" si="153"/>
        <v>194.54680039366283</v>
      </c>
      <c r="M489">
        <f t="shared" ca="1" si="142"/>
        <v>6.5799999999999841</v>
      </c>
      <c r="N489">
        <f t="shared" ca="1" si="143"/>
        <v>6.5799999999999841</v>
      </c>
      <c r="O489">
        <f t="shared" ca="1" si="144"/>
        <v>0</v>
      </c>
      <c r="P489">
        <f t="shared" ca="1" si="148"/>
        <v>1.0460501803590048</v>
      </c>
      <c r="Q489">
        <f t="shared" ca="1" si="149"/>
        <v>0.5232370473043767</v>
      </c>
      <c r="R489">
        <f t="shared" ca="1" si="146"/>
        <v>1.9991898237100516</v>
      </c>
      <c r="S489">
        <f t="shared" ca="1" si="147"/>
        <v>66.657662276174904</v>
      </c>
      <c r="T489">
        <f>70</f>
        <v>70</v>
      </c>
      <c r="U489">
        <f>30</f>
        <v>30</v>
      </c>
      <c r="V489">
        <f t="shared" ca="1" si="145"/>
        <v>203.01449083559271</v>
      </c>
      <c r="W489">
        <f t="shared" ca="1" si="155"/>
        <v>199.97383342016363</v>
      </c>
      <c r="X489">
        <f t="shared" ca="1" si="154"/>
        <v>3.3734698479140945</v>
      </c>
      <c r="Y489">
        <f t="shared" ca="1" si="156"/>
        <v>3.6149312643250662</v>
      </c>
      <c r="Z489">
        <f t="shared" ca="1" si="157"/>
        <v>-0.24146141641097163</v>
      </c>
      <c r="AA489">
        <f t="shared" ca="1" si="158"/>
        <v>184.83619999999991</v>
      </c>
    </row>
    <row r="490" spans="1:27" x14ac:dyDescent="0.25">
      <c r="A490" vm="1433">
        <f ca="1"/>
        <v>46002</v>
      </c>
      <c r="B490" vm="1434">
        <f ca="1"/>
        <v>210.01</v>
      </c>
      <c r="C490" vm="1435">
        <f ca="1"/>
        <v>9008960</v>
      </c>
      <c r="D490">
        <f t="shared" ca="1" si="139"/>
        <v>1891971689.5999999</v>
      </c>
      <c r="E490">
        <f ca="1">SUM($D$2:D490)/SUM($C$2:C490)</f>
        <v>161.9390820326293</v>
      </c>
      <c r="F490">
        <f ca="1">_xlfn.STDEV.P($B$2:B490)</f>
        <v>14.274372317277349</v>
      </c>
      <c r="G490">
        <f t="shared" ca="1" si="140"/>
        <v>176.21345434990664</v>
      </c>
      <c r="H490">
        <f t="shared" ca="1" si="141"/>
        <v>147.66470971535196</v>
      </c>
      <c r="I490">
        <f t="shared" ca="1" si="150"/>
        <v>203.30349999999999</v>
      </c>
      <c r="J490">
        <f t="shared" ca="1" si="151"/>
        <v>3.8380494977746697</v>
      </c>
      <c r="K490">
        <f t="shared" ca="1" si="152"/>
        <v>210.97959899554934</v>
      </c>
      <c r="L490">
        <f t="shared" ca="1" si="153"/>
        <v>195.62740100445063</v>
      </c>
      <c r="M490">
        <f t="shared" ca="1" si="142"/>
        <v>3.4699999999999989</v>
      </c>
      <c r="N490">
        <f t="shared" ca="1" si="143"/>
        <v>3.4699999999999989</v>
      </c>
      <c r="O490">
        <f t="shared" ca="1" si="144"/>
        <v>0</v>
      </c>
      <c r="P490">
        <f t="shared" ca="1" si="148"/>
        <v>1.2191894531905043</v>
      </c>
      <c r="Q490">
        <f t="shared" ca="1" si="149"/>
        <v>0.48586297249692123</v>
      </c>
      <c r="R490">
        <f t="shared" ca="1" si="146"/>
        <v>2.5093277780047951</v>
      </c>
      <c r="S490">
        <f t="shared" ca="1" si="147"/>
        <v>71.504514161725211</v>
      </c>
      <c r="T490">
        <f>70</f>
        <v>70</v>
      </c>
      <c r="U490">
        <f>30</f>
        <v>30</v>
      </c>
      <c r="V490">
        <f t="shared" ca="1" si="145"/>
        <v>204.09072301473228</v>
      </c>
      <c r="W490">
        <f t="shared" ca="1" si="155"/>
        <v>200.71725316681818</v>
      </c>
      <c r="X490">
        <f t="shared" ca="1" si="154"/>
        <v>3.7210183936170154</v>
      </c>
      <c r="Y490">
        <f t="shared" ca="1" si="156"/>
        <v>3.6361486901834561</v>
      </c>
      <c r="Z490">
        <f t="shared" ca="1" si="157"/>
        <v>8.4869703433559263E-2</v>
      </c>
      <c r="AA490">
        <f t="shared" ca="1" si="158"/>
        <v>185.25699999999989</v>
      </c>
    </row>
    <row r="491" spans="1:27" x14ac:dyDescent="0.25">
      <c r="A491" vm="1436">
        <f ca="1"/>
        <v>46003</v>
      </c>
      <c r="B491" vm="1437">
        <f ca="1"/>
        <v>211.58</v>
      </c>
      <c r="C491" vm="1438">
        <f ca="1"/>
        <v>6922683</v>
      </c>
      <c r="D491">
        <f t="shared" ca="1" si="139"/>
        <v>1464701269.1400001</v>
      </c>
      <c r="E491">
        <f ca="1">SUM($D$2:D491)/SUM($C$2:C491)</f>
        <v>162.02666000976618</v>
      </c>
      <c r="F491">
        <f ca="1">_xlfn.STDEV.P($B$2:B491)</f>
        <v>14.437083467309657</v>
      </c>
      <c r="G491">
        <f t="shared" ca="1" si="140"/>
        <v>176.46374347707584</v>
      </c>
      <c r="H491">
        <f t="shared" ca="1" si="141"/>
        <v>147.58957654245651</v>
      </c>
      <c r="I491">
        <f t="shared" ca="1" si="150"/>
        <v>204.11999999999998</v>
      </c>
      <c r="J491">
        <f t="shared" ca="1" si="151"/>
        <v>3.7710113120739188</v>
      </c>
      <c r="K491">
        <f t="shared" ca="1" si="152"/>
        <v>211.66202262414782</v>
      </c>
      <c r="L491">
        <f t="shared" ca="1" si="153"/>
        <v>196.57797737585213</v>
      </c>
      <c r="M491">
        <f t="shared" ca="1" si="142"/>
        <v>1.5700000000000216</v>
      </c>
      <c r="N491">
        <f t="shared" ca="1" si="143"/>
        <v>1.5700000000000216</v>
      </c>
      <c r="O491">
        <f t="shared" ca="1" si="144"/>
        <v>0</v>
      </c>
      <c r="P491">
        <f t="shared" ca="1" si="148"/>
        <v>1.2442473493911841</v>
      </c>
      <c r="Q491">
        <f t="shared" ca="1" si="149"/>
        <v>0.45115847446142687</v>
      </c>
      <c r="R491">
        <f t="shared" ca="1" si="146"/>
        <v>2.7578942208201052</v>
      </c>
      <c r="S491">
        <f t="shared" ca="1" si="147"/>
        <v>73.389352088208469</v>
      </c>
      <c r="T491">
        <f>70</f>
        <v>70</v>
      </c>
      <c r="U491">
        <f>30</f>
        <v>30</v>
      </c>
      <c r="V491">
        <f t="shared" ca="1" si="145"/>
        <v>205.24291947400422</v>
      </c>
      <c r="W491">
        <f t="shared" ca="1" si="155"/>
        <v>201.52190108038721</v>
      </c>
      <c r="X491">
        <f t="shared" ca="1" si="154"/>
        <v>4.1575191813487322</v>
      </c>
      <c r="Y491">
        <f t="shared" ca="1" si="156"/>
        <v>3.7404227884165113</v>
      </c>
      <c r="Z491">
        <f t="shared" ca="1" si="157"/>
        <v>0.41709639293222089</v>
      </c>
      <c r="AA491">
        <f t="shared" ca="1" si="158"/>
        <v>185.6817999999999</v>
      </c>
    </row>
    <row r="492" spans="1:27" x14ac:dyDescent="0.25">
      <c r="A492" vm="1439">
        <f ca="1"/>
        <v>46006</v>
      </c>
      <c r="B492" vm="1440">
        <f ca="1"/>
        <v>214.17</v>
      </c>
      <c r="C492" vm="1441">
        <f ca="1"/>
        <v>8466964</v>
      </c>
      <c r="D492">
        <f t="shared" ca="1" si="139"/>
        <v>1813369679.8799999</v>
      </c>
      <c r="E492">
        <f ca="1">SUM($D$2:D492)/SUM($C$2:C492)</f>
        <v>162.13893192078535</v>
      </c>
      <c r="F492">
        <f ca="1">_xlfn.STDEV.P($B$2:B492)</f>
        <v>14.615064515968156</v>
      </c>
      <c r="G492">
        <f t="shared" ca="1" si="140"/>
        <v>176.75399643675351</v>
      </c>
      <c r="H492">
        <f t="shared" ca="1" si="141"/>
        <v>147.5238674048172</v>
      </c>
      <c r="I492">
        <f t="shared" ca="1" si="150"/>
        <v>205.03199999999998</v>
      </c>
      <c r="J492">
        <f t="shared" ca="1" si="151"/>
        <v>3.8898080050035184</v>
      </c>
      <c r="K492">
        <f t="shared" ca="1" si="152"/>
        <v>212.81161601000701</v>
      </c>
      <c r="L492">
        <f t="shared" ca="1" si="153"/>
        <v>197.25238398999295</v>
      </c>
      <c r="M492">
        <f t="shared" ca="1" si="142"/>
        <v>2.589999999999975</v>
      </c>
      <c r="N492">
        <f t="shared" ca="1" si="143"/>
        <v>2.589999999999975</v>
      </c>
      <c r="O492">
        <f t="shared" ca="1" si="144"/>
        <v>0</v>
      </c>
      <c r="P492">
        <f t="shared" ca="1" si="148"/>
        <v>1.3403725387203835</v>
      </c>
      <c r="Q492">
        <f t="shared" ca="1" si="149"/>
        <v>0.41893286914275352</v>
      </c>
      <c r="R492">
        <f t="shared" ca="1" si="146"/>
        <v>3.1994924185899691</v>
      </c>
      <c r="S492">
        <f t="shared" ca="1" si="147"/>
        <v>76.187598397051943</v>
      </c>
      <c r="T492">
        <f>70</f>
        <v>70</v>
      </c>
      <c r="U492">
        <f>30</f>
        <v>30</v>
      </c>
      <c r="V492">
        <f t="shared" ca="1" si="145"/>
        <v>206.61631647800357</v>
      </c>
      <c r="W492">
        <f t="shared" ca="1" si="155"/>
        <v>202.45879729665484</v>
      </c>
      <c r="X492">
        <f t="shared" ca="1" si="154"/>
        <v>4.0636378135448581</v>
      </c>
      <c r="Y492">
        <f t="shared" ca="1" si="156"/>
        <v>3.8050657934421808</v>
      </c>
      <c r="Z492">
        <f t="shared" ca="1" si="157"/>
        <v>0.25857202010267732</v>
      </c>
      <c r="AA492">
        <f t="shared" ca="1" si="158"/>
        <v>186.1278999999999</v>
      </c>
    </row>
    <row r="493" spans="1:27" x14ac:dyDescent="0.25">
      <c r="A493" vm="1442">
        <f ca="1"/>
        <v>46007</v>
      </c>
      <c r="B493" vm="1443">
        <f ca="1"/>
        <v>209.3</v>
      </c>
      <c r="C493" vm="1444">
        <f ca="1"/>
        <v>9949810</v>
      </c>
      <c r="D493">
        <f t="shared" ca="1" si="139"/>
        <v>2082495233</v>
      </c>
      <c r="E493">
        <f ca="1">SUM($D$2:D493)/SUM($C$2:C493)</f>
        <v>162.25795892421169</v>
      </c>
      <c r="F493">
        <f ca="1">_xlfn.STDEV.P($B$2:B493)</f>
        <v>14.756041583733888</v>
      </c>
      <c r="G493">
        <f t="shared" ca="1" si="140"/>
        <v>177.01400050794558</v>
      </c>
      <c r="H493">
        <f t="shared" ca="1" si="141"/>
        <v>147.5019173404778</v>
      </c>
      <c r="I493">
        <f t="shared" ca="1" si="150"/>
        <v>205.51799999999997</v>
      </c>
      <c r="J493">
        <f t="shared" ca="1" si="151"/>
        <v>3.7783950923221625</v>
      </c>
      <c r="K493">
        <f t="shared" ca="1" si="152"/>
        <v>213.07479018464429</v>
      </c>
      <c r="L493">
        <f t="shared" ca="1" si="153"/>
        <v>197.96120981535566</v>
      </c>
      <c r="M493">
        <f t="shared" ca="1" si="142"/>
        <v>-4.8699999999999761</v>
      </c>
      <c r="N493">
        <f t="shared" ca="1" si="143"/>
        <v>0</v>
      </c>
      <c r="O493">
        <f t="shared" ca="1" si="144"/>
        <v>4.8699999999999761</v>
      </c>
      <c r="P493">
        <f t="shared" ca="1" si="148"/>
        <v>1.2446316430974991</v>
      </c>
      <c r="Q493">
        <f t="shared" ca="1" si="149"/>
        <v>0.73686623563255516</v>
      </c>
      <c r="R493">
        <f t="shared" ca="1" si="146"/>
        <v>1.6890876293565793</v>
      </c>
      <c r="S493">
        <f t="shared" ca="1" si="147"/>
        <v>62.812665936094056</v>
      </c>
      <c r="T493">
        <f>70</f>
        <v>70</v>
      </c>
      <c r="U493">
        <f>30</f>
        <v>30</v>
      </c>
      <c r="V493">
        <f t="shared" ca="1" si="145"/>
        <v>207.02919086600303</v>
      </c>
      <c r="W493">
        <f t="shared" ca="1" si="155"/>
        <v>202.96555305245818</v>
      </c>
      <c r="X493">
        <f t="shared" ca="1" si="154"/>
        <v>4.0259400146837265</v>
      </c>
      <c r="Y493">
        <f t="shared" ca="1" si="156"/>
        <v>3.8492406376904902</v>
      </c>
      <c r="Z493">
        <f t="shared" ca="1" si="157"/>
        <v>0.17669937699323635</v>
      </c>
      <c r="AA493">
        <f t="shared" ca="1" si="158"/>
        <v>186.53789999999989</v>
      </c>
    </row>
    <row r="494" spans="1:27" x14ac:dyDescent="0.25">
      <c r="A494" vm="1445">
        <f ca="1"/>
        <v>46008</v>
      </c>
      <c r="B494" vm="1446">
        <f ca="1"/>
        <v>210.33</v>
      </c>
      <c r="C494" vm="1447">
        <f ca="1"/>
        <v>8457560</v>
      </c>
      <c r="D494">
        <f t="shared" ca="1" si="139"/>
        <v>1778878594.8000002</v>
      </c>
      <c r="E494">
        <f ca="1">SUM($D$2:D494)/SUM($C$2:C494)</f>
        <v>162.36086808272856</v>
      </c>
      <c r="F494">
        <f ca="1">_xlfn.STDEV.P($B$2:B494)</f>
        <v>14.901203967141532</v>
      </c>
      <c r="G494">
        <f t="shared" ca="1" si="140"/>
        <v>177.26207204987008</v>
      </c>
      <c r="H494">
        <f t="shared" ca="1" si="141"/>
        <v>147.45966411558703</v>
      </c>
      <c r="I494">
        <f t="shared" ca="1" si="150"/>
        <v>206.03449999999998</v>
      </c>
      <c r="J494">
        <f t="shared" ca="1" si="151"/>
        <v>3.6893922976983333</v>
      </c>
      <c r="K494">
        <f t="shared" ca="1" si="152"/>
        <v>213.41328459539665</v>
      </c>
      <c r="L494">
        <f t="shared" ca="1" si="153"/>
        <v>198.65571540460331</v>
      </c>
      <c r="M494">
        <f t="shared" ca="1" si="142"/>
        <v>1.0300000000000011</v>
      </c>
      <c r="N494">
        <f t="shared" ca="1" si="143"/>
        <v>1.0300000000000011</v>
      </c>
      <c r="O494">
        <f t="shared" ca="1" si="144"/>
        <v>0</v>
      </c>
      <c r="P494">
        <f t="shared" ca="1" si="148"/>
        <v>1.2293008114476778</v>
      </c>
      <c r="Q494">
        <f t="shared" ca="1" si="149"/>
        <v>0.68423293308737265</v>
      </c>
      <c r="R494">
        <f t="shared" ca="1" si="146"/>
        <v>1.7966115806511509</v>
      </c>
      <c r="S494">
        <f t="shared" ca="1" si="147"/>
        <v>64.242442285561708</v>
      </c>
      <c r="T494">
        <f>70</f>
        <v>70</v>
      </c>
      <c r="U494">
        <f>30</f>
        <v>30</v>
      </c>
      <c r="V494">
        <f t="shared" ca="1" si="145"/>
        <v>207.53700765584873</v>
      </c>
      <c r="W494">
        <f t="shared" ca="1" si="155"/>
        <v>203.511067641165</v>
      </c>
      <c r="X494">
        <f t="shared" ca="1" si="154"/>
        <v>3.7893854427591407</v>
      </c>
      <c r="Y494">
        <f t="shared" ca="1" si="156"/>
        <v>3.8372695987042205</v>
      </c>
      <c r="Z494">
        <f t="shared" ca="1" si="157"/>
        <v>-4.7884155945079776E-2</v>
      </c>
      <c r="AA494">
        <f t="shared" ca="1" si="158"/>
        <v>186.97899999999993</v>
      </c>
    </row>
    <row r="495" spans="1:27" x14ac:dyDescent="0.25">
      <c r="A495" vm="1448">
        <f ca="1"/>
        <v>46009</v>
      </c>
      <c r="B495" vm="1449">
        <f ca="1"/>
        <v>208.31</v>
      </c>
      <c r="C495" vm="1450">
        <f ca="1"/>
        <v>7499852</v>
      </c>
      <c r="D495">
        <f t="shared" ca="1" si="139"/>
        <v>1562294170.1200001</v>
      </c>
      <c r="E495">
        <f ca="1">SUM($D$2:D495)/SUM($C$2:C495)</f>
        <v>162.44792889884837</v>
      </c>
      <c r="F495">
        <f ca="1">_xlfn.STDEV.P($B$2:B495)</f>
        <v>15.030908589405982</v>
      </c>
      <c r="G495">
        <f t="shared" ca="1" si="140"/>
        <v>177.47883748825436</v>
      </c>
      <c r="H495">
        <f t="shared" ca="1" si="141"/>
        <v>147.41702030944239</v>
      </c>
      <c r="I495">
        <f t="shared" ca="1" si="150"/>
        <v>206.3245</v>
      </c>
      <c r="J495">
        <f t="shared" ca="1" si="151"/>
        <v>3.6251642068071601</v>
      </c>
      <c r="K495">
        <f t="shared" ca="1" si="152"/>
        <v>213.57482841361431</v>
      </c>
      <c r="L495">
        <f t="shared" ca="1" si="153"/>
        <v>199.07417158638569</v>
      </c>
      <c r="M495">
        <f t="shared" ca="1" si="142"/>
        <v>-2.0200000000000102</v>
      </c>
      <c r="N495">
        <f t="shared" ca="1" si="143"/>
        <v>0</v>
      </c>
      <c r="O495">
        <f t="shared" ca="1" si="144"/>
        <v>2.0200000000000102</v>
      </c>
      <c r="P495">
        <f t="shared" ca="1" si="148"/>
        <v>1.1414936106299864</v>
      </c>
      <c r="Q495">
        <f t="shared" ca="1" si="149"/>
        <v>0.77964486643827535</v>
      </c>
      <c r="R495">
        <f t="shared" ca="1" si="146"/>
        <v>1.4641199599566128</v>
      </c>
      <c r="S495">
        <f t="shared" ca="1" si="147"/>
        <v>59.417560173588001</v>
      </c>
      <c r="T495">
        <f>70</f>
        <v>70</v>
      </c>
      <c r="U495">
        <f>30</f>
        <v>30</v>
      </c>
      <c r="V495">
        <f t="shared" ca="1" si="145"/>
        <v>207.65592955494893</v>
      </c>
      <c r="W495">
        <f t="shared" ca="1" si="155"/>
        <v>203.86654411218979</v>
      </c>
      <c r="X495">
        <f t="shared" ca="1" si="154"/>
        <v>3.406108949738325</v>
      </c>
      <c r="Y495">
        <f t="shared" ca="1" si="156"/>
        <v>3.7510374689110413</v>
      </c>
      <c r="Z495">
        <f t="shared" ca="1" si="157"/>
        <v>-0.34492851917271627</v>
      </c>
      <c r="AA495">
        <f t="shared" ca="1" si="158"/>
        <v>187.38099999999994</v>
      </c>
    </row>
    <row r="496" spans="1:27" x14ac:dyDescent="0.25">
      <c r="A496" vm="1451">
        <f ca="1"/>
        <v>46010</v>
      </c>
      <c r="B496" vm="1452">
        <f ca="1"/>
        <v>206.37</v>
      </c>
      <c r="C496" vm="1453">
        <f ca="1"/>
        <v>24803920</v>
      </c>
      <c r="D496">
        <f t="shared" ca="1" si="139"/>
        <v>5118784970.4000006</v>
      </c>
      <c r="E496">
        <f ca="1">SUM($D$2:D496)/SUM($C$2:C496)</f>
        <v>162.72144501586692</v>
      </c>
      <c r="F496">
        <f ca="1">_xlfn.STDEV.P($B$2:B496)</f>
        <v>15.14673173631893</v>
      </c>
      <c r="G496">
        <f t="shared" ca="1" si="140"/>
        <v>177.86817675218586</v>
      </c>
      <c r="H496">
        <f t="shared" ca="1" si="141"/>
        <v>147.57471327954798</v>
      </c>
      <c r="I496">
        <f t="shared" ca="1" si="150"/>
        <v>206.48949999999999</v>
      </c>
      <c r="J496">
        <f t="shared" ca="1" si="151"/>
        <v>3.5434171360425508</v>
      </c>
      <c r="K496">
        <f t="shared" ca="1" si="152"/>
        <v>213.57633427208509</v>
      </c>
      <c r="L496">
        <f t="shared" ca="1" si="153"/>
        <v>199.40266572791489</v>
      </c>
      <c r="M496">
        <f t="shared" ca="1" si="142"/>
        <v>-1.9399999999999977</v>
      </c>
      <c r="N496">
        <f t="shared" ca="1" si="143"/>
        <v>0</v>
      </c>
      <c r="O496">
        <f t="shared" ca="1" si="144"/>
        <v>1.9399999999999977</v>
      </c>
      <c r="P496">
        <f t="shared" ca="1" si="148"/>
        <v>1.0599583527278447</v>
      </c>
      <c r="Q496">
        <f t="shared" ca="1" si="149"/>
        <v>0.86252737597839846</v>
      </c>
      <c r="R496">
        <f t="shared" ca="1" si="146"/>
        <v>1.2288982149992544</v>
      </c>
      <c r="S496">
        <f t="shared" ca="1" si="147"/>
        <v>55.134783936271646</v>
      </c>
      <c r="T496">
        <f>70</f>
        <v>70</v>
      </c>
      <c r="U496">
        <f>30</f>
        <v>30</v>
      </c>
      <c r="V496">
        <f t="shared" ca="1" si="145"/>
        <v>207.45809423880294</v>
      </c>
      <c r="W496">
        <f t="shared" ca="1" si="155"/>
        <v>204.05198528906462</v>
      </c>
      <c r="X496">
        <f t="shared" ca="1" si="154"/>
        <v>3.1427885184571949</v>
      </c>
      <c r="Y496">
        <f t="shared" ca="1" si="156"/>
        <v>3.6293876788202724</v>
      </c>
      <c r="Z496">
        <f t="shared" ca="1" si="157"/>
        <v>-0.48659916036307749</v>
      </c>
      <c r="AA496">
        <f t="shared" ca="1" si="158"/>
        <v>187.77209999999997</v>
      </c>
    </row>
    <row r="497" spans="1:27" x14ac:dyDescent="0.25">
      <c r="A497" vm="1454">
        <f ca="1"/>
        <v>46013</v>
      </c>
      <c r="B497" vm="1455">
        <f ca="1"/>
        <v>207.32</v>
      </c>
      <c r="C497" vm="1456">
        <f ca="1"/>
        <v>8187755</v>
      </c>
      <c r="D497">
        <f t="shared" ca="1" si="139"/>
        <v>1697485366.5999999</v>
      </c>
      <c r="E497">
        <f ca="1">SUM($D$2:D497)/SUM($C$2:C497)</f>
        <v>162.81293500677984</v>
      </c>
      <c r="F497">
        <f ca="1">_xlfn.STDEV.P($B$2:B497)</f>
        <v>15.266285716045365</v>
      </c>
      <c r="G497">
        <f t="shared" ca="1" si="140"/>
        <v>178.0792207228252</v>
      </c>
      <c r="H497">
        <f t="shared" ca="1" si="141"/>
        <v>147.54664929073448</v>
      </c>
      <c r="I497">
        <f t="shared" ca="1" si="150"/>
        <v>206.66050000000001</v>
      </c>
      <c r="J497">
        <f t="shared" ca="1" si="151"/>
        <v>3.4940528044092285</v>
      </c>
      <c r="K497">
        <f t="shared" ca="1" si="152"/>
        <v>213.64860560881846</v>
      </c>
      <c r="L497">
        <f t="shared" ca="1" si="153"/>
        <v>199.67239439118157</v>
      </c>
      <c r="M497">
        <f t="shared" ca="1" si="142"/>
        <v>0.94999999999998863</v>
      </c>
      <c r="N497">
        <f t="shared" ca="1" si="143"/>
        <v>0.94999999999998863</v>
      </c>
      <c r="O497">
        <f t="shared" ca="1" si="144"/>
        <v>0</v>
      </c>
      <c r="P497">
        <f t="shared" ca="1" si="148"/>
        <v>1.052104184675855</v>
      </c>
      <c r="Q497">
        <f t="shared" ca="1" si="149"/>
        <v>0.80091827769422708</v>
      </c>
      <c r="R497">
        <f t="shared" ca="1" si="146"/>
        <v>1.3136223931669657</v>
      </c>
      <c r="S497">
        <f t="shared" ca="1" si="147"/>
        <v>56.777735080997132</v>
      </c>
      <c r="T497">
        <f>70</f>
        <v>70</v>
      </c>
      <c r="U497">
        <f>30</f>
        <v>30</v>
      </c>
      <c r="V497">
        <f t="shared" ca="1" si="145"/>
        <v>207.43684897129481</v>
      </c>
      <c r="W497">
        <f t="shared" ca="1" si="155"/>
        <v>204.29406045283761</v>
      </c>
      <c r="X497">
        <f t="shared" ca="1" si="154"/>
        <v>2.7778190806334351</v>
      </c>
      <c r="Y497">
        <f t="shared" ca="1" si="156"/>
        <v>3.4590739591829052</v>
      </c>
      <c r="Z497">
        <f t="shared" ca="1" si="157"/>
        <v>-0.68125487854947009</v>
      </c>
      <c r="AA497">
        <f t="shared" ca="1" si="158"/>
        <v>188.19789999999989</v>
      </c>
    </row>
    <row r="498" spans="1:27" x14ac:dyDescent="0.25">
      <c r="A498" vm="1457">
        <f ca="1"/>
        <v>46014</v>
      </c>
      <c r="B498" vm="1458">
        <f ca="1"/>
        <v>205.78</v>
      </c>
      <c r="C498" vm="1459">
        <f ca="1"/>
        <v>7047346</v>
      </c>
      <c r="D498">
        <f t="shared" ca="1" si="139"/>
        <v>1450202859.8800001</v>
      </c>
      <c r="E498">
        <f ca="1">SUM($D$2:D498)/SUM($C$2:C498)</f>
        <v>162.88866764557955</v>
      </c>
      <c r="F498">
        <f ca="1">_xlfn.STDEV.P($B$2:B498)</f>
        <v>15.374998393472101</v>
      </c>
      <c r="G498">
        <f t="shared" ca="1" si="140"/>
        <v>178.26366603905166</v>
      </c>
      <c r="H498">
        <f t="shared" ca="1" si="141"/>
        <v>147.51366925210743</v>
      </c>
      <c r="I498">
        <f t="shared" ca="1" si="150"/>
        <v>206.64699999999999</v>
      </c>
      <c r="J498">
        <f t="shared" ca="1" si="151"/>
        <v>3.4970560551171572</v>
      </c>
      <c r="K498">
        <f t="shared" ca="1" si="152"/>
        <v>213.6411121102343</v>
      </c>
      <c r="L498">
        <f t="shared" ca="1" si="153"/>
        <v>199.65288788976568</v>
      </c>
      <c r="M498">
        <f t="shared" ca="1" si="142"/>
        <v>-1.539999999999992</v>
      </c>
      <c r="N498">
        <f t="shared" ca="1" si="143"/>
        <v>0</v>
      </c>
      <c r="O498">
        <f t="shared" ca="1" si="144"/>
        <v>1.539999999999992</v>
      </c>
      <c r="P498">
        <f t="shared" ca="1" si="148"/>
        <v>0.97695388577043674</v>
      </c>
      <c r="Q498">
        <f t="shared" ca="1" si="149"/>
        <v>0.85370982928749595</v>
      </c>
      <c r="R498">
        <f t="shared" ca="1" si="146"/>
        <v>1.1443629348695681</v>
      </c>
      <c r="S498">
        <f t="shared" ca="1" si="147"/>
        <v>53.366103109741289</v>
      </c>
      <c r="T498">
        <f>70</f>
        <v>70</v>
      </c>
      <c r="U498">
        <f>30</f>
        <v>30</v>
      </c>
      <c r="V498">
        <f t="shared" ca="1" si="145"/>
        <v>207.18194912955715</v>
      </c>
      <c r="W498">
        <f t="shared" ca="1" si="155"/>
        <v>204.40413004892372</v>
      </c>
      <c r="X498">
        <f t="shared" ca="1" si="154"/>
        <v>2.6197624660349277</v>
      </c>
      <c r="Y498">
        <f t="shared" ca="1" si="156"/>
        <v>3.2912116605533099</v>
      </c>
      <c r="Z498">
        <f t="shared" ca="1" si="157"/>
        <v>-0.67144919451838225</v>
      </c>
      <c r="AA498">
        <f t="shared" ca="1" si="158"/>
        <v>188.58239999999989</v>
      </c>
    </row>
    <row r="499" spans="1:27" x14ac:dyDescent="0.25">
      <c r="A499" vm="1460">
        <f ca="1"/>
        <v>46015</v>
      </c>
      <c r="B499" vm="1461">
        <f ca="1"/>
        <v>207.78</v>
      </c>
      <c r="C499" vm="1462">
        <f ca="1"/>
        <v>2376541</v>
      </c>
      <c r="D499">
        <f t="shared" ca="1" si="139"/>
        <v>493797688.98000002</v>
      </c>
      <c r="E499">
        <f ca="1">SUM($D$2:D499)/SUM($C$2:C499)</f>
        <v>162.91533448536705</v>
      </c>
      <c r="F499">
        <f ca="1">_xlfn.STDEV.P($B$2:B499)</f>
        <v>15.493517657972724</v>
      </c>
      <c r="G499">
        <f t="shared" ca="1" si="140"/>
        <v>178.40885214333977</v>
      </c>
      <c r="H499">
        <f t="shared" ca="1" si="141"/>
        <v>147.42181682739434</v>
      </c>
      <c r="I499">
        <f t="shared" ca="1" si="150"/>
        <v>206.70250000000001</v>
      </c>
      <c r="J499">
        <f t="shared" ca="1" si="151"/>
        <v>3.5062363612644005</v>
      </c>
      <c r="K499">
        <f t="shared" ca="1" si="152"/>
        <v>213.71497272252881</v>
      </c>
      <c r="L499">
        <f t="shared" ca="1" si="153"/>
        <v>199.69002727747122</v>
      </c>
      <c r="M499">
        <f t="shared" ca="1" si="142"/>
        <v>2</v>
      </c>
      <c r="N499">
        <f t="shared" ca="1" si="143"/>
        <v>2</v>
      </c>
      <c r="O499">
        <f t="shared" ca="1" si="144"/>
        <v>0</v>
      </c>
      <c r="P499">
        <f t="shared" ca="1" si="148"/>
        <v>1.0500286082154056</v>
      </c>
      <c r="Q499">
        <f t="shared" ca="1" si="149"/>
        <v>0.7927305557669605</v>
      </c>
      <c r="R499">
        <f t="shared" ca="1" si="146"/>
        <v>1.3245718871016789</v>
      </c>
      <c r="S499">
        <f t="shared" ca="1" si="147"/>
        <v>56.981326086378026</v>
      </c>
      <c r="T499">
        <f>70</f>
        <v>70</v>
      </c>
      <c r="U499">
        <f>30</f>
        <v>30</v>
      </c>
      <c r="V499">
        <f t="shared" ca="1" si="145"/>
        <v>207.27395695577911</v>
      </c>
      <c r="W499">
        <f t="shared" ca="1" si="155"/>
        <v>204.65419448974419</v>
      </c>
      <c r="X499">
        <f t="shared" ca="1" si="154"/>
        <v>2.4541082811952606</v>
      </c>
      <c r="Y499">
        <f t="shared" ca="1" si="156"/>
        <v>3.1237909846817002</v>
      </c>
      <c r="Z499">
        <f t="shared" ca="1" si="157"/>
        <v>-0.66968270348643966</v>
      </c>
      <c r="AA499">
        <f t="shared" ca="1" si="158"/>
        <v>188.9497999999999</v>
      </c>
    </row>
    <row r="500" spans="1:27" x14ac:dyDescent="0.25">
      <c r="A500" vm="1463">
        <f ca="1"/>
        <v>46017</v>
      </c>
      <c r="B500" vm="1464">
        <f ca="1"/>
        <v>207.63</v>
      </c>
      <c r="C500" vm="1465">
        <f ca="1"/>
        <v>2316730</v>
      </c>
      <c r="D500">
        <f t="shared" ca="1" si="139"/>
        <v>481022649.89999998</v>
      </c>
      <c r="E500">
        <f ca="1">SUM($D$2:D500)/SUM($C$2:C500)</f>
        <v>162.94121290407662</v>
      </c>
      <c r="F500">
        <f ca="1">_xlfn.STDEV.P($B$2:B500)</f>
        <v>15.609268346190355</v>
      </c>
      <c r="G500">
        <f t="shared" ca="1" si="140"/>
        <v>178.55048125026698</v>
      </c>
      <c r="H500">
        <f t="shared" ca="1" si="141"/>
        <v>147.33194455788626</v>
      </c>
      <c r="I500">
        <f t="shared" ca="1" si="150"/>
        <v>206.70600000000005</v>
      </c>
      <c r="J500">
        <f t="shared" ca="1" si="151"/>
        <v>3.5071722002355767</v>
      </c>
      <c r="K500">
        <f t="shared" ca="1" si="152"/>
        <v>213.72034440047119</v>
      </c>
      <c r="L500">
        <f t="shared" ca="1" si="153"/>
        <v>199.6916555995289</v>
      </c>
      <c r="M500">
        <f t="shared" ca="1" si="142"/>
        <v>-0.15000000000000568</v>
      </c>
      <c r="N500">
        <f t="shared" ca="1" si="143"/>
        <v>0</v>
      </c>
      <c r="O500">
        <f t="shared" ca="1" si="144"/>
        <v>0.15000000000000568</v>
      </c>
      <c r="P500">
        <f t="shared" ca="1" si="148"/>
        <v>0.975026564771448</v>
      </c>
      <c r="Q500">
        <f t="shared" ca="1" si="149"/>
        <v>0.74682123035503511</v>
      </c>
      <c r="R500">
        <f t="shared" ca="1" si="146"/>
        <v>1.3055688900380151</v>
      </c>
      <c r="S500">
        <f t="shared" ca="1" si="147"/>
        <v>56.626756878927537</v>
      </c>
      <c r="T500">
        <f>70</f>
        <v>70</v>
      </c>
      <c r="U500">
        <f>30</f>
        <v>30</v>
      </c>
      <c r="V500">
        <f t="shared" ca="1" si="145"/>
        <v>207.32873280873616</v>
      </c>
      <c r="W500">
        <f t="shared" ca="1" si="155"/>
        <v>204.8746245275409</v>
      </c>
      <c r="X500">
        <f t="shared" ca="1" si="154"/>
        <v>2.2907711474183543</v>
      </c>
      <c r="Y500">
        <f t="shared" ca="1" si="156"/>
        <v>2.9571870172290309</v>
      </c>
      <c r="Z500">
        <f t="shared" ca="1" si="157"/>
        <v>-0.66641586981067658</v>
      </c>
      <c r="AA500">
        <f t="shared" ca="1" si="158"/>
        <v>189.31869999999992</v>
      </c>
    </row>
    <row r="501" spans="1:27" x14ac:dyDescent="0.25">
      <c r="A501" vm="1466">
        <f ca="1"/>
        <v>46020</v>
      </c>
      <c r="B501" vm="1404">
        <f ca="1"/>
        <v>207.56</v>
      </c>
      <c r="C501" vm="1467">
        <f ca="1"/>
        <v>4348854</v>
      </c>
      <c r="D501">
        <f t="shared" ca="1" si="139"/>
        <v>902648136.24000001</v>
      </c>
      <c r="E501">
        <f ca="1">SUM($D$2:D501)/SUM($C$2:C501)</f>
        <v>162.98963385967073</v>
      </c>
      <c r="F501">
        <f ca="1">_xlfn.STDEV.P($B$2:B501)</f>
        <v>15.722790659103746</v>
      </c>
      <c r="G501">
        <f t="shared" ca="1" si="140"/>
        <v>178.71242451877447</v>
      </c>
      <c r="H501">
        <f t="shared" ca="1" si="141"/>
        <v>147.266843200567</v>
      </c>
      <c r="I501">
        <f t="shared" ca="1" si="150"/>
        <v>206.73800000000006</v>
      </c>
      <c r="J501">
        <f t="shared" ca="1" si="151"/>
        <v>3.5121437448103574</v>
      </c>
      <c r="K501">
        <f t="shared" ca="1" si="152"/>
        <v>213.76228748962077</v>
      </c>
      <c r="L501">
        <f t="shared" ca="1" si="153"/>
        <v>199.71371251037934</v>
      </c>
      <c r="M501">
        <f t="shared" ca="1" si="142"/>
        <v>-6.9999999999993179E-2</v>
      </c>
      <c r="N501">
        <f t="shared" ca="1" si="143"/>
        <v>0</v>
      </c>
      <c r="O501">
        <f t="shared" ca="1" si="144"/>
        <v>6.9999999999993179E-2</v>
      </c>
      <c r="P501">
        <f t="shared" ca="1" si="148"/>
        <v>0.90538181014491592</v>
      </c>
      <c r="Q501">
        <f t="shared" ca="1" si="149"/>
        <v>0.69847685675824633</v>
      </c>
      <c r="R501">
        <f t="shared" ca="1" si="146"/>
        <v>1.2962230622027362</v>
      </c>
      <c r="S501">
        <f t="shared" ca="1" si="147"/>
        <v>56.450224002161477</v>
      </c>
      <c r="T501">
        <f>70</f>
        <v>70</v>
      </c>
      <c r="U501">
        <f>30</f>
        <v>30</v>
      </c>
      <c r="V501">
        <f t="shared" ca="1" si="145"/>
        <v>207.36431237662291</v>
      </c>
      <c r="W501">
        <f t="shared" ca="1" si="155"/>
        <v>205.07354122920455</v>
      </c>
      <c r="X501">
        <f t="shared" ca="1" si="154"/>
        <v>2.0848429526083407</v>
      </c>
      <c r="Y501">
        <f t="shared" ca="1" si="156"/>
        <v>2.782718204304893</v>
      </c>
      <c r="Z501">
        <f t="shared" ca="1" si="157"/>
        <v>-0.69787525169655229</v>
      </c>
      <c r="AA501">
        <f t="shared" ca="1" si="158"/>
        <v>189.68839999999992</v>
      </c>
    </row>
    <row r="502" spans="1:27" x14ac:dyDescent="0.25">
      <c r="A502" vm="1468">
        <f ca="1"/>
        <v>46021</v>
      </c>
      <c r="B502" vm="1469">
        <f ca="1"/>
        <v>206.91</v>
      </c>
      <c r="C502" vm="1470">
        <f ca="1"/>
        <v>3937395</v>
      </c>
      <c r="D502">
        <f t="shared" ca="1" si="139"/>
        <v>814686399.44999993</v>
      </c>
      <c r="E502">
        <f ca="1">SUM($D$2:D502)/SUM($C$2:C502)</f>
        <v>163.03274496953469</v>
      </c>
      <c r="F502">
        <f ca="1">_xlfn.STDEV.P($B$2:B502)</f>
        <v>15.830894824365291</v>
      </c>
      <c r="G502">
        <f t="shared" ca="1" si="140"/>
        <v>178.86363979389998</v>
      </c>
      <c r="H502">
        <f t="shared" ca="1" si="141"/>
        <v>147.2018501451694</v>
      </c>
      <c r="I502">
        <f t="shared" ca="1" si="150"/>
        <v>206.81650000000005</v>
      </c>
      <c r="J502">
        <f t="shared" ca="1" si="151"/>
        <v>3.4967643314174999</v>
      </c>
      <c r="K502">
        <f t="shared" ca="1" si="152"/>
        <v>213.81002866283504</v>
      </c>
      <c r="L502">
        <f t="shared" ca="1" si="153"/>
        <v>199.82297133716506</v>
      </c>
      <c r="M502">
        <f t="shared" ca="1" si="142"/>
        <v>-0.65000000000000568</v>
      </c>
      <c r="N502">
        <f t="shared" ca="1" si="143"/>
        <v>0</v>
      </c>
      <c r="O502">
        <f t="shared" ca="1" si="144"/>
        <v>0.65000000000000568</v>
      </c>
      <c r="P502">
        <f t="shared" ca="1" si="148"/>
        <v>0.84071168084885051</v>
      </c>
      <c r="Q502">
        <f t="shared" ca="1" si="149"/>
        <v>0.69501422413265768</v>
      </c>
      <c r="R502">
        <f t="shared" ca="1" si="146"/>
        <v>1.2096323379539691</v>
      </c>
      <c r="S502">
        <f t="shared" ca="1" si="147"/>
        <v>54.74360223538546</v>
      </c>
      <c r="T502">
        <f>70</f>
        <v>70</v>
      </c>
      <c r="U502">
        <f>30</f>
        <v>30</v>
      </c>
      <c r="V502">
        <f t="shared" ca="1" si="145"/>
        <v>207.29441816483475</v>
      </c>
      <c r="W502">
        <f t="shared" ca="1" si="155"/>
        <v>205.20957521222641</v>
      </c>
      <c r="X502">
        <f t="shared" ca="1" si="154"/>
        <v>1.9029351879838714</v>
      </c>
      <c r="Y502">
        <f t="shared" ca="1" si="156"/>
        <v>2.6067616010406889</v>
      </c>
      <c r="Z502">
        <f t="shared" ca="1" si="157"/>
        <v>-0.70382641305681748</v>
      </c>
      <c r="AA502">
        <f t="shared" ca="1" si="158"/>
        <v>190.04219999999998</v>
      </c>
    </row>
    <row r="503" spans="1:27" x14ac:dyDescent="0.25">
      <c r="A503" vm="1471">
        <f ca="1"/>
        <v>46022</v>
      </c>
      <c r="B503" vm="1472">
        <f ca="1"/>
        <v>206.95</v>
      </c>
      <c r="C503" vm="1473">
        <f ca="1"/>
        <v>4084013</v>
      </c>
      <c r="D503">
        <f t="shared" ca="1" si="139"/>
        <v>845186490.3499999</v>
      </c>
      <c r="E503">
        <f ca="1">SUM($D$2:D503)/SUM($C$2:C503)</f>
        <v>163.0774127762399</v>
      </c>
      <c r="F503">
        <f ca="1">_xlfn.STDEV.P($B$2:B503)</f>
        <v>15.937572947056736</v>
      </c>
      <c r="G503">
        <f t="shared" ca="1" si="140"/>
        <v>179.01498572329663</v>
      </c>
      <c r="H503">
        <f t="shared" ca="1" si="141"/>
        <v>147.13983982918316</v>
      </c>
      <c r="I503">
        <f t="shared" ca="1" si="150"/>
        <v>206.89300000000003</v>
      </c>
      <c r="J503">
        <f t="shared" ca="1" si="151"/>
        <v>3.4813066210079335</v>
      </c>
      <c r="K503">
        <f t="shared" ca="1" si="152"/>
        <v>213.85561324201589</v>
      </c>
      <c r="L503">
        <f t="shared" ca="1" si="153"/>
        <v>199.93038675798417</v>
      </c>
      <c r="M503">
        <f t="shared" ca="1" si="142"/>
        <v>3.9999999999992042E-2</v>
      </c>
      <c r="N503">
        <f t="shared" ca="1" si="143"/>
        <v>3.9999999999992042E-2</v>
      </c>
      <c r="O503">
        <f t="shared" ca="1" si="144"/>
        <v>0</v>
      </c>
      <c r="P503">
        <f t="shared" ca="1" si="148"/>
        <v>0.78351798935964634</v>
      </c>
      <c r="Q503">
        <f t="shared" ca="1" si="149"/>
        <v>0.64537035098032491</v>
      </c>
      <c r="R503">
        <f t="shared" ca="1" si="146"/>
        <v>1.2140594747953226</v>
      </c>
      <c r="S503">
        <f t="shared" ca="1" si="147"/>
        <v>54.834094956168947</v>
      </c>
      <c r="T503">
        <f>70</f>
        <v>70</v>
      </c>
      <c r="U503">
        <f>30</f>
        <v>30</v>
      </c>
      <c r="V503">
        <f t="shared" ca="1" si="145"/>
        <v>207.24143075486018</v>
      </c>
      <c r="W503">
        <f t="shared" ca="1" si="155"/>
        <v>205.3384955668763</v>
      </c>
      <c r="X503">
        <f t="shared" ca="1" si="154"/>
        <v>1.7706378203950806</v>
      </c>
      <c r="Y503">
        <f t="shared" ca="1" si="156"/>
        <v>2.4395368449115673</v>
      </c>
      <c r="Z503">
        <f t="shared" ca="1" si="157"/>
        <v>-0.66889902451648675</v>
      </c>
      <c r="AA503">
        <f t="shared" ca="1" si="158"/>
        <v>190.37839999999997</v>
      </c>
    </row>
    <row r="504" spans="1:27" x14ac:dyDescent="0.25">
      <c r="A504" vm="1474">
        <f ca="1"/>
        <v>46024</v>
      </c>
      <c r="B504" vm="1475">
        <f ca="1"/>
        <v>207.35</v>
      </c>
      <c r="C504" vm="1476">
        <f ca="1"/>
        <v>6325672</v>
      </c>
      <c r="D504">
        <f t="shared" ca="1" si="139"/>
        <v>1311628089.2</v>
      </c>
      <c r="E504">
        <f ca="1">SUM($D$2:D504)/SUM($C$2:C504)</f>
        <v>163.14704820685316</v>
      </c>
      <c r="F504">
        <f ca="1">_xlfn.STDEV.P($B$2:B504)</f>
        <v>16.044834123090112</v>
      </c>
      <c r="G504">
        <f t="shared" ca="1" si="140"/>
        <v>179.19188232994327</v>
      </c>
      <c r="H504">
        <f t="shared" ca="1" si="141"/>
        <v>147.10221408376304</v>
      </c>
      <c r="I504">
        <f t="shared" ca="1" si="150"/>
        <v>206.994</v>
      </c>
      <c r="J504">
        <f t="shared" ca="1" si="151"/>
        <v>3.462827259852697</v>
      </c>
      <c r="K504">
        <f t="shared" ca="1" si="152"/>
        <v>213.9196545197054</v>
      </c>
      <c r="L504">
        <f t="shared" ca="1" si="153"/>
        <v>200.0683454802946</v>
      </c>
      <c r="M504">
        <f t="shared" ca="1" si="142"/>
        <v>0.40000000000000568</v>
      </c>
      <c r="N504">
        <f t="shared" ca="1" si="143"/>
        <v>0.40000000000000568</v>
      </c>
      <c r="O504">
        <f t="shared" ca="1" si="144"/>
        <v>0</v>
      </c>
      <c r="P504">
        <f t="shared" ca="1" si="148"/>
        <v>0.75612384726252913</v>
      </c>
      <c r="Q504">
        <f t="shared" ca="1" si="149"/>
        <v>0.59927246876744455</v>
      </c>
      <c r="R504">
        <f t="shared" ca="1" si="146"/>
        <v>1.261736333086833</v>
      </c>
      <c r="S504">
        <f t="shared" ca="1" si="147"/>
        <v>55.786181378835025</v>
      </c>
      <c r="T504">
        <f>70</f>
        <v>70</v>
      </c>
      <c r="U504">
        <f>30</f>
        <v>30</v>
      </c>
      <c r="V504">
        <f t="shared" ca="1" si="145"/>
        <v>207.25813371565093</v>
      </c>
      <c r="W504">
        <f t="shared" ca="1" si="155"/>
        <v>205.48749589525585</v>
      </c>
      <c r="X504">
        <f t="shared" ca="1" si="154"/>
        <v>1.4043007053851113</v>
      </c>
      <c r="Y504">
        <f t="shared" ca="1" si="156"/>
        <v>2.232489617006276</v>
      </c>
      <c r="Z504">
        <f t="shared" ca="1" si="157"/>
        <v>-0.8281889116211647</v>
      </c>
      <c r="AA504">
        <f t="shared" ca="1" si="158"/>
        <v>190.71369999999996</v>
      </c>
    </row>
    <row r="505" spans="1:27" x14ac:dyDescent="0.25">
      <c r="A505" vm="1477">
        <f ca="1"/>
        <v>46027</v>
      </c>
      <c r="B505" vm="1478">
        <f ca="1"/>
        <v>204.31</v>
      </c>
      <c r="C505" vm="1479">
        <f ca="1"/>
        <v>9476975</v>
      </c>
      <c r="D505">
        <f t="shared" ca="1" si="139"/>
        <v>1936240762.25</v>
      </c>
      <c r="E505">
        <f ca="1">SUM($D$2:D505)/SUM($C$2:C505)</f>
        <v>163.2438186544606</v>
      </c>
      <c r="F505">
        <f ca="1">_xlfn.STDEV.P($B$2:B505)</f>
        <v>16.134470656448691</v>
      </c>
      <c r="G505">
        <f t="shared" ca="1" si="140"/>
        <v>179.37828931090928</v>
      </c>
      <c r="H505">
        <f t="shared" ca="1" si="141"/>
        <v>147.10934799801191</v>
      </c>
      <c r="I505">
        <f t="shared" ca="1" si="150"/>
        <v>207.0855</v>
      </c>
      <c r="J505">
        <f t="shared" ca="1" si="151"/>
        <v>3.3599224223500332</v>
      </c>
      <c r="K505">
        <f t="shared" ca="1" si="152"/>
        <v>213.80534484470007</v>
      </c>
      <c r="L505">
        <f t="shared" ca="1" si="153"/>
        <v>200.36565515529992</v>
      </c>
      <c r="M505">
        <f t="shared" ca="1" si="142"/>
        <v>-3.039999999999992</v>
      </c>
      <c r="N505">
        <f t="shared" ca="1" si="143"/>
        <v>0</v>
      </c>
      <c r="O505">
        <f t="shared" ca="1" si="144"/>
        <v>3.039999999999992</v>
      </c>
      <c r="P505">
        <f t="shared" ca="1" si="148"/>
        <v>0.70211500102949131</v>
      </c>
      <c r="Q505">
        <f t="shared" ca="1" si="149"/>
        <v>0.77361014956976937</v>
      </c>
      <c r="R505">
        <f t="shared" ca="1" si="146"/>
        <v>0.90758245793434988</v>
      </c>
      <c r="S505">
        <f t="shared" ca="1" si="147"/>
        <v>47.577626548167004</v>
      </c>
      <c r="T505">
        <f>70</f>
        <v>70</v>
      </c>
      <c r="U505">
        <f>30</f>
        <v>30</v>
      </c>
      <c r="V505">
        <f t="shared" ca="1" si="145"/>
        <v>206.80457468247386</v>
      </c>
      <c r="W505">
        <f t="shared" ca="1" si="155"/>
        <v>205.40027397708874</v>
      </c>
      <c r="X505">
        <f t="shared" ca="1" si="154"/>
        <v>1.1395716186349887</v>
      </c>
      <c r="Y505">
        <f t="shared" ca="1" si="156"/>
        <v>2.0139060173320185</v>
      </c>
      <c r="Z505">
        <f t="shared" ca="1" si="157"/>
        <v>-0.87433439869702978</v>
      </c>
      <c r="AA505">
        <f t="shared" ca="1" si="158"/>
        <v>191.02899999999994</v>
      </c>
    </row>
    <row r="506" spans="1:27" x14ac:dyDescent="0.25">
      <c r="A506" vm="1480">
        <f ca="1"/>
        <v>46028</v>
      </c>
      <c r="B506" vm="1481">
        <f ca="1"/>
        <v>204.79</v>
      </c>
      <c r="C506" vm="1482">
        <f ca="1"/>
        <v>8107853</v>
      </c>
      <c r="D506">
        <f t="shared" ca="1" si="139"/>
        <v>1660407215.8699999</v>
      </c>
      <c r="E506">
        <f ca="1">SUM($D$2:D506)/SUM($C$2:C506)</f>
        <v>163.32721189932474</v>
      </c>
      <c r="F506">
        <f ca="1">_xlfn.STDEV.P($B$2:B506)</f>
        <v>16.22527659371919</v>
      </c>
      <c r="G506">
        <f t="shared" ca="1" si="140"/>
        <v>179.55248849304394</v>
      </c>
      <c r="H506">
        <f t="shared" ca="1" si="141"/>
        <v>147.10193530560554</v>
      </c>
      <c r="I506">
        <f t="shared" ca="1" si="150"/>
        <v>207.22850000000003</v>
      </c>
      <c r="J506">
        <f t="shared" ca="1" si="151"/>
        <v>3.1852757874484365</v>
      </c>
      <c r="K506">
        <f t="shared" ca="1" si="152"/>
        <v>213.59905157489689</v>
      </c>
      <c r="L506">
        <f t="shared" ca="1" si="153"/>
        <v>200.85794842510316</v>
      </c>
      <c r="M506">
        <f t="shared" ca="1" si="142"/>
        <v>0.47999999999998977</v>
      </c>
      <c r="N506">
        <f t="shared" ca="1" si="143"/>
        <v>0.47999999999998977</v>
      </c>
      <c r="O506">
        <f t="shared" ca="1" si="144"/>
        <v>0</v>
      </c>
      <c r="P506">
        <f t="shared" ca="1" si="148"/>
        <v>0.68624964381309828</v>
      </c>
      <c r="Q506">
        <f t="shared" ca="1" si="149"/>
        <v>0.71835228174335719</v>
      </c>
      <c r="R506">
        <f t="shared" ca="1" si="146"/>
        <v>0.95531073159209634</v>
      </c>
      <c r="S506">
        <f t="shared" ca="1" si="147"/>
        <v>48.857233592445027</v>
      </c>
      <c r="T506">
        <f>70</f>
        <v>70</v>
      </c>
      <c r="U506">
        <f>30</f>
        <v>30</v>
      </c>
      <c r="V506">
        <f t="shared" ca="1" si="145"/>
        <v>206.4946401159394</v>
      </c>
      <c r="W506">
        <f t="shared" ca="1" si="155"/>
        <v>205.35506849730442</v>
      </c>
      <c r="X506">
        <f t="shared" ca="1" si="154"/>
        <v>1.1345608342167282</v>
      </c>
      <c r="Y506">
        <f t="shared" ca="1" si="156"/>
        <v>1.8380369807089605</v>
      </c>
      <c r="Z506">
        <f t="shared" ca="1" si="157"/>
        <v>-0.70347614649223233</v>
      </c>
      <c r="AA506">
        <f t="shared" ca="1" si="158"/>
        <v>191.33270000000002</v>
      </c>
    </row>
    <row r="507" spans="1:27" x14ac:dyDescent="0.25">
      <c r="A507" vm="1483">
        <f ca="1"/>
        <v>46029</v>
      </c>
      <c r="B507" vm="1484">
        <f ca="1"/>
        <v>207.49</v>
      </c>
      <c r="C507" vm="1485">
        <f ca="1"/>
        <v>7545920</v>
      </c>
      <c r="D507">
        <f t="shared" ca="1" si="139"/>
        <v>1565702940.8</v>
      </c>
      <c r="E507">
        <f ca="1">SUM($D$2:D507)/SUM($C$2:C507)</f>
        <v>163.40955970189856</v>
      </c>
      <c r="F507">
        <f ca="1">_xlfn.STDEV.P($B$2:B507)</f>
        <v>16.328857263871598</v>
      </c>
      <c r="G507">
        <f t="shared" ca="1" si="140"/>
        <v>179.73841696577017</v>
      </c>
      <c r="H507">
        <f t="shared" ca="1" si="141"/>
        <v>147.08070243802695</v>
      </c>
      <c r="I507">
        <f t="shared" ca="1" si="150"/>
        <v>207.52199999999999</v>
      </c>
      <c r="J507">
        <f t="shared" ca="1" si="151"/>
        <v>2.8988556725932928</v>
      </c>
      <c r="K507">
        <f t="shared" ca="1" si="152"/>
        <v>213.31971134518659</v>
      </c>
      <c r="L507">
        <f t="shared" ca="1" si="153"/>
        <v>201.72428865481339</v>
      </c>
      <c r="M507">
        <f t="shared" ca="1" si="142"/>
        <v>2.7000000000000171</v>
      </c>
      <c r="N507">
        <f t="shared" ca="1" si="143"/>
        <v>2.7000000000000171</v>
      </c>
      <c r="O507">
        <f t="shared" ca="1" si="144"/>
        <v>0</v>
      </c>
      <c r="P507">
        <f t="shared" ca="1" si="148"/>
        <v>0.83008895496930679</v>
      </c>
      <c r="Q507">
        <f t="shared" ca="1" si="149"/>
        <v>0.6670414044759746</v>
      </c>
      <c r="R507">
        <f t="shared" ca="1" si="146"/>
        <v>1.2444339277880685</v>
      </c>
      <c r="S507">
        <f t="shared" ca="1" si="147"/>
        <v>55.445335787384096</v>
      </c>
      <c r="T507">
        <f>70</f>
        <v>70</v>
      </c>
      <c r="U507">
        <f>30</f>
        <v>30</v>
      </c>
      <c r="V507">
        <f t="shared" ca="1" si="145"/>
        <v>206.64777240579488</v>
      </c>
      <c r="W507">
        <f t="shared" ca="1" si="155"/>
        <v>205.51321157157815</v>
      </c>
      <c r="X507">
        <f t="shared" ca="1" si="154"/>
        <v>0.978902118969188</v>
      </c>
      <c r="Y507">
        <f t="shared" ca="1" si="156"/>
        <v>1.6662100083610061</v>
      </c>
      <c r="Z507">
        <f t="shared" ca="1" si="157"/>
        <v>-0.68730788939181808</v>
      </c>
      <c r="AA507">
        <f t="shared" ca="1" si="158"/>
        <v>191.66040000000001</v>
      </c>
    </row>
    <row r="508" spans="1:27" x14ac:dyDescent="0.25">
      <c r="A508" vm="1486">
        <f ca="1"/>
        <v>46030</v>
      </c>
      <c r="B508" vm="1487">
        <f ca="1"/>
        <v>205.75</v>
      </c>
      <c r="C508" vm="1488">
        <f ca="1"/>
        <v>6557776</v>
      </c>
      <c r="D508">
        <f t="shared" ca="1" si="139"/>
        <v>1349262412</v>
      </c>
      <c r="E508">
        <f ca="1">SUM($D$2:D508)/SUM($C$2:C508)</f>
        <v>163.47805994180504</v>
      </c>
      <c r="F508">
        <f ca="1">_xlfn.STDEV.P($B$2:B508)</f>
        <v>16.421850752615025</v>
      </c>
      <c r="G508">
        <f t="shared" ca="1" si="140"/>
        <v>179.89991069442007</v>
      </c>
      <c r="H508">
        <f t="shared" ca="1" si="141"/>
        <v>147.05620918919001</v>
      </c>
      <c r="I508">
        <f t="shared" ca="1" si="150"/>
        <v>207.81149999999997</v>
      </c>
      <c r="J508">
        <f t="shared" ca="1" si="151"/>
        <v>2.3389590014633259</v>
      </c>
      <c r="K508">
        <f t="shared" ca="1" si="152"/>
        <v>212.48941800292661</v>
      </c>
      <c r="L508">
        <f t="shared" ca="1" si="153"/>
        <v>203.13358199707332</v>
      </c>
      <c r="M508">
        <f t="shared" ca="1" si="142"/>
        <v>-1.7400000000000091</v>
      </c>
      <c r="N508">
        <f t="shared" ca="1" si="143"/>
        <v>0</v>
      </c>
      <c r="O508">
        <f t="shared" ca="1" si="144"/>
        <v>1.7400000000000091</v>
      </c>
      <c r="P508">
        <f t="shared" ca="1" si="148"/>
        <v>0.77079688675721347</v>
      </c>
      <c r="Q508">
        <f t="shared" ca="1" si="149"/>
        <v>0.74368130415626277</v>
      </c>
      <c r="R508">
        <f t="shared" ca="1" si="146"/>
        <v>1.0364612939029232</v>
      </c>
      <c r="S508">
        <f t="shared" ca="1" si="147"/>
        <v>50.895212052693729</v>
      </c>
      <c r="T508">
        <f>70</f>
        <v>70</v>
      </c>
      <c r="U508">
        <f>30</f>
        <v>30</v>
      </c>
      <c r="V508">
        <f t="shared" ca="1" si="145"/>
        <v>206.50965357413415</v>
      </c>
      <c r="W508">
        <f t="shared" ca="1" si="155"/>
        <v>205.53075145516496</v>
      </c>
      <c r="X508">
        <f t="shared" ca="1" si="154"/>
        <v>0.73730167689240034</v>
      </c>
      <c r="Y508">
        <f t="shared" ca="1" si="156"/>
        <v>1.480428342067285</v>
      </c>
      <c r="Z508">
        <f t="shared" ca="1" si="157"/>
        <v>-0.74312666517488468</v>
      </c>
      <c r="AA508">
        <f t="shared" ca="1" si="158"/>
        <v>191.95149999999998</v>
      </c>
    </row>
    <row r="509" spans="1:27" x14ac:dyDescent="0.25">
      <c r="A509" vm="1489">
        <f ca="1"/>
        <v>46031</v>
      </c>
      <c r="B509" vm="1490">
        <f ca="1"/>
        <v>204.39</v>
      </c>
      <c r="C509" vm="1491">
        <f ca="1"/>
        <v>6154326</v>
      </c>
      <c r="D509">
        <f t="shared" ca="1" si="139"/>
        <v>1257882691.1399999</v>
      </c>
      <c r="E509">
        <f ca="1">SUM($D$2:D509)/SUM($C$2:C509)</f>
        <v>163.54008280666298</v>
      </c>
      <c r="F509">
        <f ca="1">_xlfn.STDEV.P($B$2:B509)</f>
        <v>16.506763007825693</v>
      </c>
      <c r="G509">
        <f t="shared" ca="1" si="140"/>
        <v>180.04684581448868</v>
      </c>
      <c r="H509">
        <f t="shared" ca="1" si="141"/>
        <v>147.03331979883728</v>
      </c>
      <c r="I509">
        <f t="shared" ca="1" si="150"/>
        <v>207.70400000000001</v>
      </c>
      <c r="J509">
        <f t="shared" ca="1" si="151"/>
        <v>2.4473689417090574</v>
      </c>
      <c r="K509">
        <f t="shared" ca="1" si="152"/>
        <v>212.59873788341812</v>
      </c>
      <c r="L509">
        <f t="shared" ca="1" si="153"/>
        <v>202.80926211658189</v>
      </c>
      <c r="M509">
        <f t="shared" ca="1" si="142"/>
        <v>-1.3600000000000136</v>
      </c>
      <c r="N509">
        <f t="shared" ca="1" si="143"/>
        <v>0</v>
      </c>
      <c r="O509">
        <f t="shared" ca="1" si="144"/>
        <v>1.3600000000000136</v>
      </c>
      <c r="P509">
        <f t="shared" ca="1" si="148"/>
        <v>0.71573996627455538</v>
      </c>
      <c r="Q509">
        <f t="shared" ca="1" si="149"/>
        <v>0.78770406814510208</v>
      </c>
      <c r="R509">
        <f t="shared" ca="1" si="146"/>
        <v>0.90864068781565532</v>
      </c>
      <c r="S509">
        <f t="shared" ca="1" si="147"/>
        <v>47.606691695101055</v>
      </c>
      <c r="T509">
        <f>70</f>
        <v>70</v>
      </c>
      <c r="U509">
        <f>30</f>
        <v>30</v>
      </c>
      <c r="V509">
        <f t="shared" ca="1" si="145"/>
        <v>206.18355302426735</v>
      </c>
      <c r="W509">
        <f t="shared" ca="1" si="155"/>
        <v>205.44625134737495</v>
      </c>
      <c r="X509">
        <f t="shared" ca="1" si="154"/>
        <v>0.96479646812119313</v>
      </c>
      <c r="Y509">
        <f t="shared" ca="1" si="156"/>
        <v>1.3773019672780666</v>
      </c>
      <c r="Z509">
        <f t="shared" ca="1" si="157"/>
        <v>-0.41250549915687351</v>
      </c>
      <c r="AA509">
        <f t="shared" ca="1" si="158"/>
        <v>192.23289999999997</v>
      </c>
    </row>
    <row r="510" spans="1:27" x14ac:dyDescent="0.25">
      <c r="A510" vm="1492">
        <f ca="1"/>
        <v>46034</v>
      </c>
      <c r="B510" vm="1493">
        <f ca="1"/>
        <v>209.72</v>
      </c>
      <c r="C510" vm="1494">
        <f ca="1"/>
        <v>11794339</v>
      </c>
      <c r="D510">
        <f t="shared" ca="1" si="139"/>
        <v>2473508775.0799999</v>
      </c>
      <c r="E510">
        <f ca="1">SUM($D$2:D510)/SUM($C$2:C510)</f>
        <v>163.67386184486898</v>
      </c>
      <c r="F510">
        <f ca="1">_xlfn.STDEV.P($B$2:B510)</f>
        <v>16.618043726571123</v>
      </c>
      <c r="G510">
        <f t="shared" ca="1" si="140"/>
        <v>180.29190557144011</v>
      </c>
      <c r="H510">
        <f t="shared" ca="1" si="141"/>
        <v>147.05581811829785</v>
      </c>
      <c r="I510">
        <f t="shared" ca="1" si="150"/>
        <v>207.68949999999995</v>
      </c>
      <c r="J510">
        <f t="shared" ca="1" si="151"/>
        <v>2.4338089597648351</v>
      </c>
      <c r="K510">
        <f t="shared" ca="1" si="152"/>
        <v>212.55711791952962</v>
      </c>
      <c r="L510">
        <f t="shared" ca="1" si="153"/>
        <v>202.82188208047029</v>
      </c>
      <c r="M510">
        <f t="shared" ca="1" si="142"/>
        <v>5.3300000000000125</v>
      </c>
      <c r="N510">
        <f t="shared" ca="1" si="143"/>
        <v>5.3300000000000125</v>
      </c>
      <c r="O510">
        <f t="shared" ca="1" si="144"/>
        <v>0</v>
      </c>
      <c r="P510">
        <f t="shared" ca="1" si="148"/>
        <v>1.0453299686835167</v>
      </c>
      <c r="Q510">
        <f t="shared" ca="1" si="149"/>
        <v>0.73143949184902335</v>
      </c>
      <c r="R510">
        <f t="shared" ca="1" si="146"/>
        <v>1.4291407291134939</v>
      </c>
      <c r="S510">
        <f t="shared" ca="1" si="147"/>
        <v>58.833179650116591</v>
      </c>
      <c r="T510">
        <f>70</f>
        <v>70</v>
      </c>
      <c r="U510">
        <f>30</f>
        <v>30</v>
      </c>
      <c r="V510">
        <f t="shared" ca="1" si="145"/>
        <v>206.72762178976467</v>
      </c>
      <c r="W510">
        <f t="shared" ca="1" si="155"/>
        <v>205.76282532164348</v>
      </c>
      <c r="X510">
        <f t="shared" ca="1" si="154"/>
        <v>1.4455425698745614</v>
      </c>
      <c r="Y510">
        <f t="shared" ca="1" si="156"/>
        <v>1.3909500877973657</v>
      </c>
      <c r="Z510">
        <f t="shared" ca="1" si="157"/>
        <v>5.4592482077195692E-2</v>
      </c>
      <c r="AA510">
        <f t="shared" ca="1" si="158"/>
        <v>192.55210000000002</v>
      </c>
    </row>
    <row r="511" spans="1:27" x14ac:dyDescent="0.25">
      <c r="A511" vm="1495">
        <f ca="1"/>
        <v>46035</v>
      </c>
      <c r="B511" vm="1496">
        <f ca="1"/>
        <v>213.65</v>
      </c>
      <c r="C511" vm="1497">
        <f ca="1"/>
        <v>11379590</v>
      </c>
      <c r="D511">
        <f t="shared" ca="1" si="139"/>
        <v>2431249403.5</v>
      </c>
      <c r="E511">
        <f ca="1">SUM($D$2:D511)/SUM($C$2:C511)</f>
        <v>163.81315778045564</v>
      </c>
      <c r="F511">
        <f ca="1">_xlfn.STDEV.P($B$2:B511)</f>
        <v>16.749838123980783</v>
      </c>
      <c r="G511">
        <f t="shared" ca="1" si="140"/>
        <v>180.56299590443643</v>
      </c>
      <c r="H511">
        <f t="shared" ca="1" si="141"/>
        <v>147.06331965647485</v>
      </c>
      <c r="I511">
        <f t="shared" ca="1" si="150"/>
        <v>207.79299999999995</v>
      </c>
      <c r="J511">
        <f t="shared" ca="1" si="151"/>
        <v>2.6429889379858928</v>
      </c>
      <c r="K511">
        <f t="shared" ca="1" si="152"/>
        <v>213.07897787597173</v>
      </c>
      <c r="L511">
        <f t="shared" ca="1" si="153"/>
        <v>202.50702212402817</v>
      </c>
      <c r="M511">
        <f t="shared" ca="1" si="142"/>
        <v>3.9300000000000068</v>
      </c>
      <c r="N511">
        <f t="shared" ca="1" si="143"/>
        <v>3.9300000000000068</v>
      </c>
      <c r="O511">
        <f t="shared" ca="1" si="144"/>
        <v>0</v>
      </c>
      <c r="P511">
        <f t="shared" ca="1" si="148"/>
        <v>1.2513778280632659</v>
      </c>
      <c r="Q511">
        <f t="shared" ca="1" si="149"/>
        <v>0.67919381385980748</v>
      </c>
      <c r="R511">
        <f t="shared" ca="1" si="146"/>
        <v>1.8424458564364414</v>
      </c>
      <c r="S511">
        <f t="shared" ca="1" si="147"/>
        <v>64.819030845016897</v>
      </c>
      <c r="T511">
        <f>70</f>
        <v>70</v>
      </c>
      <c r="U511">
        <f>30</f>
        <v>30</v>
      </c>
      <c r="V511">
        <f t="shared" ca="1" si="145"/>
        <v>207.79260305287778</v>
      </c>
      <c r="W511">
        <f t="shared" ca="1" si="155"/>
        <v>206.34706048300322</v>
      </c>
      <c r="X511">
        <f t="shared" ca="1" si="154"/>
        <v>2.1966052698821841</v>
      </c>
      <c r="Y511">
        <f t="shared" ca="1" si="156"/>
        <v>1.5520811242143293</v>
      </c>
      <c r="Z511">
        <f t="shared" ca="1" si="157"/>
        <v>0.64452414566785476</v>
      </c>
      <c r="AA511">
        <f t="shared" ca="1" si="158"/>
        <v>192.90020000000004</v>
      </c>
    </row>
    <row r="512" spans="1:27" x14ac:dyDescent="0.25">
      <c r="A512" vm="1498">
        <f ca="1"/>
        <v>46036</v>
      </c>
      <c r="B512" vm="1499">
        <f ca="1"/>
        <v>218.55</v>
      </c>
      <c r="C512" vm="1500">
        <f ca="1"/>
        <v>11858784</v>
      </c>
      <c r="D512">
        <f t="shared" ca="1" si="139"/>
        <v>2591737243.2000003</v>
      </c>
      <c r="E512">
        <f ca="1">SUM($D$2:D512)/SUM($C$2:C512)</f>
        <v>163.97168702947769</v>
      </c>
      <c r="F512">
        <f ca="1">_xlfn.STDEV.P($B$2:B512)</f>
        <v>16.909313355774405</v>
      </c>
      <c r="G512">
        <f t="shared" ca="1" si="140"/>
        <v>180.88100038525209</v>
      </c>
      <c r="H512">
        <f t="shared" ca="1" si="141"/>
        <v>147.06237367370329</v>
      </c>
      <c r="I512">
        <f t="shared" ca="1" si="150"/>
        <v>208.01199999999994</v>
      </c>
      <c r="J512">
        <f t="shared" ca="1" si="151"/>
        <v>3.2992034126277763</v>
      </c>
      <c r="K512">
        <f t="shared" ca="1" si="152"/>
        <v>214.6104068252555</v>
      </c>
      <c r="L512">
        <f t="shared" ca="1" si="153"/>
        <v>201.41359317474439</v>
      </c>
      <c r="M512">
        <f t="shared" ca="1" si="142"/>
        <v>4.9000000000000057</v>
      </c>
      <c r="N512">
        <f t="shared" ca="1" si="143"/>
        <v>4.9000000000000057</v>
      </c>
      <c r="O512">
        <f t="shared" ca="1" si="144"/>
        <v>0</v>
      </c>
      <c r="P512">
        <f t="shared" ca="1" si="148"/>
        <v>1.5119936974873187</v>
      </c>
      <c r="Q512">
        <f t="shared" ca="1" si="149"/>
        <v>0.63067997001267828</v>
      </c>
      <c r="R512">
        <f t="shared" ca="1" si="146"/>
        <v>2.3974024376530045</v>
      </c>
      <c r="S512">
        <f t="shared" ca="1" si="147"/>
        <v>70.56574785144322</v>
      </c>
      <c r="T512">
        <f>70</f>
        <v>70</v>
      </c>
      <c r="U512">
        <f>30</f>
        <v>30</v>
      </c>
      <c r="V512">
        <f t="shared" ca="1" si="145"/>
        <v>209.44758719858888</v>
      </c>
      <c r="W512">
        <f t="shared" ca="1" si="155"/>
        <v>207.25098192870669</v>
      </c>
      <c r="X512">
        <f t="shared" ca="1" si="154"/>
        <v>2.841379689889493</v>
      </c>
      <c r="Y512">
        <f t="shared" ca="1" si="156"/>
        <v>1.8099408373493624</v>
      </c>
      <c r="Z512">
        <f t="shared" ca="1" si="157"/>
        <v>1.0314388525401306</v>
      </c>
      <c r="AA512">
        <f t="shared" ca="1" si="158"/>
        <v>193.29640000000003</v>
      </c>
    </row>
    <row r="513" spans="1:27" x14ac:dyDescent="0.25">
      <c r="A513" vm="1501">
        <f ca="1"/>
        <v>46037</v>
      </c>
      <c r="B513" vm="1502">
        <f ca="1"/>
        <v>219.57</v>
      </c>
      <c r="C513" vm="1503">
        <f ca="1"/>
        <v>8492116</v>
      </c>
      <c r="D513">
        <f t="shared" ca="1" si="139"/>
        <v>1864613910.1199999</v>
      </c>
      <c r="E513">
        <f ca="1">SUM($D$2:D513)/SUM($C$2:C513)</f>
        <v>164.08675839028689</v>
      </c>
      <c r="F513">
        <f ca="1">_xlfn.STDEV.P($B$2:B513)</f>
        <v>17.072466611082497</v>
      </c>
      <c r="G513">
        <f t="shared" ca="1" si="140"/>
        <v>181.15922500136938</v>
      </c>
      <c r="H513">
        <f t="shared" ca="1" si="141"/>
        <v>147.0142917792044</v>
      </c>
      <c r="I513">
        <f t="shared" ca="1" si="150"/>
        <v>208.52550000000002</v>
      </c>
      <c r="J513">
        <f t="shared" ca="1" si="151"/>
        <v>4.1893655781476564</v>
      </c>
      <c r="K513">
        <f t="shared" ca="1" si="152"/>
        <v>216.90423115629534</v>
      </c>
      <c r="L513">
        <f t="shared" ca="1" si="153"/>
        <v>200.14676884370471</v>
      </c>
      <c r="M513">
        <f t="shared" ca="1" si="142"/>
        <v>1.0199999999999818</v>
      </c>
      <c r="N513">
        <f t="shared" ca="1" si="143"/>
        <v>1.0199999999999818</v>
      </c>
      <c r="O513">
        <f t="shared" ca="1" si="144"/>
        <v>0</v>
      </c>
      <c r="P513">
        <f t="shared" ca="1" si="148"/>
        <v>1.4768512905239375</v>
      </c>
      <c r="Q513">
        <f t="shared" ca="1" si="149"/>
        <v>0.58563140072605846</v>
      </c>
      <c r="R513">
        <f t="shared" ca="1" si="146"/>
        <v>2.5218102866290226</v>
      </c>
      <c r="S513">
        <f t="shared" ca="1" si="147"/>
        <v>71.60551197784217</v>
      </c>
      <c r="T513">
        <f>70</f>
        <v>70</v>
      </c>
      <c r="U513">
        <f>30</f>
        <v>30</v>
      </c>
      <c r="V513">
        <f t="shared" ca="1" si="145"/>
        <v>211.00488147572904</v>
      </c>
      <c r="W513">
        <f t="shared" ca="1" si="155"/>
        <v>208.16350178583954</v>
      </c>
      <c r="X513">
        <f t="shared" ca="1" si="154"/>
        <v>3.2415718458508991</v>
      </c>
      <c r="Y513">
        <f t="shared" ca="1" si="156"/>
        <v>2.0962670390496698</v>
      </c>
      <c r="Z513">
        <f t="shared" ca="1" si="157"/>
        <v>1.1453048068012293</v>
      </c>
      <c r="AA513">
        <f t="shared" ca="1" si="158"/>
        <v>193.69920000000005</v>
      </c>
    </row>
    <row r="514" spans="1:27" x14ac:dyDescent="0.25">
      <c r="A514" vm="1504">
        <f ca="1"/>
        <v>46038</v>
      </c>
      <c r="B514" vm="1505">
        <f ca="1"/>
        <v>218.66</v>
      </c>
      <c r="C514" vm="1506">
        <f ca="1"/>
        <v>10021515</v>
      </c>
      <c r="D514">
        <f t="shared" ca="1" si="139"/>
        <v>2191304469.9000001</v>
      </c>
      <c r="E514">
        <f ca="1">SUM($D$2:D514)/SUM($C$2:C514)</f>
        <v>164.21972524825554</v>
      </c>
      <c r="F514">
        <f ca="1">_xlfn.STDEV.P($B$2:B514)</f>
        <v>17.227068012164825</v>
      </c>
      <c r="G514">
        <f t="shared" ca="1" si="140"/>
        <v>181.44679326042038</v>
      </c>
      <c r="H514">
        <f t="shared" ca="1" si="141"/>
        <v>146.99265723609071</v>
      </c>
      <c r="I514">
        <f t="shared" ca="1" si="150"/>
        <v>208.94200000000001</v>
      </c>
      <c r="J514">
        <f t="shared" ca="1" si="151"/>
        <v>4.7542076654597034</v>
      </c>
      <c r="K514">
        <f t="shared" ca="1" si="152"/>
        <v>218.45041533091941</v>
      </c>
      <c r="L514">
        <f t="shared" ca="1" si="153"/>
        <v>199.4335846690806</v>
      </c>
      <c r="M514">
        <f t="shared" ca="1" si="142"/>
        <v>-0.90999999999999659</v>
      </c>
      <c r="N514">
        <f t="shared" ca="1" si="143"/>
        <v>0</v>
      </c>
      <c r="O514">
        <f t="shared" ca="1" si="144"/>
        <v>0.90999999999999659</v>
      </c>
      <c r="P514">
        <f t="shared" ca="1" si="148"/>
        <v>1.3713619126293703</v>
      </c>
      <c r="Q514">
        <f t="shared" ca="1" si="149"/>
        <v>0.60880058638848256</v>
      </c>
      <c r="R514">
        <f t="shared" ca="1" si="146"/>
        <v>2.2525633898688278</v>
      </c>
      <c r="S514">
        <f t="shared" ca="1" si="147"/>
        <v>69.255018884033831</v>
      </c>
      <c r="T514">
        <f>70</f>
        <v>70</v>
      </c>
      <c r="U514">
        <f>30</f>
        <v>30</v>
      </c>
      <c r="V514">
        <f t="shared" ca="1" si="145"/>
        <v>212.18259201792455</v>
      </c>
      <c r="W514">
        <f t="shared" ca="1" si="155"/>
        <v>208.94102017207365</v>
      </c>
      <c r="X514">
        <f t="shared" si="154"/>
        <v>0</v>
      </c>
      <c r="Y514">
        <f t="shared" ca="1" si="156"/>
        <v>1.6770136312397359</v>
      </c>
      <c r="Z514">
        <f t="shared" ca="1" si="157"/>
        <v>-1.6770136312397359</v>
      </c>
      <c r="AA514">
        <f t="shared" ca="1" si="158"/>
        <v>194.10170000000005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BA4-4ED0-4935-A0DF-8835E8008D9D}">
  <dimension ref="A1:F120"/>
  <sheetViews>
    <sheetView workbookViewId="0">
      <selection activeCell="E2" sqref="E2:F108"/>
    </sheetView>
  </sheetViews>
  <sheetFormatPr defaultRowHeight="15" x14ac:dyDescent="0.25"/>
  <cols>
    <col min="1" max="1" width="10.42578125" bestFit="1" customWidth="1"/>
    <col min="2" max="2" width="16.28515625" bestFit="1" customWidth="1"/>
  </cols>
  <sheetData>
    <row r="1" spans="1:6" x14ac:dyDescent="0.25">
      <c r="A1" t="s">
        <v>24</v>
      </c>
      <c r="B1" t="s">
        <v>39</v>
      </c>
      <c r="C1" t="s">
        <v>37</v>
      </c>
      <c r="D1" t="s">
        <v>40</v>
      </c>
      <c r="E1" t="s">
        <v>6</v>
      </c>
      <c r="F1" t="s">
        <v>5</v>
      </c>
    </row>
    <row r="2" spans="1:6" x14ac:dyDescent="0.25">
      <c r="A2" s="12">
        <v>45291</v>
      </c>
      <c r="B2">
        <v>160.67500000000001</v>
      </c>
    </row>
    <row r="3" spans="1:6" x14ac:dyDescent="0.25">
      <c r="A3" s="12">
        <v>45298</v>
      </c>
      <c r="B3">
        <v>161.714</v>
      </c>
    </row>
    <row r="4" spans="1:6" x14ac:dyDescent="0.25">
      <c r="A4" s="12">
        <v>45305</v>
      </c>
      <c r="B4">
        <v>160.96</v>
      </c>
    </row>
    <row r="5" spans="1:6" x14ac:dyDescent="0.25">
      <c r="A5" s="12">
        <v>45312</v>
      </c>
      <c r="B5">
        <v>160.06</v>
      </c>
    </row>
    <row r="6" spans="1:6" x14ac:dyDescent="0.25">
      <c r="A6" s="12">
        <v>45319</v>
      </c>
      <c r="B6">
        <v>158.4</v>
      </c>
    </row>
    <row r="7" spans="1:6" x14ac:dyDescent="0.25">
      <c r="A7" s="12">
        <v>45326</v>
      </c>
      <c r="B7">
        <v>157</v>
      </c>
    </row>
    <row r="8" spans="1:6" x14ac:dyDescent="0.25">
      <c r="A8" s="12">
        <v>45333</v>
      </c>
      <c r="B8">
        <v>156.90600000000001</v>
      </c>
    </row>
    <row r="9" spans="1:6" x14ac:dyDescent="0.25">
      <c r="A9" s="12">
        <v>45340</v>
      </c>
      <c r="B9">
        <v>159.70750000000001</v>
      </c>
    </row>
    <row r="10" spans="1:6" x14ac:dyDescent="0.25">
      <c r="A10" s="12">
        <v>45347</v>
      </c>
      <c r="B10">
        <v>161.364</v>
      </c>
    </row>
    <row r="11" spans="1:6" x14ac:dyDescent="0.25">
      <c r="A11" s="12">
        <v>45354</v>
      </c>
      <c r="B11">
        <v>159.50800000000001</v>
      </c>
    </row>
    <row r="12" spans="1:6" x14ac:dyDescent="0.25">
      <c r="A12" s="12">
        <v>45361</v>
      </c>
      <c r="B12">
        <v>160.49199999999999</v>
      </c>
    </row>
    <row r="13" spans="1:6" x14ac:dyDescent="0.25">
      <c r="A13" s="12">
        <v>45368</v>
      </c>
      <c r="B13">
        <v>155.94200000000001</v>
      </c>
    </row>
    <row r="14" spans="1:6" x14ac:dyDescent="0.25">
      <c r="A14" s="12">
        <v>45375</v>
      </c>
      <c r="B14">
        <v>156.785</v>
      </c>
    </row>
    <row r="15" spans="1:6" x14ac:dyDescent="0.25">
      <c r="A15" s="12">
        <v>45382</v>
      </c>
      <c r="B15">
        <v>154.93199999999999</v>
      </c>
    </row>
    <row r="16" spans="1:6" x14ac:dyDescent="0.25">
      <c r="A16" s="12">
        <v>45389</v>
      </c>
      <c r="B16">
        <v>150.078</v>
      </c>
    </row>
    <row r="17" spans="1:2" x14ac:dyDescent="0.25">
      <c r="A17" s="12">
        <v>45396</v>
      </c>
      <c r="B17">
        <v>146.09200000000001</v>
      </c>
    </row>
    <row r="18" spans="1:2" x14ac:dyDescent="0.25">
      <c r="A18" s="12">
        <v>45403</v>
      </c>
      <c r="B18">
        <v>148.03399999999999</v>
      </c>
    </row>
    <row r="19" spans="1:2" x14ac:dyDescent="0.25">
      <c r="A19" s="12">
        <v>45410</v>
      </c>
      <c r="B19">
        <v>148.35599999999999</v>
      </c>
    </row>
    <row r="20" spans="1:2" x14ac:dyDescent="0.25">
      <c r="A20" s="12">
        <v>45417</v>
      </c>
      <c r="B20">
        <v>149.202</v>
      </c>
    </row>
    <row r="21" spans="1:2" x14ac:dyDescent="0.25">
      <c r="A21" s="12">
        <v>45424</v>
      </c>
      <c r="B21">
        <v>152.83799999999999</v>
      </c>
    </row>
    <row r="22" spans="1:2" x14ac:dyDescent="0.25">
      <c r="A22" s="12">
        <v>45431</v>
      </c>
      <c r="B22">
        <v>150.536</v>
      </c>
    </row>
    <row r="23" spans="1:2" x14ac:dyDescent="0.25">
      <c r="A23" s="12">
        <v>45438</v>
      </c>
      <c r="B23">
        <v>145.1925</v>
      </c>
    </row>
    <row r="24" spans="1:2" x14ac:dyDescent="0.25">
      <c r="A24" s="12">
        <v>45445</v>
      </c>
      <c r="B24">
        <v>147.00200000000001</v>
      </c>
    </row>
    <row r="25" spans="1:2" x14ac:dyDescent="0.25">
      <c r="A25" s="12">
        <v>45452</v>
      </c>
      <c r="B25">
        <v>146.05799999999999</v>
      </c>
    </row>
    <row r="26" spans="1:2" x14ac:dyDescent="0.25">
      <c r="A26" s="12">
        <v>45459</v>
      </c>
      <c r="B26">
        <v>147.0325</v>
      </c>
    </row>
    <row r="27" spans="1:2" x14ac:dyDescent="0.25">
      <c r="A27" s="12">
        <v>45466</v>
      </c>
      <c r="B27">
        <v>147.018</v>
      </c>
    </row>
    <row r="28" spans="1:2" x14ac:dyDescent="0.25">
      <c r="A28" s="12">
        <v>45473</v>
      </c>
      <c r="B28">
        <v>146.16</v>
      </c>
    </row>
    <row r="29" spans="1:2" x14ac:dyDescent="0.25">
      <c r="A29" s="12">
        <v>45480</v>
      </c>
      <c r="B29">
        <v>148.30799999999999</v>
      </c>
    </row>
    <row r="30" spans="1:2" x14ac:dyDescent="0.25">
      <c r="A30" s="12">
        <v>45487</v>
      </c>
      <c r="B30">
        <v>153.38800000000001</v>
      </c>
    </row>
    <row r="31" spans="1:2" x14ac:dyDescent="0.25">
      <c r="A31" s="12">
        <v>45494</v>
      </c>
      <c r="B31">
        <v>156.63</v>
      </c>
    </row>
    <row r="32" spans="1:2" x14ac:dyDescent="0.25">
      <c r="A32" s="12">
        <v>45501</v>
      </c>
      <c r="B32">
        <v>160.52799999999999</v>
      </c>
    </row>
    <row r="33" spans="1:2" x14ac:dyDescent="0.25">
      <c r="A33" s="12">
        <v>45508</v>
      </c>
      <c r="B33">
        <v>159.99199999999999</v>
      </c>
    </row>
    <row r="34" spans="1:2" x14ac:dyDescent="0.25">
      <c r="A34" s="12">
        <v>45515</v>
      </c>
      <c r="B34">
        <v>159.04599999999999</v>
      </c>
    </row>
    <row r="35" spans="1:2" x14ac:dyDescent="0.25">
      <c r="A35" s="12">
        <v>45522</v>
      </c>
      <c r="B35">
        <v>161.54</v>
      </c>
    </row>
    <row r="36" spans="1:2" x14ac:dyDescent="0.25">
      <c r="A36" s="12">
        <v>45529</v>
      </c>
      <c r="B36">
        <v>164.31399999999999</v>
      </c>
    </row>
    <row r="37" spans="1:2" x14ac:dyDescent="0.25">
      <c r="A37" s="12">
        <v>45536</v>
      </c>
      <c r="B37">
        <v>165.9725</v>
      </c>
    </row>
    <row r="38" spans="1:2" x14ac:dyDescent="0.25">
      <c r="A38" s="12">
        <v>45543</v>
      </c>
      <c r="B38">
        <v>165.79400000000001</v>
      </c>
    </row>
    <row r="39" spans="1:2" x14ac:dyDescent="0.25">
      <c r="A39" s="12">
        <v>45550</v>
      </c>
      <c r="B39">
        <v>165.83799999999999</v>
      </c>
    </row>
    <row r="40" spans="1:2" x14ac:dyDescent="0.25">
      <c r="A40" s="12">
        <v>45557</v>
      </c>
      <c r="B40">
        <v>161.87799999999999</v>
      </c>
    </row>
    <row r="41" spans="1:2" x14ac:dyDescent="0.25">
      <c r="A41" s="12">
        <v>45564</v>
      </c>
      <c r="B41">
        <v>161.202</v>
      </c>
    </row>
    <row r="42" spans="1:2" x14ac:dyDescent="0.25">
      <c r="A42" s="12">
        <v>45571</v>
      </c>
      <c r="B42">
        <v>160.36799999999999</v>
      </c>
    </row>
    <row r="43" spans="1:2" x14ac:dyDescent="0.25">
      <c r="A43" s="12">
        <v>45578</v>
      </c>
      <c r="B43">
        <v>163.91399999999999</v>
      </c>
    </row>
    <row r="44" spans="1:2" x14ac:dyDescent="0.25">
      <c r="A44" s="12">
        <v>45585</v>
      </c>
      <c r="B44">
        <v>163.33799999999999</v>
      </c>
    </row>
    <row r="45" spans="1:2" x14ac:dyDescent="0.25">
      <c r="A45" s="12">
        <v>45592</v>
      </c>
      <c r="B45">
        <v>160.458</v>
      </c>
    </row>
    <row r="46" spans="1:2" x14ac:dyDescent="0.25">
      <c r="A46" s="12">
        <v>45599</v>
      </c>
      <c r="B46">
        <v>157.334</v>
      </c>
    </row>
    <row r="47" spans="1:2" x14ac:dyDescent="0.25">
      <c r="A47" s="12">
        <v>45606</v>
      </c>
      <c r="B47">
        <v>153.358</v>
      </c>
    </row>
    <row r="48" spans="1:2" x14ac:dyDescent="0.25">
      <c r="A48" s="12">
        <v>45613</v>
      </c>
      <c r="B48">
        <v>154.31</v>
      </c>
    </row>
    <row r="49" spans="1:2" x14ac:dyDescent="0.25">
      <c r="A49" s="12">
        <v>45620</v>
      </c>
      <c r="B49">
        <v>155.17750000000001</v>
      </c>
    </row>
    <row r="50" spans="1:2" x14ac:dyDescent="0.25">
      <c r="A50" s="12">
        <v>45627</v>
      </c>
      <c r="B50">
        <v>151.292</v>
      </c>
    </row>
    <row r="51" spans="1:2" x14ac:dyDescent="0.25">
      <c r="A51" s="12">
        <v>45634</v>
      </c>
      <c r="B51">
        <v>147.666</v>
      </c>
    </row>
    <row r="52" spans="1:2" x14ac:dyDescent="0.25">
      <c r="A52" s="12">
        <v>45641</v>
      </c>
      <c r="B52">
        <v>144.61199999999999</v>
      </c>
    </row>
    <row r="53" spans="1:2" x14ac:dyDescent="0.25">
      <c r="A53" s="12">
        <v>45648</v>
      </c>
      <c r="B53">
        <v>145.4375</v>
      </c>
    </row>
    <row r="54" spans="1:2" x14ac:dyDescent="0.25">
      <c r="A54" s="12">
        <v>45655</v>
      </c>
      <c r="B54">
        <v>144.04250000000002</v>
      </c>
    </row>
    <row r="55" spans="1:2" x14ac:dyDescent="0.25">
      <c r="A55" s="12">
        <v>45662</v>
      </c>
      <c r="B55">
        <v>143.55500000000001</v>
      </c>
    </row>
    <row r="56" spans="1:2" x14ac:dyDescent="0.25">
      <c r="A56" s="12">
        <v>45669</v>
      </c>
      <c r="B56">
        <v>145.798</v>
      </c>
    </row>
    <row r="57" spans="1:2" x14ac:dyDescent="0.25">
      <c r="A57" s="12">
        <v>45676</v>
      </c>
      <c r="B57">
        <v>146.72</v>
      </c>
    </row>
    <row r="58" spans="1:2" x14ac:dyDescent="0.25">
      <c r="A58" s="12">
        <v>45683</v>
      </c>
      <c r="B58">
        <v>151.88800000000001</v>
      </c>
    </row>
    <row r="59" spans="1:2" x14ac:dyDescent="0.25">
      <c r="A59" s="12">
        <v>45690</v>
      </c>
      <c r="B59">
        <v>153.33600000000001</v>
      </c>
    </row>
    <row r="60" spans="1:2" x14ac:dyDescent="0.25">
      <c r="A60" s="12">
        <v>45697</v>
      </c>
      <c r="B60">
        <v>155.80600000000001</v>
      </c>
    </row>
    <row r="61" spans="1:2" x14ac:dyDescent="0.25">
      <c r="A61" s="12">
        <v>45704</v>
      </c>
      <c r="B61">
        <v>158.715</v>
      </c>
    </row>
    <row r="62" spans="1:2" x14ac:dyDescent="0.25">
      <c r="A62" s="12">
        <v>45711</v>
      </c>
      <c r="B62">
        <v>164.33199999999999</v>
      </c>
    </row>
    <row r="63" spans="1:2" x14ac:dyDescent="0.25">
      <c r="A63" s="12">
        <v>45718</v>
      </c>
      <c r="B63">
        <v>166.06800000000001</v>
      </c>
    </row>
    <row r="64" spans="1:2" x14ac:dyDescent="0.25">
      <c r="A64" s="12">
        <v>45725</v>
      </c>
      <c r="B64">
        <v>164.44200000000001</v>
      </c>
    </row>
    <row r="65" spans="1:2" x14ac:dyDescent="0.25">
      <c r="A65" s="12">
        <v>45732</v>
      </c>
      <c r="B65">
        <v>163.346</v>
      </c>
    </row>
    <row r="66" spans="1:2" x14ac:dyDescent="0.25">
      <c r="A66" s="12">
        <v>45739</v>
      </c>
      <c r="B66">
        <v>162.57400000000001</v>
      </c>
    </row>
    <row r="67" spans="1:2" x14ac:dyDescent="0.25">
      <c r="A67" s="12">
        <v>45746</v>
      </c>
      <c r="B67">
        <v>157.50200000000001</v>
      </c>
    </row>
    <row r="68" spans="1:2" x14ac:dyDescent="0.25">
      <c r="A68" s="12">
        <v>45753</v>
      </c>
      <c r="B68">
        <v>150.40199999999999</v>
      </c>
    </row>
    <row r="69" spans="1:2" x14ac:dyDescent="0.25">
      <c r="A69" s="12">
        <v>45760</v>
      </c>
      <c r="B69">
        <v>154.84</v>
      </c>
    </row>
    <row r="70" spans="1:2" x14ac:dyDescent="0.25">
      <c r="A70" s="12">
        <v>45767</v>
      </c>
      <c r="B70">
        <v>155.91200000000001</v>
      </c>
    </row>
    <row r="71" spans="1:2" x14ac:dyDescent="0.25">
      <c r="A71" s="12">
        <v>45774</v>
      </c>
      <c r="B71">
        <v>155.63</v>
      </c>
    </row>
    <row r="72" spans="1:2" x14ac:dyDescent="0.25">
      <c r="A72" s="12">
        <v>45781</v>
      </c>
      <c r="B72">
        <v>155.33000000000001</v>
      </c>
    </row>
    <row r="73" spans="1:2" x14ac:dyDescent="0.25">
      <c r="A73" s="12">
        <v>45788</v>
      </c>
      <c r="B73">
        <v>149.976</v>
      </c>
    </row>
    <row r="74" spans="1:2" x14ac:dyDescent="0.25">
      <c r="A74" s="12">
        <v>45795</v>
      </c>
      <c r="B74">
        <v>152.976</v>
      </c>
    </row>
    <row r="75" spans="1:2" x14ac:dyDescent="0.25">
      <c r="A75" s="12">
        <v>45802</v>
      </c>
      <c r="B75">
        <v>153.61750000000001</v>
      </c>
    </row>
    <row r="76" spans="1:2" x14ac:dyDescent="0.25">
      <c r="A76" s="12">
        <v>45809</v>
      </c>
      <c r="B76">
        <v>154.346</v>
      </c>
    </row>
    <row r="77" spans="1:2" x14ac:dyDescent="0.25">
      <c r="A77" s="12">
        <v>45816</v>
      </c>
      <c r="B77">
        <v>156.13999999999999</v>
      </c>
    </row>
    <row r="78" spans="1:2" x14ac:dyDescent="0.25">
      <c r="A78" s="12">
        <v>45823</v>
      </c>
      <c r="B78">
        <v>152.03</v>
      </c>
    </row>
    <row r="79" spans="1:2" x14ac:dyDescent="0.25">
      <c r="A79" s="12">
        <v>45830</v>
      </c>
      <c r="B79">
        <v>152.042</v>
      </c>
    </row>
    <row r="80" spans="1:2" x14ac:dyDescent="0.25">
      <c r="A80" s="12">
        <v>45837</v>
      </c>
      <c r="B80">
        <v>155.06</v>
      </c>
    </row>
    <row r="81" spans="1:2" x14ac:dyDescent="0.25">
      <c r="A81" s="12">
        <v>45844</v>
      </c>
      <c r="B81">
        <v>156.386</v>
      </c>
    </row>
    <row r="82" spans="1:2" x14ac:dyDescent="0.25">
      <c r="A82" s="12">
        <v>45851</v>
      </c>
      <c r="B82">
        <v>160.69</v>
      </c>
    </row>
    <row r="83" spans="1:2" x14ac:dyDescent="0.25">
      <c r="A83" s="12">
        <v>45858</v>
      </c>
      <c r="B83">
        <v>167.85</v>
      </c>
    </row>
    <row r="84" spans="1:2" x14ac:dyDescent="0.25">
      <c r="A84" s="12">
        <v>45865</v>
      </c>
      <c r="B84">
        <v>166.732</v>
      </c>
    </row>
    <row r="85" spans="1:2" x14ac:dyDescent="0.25">
      <c r="A85" s="12">
        <v>45872</v>
      </c>
      <c r="B85">
        <v>171.446</v>
      </c>
    </row>
    <row r="86" spans="1:2" x14ac:dyDescent="0.25">
      <c r="A86" s="12">
        <v>45879</v>
      </c>
      <c r="B86">
        <v>174.476</v>
      </c>
    </row>
    <row r="87" spans="1:2" x14ac:dyDescent="0.25">
      <c r="A87" s="12">
        <v>45886</v>
      </c>
      <c r="B87">
        <v>178.22200000000001</v>
      </c>
    </row>
    <row r="88" spans="1:2" x14ac:dyDescent="0.25">
      <c r="A88" s="12">
        <v>45893</v>
      </c>
      <c r="B88">
        <v>176.86199999999999</v>
      </c>
    </row>
    <row r="89" spans="1:2" x14ac:dyDescent="0.25">
      <c r="A89" s="12">
        <v>45900</v>
      </c>
      <c r="B89">
        <v>178.3125</v>
      </c>
    </row>
    <row r="90" spans="1:2" x14ac:dyDescent="0.25">
      <c r="A90" s="12">
        <v>45907</v>
      </c>
      <c r="B90">
        <v>177.488</v>
      </c>
    </row>
    <row r="91" spans="1:2" x14ac:dyDescent="0.25">
      <c r="A91" s="12">
        <v>45914</v>
      </c>
      <c r="B91">
        <v>176.28200000000001</v>
      </c>
    </row>
    <row r="92" spans="1:2" x14ac:dyDescent="0.25">
      <c r="A92" s="12">
        <v>45921</v>
      </c>
      <c r="B92">
        <v>176.98400000000001</v>
      </c>
    </row>
    <row r="93" spans="1:2" x14ac:dyDescent="0.25">
      <c r="A93" s="12">
        <v>45928</v>
      </c>
      <c r="B93">
        <v>185.542</v>
      </c>
    </row>
    <row r="94" spans="1:2" x14ac:dyDescent="0.25">
      <c r="A94" s="12">
        <v>45935</v>
      </c>
      <c r="B94">
        <v>189.708</v>
      </c>
    </row>
    <row r="95" spans="1:2" x14ac:dyDescent="0.25">
      <c r="A95" s="12">
        <v>45942</v>
      </c>
      <c r="B95">
        <v>191.65199999999999</v>
      </c>
    </row>
    <row r="96" spans="1:2" x14ac:dyDescent="0.25">
      <c r="A96" s="12">
        <v>45949</v>
      </c>
      <c r="B96">
        <v>192.28200000000001</v>
      </c>
    </row>
    <row r="97" spans="1:6" x14ac:dyDescent="0.25">
      <c r="A97" s="12">
        <v>45956</v>
      </c>
      <c r="B97">
        <v>188.35</v>
      </c>
    </row>
    <row r="98" spans="1:6" x14ac:dyDescent="0.25">
      <c r="A98" s="12">
        <v>45963</v>
      </c>
      <c r="B98">
        <v>186.53200000000001</v>
      </c>
    </row>
    <row r="99" spans="1:6" x14ac:dyDescent="0.25">
      <c r="A99" s="12">
        <v>45970</v>
      </c>
      <c r="B99">
        <v>193.56200000000001</v>
      </c>
    </row>
    <row r="100" spans="1:6" x14ac:dyDescent="0.25">
      <c r="A100" s="12">
        <v>45977</v>
      </c>
      <c r="B100">
        <v>201.81200000000001</v>
      </c>
    </row>
    <row r="101" spans="1:6" x14ac:dyDescent="0.25">
      <c r="A101" s="12">
        <v>45984</v>
      </c>
      <c r="B101">
        <v>206.8</v>
      </c>
    </row>
    <row r="102" spans="1:6" x14ac:dyDescent="0.25">
      <c r="A102" s="12">
        <v>45991</v>
      </c>
      <c r="B102">
        <v>204.1</v>
      </c>
    </row>
    <row r="103" spans="1:6" x14ac:dyDescent="0.25">
      <c r="A103" s="12">
        <v>45998</v>
      </c>
      <c r="B103">
        <v>205.94200000000001</v>
      </c>
    </row>
    <row r="104" spans="1:6" x14ac:dyDescent="0.25">
      <c r="A104" s="12">
        <v>46005</v>
      </c>
      <c r="B104">
        <v>209.696</v>
      </c>
    </row>
    <row r="105" spans="1:6" x14ac:dyDescent="0.25">
      <c r="A105" s="12">
        <v>46012</v>
      </c>
      <c r="B105">
        <v>207.1275</v>
      </c>
    </row>
    <row r="106" spans="1:6" x14ac:dyDescent="0.25">
      <c r="A106" s="12">
        <v>46019</v>
      </c>
      <c r="B106">
        <v>207.1925</v>
      </c>
    </row>
    <row r="107" spans="1:6" x14ac:dyDescent="0.25">
      <c r="A107" s="12">
        <v>46026</v>
      </c>
      <c r="B107">
        <v>205.346</v>
      </c>
    </row>
    <row r="108" spans="1:6" x14ac:dyDescent="0.25">
      <c r="A108" s="12">
        <v>46033</v>
      </c>
      <c r="B108">
        <v>216.03</v>
      </c>
    </row>
    <row r="109" spans="1:6" x14ac:dyDescent="0.25">
      <c r="A109" s="12">
        <v>46040</v>
      </c>
      <c r="C109">
        <f>_xlfn.FORECAST.ETS(A108,B2:B108,A2:A108,1,1,1)</f>
        <v>216.03</v>
      </c>
      <c r="D109">
        <f>_xlfn.FORECAST.ETS.CONFINT(A109,B2:B108,A2:A108,0.95,1,1,1)</f>
        <v>6.216527628055676</v>
      </c>
      <c r="E109">
        <f>Weekly[[#This Row],[Forecast]]+Weekly[[#This Row],[PI]]</f>
        <v>222.24652762805567</v>
      </c>
      <c r="F109">
        <f>Weekly[[#This Row],[Forecast]]-Weekly[[#This Row],[PI]]</f>
        <v>209.81347237194433</v>
      </c>
    </row>
    <row r="110" spans="1:6" x14ac:dyDescent="0.25">
      <c r="A110" s="12">
        <v>46047</v>
      </c>
      <c r="C110">
        <f t="shared" ref="C110:C120" si="0">_xlfn.FORECAST.ETS(A109,B3:B109,A3:A109,1,1,1)</f>
        <v>216.41801688540696</v>
      </c>
      <c r="D110">
        <f t="shared" ref="D110:D120" si="1">_xlfn.FORECAST.ETS.CONFINT(A110,B3:B109,A3:A109,0.95,1,1,1)</f>
        <v>8.8243955147979865</v>
      </c>
      <c r="E110">
        <f>Weekly[[#This Row],[Forecast]]+Weekly[[#This Row],[PI]]</f>
        <v>225.24241240020496</v>
      </c>
      <c r="F110">
        <f>Weekly[[#This Row],[Forecast]]-Weekly[[#This Row],[PI]]</f>
        <v>207.59362137060896</v>
      </c>
    </row>
    <row r="111" spans="1:6" x14ac:dyDescent="0.25">
      <c r="A111" s="12">
        <v>46054</v>
      </c>
      <c r="C111">
        <f t="shared" si="0"/>
        <v>220.25084150470832</v>
      </c>
      <c r="D111">
        <f t="shared" si="1"/>
        <v>11.955867226599016</v>
      </c>
      <c r="E111">
        <f>Weekly[[#This Row],[Forecast]]+Weekly[[#This Row],[PI]]</f>
        <v>232.20670873130734</v>
      </c>
      <c r="F111">
        <f>Weekly[[#This Row],[Forecast]]-Weekly[[#This Row],[PI]]</f>
        <v>208.29497427810929</v>
      </c>
    </row>
    <row r="112" spans="1:6" x14ac:dyDescent="0.25">
      <c r="A112" s="12">
        <v>46061</v>
      </c>
      <c r="C112">
        <f t="shared" si="0"/>
        <v>222.3707687031291</v>
      </c>
      <c r="D112">
        <f t="shared" si="1"/>
        <v>14.519412911344887</v>
      </c>
      <c r="E112">
        <f>Weekly[[#This Row],[Forecast]]+Weekly[[#This Row],[PI]]</f>
        <v>236.89018161447399</v>
      </c>
      <c r="F112">
        <f>Weekly[[#This Row],[Forecast]]-Weekly[[#This Row],[PI]]</f>
        <v>207.85135579178421</v>
      </c>
    </row>
    <row r="113" spans="1:6" x14ac:dyDescent="0.25">
      <c r="A113" s="12">
        <v>46068</v>
      </c>
      <c r="C113">
        <f t="shared" si="0"/>
        <v>224.49071024947349</v>
      </c>
      <c r="D113">
        <f t="shared" si="1"/>
        <v>17.02839776453628</v>
      </c>
      <c r="E113">
        <f>Weekly[[#This Row],[Forecast]]+Weekly[[#This Row],[PI]]</f>
        <v>241.51910801400976</v>
      </c>
      <c r="F113">
        <f>Weekly[[#This Row],[Forecast]]-Weekly[[#This Row],[PI]]</f>
        <v>207.46231248493723</v>
      </c>
    </row>
    <row r="114" spans="1:6" x14ac:dyDescent="0.25">
      <c r="A114" s="12">
        <v>46075</v>
      </c>
      <c r="C114">
        <f t="shared" si="0"/>
        <v>226.61066137158087</v>
      </c>
      <c r="D114">
        <f t="shared" si="1"/>
        <v>19.544227526698752</v>
      </c>
      <c r="E114">
        <f>Weekly[[#This Row],[Forecast]]+Weekly[[#This Row],[PI]]</f>
        <v>246.15488889827964</v>
      </c>
      <c r="F114">
        <f>Weekly[[#This Row],[Forecast]]-Weekly[[#This Row],[PI]]</f>
        <v>207.06643384488211</v>
      </c>
    </row>
    <row r="115" spans="1:6" x14ac:dyDescent="0.25">
      <c r="A115" s="12">
        <v>46082</v>
      </c>
      <c r="C115">
        <f t="shared" si="0"/>
        <v>228.7306031972324</v>
      </c>
      <c r="D115">
        <f t="shared" si="1"/>
        <v>22.111369098277486</v>
      </c>
      <c r="E115">
        <f>Weekly[[#This Row],[Forecast]]+Weekly[[#This Row],[PI]]</f>
        <v>250.84197229550989</v>
      </c>
      <c r="F115">
        <f>Weekly[[#This Row],[Forecast]]-Weekly[[#This Row],[PI]]</f>
        <v>206.61923409895491</v>
      </c>
    </row>
    <row r="116" spans="1:6" x14ac:dyDescent="0.25">
      <c r="A116" s="12">
        <v>46089</v>
      </c>
      <c r="C116">
        <f t="shared" si="0"/>
        <v>219.14393849084911</v>
      </c>
      <c r="D116">
        <f t="shared" si="1"/>
        <v>18.473280873559958</v>
      </c>
      <c r="E116">
        <f>Weekly[[#This Row],[Forecast]]+Weekly[[#This Row],[PI]]</f>
        <v>237.61721936440907</v>
      </c>
      <c r="F116">
        <f>Weekly[[#This Row],[Forecast]]-Weekly[[#This Row],[PI]]</f>
        <v>200.67065761728915</v>
      </c>
    </row>
    <row r="117" spans="1:6" x14ac:dyDescent="0.25">
      <c r="A117" s="12">
        <v>46096</v>
      </c>
      <c r="C117">
        <f t="shared" si="0"/>
        <v>219.67630169449598</v>
      </c>
      <c r="D117">
        <f t="shared" si="1"/>
        <v>19.665699083821874</v>
      </c>
      <c r="E117">
        <f>Weekly[[#This Row],[Forecast]]+Weekly[[#This Row],[PI]]</f>
        <v>239.34200077831784</v>
      </c>
      <c r="F117">
        <f>Weekly[[#This Row],[Forecast]]-Weekly[[#This Row],[PI]]</f>
        <v>200.01060261067411</v>
      </c>
    </row>
    <row r="118" spans="1:6" x14ac:dyDescent="0.25">
      <c r="A118" s="12">
        <v>46103</v>
      </c>
      <c r="C118">
        <f t="shared" si="0"/>
        <v>220.24351649675805</v>
      </c>
      <c r="D118">
        <f t="shared" si="1"/>
        <v>20.829182943124561</v>
      </c>
      <c r="E118">
        <f>Weekly[[#This Row],[Forecast]]+Weekly[[#This Row],[PI]]</f>
        <v>241.0726994398826</v>
      </c>
      <c r="F118">
        <f>Weekly[[#This Row],[Forecast]]-Weekly[[#This Row],[PI]]</f>
        <v>199.4143335536335</v>
      </c>
    </row>
    <row r="119" spans="1:6" x14ac:dyDescent="0.25">
      <c r="A119" s="12">
        <v>46110</v>
      </c>
      <c r="C119">
        <f t="shared" si="0"/>
        <v>220.8283353276878</v>
      </c>
      <c r="D119">
        <f t="shared" si="1"/>
        <v>21.953147918662239</v>
      </c>
      <c r="E119">
        <f>Weekly[[#This Row],[Forecast]]+Weekly[[#This Row],[PI]]</f>
        <v>242.78148324635004</v>
      </c>
      <c r="F119">
        <f>Weekly[[#This Row],[Forecast]]-Weekly[[#This Row],[PI]]</f>
        <v>198.87518740902556</v>
      </c>
    </row>
    <row r="120" spans="1:6" x14ac:dyDescent="0.25">
      <c r="A120" s="12">
        <v>46117</v>
      </c>
      <c r="C120">
        <f t="shared" si="0"/>
        <v>221.44832134427563</v>
      </c>
      <c r="D120">
        <f t="shared" si="1"/>
        <v>22.847186917999988</v>
      </c>
      <c r="E120">
        <f>Weekly[[#This Row],[Forecast]]+Weekly[[#This Row],[PI]]</f>
        <v>244.2955082622756</v>
      </c>
      <c r="F120">
        <f>Weekly[[#This Row],[Forecast]]-Weekly[[#This Row],[PI]]</f>
        <v>198.60113442627565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3" workbookViewId="0">
      <selection activeCell="C110" sqref="C110"/>
    </sheetView>
  </sheetViews>
  <sheetFormatPr defaultRowHeight="15" x14ac:dyDescent="0.25"/>
  <cols>
    <col min="1" max="16384" width="9.140625" style="18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Intro</vt:lpstr>
      <vt:lpstr>Data</vt:lpstr>
      <vt:lpstr>Weekly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2026-01-20T23:49:33Z</dcterms:modified>
</cp:coreProperties>
</file>